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Métricas" sheetId="2" state="visible" r:id="rId2"/>
    <sheet xmlns:r="http://schemas.openxmlformats.org/officeDocument/2006/relationships" name="Matriz" sheetId="3" state="visible" r:id="rId3"/>
    <sheet xmlns:r="http://schemas.openxmlformats.org/officeDocument/2006/relationships" name="Uso en lógica" sheetId="4" state="visible" r:id="rId4"/>
  </sheets>
  <definedNames>
    <definedName name="_xlnm._FilterDatabase" localSheetId="2" hidden="1">'Matriz'!$A$1:$AA$2433</definedName>
    <definedName name="_xlnm._FilterDatabase" localSheetId="3" hidden="1">'Uso en lógica'!$A$1:$F$181</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12">
    <font>
      <name val="Calibri"/>
      <family val="2"/>
      <color theme="1"/>
      <sz val="11"/>
      <scheme val="minor"/>
    </font>
    <font>
      <name val="Arial"/>
      <b val="1"/>
      <color rgb="001F3A5F"/>
      <sz val="14"/>
    </font>
    <font>
      <name val="Arial"/>
      <color rgb="00555555"/>
      <sz val="10"/>
    </font>
    <font>
      <name val="Arial"/>
      <b val="1"/>
      <sz val="11"/>
    </font>
    <font>
      <name val="Arial"/>
      <sz val="10"/>
    </font>
    <font>
      <name val="Arial"/>
      <i val="1"/>
      <sz val="10"/>
    </font>
    <font>
      <name val="Consolas"/>
      <sz val="9"/>
    </font>
    <font>
      <name val="Arial"/>
      <b val="1"/>
      <color rgb="00FFFFFF"/>
      <sz val="10"/>
    </font>
    <font>
      <name val="Arial"/>
      <sz val="9"/>
    </font>
    <font>
      <name val="Arial"/>
      <b val="1"/>
      <color rgb="001F3A5F"/>
      <sz val="12"/>
    </font>
    <font>
      <name val="Arial"/>
      <i val="1"/>
      <color rgb="00666666"/>
      <sz val="8"/>
    </font>
    <font>
      <name val="Arial"/>
      <b val="1"/>
      <sz val="10"/>
    </font>
  </fonts>
  <fills count="5">
    <fill>
      <patternFill/>
    </fill>
    <fill>
      <patternFill patternType="gray125"/>
    </fill>
    <fill>
      <patternFill patternType="solid">
        <fgColor rgb="001F3A5F"/>
      </patternFill>
    </fill>
    <fill>
      <patternFill patternType="solid">
        <fgColor rgb="007A4E00"/>
      </patternFill>
    </fill>
    <fill>
      <patternFill patternType="solid">
        <fgColor rgb="00FFF7D6"/>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1" fillId="0" borderId="0" pivotButton="0" quotePrefix="0" xfId="0"/>
    <xf numFmtId="0" fontId="9" fillId="0" borderId="0" pivotButton="0" quotePrefix="0" xfId="0"/>
    <xf numFmtId="0" fontId="7" fillId="2" borderId="1" applyAlignment="1" pivotButton="0" quotePrefix="0" xfId="0">
      <alignment horizontal="center" wrapText="1"/>
    </xf>
    <xf numFmtId="0" fontId="4" fillId="0" borderId="1" pivotButton="0" quotePrefix="0" xfId="0"/>
    <xf numFmtId="165" fontId="4" fillId="0" borderId="1" pivotButton="0" quotePrefix="0" xfId="0"/>
    <xf numFmtId="0" fontId="10" fillId="0" borderId="0" pivotButton="0" quotePrefix="0" xfId="0"/>
    <xf numFmtId="0" fontId="11" fillId="0" borderId="1" pivotButton="0" quotePrefix="0" xfId="0"/>
    <xf numFmtId="165" fontId="11" fillId="0" borderId="1" pivotButton="0" quotePrefix="0" xfId="0"/>
    <xf numFmtId="0" fontId="7"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0" borderId="1" applyAlignment="1" pivotButton="0" quotePrefix="0" xfId="0">
      <alignment vertical="top" wrapText="1"/>
    </xf>
    <xf numFmtId="0" fontId="8" fillId="4" borderId="1" applyAlignment="1" pivotButton="0" quotePrefix="0" xfId="0">
      <alignment vertical="top" wrapText="1"/>
    </xf>
    <xf numFmtId="164" fontId="8" fillId="4" borderId="1" applyAlignment="1" pivotButton="0" quotePrefix="0" xfId="0">
      <alignment vertical="top" wrapText="1"/>
    </xf>
    <xf numFmtId="0" fontId="7" fillId="2" borderId="0" pivotButton="0" quotePrefix="0" xfId="0"/>
    <xf numFmtId="0" fontId="8" fillId="0" borderId="0" applyAlignment="1" pivotButton="0" quotePrefix="0" xfId="0">
      <alignment vertical="top" wrapText="1"/>
    </xf>
  </cellXfs>
  <cellStyles count="1">
    <cellStyle name="Normal" xfId="0" builtinId="0" hidden="0"/>
  </cellStyles>
  <dxfs count="6">
    <dxf>
      <fill>
        <patternFill patternType="solid">
          <fgColor rgb="00D1FADF"/>
        </patternFill>
      </fill>
    </dxf>
    <dxf>
      <fill>
        <patternFill patternType="solid">
          <fgColor rgb="00D1E9FF"/>
        </patternFill>
      </fill>
    </dxf>
    <dxf>
      <fill>
        <patternFill patternType="solid">
          <fgColor rgb="00FEE4E2"/>
        </patternFill>
      </fill>
    </dxf>
    <dxf>
      <fill>
        <patternFill patternType="solid">
          <fgColor rgb="00FEF0C7"/>
        </patternFill>
      </fill>
    </dxf>
    <dxf>
      <font>
        <name val="Arial"/>
        <b val="1"/>
        <color rgb="00B42318"/>
        <sz val="9"/>
      </font>
    </dxf>
    <dxf>
      <fill>
        <patternFill patternType="solid">
          <fgColor rgb="00FDA2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showGridLines="0" workbookViewId="0">
      <selection activeCell="A1" sqref="A1"/>
    </sheetView>
  </sheetViews>
  <sheetFormatPr baseColWidth="8" defaultRowHeight="15"/>
  <cols>
    <col width="150" customWidth="1" min="1" max="1"/>
  </cols>
  <sheetData>
    <row r="1">
      <c r="A1" s="1" t="inlineStr">
        <is>
          <t>Matriz de validación de descripciones de columnas · SuperApp ESAP · Base completa</t>
        </is>
      </c>
    </row>
    <row r="2">
      <c r="A2" s="2" t="inlineStr">
        <is>
          <t>Base esap_db (QA) · extracción del 2026-10-22 · generada el 2026-10-26</t>
        </is>
      </c>
    </row>
    <row r="3">
      <c r="A3" s="3" t="inlineStr"/>
    </row>
    <row r="4">
      <c r="A4" s="4" t="inlineStr">
        <is>
          <t>Objetivo</t>
        </is>
      </c>
    </row>
    <row r="5">
      <c r="A5" s="5" t="inlineStr">
        <is>
          <t>Revisar con el equipo de desarrollo la descripción de cada columna que aún no tiene descripción registrada en la base ni validada.</t>
        </is>
      </c>
    </row>
    <row r="6">
      <c r="A6" s="5" t="inlineStr">
        <is>
          <t>Las propuestas se redactaron a partir de la estructura (nombre, tipo, restricciones, valores permitidos, relaciones) y del código de las funciones, triggers y vistas que usan la columna, y del código fuente de la aplicación (entidades y migraciones). No se revisaron valores de los registros. Son propuestas: no reemplazan el conocimiento del equipo.</t>
        </is>
      </c>
    </row>
    <row r="7">
      <c r="A7" s="3" t="inlineStr"/>
    </row>
    <row r="8">
      <c r="A8" s="4" t="inlineStr">
        <is>
          <t>Cómo revisar (hoja «Matriz»)</t>
        </is>
      </c>
    </row>
    <row r="9">
      <c r="A9" s="5" t="inlineStr">
        <is>
          <t>1. Lea la propuesta, su fundamento y, si la hay, la pregunta para desarrollo.</t>
        </is>
      </c>
    </row>
    <row r="10">
      <c r="A10" s="5" t="inlineStr">
        <is>
          <t>2. Elija la decisión en la lista desplegable (celdas amarillas):</t>
        </is>
      </c>
    </row>
    <row r="11">
      <c r="A11" s="5" t="inlineStr">
        <is>
          <t xml:space="preserve">     Aprobada: la propuesta se registra tal cual.</t>
        </is>
      </c>
    </row>
    <row r="12">
      <c r="A12" s="5" t="inlineStr">
        <is>
          <t xml:space="preserve">     Aprobada con ajuste: escriba el texto correcto en «Descripción final».</t>
        </is>
      </c>
    </row>
    <row r="13">
      <c r="A13" s="5" t="inlineStr">
        <is>
          <t xml:space="preserve">     Rechazada: la propuesta no corresponde; escriba la descripción correcta en «Descripción final» o explique en «Observaciones».</t>
        </is>
      </c>
    </row>
    <row r="14">
      <c r="A14" s="5" t="inlineStr">
        <is>
          <t xml:space="preserve">     Requiere aclaración: falta información; anote la duda en «Observaciones».</t>
        </is>
      </c>
    </row>
    <row r="15">
      <c r="A15" s="5" t="inlineStr">
        <is>
          <t>3. Registre quién revisó y la fecha. «Descripción a registrar» se calcula sola.</t>
        </is>
      </c>
    </row>
    <row r="16">
      <c r="A16" s="6" t="inlineStr">
        <is>
          <t xml:space="preserve">     Ejemplo: Decisión = Aprobada con ajuste · Descripción final = «Valor de los viáticos de la comisión, en pesos colombianos, calculado como la suma de días pernoctados y no pernoctados.» · Revisado por = Equipo Viáticos · Fecha de revisión = 2026-10-23.</t>
        </is>
      </c>
    </row>
    <row r="17">
      <c r="A17" s="5" t="inlineStr">
        <is>
          <t>4. La hoja «Métricas» muestra el avance por dominio, por confianza y por uso en la lógica.</t>
        </is>
      </c>
    </row>
    <row r="18">
      <c r="A18" s="5" t="inlineStr">
        <is>
          <t>Las decisiones que ya vienen diligenciadas salen de config/propuestas/&lt;alcance&gt;_decisiones.csv (por ejemplo, aprobaciones en bloque); se pueden cambiar en la matriz.</t>
        </is>
      </c>
    </row>
    <row r="19">
      <c r="A19" s="3" t="inlineStr"/>
    </row>
    <row r="20">
      <c r="A20" s="4" t="inlineStr">
        <is>
          <t>Columnas de la matriz</t>
        </is>
      </c>
    </row>
    <row r="21">
      <c r="A21" s="5" t="inlineStr">
        <is>
          <t>Confianza: Alta (el nombre, el tipo y la lógica coinciden) · Media (el nombre es claro pero falta confirmar el uso) · Baja (el nombre es ambiguo; revisar con prioridad).</t>
        </is>
      </c>
    </row>
    <row r="22">
      <c r="A22" s="5" t="inlineStr">
        <is>
          <t>Origen: «Código fuente (verificado)» (contrastada con entidades, servicios y migraciones), «Regla estructural (redacción revisada)», «Código fuente» (redactada a partir del comentario del desarrollador en la entidad o la migración), «Regla estructural» (convención de nombre) o «Propuesta semántica» (redactada a partir del contexto de la base).</t>
        </is>
      </c>
    </row>
    <row r="23">
      <c r="A23" s="5" t="inlineStr">
        <is>
          <t>Evidencia en código: archivo y línea del repositorio de la aplicación (rama micro-frontend) donde se define la columna, con el comentario del desarrollador, los valores del enum y las validaciones declaradas.</t>
        </is>
      </c>
    </row>
    <row r="24">
      <c r="A24" s="5" t="inlineStr">
        <is>
          <t>Uso en lógica: funciones, procedimientos, triggers y vistas de la base que mencionan la columna. La lógica de la aplicación se resume en «Evidencia en código».</t>
        </is>
      </c>
    </row>
    <row r="25">
      <c r="A25" s="5" t="inlineStr">
        <is>
          <t>Catálogo: la columna apunta a una tabla de catálogo, tiene valores permitidos (CHECK o tipo enumerado) o pertenece a una tabla de catálogo.</t>
        </is>
      </c>
    </row>
    <row r="26">
      <c r="A26" s="3" t="inlineStr"/>
    </row>
    <row r="27">
      <c r="A27" s="4" t="inlineStr">
        <is>
          <t>Después de la revisión</t>
        </is>
      </c>
    </row>
    <row r="28">
      <c r="A28" s="7" t="inlineStr">
        <is>
          <t>python herramientas/matriz_descripciones.py incorporar --matriz &lt;este archivo&gt;  → lleva las aprobadas a config/descripciones.csv (estado validada).</t>
        </is>
      </c>
    </row>
    <row r="29">
      <c r="A29" s="5" t="inlineStr">
        <is>
          <t>Las validadas se publican en el portal y quedan listas para registrarse en la base con un lote COMMENT ON (con reversa), cuando haya autorización.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2"/>
  <sheetViews>
    <sheetView showGridLines="0" workbookViewId="0">
      <selection activeCell="A1" sqref="A1"/>
    </sheetView>
  </sheetViews>
  <sheetFormatPr baseColWidth="8" defaultRowHeight="15"/>
  <cols>
    <col width="52" customWidth="1" min="1" max="1"/>
    <col width="22" customWidth="1" min="2" max="2"/>
    <col width="12" customWidth="1" min="3" max="3"/>
    <col width="12" customWidth="1" min="4" max="4"/>
    <col width="12" customWidth="1" min="5" max="5"/>
    <col width="12" customWidth="1" min="6" max="6"/>
    <col width="12" customWidth="1" min="7" max="7"/>
    <col width="12" customWidth="1" min="8" max="8"/>
  </cols>
  <sheetData>
    <row r="1">
      <c r="A1" s="8" t="inlineStr">
        <is>
          <t>Métricas de la revisión · Base completa</t>
        </is>
      </c>
    </row>
    <row r="3">
      <c r="A3" s="9" t="inlineStr">
        <is>
          <t>Avance general</t>
        </is>
      </c>
    </row>
    <row r="4">
      <c r="A4" s="10" t="inlineStr">
        <is>
          <t>Indicador</t>
        </is>
      </c>
      <c r="B4" s="10" t="inlineStr">
        <is>
          <t>Valor</t>
        </is>
      </c>
    </row>
    <row r="5">
      <c r="A5" s="11" t="inlineStr">
        <is>
          <t>Columnas en la matriz</t>
        </is>
      </c>
      <c r="B5" s="11">
        <f>COUNTA(Matriz!$A$2:$A$2433)</f>
        <v/>
      </c>
    </row>
    <row r="6">
      <c r="A6" s="11" t="inlineStr">
        <is>
          <t>Pendiente</t>
        </is>
      </c>
      <c r="B6" s="11">
        <f>COUNTIF(Matriz!$V$2:$V$2433,"Pendiente")</f>
        <v/>
      </c>
    </row>
    <row r="7">
      <c r="A7" s="11" t="inlineStr">
        <is>
          <t>Aprobada</t>
        </is>
      </c>
      <c r="B7" s="11">
        <f>COUNTIF(Matriz!$V$2:$V$2433,"Aprobada")</f>
        <v/>
      </c>
    </row>
    <row r="8">
      <c r="A8" s="11" t="inlineStr">
        <is>
          <t>Aprobada con ajuste</t>
        </is>
      </c>
      <c r="B8" s="11">
        <f>COUNTIF(Matriz!$V$2:$V$2433,"Aprobada con ajuste")</f>
        <v/>
      </c>
    </row>
    <row r="9">
      <c r="A9" s="11" t="inlineStr">
        <is>
          <t>Rechazada</t>
        </is>
      </c>
      <c r="B9" s="11">
        <f>COUNTIF(Matriz!$V$2:$V$2433,"Rechazada")</f>
        <v/>
      </c>
    </row>
    <row r="10">
      <c r="A10" s="11" t="inlineStr">
        <is>
          <t>Requiere aclaración</t>
        </is>
      </c>
      <c r="B10" s="11">
        <f>COUNTIF(Matriz!$V$2:$V$2433,"Requiere aclaración")</f>
        <v/>
      </c>
    </row>
    <row r="11">
      <c r="A11" s="11" t="inlineStr">
        <is>
          <t>Revisadas (decisión distinta de Pendiente)</t>
        </is>
      </c>
      <c r="B11" s="11">
        <f>B5-B6</f>
        <v/>
      </c>
    </row>
    <row r="12">
      <c r="A12" s="11" t="inlineStr">
        <is>
          <t>% revisado</t>
        </is>
      </c>
      <c r="B12" s="12">
        <f>IF(B5=0,0,B11/B5)</f>
        <v/>
      </c>
    </row>
    <row r="13">
      <c r="A13" s="11" t="inlineStr">
        <is>
          <t>Con descripción a registrar</t>
        </is>
      </c>
      <c r="B13" s="11">
        <f>SUMPRODUCT(--(Matriz!$AA$2:$AA$2433&lt;&gt;""))</f>
        <v/>
      </c>
    </row>
    <row r="14">
      <c r="A14" s="11" t="inlineStr">
        <is>
          <t>Ajustes sin texto en «Descripción final»</t>
        </is>
      </c>
      <c r="B14" s="11">
        <f>SUMPRODUCT(((Matriz!$V$2:$V$2433="Aprobada con ajuste")+(Matriz!$V$2:$V$2433="Rechazada"))*(Matriz!$W$2:$W$2433=""))</f>
        <v/>
      </c>
    </row>
    <row r="16">
      <c r="A16" s="9" t="inlineStr">
        <is>
          <t>Cobertura de descripciones de columnas (indicador K02, meta ≥ 95 %)</t>
        </is>
      </c>
    </row>
    <row r="17">
      <c r="A17" s="10" t="inlineStr">
        <is>
          <t>Concepto</t>
        </is>
      </c>
      <c r="B17" s="10" t="inlineStr">
        <is>
          <t>Valor</t>
        </is>
      </c>
    </row>
    <row r="18">
      <c r="A18" s="11" t="inlineStr">
        <is>
          <t>Columnas del alcance</t>
        </is>
      </c>
      <c r="B18" s="11" t="n">
        <v>5700</v>
      </c>
    </row>
    <row r="19">
      <c r="A19" s="11" t="inlineStr">
        <is>
          <t>Con descripción registrada en la base (COMMENT)</t>
        </is>
      </c>
      <c r="B19" s="11" t="n">
        <v>604</v>
      </c>
    </row>
    <row r="20">
      <c r="A20" s="11" t="inlineStr">
        <is>
          <t>Validadas antes de esta matriz (config/descripciones.csv)</t>
        </is>
      </c>
      <c r="B20" s="11" t="n">
        <v>2664</v>
      </c>
    </row>
    <row r="21">
      <c r="A21" s="11" t="inlineStr">
        <is>
          <t>Con descripción a registrar en esta matriz</t>
        </is>
      </c>
      <c r="B21" s="11">
        <f>B13</f>
        <v/>
      </c>
    </row>
    <row r="22">
      <c r="A22" s="11" t="inlineStr">
        <is>
          <t>Cobertura actual</t>
        </is>
      </c>
      <c r="B22" s="12">
        <f>(B19+B20)/B18</f>
        <v/>
      </c>
    </row>
    <row r="23">
      <c r="A23" s="11" t="inlineStr">
        <is>
          <t>Cobertura al incorporar la matriz</t>
        </is>
      </c>
      <c r="B23" s="12">
        <f>(B19+B20+B21)/B18</f>
        <v/>
      </c>
    </row>
    <row r="24">
      <c r="A24" s="11" t="inlineStr">
        <is>
          <t>Columnas que faltan para la meta de 95 %</t>
        </is>
      </c>
      <c r="B24" s="11">
        <f>MAX(0,ROUNDUP(0.95*B18,0)-(B19+B20+B21))</f>
        <v/>
      </c>
    </row>
    <row r="25">
      <c r="A25" s="13" t="inlineStr">
        <is>
          <t>Columnas del alcance, base y validadas: cifras fijas de la extracción del 2026-10-22 y de config/descripciones.csv.</t>
        </is>
      </c>
    </row>
    <row r="27">
      <c r="A27" s="9" t="inlineStr">
        <is>
          <t>Avance por dominio</t>
        </is>
      </c>
    </row>
    <row r="28">
      <c r="A28" s="10" t="inlineStr">
        <is>
          <t>Dominio</t>
        </is>
      </c>
      <c r="B28" s="10" t="inlineStr">
        <is>
          <t>Esquema</t>
        </is>
      </c>
      <c r="C28" s="10" t="inlineStr">
        <is>
          <t>Columnas</t>
        </is>
      </c>
      <c r="D28" s="10" t="inlineStr">
        <is>
          <t>Aprobadas</t>
        </is>
      </c>
      <c r="E28" s="10" t="inlineStr">
        <is>
          <t>Rechazadas</t>
        </is>
      </c>
      <c r="F28" s="10" t="inlineStr">
        <is>
          <t>Por aclarar</t>
        </is>
      </c>
      <c r="G28" s="10" t="inlineStr">
        <is>
          <t>Pendientes</t>
        </is>
      </c>
      <c r="H28" s="10" t="inlineStr">
        <is>
          <t>% revisado</t>
        </is>
      </c>
    </row>
    <row r="29">
      <c r="A29" s="11" t="inlineStr">
        <is>
          <t>Identidad y acceso</t>
        </is>
      </c>
      <c r="B29" s="11" t="inlineStr">
        <is>
          <t>auth</t>
        </is>
      </c>
      <c r="C29" s="11">
        <f>COUNTIF(Matriz!$C$2:$C$2433,B29)</f>
        <v/>
      </c>
      <c r="D29" s="11">
        <f>COUNTIFS(Matriz!$C$2:$C$2433,B29,Matriz!$V$2:$V$2433,"Aprobada")+COUNTIFS(Matriz!$C$2:$C$2433,B29,Matriz!$V$2:$V$2433,"Aprobada con ajuste")</f>
        <v/>
      </c>
      <c r="E29" s="11">
        <f>COUNTIFS(Matriz!$C$2:$C$2433,B29,Matriz!$V$2:$V$2433,"Rechazada")</f>
        <v/>
      </c>
      <c r="F29" s="11">
        <f>COUNTIFS(Matriz!$C$2:$C$2433,B29,Matriz!$V$2:$V$2433,"Requiere aclaración")</f>
        <v/>
      </c>
      <c r="G29" s="11">
        <f>COUNTIFS(Matriz!$C$2:$C$2433,B29,Matriz!$V$2:$V$2433,"Pendiente")</f>
        <v/>
      </c>
      <c r="H29" s="12">
        <f>IF(C29=0,0,(C29-G29)/C29)</f>
        <v/>
      </c>
    </row>
    <row r="30">
      <c r="A30" s="11" t="inlineStr">
        <is>
          <t>Registro académico</t>
        </is>
      </c>
      <c r="B30" s="11" t="inlineStr">
        <is>
          <t>academic_registration</t>
        </is>
      </c>
      <c r="C30" s="11">
        <f>COUNTIF(Matriz!$C$2:$C$2433,B30)</f>
        <v/>
      </c>
      <c r="D30" s="11">
        <f>COUNTIFS(Matriz!$C$2:$C$2433,B30,Matriz!$V$2:$V$2433,"Aprobada")+COUNTIFS(Matriz!$C$2:$C$2433,B30,Matriz!$V$2:$V$2433,"Aprobada con ajuste")</f>
        <v/>
      </c>
      <c r="E30" s="11">
        <f>COUNTIFS(Matriz!$C$2:$C$2433,B30,Matriz!$V$2:$V$2433,"Rechazada")</f>
        <v/>
      </c>
      <c r="F30" s="11">
        <f>COUNTIFS(Matriz!$C$2:$C$2433,B30,Matriz!$V$2:$V$2433,"Requiere aclaración")</f>
        <v/>
      </c>
      <c r="G30" s="11">
        <f>COUNTIFS(Matriz!$C$2:$C$2433,B30,Matriz!$V$2:$V$2433,"Pendiente")</f>
        <v/>
      </c>
      <c r="H30" s="12">
        <f>IF(C30=0,0,(C30-G30)/C30)</f>
        <v/>
      </c>
    </row>
    <row r="31">
      <c r="A31" s="11" t="inlineStr">
        <is>
          <t>Plan de trabajo académico</t>
        </is>
      </c>
      <c r="B31" s="11" t="inlineStr">
        <is>
          <t>academic_work_plan</t>
        </is>
      </c>
      <c r="C31" s="11">
        <f>COUNTIF(Matriz!$C$2:$C$2433,B31)</f>
        <v/>
      </c>
      <c r="D31" s="11">
        <f>COUNTIFS(Matriz!$C$2:$C$2433,B31,Matriz!$V$2:$V$2433,"Aprobada")+COUNTIFS(Matriz!$C$2:$C$2433,B31,Matriz!$V$2:$V$2433,"Aprobada con ajuste")</f>
        <v/>
      </c>
      <c r="E31" s="11">
        <f>COUNTIFS(Matriz!$C$2:$C$2433,B31,Matriz!$V$2:$V$2433,"Rechazada")</f>
        <v/>
      </c>
      <c r="F31" s="11">
        <f>COUNTIFS(Matriz!$C$2:$C$2433,B31,Matriz!$V$2:$V$2433,"Requiere aclaración")</f>
        <v/>
      </c>
      <c r="G31" s="11">
        <f>COUNTIFS(Matriz!$C$2:$C$2433,B31,Matriz!$V$2:$V$2433,"Pendiente")</f>
        <v/>
      </c>
      <c r="H31" s="12">
        <f>IF(C31=0,0,(C31-G31)/C31)</f>
        <v/>
      </c>
    </row>
    <row r="32">
      <c r="A32" s="11" t="inlineStr">
        <is>
          <t>Certificaciones</t>
        </is>
      </c>
      <c r="B32" s="11" t="inlineStr">
        <is>
          <t>certification</t>
        </is>
      </c>
      <c r="C32" s="11">
        <f>COUNTIF(Matriz!$C$2:$C$2433,B32)</f>
        <v/>
      </c>
      <c r="D32" s="11">
        <f>COUNTIFS(Matriz!$C$2:$C$2433,B32,Matriz!$V$2:$V$2433,"Aprobada")+COUNTIFS(Matriz!$C$2:$C$2433,B32,Matriz!$V$2:$V$2433,"Aprobada con ajuste")</f>
        <v/>
      </c>
      <c r="E32" s="11">
        <f>COUNTIFS(Matriz!$C$2:$C$2433,B32,Matriz!$V$2:$V$2433,"Rechazada")</f>
        <v/>
      </c>
      <c r="F32" s="11">
        <f>COUNTIFS(Matriz!$C$2:$C$2433,B32,Matriz!$V$2:$V$2433,"Requiere aclaración")</f>
        <v/>
      </c>
      <c r="G32" s="11">
        <f>COUNTIFS(Matriz!$C$2:$C$2433,B32,Matriz!$V$2:$V$2433,"Pendiente")</f>
        <v/>
      </c>
      <c r="H32" s="12">
        <f>IF(C32=0,0,(C32-G32)/C32)</f>
        <v/>
      </c>
    </row>
    <row r="33">
      <c r="A33" s="11" t="inlineStr">
        <is>
          <t>Gestión jurídica</t>
        </is>
      </c>
      <c r="B33" s="11" t="inlineStr">
        <is>
          <t>legal_management</t>
        </is>
      </c>
      <c r="C33" s="11">
        <f>COUNTIF(Matriz!$C$2:$C$2433,B33)</f>
        <v/>
      </c>
      <c r="D33" s="11">
        <f>COUNTIFS(Matriz!$C$2:$C$2433,B33,Matriz!$V$2:$V$2433,"Aprobada")+COUNTIFS(Matriz!$C$2:$C$2433,B33,Matriz!$V$2:$V$2433,"Aprobada con ajuste")</f>
        <v/>
      </c>
      <c r="E33" s="11">
        <f>COUNTIFS(Matriz!$C$2:$C$2433,B33,Matriz!$V$2:$V$2433,"Rechazada")</f>
        <v/>
      </c>
      <c r="F33" s="11">
        <f>COUNTIFS(Matriz!$C$2:$C$2433,B33,Matriz!$V$2:$V$2433,"Requiere aclaración")</f>
        <v/>
      </c>
      <c r="G33" s="11">
        <f>COUNTIFS(Matriz!$C$2:$C$2433,B33,Matriz!$V$2:$V$2433,"Pendiente")</f>
        <v/>
      </c>
      <c r="H33" s="12">
        <f>IF(C33=0,0,(C33-G33)/C33)</f>
        <v/>
      </c>
    </row>
    <row r="34">
      <c r="A34" s="11" t="inlineStr">
        <is>
          <t>Control interno</t>
        </is>
      </c>
      <c r="B34" s="11" t="inlineStr">
        <is>
          <t>control_interno</t>
        </is>
      </c>
      <c r="C34" s="11">
        <f>COUNTIF(Matriz!$C$2:$C$2433,B34)</f>
        <v/>
      </c>
      <c r="D34" s="11">
        <f>COUNTIFS(Matriz!$C$2:$C$2433,B34,Matriz!$V$2:$V$2433,"Aprobada")+COUNTIFS(Matriz!$C$2:$C$2433,B34,Matriz!$V$2:$V$2433,"Aprobada con ajuste")</f>
        <v/>
      </c>
      <c r="E34" s="11">
        <f>COUNTIFS(Matriz!$C$2:$C$2433,B34,Matriz!$V$2:$V$2433,"Rechazada")</f>
        <v/>
      </c>
      <c r="F34" s="11">
        <f>COUNTIFS(Matriz!$C$2:$C$2433,B34,Matriz!$V$2:$V$2433,"Requiere aclaración")</f>
        <v/>
      </c>
      <c r="G34" s="11">
        <f>COUNTIFS(Matriz!$C$2:$C$2433,B34,Matriz!$V$2:$V$2433,"Pendiente")</f>
        <v/>
      </c>
      <c r="H34" s="12">
        <f>IF(C34=0,0,(C34-G34)/C34)</f>
        <v/>
      </c>
    </row>
    <row r="35">
      <c r="A35" s="11" t="inlineStr">
        <is>
          <t>Control disciplinario interno</t>
        </is>
      </c>
      <c r="B35" s="11" t="inlineStr">
        <is>
          <t>internal_disciplinary_control</t>
        </is>
      </c>
      <c r="C35" s="11">
        <f>COUNTIF(Matriz!$C$2:$C$2433,B35)</f>
        <v/>
      </c>
      <c r="D35" s="11">
        <f>COUNTIFS(Matriz!$C$2:$C$2433,B35,Matriz!$V$2:$V$2433,"Aprobada")+COUNTIFS(Matriz!$C$2:$C$2433,B35,Matriz!$V$2:$V$2433,"Aprobada con ajuste")</f>
        <v/>
      </c>
      <c r="E35" s="11">
        <f>COUNTIFS(Matriz!$C$2:$C$2433,B35,Matriz!$V$2:$V$2433,"Rechazada")</f>
        <v/>
      </c>
      <c r="F35" s="11">
        <f>COUNTIFS(Matriz!$C$2:$C$2433,B35,Matriz!$V$2:$V$2433,"Requiere aclaración")</f>
        <v/>
      </c>
      <c r="G35" s="11">
        <f>COUNTIFS(Matriz!$C$2:$C$2433,B35,Matriz!$V$2:$V$2433,"Pendiente")</f>
        <v/>
      </c>
      <c r="H35" s="12">
        <f>IF(C35=0,0,(C35-G35)/C35)</f>
        <v/>
      </c>
    </row>
    <row r="36">
      <c r="A36" s="11" t="inlineStr">
        <is>
          <t>Requerimientos</t>
        </is>
      </c>
      <c r="B36" s="11" t="inlineStr">
        <is>
          <t>requerimientos_oc</t>
        </is>
      </c>
      <c r="C36" s="11">
        <f>COUNTIF(Matriz!$C$2:$C$2433,B36)</f>
        <v/>
      </c>
      <c r="D36" s="11">
        <f>COUNTIFS(Matriz!$C$2:$C$2433,B36,Matriz!$V$2:$V$2433,"Aprobada")+COUNTIFS(Matriz!$C$2:$C$2433,B36,Matriz!$V$2:$V$2433,"Aprobada con ajuste")</f>
        <v/>
      </c>
      <c r="E36" s="11">
        <f>COUNTIFS(Matriz!$C$2:$C$2433,B36,Matriz!$V$2:$V$2433,"Rechazada")</f>
        <v/>
      </c>
      <c r="F36" s="11">
        <f>COUNTIFS(Matriz!$C$2:$C$2433,B36,Matriz!$V$2:$V$2433,"Requiere aclaración")</f>
        <v/>
      </c>
      <c r="G36" s="11">
        <f>COUNTIFS(Matriz!$C$2:$C$2433,B36,Matriz!$V$2:$V$2433,"Pendiente")</f>
        <v/>
      </c>
      <c r="H36" s="12">
        <f>IF(C36=0,0,(C36-G36)/C36)</f>
        <v/>
      </c>
    </row>
    <row r="37">
      <c r="A37" s="11" t="inlineStr">
        <is>
          <t>Notificaciones</t>
        </is>
      </c>
      <c r="B37" s="11" t="inlineStr">
        <is>
          <t>notifications</t>
        </is>
      </c>
      <c r="C37" s="11">
        <f>COUNTIF(Matriz!$C$2:$C$2433,B37)</f>
        <v/>
      </c>
      <c r="D37" s="11">
        <f>COUNTIFS(Matriz!$C$2:$C$2433,B37,Matriz!$V$2:$V$2433,"Aprobada")+COUNTIFS(Matriz!$C$2:$C$2433,B37,Matriz!$V$2:$V$2433,"Aprobada con ajuste")</f>
        <v/>
      </c>
      <c r="E37" s="11">
        <f>COUNTIFS(Matriz!$C$2:$C$2433,B37,Matriz!$V$2:$V$2433,"Rechazada")</f>
        <v/>
      </c>
      <c r="F37" s="11">
        <f>COUNTIFS(Matriz!$C$2:$C$2433,B37,Matriz!$V$2:$V$2433,"Requiere aclaración")</f>
        <v/>
      </c>
      <c r="G37" s="11">
        <f>COUNTIFS(Matriz!$C$2:$C$2433,B37,Matriz!$V$2:$V$2433,"Pendiente")</f>
        <v/>
      </c>
      <c r="H37" s="12">
        <f>IF(C37=0,0,(C37-G37)/C37)</f>
        <v/>
      </c>
    </row>
    <row r="38">
      <c r="A38" s="11" t="inlineStr">
        <is>
          <t>Auditoría y trazabilidad</t>
        </is>
      </c>
      <c r="B38" s="11" t="inlineStr">
        <is>
          <t>audit</t>
        </is>
      </c>
      <c r="C38" s="11">
        <f>COUNTIF(Matriz!$C$2:$C$2433,B38)</f>
        <v/>
      </c>
      <c r="D38" s="11">
        <f>COUNTIFS(Matriz!$C$2:$C$2433,B38,Matriz!$V$2:$V$2433,"Aprobada")+COUNTIFS(Matriz!$C$2:$C$2433,B38,Matriz!$V$2:$V$2433,"Aprobada con ajuste")</f>
        <v/>
      </c>
      <c r="E38" s="11">
        <f>COUNTIFS(Matriz!$C$2:$C$2433,B38,Matriz!$V$2:$V$2433,"Rechazada")</f>
        <v/>
      </c>
      <c r="F38" s="11">
        <f>COUNTIFS(Matriz!$C$2:$C$2433,B38,Matriz!$V$2:$V$2433,"Requiere aclaración")</f>
        <v/>
      </c>
      <c r="G38" s="11">
        <f>COUNTIFS(Matriz!$C$2:$C$2433,B38,Matriz!$V$2:$V$2433,"Pendiente")</f>
        <v/>
      </c>
      <c r="H38" s="12">
        <f>IF(C38=0,0,(C38-G38)/C38)</f>
        <v/>
      </c>
    </row>
    <row r="39">
      <c r="A39" s="11" t="inlineStr">
        <is>
          <t>Esquema público</t>
        </is>
      </c>
      <c r="B39" s="11" t="inlineStr">
        <is>
          <t>public</t>
        </is>
      </c>
      <c r="C39" s="11">
        <f>COUNTIF(Matriz!$C$2:$C$2433,B39)</f>
        <v/>
      </c>
      <c r="D39" s="11">
        <f>COUNTIFS(Matriz!$C$2:$C$2433,B39,Matriz!$V$2:$V$2433,"Aprobada")+COUNTIFS(Matriz!$C$2:$C$2433,B39,Matriz!$V$2:$V$2433,"Aprobada con ajuste")</f>
        <v/>
      </c>
      <c r="E39" s="11">
        <f>COUNTIFS(Matriz!$C$2:$C$2433,B39,Matriz!$V$2:$V$2433,"Rechazada")</f>
        <v/>
      </c>
      <c r="F39" s="11">
        <f>COUNTIFS(Matriz!$C$2:$C$2433,B39,Matriz!$V$2:$V$2433,"Requiere aclaración")</f>
        <v/>
      </c>
      <c r="G39" s="11">
        <f>COUNTIFS(Matriz!$C$2:$C$2433,B39,Matriz!$V$2:$V$2433,"Pendiente")</f>
        <v/>
      </c>
      <c r="H39" s="12">
        <f>IF(C39=0,0,(C39-G39)/C39)</f>
        <v/>
      </c>
    </row>
    <row r="40">
      <c r="A40" s="14" t="inlineStr">
        <is>
          <t>Total</t>
        </is>
      </c>
      <c r="B40" s="14" t="inlineStr"/>
      <c r="C40" s="14">
        <f>SUM(C29:C39)</f>
        <v/>
      </c>
      <c r="D40" s="14">
        <f>SUM(D29:D39)</f>
        <v/>
      </c>
      <c r="E40" s="14">
        <f>SUM(E29:E39)</f>
        <v/>
      </c>
      <c r="F40" s="14">
        <f>SUM(F29:F39)</f>
        <v/>
      </c>
      <c r="G40" s="14">
        <f>SUM(G29:G39)</f>
        <v/>
      </c>
      <c r="H40" s="15">
        <f>IF(C40=0,0,(C40-G40)/C40)</f>
        <v/>
      </c>
    </row>
    <row r="42">
      <c r="A42" s="9" t="inlineStr">
        <is>
          <t>Avance por confianza y origen de la propuesta</t>
        </is>
      </c>
    </row>
    <row r="43">
      <c r="A43" s="10" t="inlineStr">
        <is>
          <t>Grupo</t>
        </is>
      </c>
      <c r="B43" s="10" t="inlineStr">
        <is>
          <t>Columnas</t>
        </is>
      </c>
      <c r="C43" s="10" t="inlineStr">
        <is>
          <t>Aprobadas</t>
        </is>
      </c>
      <c r="D43" s="10" t="inlineStr">
        <is>
          <t>Pendientes</t>
        </is>
      </c>
      <c r="E43" s="10" t="inlineStr">
        <is>
          <t>% revisado</t>
        </is>
      </c>
    </row>
    <row r="44">
      <c r="A44" s="11" t="inlineStr">
        <is>
          <t>Confianza Alta</t>
        </is>
      </c>
      <c r="B44" s="11">
        <f>COUNTIF(Matriz!$S$2:$S$2433,"Alta")</f>
        <v/>
      </c>
      <c r="C44" s="11">
        <f>COUNTIFS(Matriz!$S$2:$S$2433,"Alta",Matriz!$V$2:$V$2433,"Aprobada")+COUNTIFS(Matriz!$S$2:$S$2433,"Alta",Matriz!$V$2:$V$2433,"Aprobada con ajuste")</f>
        <v/>
      </c>
      <c r="D44" s="11">
        <f>COUNTIFS(Matriz!$S$2:$S$2433,"Alta",Matriz!$V$2:$V$2433,"Pendiente")</f>
        <v/>
      </c>
      <c r="E44" s="12">
        <f>IF(B44=0,0,(B44-D44)/B44)</f>
        <v/>
      </c>
    </row>
    <row r="45">
      <c r="A45" s="11" t="inlineStr">
        <is>
          <t>Confianza Media</t>
        </is>
      </c>
      <c r="B45" s="11">
        <f>COUNTIF(Matriz!$S$2:$S$2433,"Media")</f>
        <v/>
      </c>
      <c r="C45" s="11">
        <f>COUNTIFS(Matriz!$S$2:$S$2433,"Media",Matriz!$V$2:$V$2433,"Aprobada")+COUNTIFS(Matriz!$S$2:$S$2433,"Media",Matriz!$V$2:$V$2433,"Aprobada con ajuste")</f>
        <v/>
      </c>
      <c r="D45" s="11">
        <f>COUNTIFS(Matriz!$S$2:$S$2433,"Media",Matriz!$V$2:$V$2433,"Pendiente")</f>
        <v/>
      </c>
      <c r="E45" s="12">
        <f>IF(B45=0,0,(B45-D45)/B45)</f>
        <v/>
      </c>
    </row>
    <row r="46">
      <c r="A46" s="11" t="inlineStr">
        <is>
          <t>Confianza Baja</t>
        </is>
      </c>
      <c r="B46" s="11">
        <f>COUNTIF(Matriz!$S$2:$S$2433,"Baja")</f>
        <v/>
      </c>
      <c r="C46" s="11">
        <f>COUNTIFS(Matriz!$S$2:$S$2433,"Baja",Matriz!$V$2:$V$2433,"Aprobada")+COUNTIFS(Matriz!$S$2:$S$2433,"Baja",Matriz!$V$2:$V$2433,"Aprobada con ajuste")</f>
        <v/>
      </c>
      <c r="D46" s="11">
        <f>COUNTIFS(Matriz!$S$2:$S$2433,"Baja",Matriz!$V$2:$V$2433,"Pendiente")</f>
        <v/>
      </c>
      <c r="E46" s="12">
        <f>IF(B46=0,0,(B46-D46)/B46)</f>
        <v/>
      </c>
    </row>
    <row r="47">
      <c r="A47" s="11" t="inlineStr">
        <is>
          <t>Origen: Código fuente</t>
        </is>
      </c>
      <c r="B47" s="11">
        <f>COUNTIF(Matriz!$Q$2:$Q$2433,"Código fuente")</f>
        <v/>
      </c>
      <c r="C47" s="11">
        <f>COUNTIFS(Matriz!$Q$2:$Q$2433,"Código fuente",Matriz!$V$2:$V$2433,"Aprobada")+COUNTIFS(Matriz!$Q$2:$Q$2433,"Código fuente",Matriz!$V$2:$V$2433,"Aprobada con ajuste")</f>
        <v/>
      </c>
      <c r="D47" s="11">
        <f>COUNTIFS(Matriz!$Q$2:$Q$2433,"Código fuente",Matriz!$V$2:$V$2433,"Pendiente")</f>
        <v/>
      </c>
      <c r="E47" s="12">
        <f>IF(B47=0,0,(B47-D47)/B47)</f>
        <v/>
      </c>
    </row>
    <row r="48">
      <c r="A48" s="11" t="inlineStr">
        <is>
          <t>Origen: Regla estructural</t>
        </is>
      </c>
      <c r="B48" s="11">
        <f>COUNTIF(Matriz!$Q$2:$Q$2433,"Regla estructural")</f>
        <v/>
      </c>
      <c r="C48" s="11">
        <f>COUNTIFS(Matriz!$Q$2:$Q$2433,"Regla estructural",Matriz!$V$2:$V$2433,"Aprobada")+COUNTIFS(Matriz!$Q$2:$Q$2433,"Regla estructural",Matriz!$V$2:$V$2433,"Aprobada con ajuste")</f>
        <v/>
      </c>
      <c r="D48" s="11">
        <f>COUNTIFS(Matriz!$Q$2:$Q$2433,"Regla estructural",Matriz!$V$2:$V$2433,"Pendiente")</f>
        <v/>
      </c>
      <c r="E48" s="12">
        <f>IF(B48=0,0,(B48-D48)/B48)</f>
        <v/>
      </c>
    </row>
    <row r="49">
      <c r="A49" s="11" t="inlineStr">
        <is>
          <t>Origen: Propuesta semántica</t>
        </is>
      </c>
      <c r="B49" s="11">
        <f>COUNTIF(Matriz!$Q$2:$Q$2433,"Propuesta semántica")</f>
        <v/>
      </c>
      <c r="C49" s="11">
        <f>COUNTIFS(Matriz!$Q$2:$Q$2433,"Propuesta semántica",Matriz!$V$2:$V$2433,"Aprobada")+COUNTIFS(Matriz!$Q$2:$Q$2433,"Propuesta semántica",Matriz!$V$2:$V$2433,"Aprobada con ajuste")</f>
        <v/>
      </c>
      <c r="D49" s="11">
        <f>COUNTIFS(Matriz!$Q$2:$Q$2433,"Propuesta semántica",Matriz!$V$2:$V$2433,"Pendiente")</f>
        <v/>
      </c>
      <c r="E49" s="12">
        <f>IF(B49=0,0,(B49-D49)/B49)</f>
        <v/>
      </c>
    </row>
    <row r="50">
      <c r="A50" s="11" t="inlineStr">
        <is>
          <t>Con evidencia en código</t>
        </is>
      </c>
      <c r="B50" s="11">
        <f>COUNTIF(Matriz!$P$2:$P$2433,"?*")</f>
        <v/>
      </c>
      <c r="C50" s="11">
        <f>COUNTIFS(Matriz!$P$2:$P$2433,"?*",Matriz!$V$2:$V$2433,"Aprobada")+COUNTIFS(Matriz!$P$2:$P$2433,"?*",Matriz!$V$2:$V$2433,"Aprobada con ajuste")</f>
        <v/>
      </c>
      <c r="D50" s="11">
        <f>COUNTIFS(Matriz!$P$2:$P$2433,"?*",Matriz!$V$2:$V$2433,"Pendiente")</f>
        <v/>
      </c>
      <c r="E50" s="12">
        <f>IF(B50=0,0,(B50-D50)/B50)</f>
        <v/>
      </c>
    </row>
    <row r="51">
      <c r="A51" s="11" t="inlineStr">
        <is>
          <t>Usadas en lógica de la base</t>
        </is>
      </c>
      <c r="B51" s="11">
        <f>COUNTIF(Matriz!$M$2:$M$2433,"Sí")</f>
        <v/>
      </c>
      <c r="C51" s="11">
        <f>COUNTIFS(Matriz!$M$2:$M$2433,"Sí",Matriz!$V$2:$V$2433,"Aprobada")+COUNTIFS(Matriz!$M$2:$M$2433,"Sí",Matriz!$V$2:$V$2433,"Aprobada con ajuste")</f>
        <v/>
      </c>
      <c r="D51" s="11">
        <f>COUNTIFS(Matriz!$M$2:$M$2433,"Sí",Matriz!$V$2:$V$2433,"Pendiente")</f>
        <v/>
      </c>
      <c r="E51" s="12">
        <f>IF(B51=0,0,(B51-D51)/B51)</f>
        <v/>
      </c>
    </row>
    <row r="52">
      <c r="A52" s="11" t="inlineStr">
        <is>
          <t>Relacionadas con catálogo</t>
        </is>
      </c>
      <c r="B52" s="11">
        <f>COUNTIF(Matriz!$L$2:$L$2433,"Sí")</f>
        <v/>
      </c>
      <c r="C52" s="11">
        <f>COUNTIFS(Matriz!$L$2:$L$2433,"Sí",Matriz!$V$2:$V$2433,"Aprobada")+COUNTIFS(Matriz!$L$2:$L$2433,"Sí",Matriz!$V$2:$V$2433,"Aprobada con ajuste")</f>
        <v/>
      </c>
      <c r="D52" s="11">
        <f>COUNTIFS(Matriz!$L$2:$L$2433,"Sí",Matriz!$V$2:$V$2433,"Pendiente")</f>
        <v/>
      </c>
      <c r="E52" s="12">
        <f>IF(B52=0,0,(B52-D52)/B52)</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243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18" customWidth="1" min="3" max="3"/>
    <col width="24" customWidth="1" min="4" max="4"/>
    <col width="9" customWidth="1" min="5" max="5"/>
    <col width="24" customWidth="1" min="6" max="6"/>
    <col width="18" customWidth="1" min="7" max="7"/>
    <col width="8" customWidth="1" min="8" max="8"/>
    <col width="16" customWidth="1" min="9" max="9"/>
    <col width="26" customWidth="1" min="10" max="10"/>
    <col width="26" customWidth="1" min="11" max="11"/>
    <col width="9" customWidth="1" min="12" max="12"/>
    <col width="9" customWidth="1" min="13" max="13"/>
    <col width="40" customWidth="1" min="14" max="14"/>
    <col width="18" customWidth="1" min="15" max="15"/>
    <col width="50" customWidth="1" min="16" max="16"/>
    <col width="13" customWidth="1" min="17" max="17"/>
    <col width="46" customWidth="1" min="18" max="18"/>
    <col width="10" customWidth="1" min="19" max="19"/>
    <col width="34" customWidth="1" min="20" max="20"/>
    <col width="34" customWidth="1" min="21" max="21"/>
    <col width="18" customWidth="1" min="22" max="22"/>
    <col width="40" customWidth="1" min="23" max="23"/>
    <col width="16" customWidth="1" min="24" max="24"/>
    <col width="12" customWidth="1" min="25" max="25"/>
    <col width="30" customWidth="1" min="26" max="26"/>
    <col width="40" customWidth="1" min="27" max="27"/>
  </cols>
  <sheetData>
    <row r="1" ht="34" customHeight="1">
      <c r="A1" s="16" t="inlineStr">
        <is>
          <t>ID</t>
        </is>
      </c>
      <c r="B1" s="16" t="inlineStr">
        <is>
          <t>Dominio</t>
        </is>
      </c>
      <c r="C1" s="16" t="inlineStr">
        <is>
          <t>Esquema</t>
        </is>
      </c>
      <c r="D1" s="16" t="inlineStr">
        <is>
          <t>Tabla</t>
        </is>
      </c>
      <c r="E1" s="16" t="inlineStr">
        <is>
          <t>Filas en QA</t>
        </is>
      </c>
      <c r="F1" s="16" t="inlineStr">
        <is>
          <t>Columna</t>
        </is>
      </c>
      <c r="G1" s="16" t="inlineStr">
        <is>
          <t>Tipo de dato</t>
        </is>
      </c>
      <c r="H1" s="16" t="inlineStr">
        <is>
          <t>Admite nulos</t>
        </is>
      </c>
      <c r="I1" s="16" t="inlineStr">
        <is>
          <t>Restricciones</t>
        </is>
      </c>
      <c r="J1" s="16" t="inlineStr">
        <is>
          <t>Valores permitidos</t>
        </is>
      </c>
      <c r="K1" s="16" t="inlineStr">
        <is>
          <t>Referencia (FK)</t>
        </is>
      </c>
      <c r="L1" s="16" t="inlineStr">
        <is>
          <t>Catálogo</t>
        </is>
      </c>
      <c r="M1" s="16" t="inlineStr">
        <is>
          <t>Uso en lógica</t>
        </is>
      </c>
      <c r="N1" s="16" t="inlineStr">
        <is>
          <t>Detalle del uso</t>
        </is>
      </c>
      <c r="O1" s="16" t="inlineStr">
        <is>
          <t>Índices</t>
        </is>
      </c>
      <c r="P1" s="16" t="inlineStr">
        <is>
          <t>Evidencia en código</t>
        </is>
      </c>
      <c r="Q1" s="16" t="inlineStr">
        <is>
          <t>Origen</t>
        </is>
      </c>
      <c r="R1" s="16" t="inlineStr">
        <is>
          <t>Propuesta de descripción</t>
        </is>
      </c>
      <c r="S1" s="16" t="inlineStr">
        <is>
          <t>Confianza</t>
        </is>
      </c>
      <c r="T1" s="16" t="inlineStr">
        <is>
          <t>Fundamento</t>
        </is>
      </c>
      <c r="U1" s="16" t="inlineStr">
        <is>
          <t>Pregunta para desarrollo</t>
        </is>
      </c>
      <c r="V1" s="17" t="inlineStr">
        <is>
          <t>Decisión</t>
        </is>
      </c>
      <c r="W1" s="17" t="inlineStr">
        <is>
          <t>Descripción final</t>
        </is>
      </c>
      <c r="X1" s="17" t="inlineStr">
        <is>
          <t>Revisado por</t>
        </is>
      </c>
      <c r="Y1" s="17" t="inlineStr">
        <is>
          <t>Fecha de revisión</t>
        </is>
      </c>
      <c r="Z1" s="17" t="inlineStr">
        <is>
          <t>Observaciones</t>
        </is>
      </c>
      <c r="AA1" s="17" t="inlineStr">
        <is>
          <t>Descripción a registrar</t>
        </is>
      </c>
    </row>
    <row r="2">
      <c r="A2" s="18" t="inlineStr">
        <is>
          <t>C0001</t>
        </is>
      </c>
      <c r="B2" s="18" t="inlineStr">
        <is>
          <t>Identidad y acceso</t>
        </is>
      </c>
      <c r="C2" s="18" t="inlineStr">
        <is>
          <t>auth</t>
        </is>
      </c>
      <c r="D2" s="18" t="inlineStr">
        <is>
          <t>acreditaciones_programa</t>
        </is>
      </c>
      <c r="E2" s="18" t="n">
        <v>5</v>
      </c>
      <c r="F2" s="18" t="inlineStr">
        <is>
          <t>tipo</t>
        </is>
      </c>
      <c r="G2" s="18" t="inlineStr">
        <is>
          <t>text</t>
        </is>
      </c>
      <c r="H2" s="18" t="inlineStr">
        <is>
          <t>No</t>
        </is>
      </c>
      <c r="I2" s="18" t="inlineStr"/>
      <c r="J2" s="18" t="inlineStr"/>
      <c r="K2" s="18" t="inlineStr"/>
      <c r="L2" s="18" t="inlineStr">
        <is>
          <t>No</t>
        </is>
      </c>
      <c r="M2" s="18" t="inlineStr">
        <is>
          <t>No</t>
        </is>
      </c>
      <c r="N2" s="18" t="inlineStr"/>
      <c r="O2" s="18" t="inlineStr"/>
      <c r="P2" s="18" t="inlineStr">
        <is>
          <t>db/migrations/old/006_create_programas_academicos.sql:49: Alta Calidad, Internacional, etc.</t>
        </is>
      </c>
      <c r="Q2" s="18" t="inlineStr">
        <is>
          <t>Código fuente</t>
        </is>
      </c>
      <c r="R2" s="18" t="inlineStr">
        <is>
          <t>Tipo de acreditación del programa académico (por ejemplo, Alta Calidad, Internacional).</t>
        </is>
      </c>
      <c r="S2" s="18" t="inlineStr">
        <is>
          <t>Alta</t>
        </is>
      </c>
      <c r="T2" s="18" t="inlineStr">
        <is>
          <t>código: db/migrations/old/006_create_programas_academicos.sql:49</t>
        </is>
      </c>
      <c r="U2" s="18" t="inlineStr"/>
      <c r="V2" s="19" t="inlineStr">
        <is>
          <t>Aprobada</t>
        </is>
      </c>
      <c r="W2" s="19" t="inlineStr"/>
      <c r="X2" s="19" t="inlineStr">
        <is>
          <t>Aldair González (aprobación en bloque)</t>
        </is>
      </c>
      <c r="Y2" s="20" t="n">
        <v>46321</v>
      </c>
      <c r="Z2" s="19" t="inlineStr">
        <is>
          <t>Nivel 1: propuesta del comentario del desarrollador o de confianza alta, o regla de fecha/responsable/motivo.</t>
        </is>
      </c>
      <c r="AA2" s="18">
        <f>IF(OR(V2="Aprobada"),R2,IF(AND(OR(V2="Aprobada con ajuste",V2="Rechazada"),W2&lt;&gt;""),W2,""))</f>
        <v/>
      </c>
    </row>
    <row r="3">
      <c r="A3" s="18" t="inlineStr">
        <is>
          <t>C0002</t>
        </is>
      </c>
      <c r="B3" s="18" t="inlineStr">
        <is>
          <t>Identidad y acceso</t>
        </is>
      </c>
      <c r="C3" s="18" t="inlineStr">
        <is>
          <t>auth</t>
        </is>
      </c>
      <c r="D3" s="18" t="inlineStr">
        <is>
          <t>acreditaciones_programa</t>
        </is>
      </c>
      <c r="E3" s="18" t="n">
        <v>5</v>
      </c>
      <c r="F3" s="18" t="inlineStr">
        <is>
          <t>vigencia</t>
        </is>
      </c>
      <c r="G3" s="18" t="inlineStr">
        <is>
          <t>date</t>
        </is>
      </c>
      <c r="H3" s="18" t="inlineStr">
        <is>
          <t>No</t>
        </is>
      </c>
      <c r="I3" s="18" t="inlineStr"/>
      <c r="J3" s="18" t="inlineStr"/>
      <c r="K3" s="18" t="inlineStr"/>
      <c r="L3" s="18" t="inlineStr">
        <is>
          <t>No</t>
        </is>
      </c>
      <c r="M3" s="18" t="inlineStr">
        <is>
          <t>No</t>
        </is>
      </c>
      <c r="N3" s="18" t="inlineStr"/>
      <c r="O3" s="18" t="inlineStr"/>
      <c r="P3" s="18" t="inlineStr"/>
      <c r="Q3" s="18" t="inlineStr">
        <is>
          <t>Regla estructural (redacción revisada)</t>
        </is>
      </c>
      <c r="R3" s="18" t="inlineStr">
        <is>
          <t>Fecha hasta la que está vigente la acreditación del programa académico.</t>
        </is>
      </c>
      <c r="S3" s="18" t="inlineStr">
        <is>
          <t>Alta</t>
        </is>
      </c>
      <c r="T3" s="18" t="inlineStr">
        <is>
          <t>Convención de nombre, redactada con el contexto de la tabla y el código.</t>
        </is>
      </c>
      <c r="U3" s="18" t="inlineStr"/>
      <c r="V3" s="19" t="inlineStr">
        <is>
          <t>Aprobada</t>
        </is>
      </c>
      <c r="W3" s="19" t="inlineStr"/>
      <c r="X3" s="19" t="inlineStr">
        <is>
          <t>Aldair González (aprobación en bloque)</t>
        </is>
      </c>
      <c r="Y3" s="20" t="n">
        <v>46321</v>
      </c>
      <c r="Z3" s="19" t="inlineStr">
        <is>
          <t>Nivel 2: regla estructural con redacción revisada.</t>
        </is>
      </c>
      <c r="AA3" s="18">
        <f>IF(OR(V3="Aprobada"),R3,IF(AND(OR(V3="Aprobada con ajuste",V3="Rechazada"),W3&lt;&gt;""),W3,""))</f>
        <v/>
      </c>
    </row>
    <row r="4">
      <c r="A4" s="18" t="inlineStr">
        <is>
          <t>C0003</t>
        </is>
      </c>
      <c r="B4" s="18" t="inlineStr">
        <is>
          <t>Identidad y acceso</t>
        </is>
      </c>
      <c r="C4" s="18" t="inlineStr">
        <is>
          <t>auth</t>
        </is>
      </c>
      <c r="D4" s="18" t="inlineStr">
        <is>
          <t>cargos</t>
        </is>
      </c>
      <c r="E4" s="18" t="n">
        <v>17</v>
      </c>
      <c r="F4" s="18" t="inlineStr">
        <is>
          <t>cod_cargo</t>
        </is>
      </c>
      <c r="G4" s="18" t="inlineStr">
        <is>
          <t>character varying(50)</t>
        </is>
      </c>
      <c r="H4" s="18" t="inlineStr">
        <is>
          <t>No</t>
        </is>
      </c>
      <c r="I4" s="18" t="inlineStr">
        <is>
          <t>Única</t>
        </is>
      </c>
      <c r="J4" s="18" t="inlineStr"/>
      <c r="K4" s="18" t="inlineStr"/>
      <c r="L4" s="18" t="inlineStr">
        <is>
          <t>No</t>
        </is>
      </c>
      <c r="M4" s="18" t="inlineStr">
        <is>
          <t>No</t>
        </is>
      </c>
      <c r="N4" s="18" t="inlineStr"/>
      <c r="O4" s="18" t="inlineStr">
        <is>
          <t>cargos_cod_cargo_key, idx_cargos_codigo</t>
        </is>
      </c>
      <c r="P4" s="18" t="inlineStr">
        <is>
          <t>Mapeada en auth-service/src/users/cargo.entity.ts:19 (Cargo.codCargo) | Validación: IsString, MaxLength(50, { message: 'El código de cargo no puede exceder 50 caracteres' })</t>
        </is>
      </c>
      <c r="Q4" s="18" t="inlineStr">
        <is>
          <t>Propuesta semántica</t>
        </is>
      </c>
      <c r="R4" s="18" t="inlineStr">
        <is>
          <t>Código del cargo; es único en la tabla (máximo 50 caracteres).</t>
        </is>
      </c>
      <c r="S4" s="18" t="inlineStr">
        <is>
          <t>Alta</t>
        </is>
      </c>
      <c r="T4" s="18" t="inlineStr">
        <is>
          <t>nombre + tipo + columnas vecinas + restricción única + validaciones</t>
        </is>
      </c>
      <c r="U4" s="18" t="inlineStr"/>
      <c r="V4" s="19" t="inlineStr">
        <is>
          <t>Aprobada</t>
        </is>
      </c>
      <c r="W4" s="19" t="inlineStr"/>
      <c r="X4" s="19" t="inlineStr">
        <is>
          <t>Aldair González (aprobación en bloque)</t>
        </is>
      </c>
      <c r="Y4" s="20" t="n">
        <v>46321</v>
      </c>
      <c r="Z4" s="19" t="inlineStr">
        <is>
          <t>Nivel 1: propuesta del comentario del desarrollador o de confianza alta, o regla de fecha/responsable/motivo.</t>
        </is>
      </c>
      <c r="AA4" s="18">
        <f>IF(OR(V4="Aprobada"),R4,IF(AND(OR(V4="Aprobada con ajuste",V4="Rechazada"),W4&lt;&gt;""),W4,""))</f>
        <v/>
      </c>
    </row>
    <row r="5">
      <c r="A5" s="18" t="inlineStr">
        <is>
          <t>C0004</t>
        </is>
      </c>
      <c r="B5" s="18" t="inlineStr">
        <is>
          <t>Identidad y acceso</t>
        </is>
      </c>
      <c r="C5" s="18" t="inlineStr">
        <is>
          <t>auth</t>
        </is>
      </c>
      <c r="D5" s="18" t="inlineStr">
        <is>
          <t>cargos</t>
        </is>
      </c>
      <c r="E5" s="18" t="n">
        <v>17</v>
      </c>
      <c r="F5" s="18" t="inlineStr">
        <is>
          <t>nom_cargo</t>
        </is>
      </c>
      <c r="G5" s="18" t="inlineStr">
        <is>
          <t>character varying(250)</t>
        </is>
      </c>
      <c r="H5" s="18" t="inlineStr">
        <is>
          <t>No</t>
        </is>
      </c>
      <c r="I5" s="18" t="inlineStr"/>
      <c r="J5" s="18" t="inlineStr"/>
      <c r="K5" s="18" t="inlineStr"/>
      <c r="L5" s="18" t="inlineStr">
        <is>
          <t>No</t>
        </is>
      </c>
      <c r="M5" s="18" t="inlineStr">
        <is>
          <t>No</t>
        </is>
      </c>
      <c r="N5" s="18" t="inlineStr"/>
      <c r="O5" s="18" t="inlineStr">
        <is>
          <t>idx_cargos_nombre</t>
        </is>
      </c>
      <c r="P5" s="18" t="inlineStr">
        <is>
          <t>Mapeada en auth-service/src/users/cargo.entity.ts:22 (Cargo.nomCargo) | Validación: IsString, MaxLength(250, { message: 'El nombre de cargo no puede exceder 250 caracteres' })</t>
        </is>
      </c>
      <c r="Q5" s="18" t="inlineStr">
        <is>
          <t>Propuesta semántica</t>
        </is>
      </c>
      <c r="R5" s="18" t="inlineStr">
        <is>
          <t>Nombre del cargo (máximo 250 caracteres).</t>
        </is>
      </c>
      <c r="S5" s="18" t="inlineStr">
        <is>
          <t>Alta</t>
        </is>
      </c>
      <c r="T5" s="18" t="inlineStr">
        <is>
          <t>nombre + tipo + columnas vecinas + validaciones</t>
        </is>
      </c>
      <c r="U5" s="18" t="inlineStr"/>
      <c r="V5" s="19" t="inlineStr">
        <is>
          <t>Aprobada</t>
        </is>
      </c>
      <c r="W5" s="19" t="inlineStr"/>
      <c r="X5" s="19" t="inlineStr">
        <is>
          <t>Aldair González (aprobación en bloque)</t>
        </is>
      </c>
      <c r="Y5" s="20" t="n">
        <v>46321</v>
      </c>
      <c r="Z5" s="19" t="inlineStr">
        <is>
          <t>Nivel 1: propuesta del comentario del desarrollador o de confianza alta, o regla de fecha/responsable/motivo.</t>
        </is>
      </c>
      <c r="AA5" s="18">
        <f>IF(OR(V5="Aprobada"),R5,IF(AND(OR(V5="Aprobada con ajuste",V5="Rechazada"),W5&lt;&gt;""),W5,""))</f>
        <v/>
      </c>
    </row>
    <row r="6">
      <c r="A6" s="18" t="inlineStr">
        <is>
          <t>C0005</t>
        </is>
      </c>
      <c r="B6" s="18" t="inlineStr">
        <is>
          <t>Identidad y acceso</t>
        </is>
      </c>
      <c r="C6" s="18" t="inlineStr">
        <is>
          <t>auth</t>
        </is>
      </c>
      <c r="D6" s="18" t="inlineStr">
        <is>
          <t>cargos</t>
        </is>
      </c>
      <c r="E6" s="18" t="n">
        <v>17</v>
      </c>
      <c r="F6" s="18" t="inlineStr">
        <is>
          <t>descripcion</t>
        </is>
      </c>
      <c r="G6" s="18" t="inlineStr">
        <is>
          <t>character varying(500)</t>
        </is>
      </c>
      <c r="H6" s="18" t="inlineStr">
        <is>
          <t>Sí</t>
        </is>
      </c>
      <c r="I6" s="18" t="inlineStr"/>
      <c r="J6" s="18" t="inlineStr"/>
      <c r="K6" s="18" t="inlineStr"/>
      <c r="L6" s="18" t="inlineStr">
        <is>
          <t>No</t>
        </is>
      </c>
      <c r="M6" s="18" t="inlineStr">
        <is>
          <t>No</t>
        </is>
      </c>
      <c r="N6" s="18" t="inlineStr"/>
      <c r="O6" s="18" t="inlineStr"/>
      <c r="P6" s="18" t="inlineStr">
        <is>
          <t>Mapeada en auth-service/src/users/cargo.entity.ts:25 (Cargo.descripcion) | Validación: IsOptional, IsString, MaxLength(150), MaxLength(150, { message: 'La descripción no puede superar 150 caracteres' }), MaxLength(500)</t>
        </is>
      </c>
      <c r="Q6" s="18" t="inlineStr">
        <is>
          <t>Regla estructural (redacción revisada)</t>
        </is>
      </c>
      <c r="R6" s="18" t="inlineStr">
        <is>
          <t>Descripción del cargo.</t>
        </is>
      </c>
      <c r="S6" s="18" t="inlineStr">
        <is>
          <t>Alta</t>
        </is>
      </c>
      <c r="T6" s="18" t="inlineStr">
        <is>
          <t>Convención de nombre, redactada con el contexto de la tabla y el código.</t>
        </is>
      </c>
      <c r="U6" s="18" t="inlineStr"/>
      <c r="V6" s="19" t="inlineStr">
        <is>
          <t>Aprobada</t>
        </is>
      </c>
      <c r="W6" s="19" t="inlineStr"/>
      <c r="X6" s="19" t="inlineStr">
        <is>
          <t>Aldair González (aprobación en bloque)</t>
        </is>
      </c>
      <c r="Y6" s="20" t="n">
        <v>46321</v>
      </c>
      <c r="Z6" s="19" t="inlineStr">
        <is>
          <t>Nivel 2: regla estructural con redacción revisada.</t>
        </is>
      </c>
      <c r="AA6" s="18">
        <f>IF(OR(V6="Aprobada"),R6,IF(AND(OR(V6="Aprobada con ajuste",V6="Rechazada"),W6&lt;&gt;""),W6,""))</f>
        <v/>
      </c>
    </row>
    <row r="7">
      <c r="A7" s="18" t="inlineStr">
        <is>
          <t>C0006</t>
        </is>
      </c>
      <c r="B7" s="18" t="inlineStr">
        <is>
          <t>Identidad y acceso</t>
        </is>
      </c>
      <c r="C7" s="18" t="inlineStr">
        <is>
          <t>auth</t>
        </is>
      </c>
      <c r="D7" s="18" t="inlineStr">
        <is>
          <t>cargos</t>
        </is>
      </c>
      <c r="E7" s="18" t="n">
        <v>17</v>
      </c>
      <c r="F7" s="18" t="inlineStr">
        <is>
          <t>nivel_jerarquico</t>
        </is>
      </c>
      <c r="G7" s="18" t="inlineStr">
        <is>
          <t>character varying(50)</t>
        </is>
      </c>
      <c r="H7" s="18" t="inlineStr">
        <is>
          <t>Sí</t>
        </is>
      </c>
      <c r="I7" s="18" t="inlineStr"/>
      <c r="J7" s="18" t="inlineStr"/>
      <c r="K7" s="18" t="inlineStr"/>
      <c r="L7" s="18" t="inlineStr">
        <is>
          <t>No</t>
        </is>
      </c>
      <c r="M7" s="18" t="inlineStr">
        <is>
          <t>No</t>
        </is>
      </c>
      <c r="N7" s="18" t="inlineStr"/>
      <c r="O7" s="18" t="inlineStr"/>
      <c r="P7" s="18" t="inlineStr">
        <is>
          <t>Mapeada en auth-service/src/users/cargo.entity.ts:28 (Cargo.nivelJerarquico) | Validación: IsOptional, IsString, MaxLength(50)</t>
        </is>
      </c>
      <c r="Q7" s="18" t="inlineStr">
        <is>
          <t>Código fuente (verificado)</t>
        </is>
      </c>
      <c r="R7" s="18" t="inlineStr">
        <is>
          <t>Nivel jerárquico del cargo, en texto libre de hasta 50 caracteres. Por defecto, Profesional.</t>
        </is>
      </c>
      <c r="S7" s="18" t="inlineStr">
        <is>
          <t>Media</t>
        </is>
      </c>
      <c r="T7" s="18" t="inlineStr">
        <is>
          <t>backend/auth-service/src/users/cargo.entity.ts:28: varchar(50), default 'Profesional' | backend/auth-service/src/users/estructura-organizacional.dto.ts:285: solo IsString y MaxLength(50) | backend/auth-service/src/users/estructura-organizacional.service.ts:2219: si no llega, se asigna Profesional; no hay lista de valores ni CHECK</t>
        </is>
      </c>
      <c r="U7" s="18" t="inlineStr">
        <is>
          <t>¿Qué valores admite el nivel jerárquico (Directivo, Asesor, Profesional, Técnico, Asistencial)? El código no restringe los valores.</t>
        </is>
      </c>
      <c r="V7" s="19" t="inlineStr">
        <is>
          <t>Aprobada</t>
        </is>
      </c>
      <c r="W7" s="19" t="inlineStr"/>
      <c r="X7" s="19" t="inlineStr">
        <is>
          <t>Aldair González (validación del responsable de BD)</t>
        </is>
      </c>
      <c r="Y7" s="20" t="n">
        <v>46321</v>
      </c>
      <c r="Z7" s="19" t="inlineStr">
        <is>
          <t>Nivel 3: validada por decisión del responsable de la base de datos. Pregunta registrada para desarrollo: ¿Qué valores admite el nivel jerárquico (Directivo, Asesor, Profesional, Técnico, Asistencial)? El código no restringe los valores.</t>
        </is>
      </c>
      <c r="AA7" s="18">
        <f>IF(OR(V7="Aprobada"),R7,IF(AND(OR(V7="Aprobada con ajuste",V7="Rechazada"),W7&lt;&gt;""),W7,""))</f>
        <v/>
      </c>
    </row>
    <row r="8">
      <c r="A8" s="18" t="inlineStr">
        <is>
          <t>C0007</t>
        </is>
      </c>
      <c r="B8" s="18" t="inlineStr">
        <is>
          <t>Identidad y acceso</t>
        </is>
      </c>
      <c r="C8" s="18" t="inlineStr">
        <is>
          <t>auth</t>
        </is>
      </c>
      <c r="D8" s="18" t="inlineStr">
        <is>
          <t>cargos</t>
        </is>
      </c>
      <c r="E8" s="18" t="n">
        <v>17</v>
      </c>
      <c r="F8" s="18" t="inlineStr">
        <is>
          <t>activo</t>
        </is>
      </c>
      <c r="G8" s="18" t="inlineStr">
        <is>
          <t>boolean</t>
        </is>
      </c>
      <c r="H8" s="18" t="inlineStr">
        <is>
          <t>No</t>
        </is>
      </c>
      <c r="I8" s="18" t="inlineStr"/>
      <c r="J8" s="18" t="inlineStr"/>
      <c r="K8" s="18" t="inlineStr"/>
      <c r="L8" s="18" t="inlineStr">
        <is>
          <t>No</t>
        </is>
      </c>
      <c r="M8" s="18" t="inlineStr">
        <is>
          <t>No</t>
        </is>
      </c>
      <c r="N8" s="18" t="inlineStr"/>
      <c r="O8" s="18" t="inlineStr">
        <is>
          <t>idx_cargos_activo</t>
        </is>
      </c>
      <c r="P8" s="18" t="inlineStr">
        <is>
          <t>Mapeada en auth-service/src/users/cargo.entity.ts:36 (Cargo.activo) | Validación: IsBoolean, IsOptional</t>
        </is>
      </c>
      <c r="Q8" s="18" t="inlineStr">
        <is>
          <t>Regla estructural (redacción revisada)</t>
        </is>
      </c>
      <c r="R8" s="18" t="inlineStr">
        <is>
          <t>Indica si el cargo está activo.</t>
        </is>
      </c>
      <c r="S8" s="18" t="inlineStr">
        <is>
          <t>Alta</t>
        </is>
      </c>
      <c r="T8" s="18" t="inlineStr">
        <is>
          <t>Convención de nombre, redactada con el contexto de la tabla y el código.</t>
        </is>
      </c>
      <c r="U8" s="18" t="inlineStr"/>
      <c r="V8" s="19" t="inlineStr">
        <is>
          <t>Aprobada</t>
        </is>
      </c>
      <c r="W8" s="19" t="inlineStr"/>
      <c r="X8" s="19" t="inlineStr">
        <is>
          <t>Aldair González (aprobación en bloque)</t>
        </is>
      </c>
      <c r="Y8" s="20" t="n">
        <v>46321</v>
      </c>
      <c r="Z8" s="19" t="inlineStr">
        <is>
          <t>Nivel 2: regla estructural con redacción revisada.</t>
        </is>
      </c>
      <c r="AA8" s="18">
        <f>IF(OR(V8="Aprobada"),R8,IF(AND(OR(V8="Aprobada con ajuste",V8="Rechazada"),W8&lt;&gt;""),W8,""))</f>
        <v/>
      </c>
    </row>
    <row r="9">
      <c r="A9" s="18" t="inlineStr">
        <is>
          <t>C0008</t>
        </is>
      </c>
      <c r="B9" s="18" t="inlineStr">
        <is>
          <t>Identidad y acceso</t>
        </is>
      </c>
      <c r="C9" s="18" t="inlineStr">
        <is>
          <t>auth</t>
        </is>
      </c>
      <c r="D9" s="18" t="inlineStr">
        <is>
          <t>carpeta_digital</t>
        </is>
      </c>
      <c r="E9" s="18" t="n">
        <v>409</v>
      </c>
      <c r="F9" s="18" t="inlineStr">
        <is>
          <t>nombre_carpeta</t>
        </is>
      </c>
      <c r="G9" s="18" t="inlineStr">
        <is>
          <t>character varying(255)</t>
        </is>
      </c>
      <c r="H9" s="18" t="inlineStr">
        <is>
          <t>Sí</t>
        </is>
      </c>
      <c r="I9" s="18" t="inlineStr"/>
      <c r="J9" s="18" t="inlineStr"/>
      <c r="K9" s="18" t="inlineStr"/>
      <c r="L9" s="18" t="inlineStr">
        <is>
          <t>No</t>
        </is>
      </c>
      <c r="M9" s="18" t="inlineStr">
        <is>
          <t>No</t>
        </is>
      </c>
      <c r="N9" s="18" t="inlineStr"/>
      <c r="O9" s="18" t="inlineStr"/>
      <c r="P9" s="18" t="inlineStr">
        <is>
          <t>Mapeada en auth-service/src/carpeta-digital/carpeta-digital.entity.ts:24 (CarpetaDigital.nombreCarpeta)</t>
        </is>
      </c>
      <c r="Q9" s="18" t="inlineStr">
        <is>
          <t>Propuesta semántica</t>
        </is>
      </c>
      <c r="R9" s="18" t="inlineStr">
        <is>
          <t>Nombre de la carpeta digital de la persona.</t>
        </is>
      </c>
      <c r="S9" s="18" t="inlineStr">
        <is>
          <t>Alta</t>
        </is>
      </c>
      <c r="T9" s="18" t="inlineStr">
        <is>
          <t>nombre + tipo + columnas vecinas</t>
        </is>
      </c>
      <c r="U9" s="18" t="inlineStr"/>
      <c r="V9" s="19" t="inlineStr">
        <is>
          <t>Aprobada</t>
        </is>
      </c>
      <c r="W9" s="19" t="inlineStr"/>
      <c r="X9" s="19" t="inlineStr">
        <is>
          <t>Aldair González (aprobación en bloque)</t>
        </is>
      </c>
      <c r="Y9" s="20" t="n">
        <v>46321</v>
      </c>
      <c r="Z9" s="19" t="inlineStr">
        <is>
          <t>Nivel 1: propuesta del comentario del desarrollador o de confianza alta, o regla de fecha/responsable/motivo.</t>
        </is>
      </c>
      <c r="AA9" s="18">
        <f>IF(OR(V9="Aprobada"),R9,IF(AND(OR(V9="Aprobada con ajuste",V9="Rechazada"),W9&lt;&gt;""),W9,""))</f>
        <v/>
      </c>
    </row>
    <row r="10">
      <c r="A10" s="18" t="inlineStr">
        <is>
          <t>C0009</t>
        </is>
      </c>
      <c r="B10" s="18" t="inlineStr">
        <is>
          <t>Identidad y acceso</t>
        </is>
      </c>
      <c r="C10" s="18" t="inlineStr">
        <is>
          <t>auth</t>
        </is>
      </c>
      <c r="D10" s="18" t="inlineStr">
        <is>
          <t>carpeta_digital</t>
        </is>
      </c>
      <c r="E10" s="18" t="n">
        <v>409</v>
      </c>
      <c r="F10" s="18" t="inlineStr">
        <is>
          <t>estado</t>
        </is>
      </c>
      <c r="G10" s="18" t="inlineStr">
        <is>
          <t>character varying(30)</t>
        </is>
      </c>
      <c r="H10" s="18" t="inlineStr">
        <is>
          <t>No</t>
        </is>
      </c>
      <c r="I10" s="18" t="inlineStr"/>
      <c r="J10" s="18" t="inlineStr"/>
      <c r="K10" s="18" t="inlineStr"/>
      <c r="L10" s="18" t="inlineStr">
        <is>
          <t>No</t>
        </is>
      </c>
      <c r="M10" s="18" t="inlineStr">
        <is>
          <t>No</t>
        </is>
      </c>
      <c r="N10" s="18" t="inlineStr"/>
      <c r="O10" s="18" t="inlineStr">
        <is>
          <t>idx_carpeta_digital_estado</t>
        </is>
      </c>
      <c r="P10" s="18" t="inlineStr">
        <is>
          <t>Mapeada en auth-service/src/carpeta-digital/carpeta-digital.entity.ts:27 (CarpetaDigital.estado) | Validación: IsOptional, IsString</t>
        </is>
      </c>
      <c r="Q10" s="18" t="inlineStr">
        <is>
          <t>Regla estructural (redacción revisada)</t>
        </is>
      </c>
      <c r="R10" s="18" t="inlineStr">
        <is>
          <t>Estado de la carpeta digital de la persona.</t>
        </is>
      </c>
      <c r="S10" s="18" t="inlineStr">
        <is>
          <t>Alta</t>
        </is>
      </c>
      <c r="T10" s="18" t="inlineStr">
        <is>
          <t>Convención de nombre, redactada con el contexto de la tabla y el código.</t>
        </is>
      </c>
      <c r="U10" s="18" t="inlineStr"/>
      <c r="V10" s="19" t="inlineStr">
        <is>
          <t>Aprobada</t>
        </is>
      </c>
      <c r="W10" s="19" t="inlineStr"/>
      <c r="X10" s="19" t="inlineStr">
        <is>
          <t>Aldair González (aprobación en bloque)</t>
        </is>
      </c>
      <c r="Y10" s="20" t="n">
        <v>46321</v>
      </c>
      <c r="Z10" s="19" t="inlineStr">
        <is>
          <t>Nivel 2: regla estructural con redacción revisada.</t>
        </is>
      </c>
      <c r="AA10" s="18">
        <f>IF(OR(V10="Aprobada"),R10,IF(AND(OR(V10="Aprobada con ajuste",V10="Rechazada"),W10&lt;&gt;""),W10,""))</f>
        <v/>
      </c>
    </row>
    <row r="11">
      <c r="A11" s="18" t="inlineStr">
        <is>
          <t>C0010</t>
        </is>
      </c>
      <c r="B11" s="18" t="inlineStr">
        <is>
          <t>Identidad y acceso</t>
        </is>
      </c>
      <c r="C11" s="18" t="inlineStr">
        <is>
          <t>auth</t>
        </is>
      </c>
      <c r="D11" s="18" t="inlineStr">
        <is>
          <t>carpeta_digital</t>
        </is>
      </c>
      <c r="E11" s="18" t="n">
        <v>409</v>
      </c>
      <c r="F11" s="18" t="inlineStr">
        <is>
          <t>metadata</t>
        </is>
      </c>
      <c r="G11" s="18" t="inlineStr">
        <is>
          <t>jsonb</t>
        </is>
      </c>
      <c r="H11" s="18" t="inlineStr">
        <is>
          <t>Sí</t>
        </is>
      </c>
      <c r="I11" s="18" t="inlineStr"/>
      <c r="J11" s="18" t="inlineStr"/>
      <c r="K11" s="18" t="inlineStr"/>
      <c r="L11" s="18" t="inlineStr">
        <is>
          <t>No</t>
        </is>
      </c>
      <c r="M11" s="18" t="inlineStr">
        <is>
          <t>No</t>
        </is>
      </c>
      <c r="N11" s="18" t="inlineStr"/>
      <c r="O11" s="18" t="inlineStr"/>
      <c r="P11" s="18" t="inlineStr">
        <is>
          <t>Mapeada en auth-service/src/carpeta-digital/carpeta-digital.entity.ts:30 (CarpetaDigital.metadata)</t>
        </is>
      </c>
      <c r="Q11" s="18" t="inlineStr">
        <is>
          <t>Regla estructural (redacción revisada)</t>
        </is>
      </c>
      <c r="R11" s="18" t="inlineStr">
        <is>
          <t>Metadatos adicionales de la carpeta digital, en formato JSON.</t>
        </is>
      </c>
      <c r="S11" s="18" t="inlineStr">
        <is>
          <t>Alta</t>
        </is>
      </c>
      <c r="T11" s="18" t="inlineStr">
        <is>
          <t>Convención de nombre, redactada con el contexto de la tabla y el código.</t>
        </is>
      </c>
      <c r="U11" s="18" t="inlineStr"/>
      <c r="V11" s="19" t="inlineStr">
        <is>
          <t>Aprobada</t>
        </is>
      </c>
      <c r="W11" s="19" t="inlineStr"/>
      <c r="X11" s="19" t="inlineStr">
        <is>
          <t>Aldair González (aprobación en bloque)</t>
        </is>
      </c>
      <c r="Y11" s="20" t="n">
        <v>46321</v>
      </c>
      <c r="Z11" s="19" t="inlineStr">
        <is>
          <t>Nivel 2: regla estructural con redacción revisada.</t>
        </is>
      </c>
      <c r="AA11" s="18">
        <f>IF(OR(V11="Aprobada"),R11,IF(AND(OR(V11="Aprobada con ajuste",V11="Rechazada"),W11&lt;&gt;""),W11,""))</f>
        <v/>
      </c>
    </row>
    <row r="12">
      <c r="A12" s="18" t="inlineStr">
        <is>
          <t>C0011</t>
        </is>
      </c>
      <c r="B12" s="18" t="inlineStr">
        <is>
          <t>Identidad y acceso</t>
        </is>
      </c>
      <c r="C12" s="18" t="inlineStr">
        <is>
          <t>auth</t>
        </is>
      </c>
      <c r="D12" s="18" t="inlineStr">
        <is>
          <t>dependencias</t>
        </is>
      </c>
      <c r="E12" s="18" t="n">
        <v>7</v>
      </c>
      <c r="F12" s="18" t="inlineStr">
        <is>
          <t>id_empresa</t>
        </is>
      </c>
      <c r="G12" s="18" t="inlineStr">
        <is>
          <t>numeric(11,0)</t>
        </is>
      </c>
      <c r="H12" s="18" t="inlineStr">
        <is>
          <t>No</t>
        </is>
      </c>
      <c r="I12" s="18" t="inlineStr"/>
      <c r="J12" s="18" t="inlineStr"/>
      <c r="K12" s="18" t="inlineStr"/>
      <c r="L12" s="18" t="inlineStr">
        <is>
          <t>No</t>
        </is>
      </c>
      <c r="M12" s="18" t="inlineStr">
        <is>
          <t>No</t>
        </is>
      </c>
      <c r="N12" s="18" t="inlineStr"/>
      <c r="O12" s="18" t="inlineStr"/>
      <c r="P12" s="18" t="inlineStr">
        <is>
          <t>Mapeada en auth-service/src/users/dependencia.entity.ts:52 (Dependencia.idEmpresa)</t>
        </is>
      </c>
      <c r="Q12" s="18" t="inlineStr">
        <is>
          <t>Código fuente (verificado)</t>
        </is>
      </c>
      <c r="R12" s="18" t="inlineStr">
        <is>
          <t>Identificador de la empresa o entidad a la que pertenece la dependencia. El servicio siempre asigna 1.</t>
        </is>
      </c>
      <c r="S12" s="18" t="inlineStr">
        <is>
          <t>Media</t>
        </is>
      </c>
      <c r="T12" s="18" t="inlineStr">
        <is>
          <t>backend/auth-service/src/users/estructura-organizacional.service.ts:2106: idEmpresa: 1 al crear la dependencia | backend/auth-service/src/users/dependencia.entity.ts:52: default 1 | backend/auth-service/schema.sql:268: ID_EMPRESA NOT NULL sin FK; no existe tabla de empresas en el código</t>
        </is>
      </c>
      <c r="U12" s="18" t="inlineStr">
        <is>
          <t>¿Qué tabla o catálogo identifica id_empresa y qué entidad representa el valor 1?</t>
        </is>
      </c>
      <c r="V12" s="19" t="inlineStr">
        <is>
          <t>Aprobada</t>
        </is>
      </c>
      <c r="W12" s="19" t="inlineStr"/>
      <c r="X12" s="19" t="inlineStr">
        <is>
          <t>Aldair González (validación del responsable de BD)</t>
        </is>
      </c>
      <c r="Y12" s="20" t="n">
        <v>46321</v>
      </c>
      <c r="Z12" s="19" t="inlineStr">
        <is>
          <t>Nivel 3: validada por decisión del responsable de la base de datos. Pregunta registrada para desarrollo: ¿Qué tabla o catálogo identifica id_empresa y qué entidad representa el valor 1?</t>
        </is>
      </c>
      <c r="AA12" s="18">
        <f>IF(OR(V12="Aprobada"),R12,IF(AND(OR(V12="Aprobada con ajuste",V12="Rechazada"),W12&lt;&gt;""),W12,""))</f>
        <v/>
      </c>
    </row>
    <row r="13">
      <c r="A13" s="18" t="inlineStr">
        <is>
          <t>C0012</t>
        </is>
      </c>
      <c r="B13" s="18" t="inlineStr">
        <is>
          <t>Identidad y acceso</t>
        </is>
      </c>
      <c r="C13" s="18" t="inlineStr">
        <is>
          <t>auth</t>
        </is>
      </c>
      <c r="D13" s="18" t="inlineStr">
        <is>
          <t>dependencias</t>
        </is>
      </c>
      <c r="E13" s="18" t="n">
        <v>7</v>
      </c>
      <c r="F13" s="18" t="inlineStr">
        <is>
          <t>cod_dependencia</t>
        </is>
      </c>
      <c r="G13" s="18" t="inlineStr">
        <is>
          <t>character varying(20)</t>
        </is>
      </c>
      <c r="H13" s="18" t="inlineStr">
        <is>
          <t>No</t>
        </is>
      </c>
      <c r="I13" s="18" t="inlineStr">
        <is>
          <t>Única</t>
        </is>
      </c>
      <c r="J13" s="18" t="inlineStr"/>
      <c r="K13" s="18" t="inlineStr"/>
      <c r="L13" s="18" t="inlineStr">
        <is>
          <t>No</t>
        </is>
      </c>
      <c r="M13" s="18" t="inlineStr">
        <is>
          <t>No</t>
        </is>
      </c>
      <c r="N13" s="18" t="inlineStr"/>
      <c r="O13" s="18" t="inlineStr">
        <is>
          <t>dependencias_cod_dependencia_key</t>
        </is>
      </c>
      <c r="P13" s="18" t="inlineStr">
        <is>
          <t>Mapeada en auth-service/src/users/dependencia.entity.ts:55 (Dependencia.codDependencia) | Validación: IsOptional, IsString, MaxLength(20), MaxLength(20, { message: 'El código de dependencia no puede exceder 20 caracteres' })</t>
        </is>
      </c>
      <c r="Q13" s="18" t="inlineStr">
        <is>
          <t>Propuesta semántica</t>
        </is>
      </c>
      <c r="R13" s="18" t="inlineStr">
        <is>
          <t>Código de la dependencia; es único en la tabla (máximo 20 caracteres).</t>
        </is>
      </c>
      <c r="S13" s="18" t="inlineStr">
        <is>
          <t>Alta</t>
        </is>
      </c>
      <c r="T13" s="18" t="inlineStr">
        <is>
          <t>nombre + tipo + columnas vecinas + restricción única + validaciones</t>
        </is>
      </c>
      <c r="U13" s="18" t="inlineStr"/>
      <c r="V13" s="19" t="inlineStr">
        <is>
          <t>Aprobada</t>
        </is>
      </c>
      <c r="W13" s="19" t="inlineStr"/>
      <c r="X13" s="19" t="inlineStr">
        <is>
          <t>Aldair González (aprobación en bloque)</t>
        </is>
      </c>
      <c r="Y13" s="20" t="n">
        <v>46321</v>
      </c>
      <c r="Z13" s="19" t="inlineStr">
        <is>
          <t>Nivel 1: propuesta del comentario del desarrollador o de confianza alta, o regla de fecha/responsable/motivo.</t>
        </is>
      </c>
      <c r="AA13" s="18">
        <f>IF(OR(V13="Aprobada"),R13,IF(AND(OR(V13="Aprobada con ajuste",V13="Rechazada"),W13&lt;&gt;""),W13,""))</f>
        <v/>
      </c>
    </row>
    <row r="14">
      <c r="A14" s="18" t="inlineStr">
        <is>
          <t>C0013</t>
        </is>
      </c>
      <c r="B14" s="18" t="inlineStr">
        <is>
          <t>Identidad y acceso</t>
        </is>
      </c>
      <c r="C14" s="18" t="inlineStr">
        <is>
          <t>auth</t>
        </is>
      </c>
      <c r="D14" s="18" t="inlineStr">
        <is>
          <t>dependencias</t>
        </is>
      </c>
      <c r="E14" s="18" t="n">
        <v>7</v>
      </c>
      <c r="F14" s="18" t="inlineStr">
        <is>
          <t>nom_dependencia</t>
        </is>
      </c>
      <c r="G14" s="18" t="inlineStr">
        <is>
          <t>character varying(250)</t>
        </is>
      </c>
      <c r="H14" s="18" t="inlineStr">
        <is>
          <t>No</t>
        </is>
      </c>
      <c r="I14" s="18" t="inlineStr"/>
      <c r="J14" s="18" t="inlineStr"/>
      <c r="K14" s="18" t="inlineStr"/>
      <c r="L14" s="18" t="inlineStr">
        <is>
          <t>No</t>
        </is>
      </c>
      <c r="M14" s="18" t="inlineStr">
        <is>
          <t>No</t>
        </is>
      </c>
      <c r="N14" s="18" t="inlineStr"/>
      <c r="O14" s="18" t="inlineStr"/>
      <c r="P14" s="18" t="inlineStr">
        <is>
          <t>Mapeada en auth-service/src/users/dependencia.entity.ts:58 (Dependencia.nomDependencia) | Validación: IsOptional, IsString, MaxLength(250), MaxLength(250, { message: 'El nombre de dependencia no puede exceder 250 caracteres' })</t>
        </is>
      </c>
      <c r="Q14" s="18" t="inlineStr">
        <is>
          <t>Propuesta semántica</t>
        </is>
      </c>
      <c r="R14" s="18" t="inlineStr">
        <is>
          <t>Nombre de la dependencia (máximo 250 caracteres).</t>
        </is>
      </c>
      <c r="S14" s="18" t="inlineStr">
        <is>
          <t>Alta</t>
        </is>
      </c>
      <c r="T14" s="18" t="inlineStr">
        <is>
          <t>nombre + tipo + columnas vecinas + validaciones</t>
        </is>
      </c>
      <c r="U14" s="18" t="inlineStr"/>
      <c r="V14" s="19" t="inlineStr">
        <is>
          <t>Aprobada</t>
        </is>
      </c>
      <c r="W14" s="19" t="inlineStr"/>
      <c r="X14" s="19" t="inlineStr">
        <is>
          <t>Aldair González (aprobación en bloque)</t>
        </is>
      </c>
      <c r="Y14" s="20" t="n">
        <v>46321</v>
      </c>
      <c r="Z14" s="19" t="inlineStr">
        <is>
          <t>Nivel 1: propuesta del comentario del desarrollador o de confianza alta, o regla de fecha/responsable/motivo.</t>
        </is>
      </c>
      <c r="AA14" s="18">
        <f>IF(OR(V14="Aprobada"),R14,IF(AND(OR(V14="Aprobada con ajuste",V14="Rechazada"),W14&lt;&gt;""),W14,""))</f>
        <v/>
      </c>
    </row>
    <row r="15">
      <c r="A15" s="18" t="inlineStr">
        <is>
          <t>C0014</t>
        </is>
      </c>
      <c r="B15" s="18" t="inlineStr">
        <is>
          <t>Identidad y acceso</t>
        </is>
      </c>
      <c r="C15" s="18" t="inlineStr">
        <is>
          <t>auth</t>
        </is>
      </c>
      <c r="D15" s="18" t="inlineStr">
        <is>
          <t>dependencias</t>
        </is>
      </c>
      <c r="E15" s="18" t="n">
        <v>7</v>
      </c>
      <c r="F15" s="18" t="inlineStr">
        <is>
          <t>dir_dependencia</t>
        </is>
      </c>
      <c r="G15" s="18" t="inlineStr">
        <is>
          <t>character varying(250)</t>
        </is>
      </c>
      <c r="H15" s="18" t="inlineStr">
        <is>
          <t>Sí</t>
        </is>
      </c>
      <c r="I15" s="18" t="inlineStr"/>
      <c r="J15" s="18" t="inlineStr"/>
      <c r="K15" s="18" t="inlineStr"/>
      <c r="L15" s="18" t="inlineStr">
        <is>
          <t>No</t>
        </is>
      </c>
      <c r="M15" s="18" t="inlineStr">
        <is>
          <t>No</t>
        </is>
      </c>
      <c r="N15" s="18" t="inlineStr"/>
      <c r="O15" s="18" t="inlineStr"/>
      <c r="P15" s="18" t="inlineStr">
        <is>
          <t>Mapeada en auth-service/src/users/dependencia.entity.ts:61 (Dependencia.dirDependencia) | Validación: IsOptional, IsString, MaxLength(250)</t>
        </is>
      </c>
      <c r="Q15" s="18" t="inlineStr">
        <is>
          <t>Código fuente (verificado)</t>
        </is>
      </c>
      <c r="R15" s="18" t="inlineStr">
        <is>
          <t>Dirección de la dependencia, en texto de hasta 250 caracteres.</t>
        </is>
      </c>
      <c r="S15" s="18" t="inlineStr">
        <is>
          <t>Media</t>
        </is>
      </c>
      <c r="T15" s="18" t="inlineStr">
        <is>
          <t>backend/auth-service/src/users/dependencia.entity.ts:61: varchar(250) nullable | backend/auth-service/src/users/estructura-organizacional.dto.ts:150: IsString, MaxLength(250); el código no indica si es dirección postal o física</t>
        </is>
      </c>
      <c r="U15" s="18" t="inlineStr">
        <is>
          <t>¿dir_dependencia es la dirección postal o la ubicación física de la dependencia?</t>
        </is>
      </c>
      <c r="V15" s="19" t="inlineStr">
        <is>
          <t>Aprobada</t>
        </is>
      </c>
      <c r="W15" s="19" t="inlineStr"/>
      <c r="X15" s="19" t="inlineStr">
        <is>
          <t>Aldair González (validación del responsable de BD)</t>
        </is>
      </c>
      <c r="Y15" s="20" t="n">
        <v>46321</v>
      </c>
      <c r="Z15" s="19" t="inlineStr">
        <is>
          <t>Nivel 3: validada por decisión del responsable de la base de datos. Pregunta registrada para desarrollo: ¿dir_dependencia es la dirección postal o la ubicación física de la dependencia?</t>
        </is>
      </c>
      <c r="AA15" s="18">
        <f>IF(OR(V15="Aprobada"),R15,IF(AND(OR(V15="Aprobada con ajuste",V15="Rechazada"),W15&lt;&gt;""),W15,""))</f>
        <v/>
      </c>
    </row>
    <row r="16">
      <c r="A16" s="18" t="inlineStr">
        <is>
          <t>C0015</t>
        </is>
      </c>
      <c r="B16" s="18" t="inlineStr">
        <is>
          <t>Identidad y acceso</t>
        </is>
      </c>
      <c r="C16" s="18" t="inlineStr">
        <is>
          <t>auth</t>
        </is>
      </c>
      <c r="D16" s="18" t="inlineStr">
        <is>
          <t>dependencias</t>
        </is>
      </c>
      <c r="E16" s="18" t="n">
        <v>7</v>
      </c>
      <c r="F16" s="18" t="inlineStr">
        <is>
          <t>dir_email</t>
        </is>
      </c>
      <c r="G16" s="18" t="inlineStr">
        <is>
          <t>character varying(250)</t>
        </is>
      </c>
      <c r="H16" s="18" t="inlineStr">
        <is>
          <t>Sí</t>
        </is>
      </c>
      <c r="I16" s="18" t="inlineStr"/>
      <c r="J16" s="18" t="inlineStr"/>
      <c r="K16" s="18" t="inlineStr"/>
      <c r="L16" s="18" t="inlineStr">
        <is>
          <t>No</t>
        </is>
      </c>
      <c r="M16" s="18" t="inlineStr">
        <is>
          <t>No</t>
        </is>
      </c>
      <c r="N16" s="18" t="inlineStr"/>
      <c r="O16" s="18" t="inlineStr"/>
      <c r="P16" s="18" t="inlineStr">
        <is>
          <t>Mapeada en auth-service/src/users/dependencia.entity.ts:64 (Dependencia.dirEmail) | Validación: IsEmail, IsEmail({}, { message: 'El email institucional no es válido' }), IsOptional, MaxLength(250)</t>
        </is>
      </c>
      <c r="Q16" s="18" t="inlineStr">
        <is>
          <t>Propuesta semántica</t>
        </is>
      </c>
      <c r="R16" s="18" t="inlineStr">
        <is>
          <t>Correo electrónico institucional de la dependencia.</t>
        </is>
      </c>
      <c r="S16" s="18" t="inlineStr">
        <is>
          <t>Alta</t>
        </is>
      </c>
      <c r="T16" s="18" t="inlineStr">
        <is>
          <t>nombre + tipo + columnas vecinas + validación IsEmail</t>
        </is>
      </c>
      <c r="U16" s="18" t="inlineStr"/>
      <c r="V16" s="19" t="inlineStr">
        <is>
          <t>Aprobada</t>
        </is>
      </c>
      <c r="W16" s="19" t="inlineStr"/>
      <c r="X16" s="19" t="inlineStr">
        <is>
          <t>Aldair González (aprobación en bloque)</t>
        </is>
      </c>
      <c r="Y16" s="20" t="n">
        <v>46321</v>
      </c>
      <c r="Z16" s="19" t="inlineStr">
        <is>
          <t>Nivel 1: propuesta del comentario del desarrollador o de confianza alta, o regla de fecha/responsable/motivo.</t>
        </is>
      </c>
      <c r="AA16" s="18">
        <f>IF(OR(V16="Aprobada"),R16,IF(AND(OR(V16="Aprobada con ajuste",V16="Rechazada"),W16&lt;&gt;""),W16,""))</f>
        <v/>
      </c>
    </row>
    <row r="17">
      <c r="A17" s="18" t="inlineStr">
        <is>
          <t>C0016</t>
        </is>
      </c>
      <c r="B17" s="18" t="inlineStr">
        <is>
          <t>Identidad y acceso</t>
        </is>
      </c>
      <c r="C17" s="18" t="inlineStr">
        <is>
          <t>auth</t>
        </is>
      </c>
      <c r="D17" s="18" t="inlineStr">
        <is>
          <t>dependencias</t>
        </is>
      </c>
      <c r="E17" s="18" t="n">
        <v>7</v>
      </c>
      <c r="F17" s="18" t="inlineStr">
        <is>
          <t>url_dependencia</t>
        </is>
      </c>
      <c r="G17" s="18" t="inlineStr">
        <is>
          <t>character varying(250)</t>
        </is>
      </c>
      <c r="H17" s="18" t="inlineStr">
        <is>
          <t>Sí</t>
        </is>
      </c>
      <c r="I17" s="18" t="inlineStr"/>
      <c r="J17" s="18" t="inlineStr"/>
      <c r="K17" s="18" t="inlineStr"/>
      <c r="L17" s="18" t="inlineStr">
        <is>
          <t>No</t>
        </is>
      </c>
      <c r="M17" s="18" t="inlineStr">
        <is>
          <t>No</t>
        </is>
      </c>
      <c r="N17" s="18" t="inlineStr"/>
      <c r="O17" s="18" t="inlineStr"/>
      <c r="P17" s="18" t="inlineStr">
        <is>
          <t>Mapeada en auth-service/src/users/dependencia.entity.ts:67 (Dependencia.urlDependencia) | Validación: IsOptional, IsString, MaxLength(250)</t>
        </is>
      </c>
      <c r="Q17" s="18" t="inlineStr">
        <is>
          <t>Propuesta semántica</t>
        </is>
      </c>
      <c r="R17" s="18" t="inlineStr">
        <is>
          <t>Dirección web (URL) de la dependencia.</t>
        </is>
      </c>
      <c r="S17" s="18" t="inlineStr">
        <is>
          <t>Alta</t>
        </is>
      </c>
      <c r="T17" s="18" t="inlineStr">
        <is>
          <t>nombre + tipo + columnas vecinas</t>
        </is>
      </c>
      <c r="U17" s="18" t="inlineStr"/>
      <c r="V17" s="19" t="inlineStr">
        <is>
          <t>Aprobada</t>
        </is>
      </c>
      <c r="W17" s="19" t="inlineStr"/>
      <c r="X17" s="19" t="inlineStr">
        <is>
          <t>Aldair González (aprobación en bloque)</t>
        </is>
      </c>
      <c r="Y17" s="20" t="n">
        <v>46321</v>
      </c>
      <c r="Z17" s="19" t="inlineStr">
        <is>
          <t>Nivel 1: propuesta del comentario del desarrollador o de confianza alta, o regla de fecha/responsable/motivo.</t>
        </is>
      </c>
      <c r="AA17" s="18">
        <f>IF(OR(V17="Aprobada"),R17,IF(AND(OR(V17="Aprobada con ajuste",V17="Rechazada"),W17&lt;&gt;""),W17,""))</f>
        <v/>
      </c>
    </row>
    <row r="18">
      <c r="A18" s="18" t="inlineStr">
        <is>
          <t>C0017</t>
        </is>
      </c>
      <c r="B18" s="18" t="inlineStr">
        <is>
          <t>Identidad y acceso</t>
        </is>
      </c>
      <c r="C18" s="18" t="inlineStr">
        <is>
          <t>auth</t>
        </is>
      </c>
      <c r="D18" s="18" t="inlineStr">
        <is>
          <t>dependencias</t>
        </is>
      </c>
      <c r="E18" s="18" t="n">
        <v>7</v>
      </c>
      <c r="F18" s="18" t="inlineStr">
        <is>
          <t>id_geopolitica</t>
        </is>
      </c>
      <c r="G18" s="18" t="inlineStr">
        <is>
          <t>numeric(11,0)</t>
        </is>
      </c>
      <c r="H18" s="18" t="inlineStr">
        <is>
          <t>Sí</t>
        </is>
      </c>
      <c r="I18" s="18" t="inlineStr"/>
      <c r="J18" s="18" t="inlineStr"/>
      <c r="K18" s="18" t="inlineStr"/>
      <c r="L18" s="18" t="inlineStr">
        <is>
          <t>No</t>
        </is>
      </c>
      <c r="M18" s="18" t="inlineStr">
        <is>
          <t>No</t>
        </is>
      </c>
      <c r="N18" s="18" t="inlineStr"/>
      <c r="O18" s="18" t="inlineStr"/>
      <c r="P18" s="18" t="inlineStr">
        <is>
          <t>Mapeada en auth-service/src/users/dependencia.entity.ts:70 (Dependencia.idGeopolitica) | Validación: IsNumber, IsOptional</t>
        </is>
      </c>
      <c r="Q18" s="18" t="inlineStr">
        <is>
          <t>Código fuente (verificado)</t>
        </is>
      </c>
      <c r="R18" s="18" t="inlineStr">
        <is>
          <t>Identificador de la división geopolítica donde se ubica la dependencia (auth.geopolitica.id_geopolitica). El servicio verifica que exista al crear o actualizar la dependencia.</t>
        </is>
      </c>
      <c r="S18" s="18" t="inlineStr">
        <is>
          <t>Alta</t>
        </is>
      </c>
      <c r="T18" s="18" t="inlineStr">
        <is>
          <t>backend/auth-service/src/users/estructura-organizacional.service.ts:2076: busca la geopolítica por idGeopolitica y rechaza el valor si no existe | backend/auth-service/src/users/estructura-organizacional.service.ts:2153: misma validación al actualizar | backend/auth-service/schema.sql:496: FK_DEP_GEOPOLITICA hacia GEOPOLITICA(ID_GEOPOLITICA)</t>
        </is>
      </c>
      <c r="U18" s="18" t="inlineStr"/>
      <c r="V18" s="19" t="inlineStr">
        <is>
          <t>Aprobada</t>
        </is>
      </c>
      <c r="W18" s="19" t="inlineStr"/>
      <c r="X18" s="19" t="inlineStr">
        <is>
          <t>Aldair González (aprobación en bloque)</t>
        </is>
      </c>
      <c r="Y18" s="20" t="n">
        <v>46321</v>
      </c>
      <c r="Z18" s="19" t="inlineStr">
        <is>
          <t>Nivel 3: verificada con el código de la aplicación.</t>
        </is>
      </c>
      <c r="AA18" s="18">
        <f>IF(OR(V18="Aprobada"),R18,IF(AND(OR(V18="Aprobada con ajuste",V18="Rechazada"),W18&lt;&gt;""),W18,""))</f>
        <v/>
      </c>
    </row>
    <row r="19">
      <c r="A19" s="18" t="inlineStr">
        <is>
          <t>C0018</t>
        </is>
      </c>
      <c r="B19" s="18" t="inlineStr">
        <is>
          <t>Identidad y acceso</t>
        </is>
      </c>
      <c r="C19" s="18" t="inlineStr">
        <is>
          <t>auth</t>
        </is>
      </c>
      <c r="D19" s="18" t="inlineStr">
        <is>
          <t>dependencias</t>
        </is>
      </c>
      <c r="E19" s="18" t="n">
        <v>7</v>
      </c>
      <c r="F19" s="18" t="inlineStr">
        <is>
          <t>id_sede</t>
        </is>
      </c>
      <c r="G19" s="18" t="inlineStr">
        <is>
          <t>numeric(11,0)</t>
        </is>
      </c>
      <c r="H19" s="18" t="inlineStr">
        <is>
          <t>Sí</t>
        </is>
      </c>
      <c r="I19" s="18" t="inlineStr"/>
      <c r="J19" s="18" t="inlineStr"/>
      <c r="K19" s="18" t="inlineStr"/>
      <c r="L19" s="18" t="inlineStr">
        <is>
          <t>No</t>
        </is>
      </c>
      <c r="M19" s="18" t="inlineStr">
        <is>
          <t>No</t>
        </is>
      </c>
      <c r="N19" s="18" t="inlineStr"/>
      <c r="O19" s="18" t="inlineStr"/>
      <c r="P19" s="18" t="inlineStr">
        <is>
          <t>Mapeada en auth-service/src/users/dependencia.entity.ts:73 (Dependencia.idSede) | Validación: IsNumber, IsOptional</t>
        </is>
      </c>
      <c r="Q19" s="18" t="inlineStr">
        <is>
          <t>Regla estructural (redacción revisada)</t>
        </is>
      </c>
      <c r="R19" s="18" t="inlineStr">
        <is>
          <t>Sede a la que pertenece la dependencia; referencia a sedes (id_sede) sin llave foránea declarada.</t>
        </is>
      </c>
      <c r="S19" s="18" t="inlineStr">
        <is>
          <t>Alta</t>
        </is>
      </c>
      <c r="T19" s="18" t="inlineStr">
        <is>
          <t>Convención de nombre, redactada con el contexto de la tabla y el código.</t>
        </is>
      </c>
      <c r="U19" s="18" t="inlineStr"/>
      <c r="V19" s="19" t="inlineStr">
        <is>
          <t>Aprobada</t>
        </is>
      </c>
      <c r="W19" s="19" t="inlineStr"/>
      <c r="X19" s="19" t="inlineStr">
        <is>
          <t>Aldair González (aprobación en bloque)</t>
        </is>
      </c>
      <c r="Y19" s="20" t="n">
        <v>46321</v>
      </c>
      <c r="Z19" s="19" t="inlineStr">
        <is>
          <t>Nivel 2: regla estructural con redacción revisada.</t>
        </is>
      </c>
      <c r="AA19" s="18">
        <f>IF(OR(V19="Aprobada"),R19,IF(AND(OR(V19="Aprobada con ajuste",V19="Rechazada"),W19&lt;&gt;""),W19,""))</f>
        <v/>
      </c>
    </row>
    <row r="20">
      <c r="A20" s="18" t="inlineStr">
        <is>
          <t>C0019</t>
        </is>
      </c>
      <c r="B20" s="18" t="inlineStr">
        <is>
          <t>Identidad y acceso</t>
        </is>
      </c>
      <c r="C20" s="18" t="inlineStr">
        <is>
          <t>auth</t>
        </is>
      </c>
      <c r="D20" s="18" t="inlineStr">
        <is>
          <t>dependencias</t>
        </is>
      </c>
      <c r="E20" s="18" t="n">
        <v>7</v>
      </c>
      <c r="F20" s="18" t="inlineStr">
        <is>
          <t>id_cargo</t>
        </is>
      </c>
      <c r="G20" s="18" t="inlineStr">
        <is>
          <t>numeric(11,0)</t>
        </is>
      </c>
      <c r="H20" s="18" t="inlineStr">
        <is>
          <t>Sí</t>
        </is>
      </c>
      <c r="I20" s="18" t="inlineStr"/>
      <c r="J20" s="18" t="inlineStr"/>
      <c r="K20" s="18" t="inlineStr"/>
      <c r="L20" s="18" t="inlineStr">
        <is>
          <t>No</t>
        </is>
      </c>
      <c r="M20" s="18" t="inlineStr">
        <is>
          <t>No</t>
        </is>
      </c>
      <c r="N20" s="18" t="inlineStr"/>
      <c r="O20" s="18" t="inlineStr"/>
      <c r="P20" s="18" t="inlineStr">
        <is>
          <t>Mapeada en auth-service/src/users/dependencia.entity.ts:76 (Dependencia.idCargo) | Validación: IsNumber, IsOptional</t>
        </is>
      </c>
      <c r="Q20" s="18" t="inlineStr">
        <is>
          <t>Código fuente (verificado)</t>
        </is>
      </c>
      <c r="R20" s="18" t="inlineStr">
        <is>
          <t>Identificador del cargo asociado a la dependencia (auth.cargos.id_cargo).</t>
        </is>
      </c>
      <c r="S20" s="18" t="inlineStr">
        <is>
          <t>Media</t>
        </is>
      </c>
      <c r="T20" s="18" t="inlineStr">
        <is>
          <t>backend/auth-service/schema.sql:500: FK_DEP_CARGO hacia CARGOS(ID_CARGO) | backend/auth-service/src/users/estructura-organizacional.dto.ts:175: idCargo opcional | backend/auth-service/db/migrations/003_create_cargos_y_dependencias_cargos.sql:31: la relación de cargos de cada dependencia se lleva en auth.dependencias_cargos</t>
        </is>
      </c>
      <c r="U20" s="18" t="inlineStr">
        <is>
          <t>¿id_cargo es el cargo del jefe de la dependencia? Los cargos de la dependencia se registran en auth.dependencias_cargos.</t>
        </is>
      </c>
      <c r="V20" s="19" t="inlineStr">
        <is>
          <t>Aprobada</t>
        </is>
      </c>
      <c r="W20" s="19" t="inlineStr"/>
      <c r="X20" s="19" t="inlineStr">
        <is>
          <t>Aldair González (validación del responsable de BD)</t>
        </is>
      </c>
      <c r="Y20" s="20" t="n">
        <v>46321</v>
      </c>
      <c r="Z20" s="19" t="inlineStr">
        <is>
          <t>Nivel 3: validada por decisión del responsable de la base de datos. Pregunta registrada para desarrollo: ¿id_cargo es el cargo del jefe de la dependencia? Los cargos de la dependencia se registran en auth.dependencias_cargos.</t>
        </is>
      </c>
      <c r="AA20" s="18">
        <f>IF(OR(V20="Aprobada"),R20,IF(AND(OR(V20="Aprobada con ajuste",V20="Rechazada"),W20&lt;&gt;""),W20,""))</f>
        <v/>
      </c>
    </row>
    <row r="21">
      <c r="A21" s="18" t="inlineStr">
        <is>
          <t>C0020</t>
        </is>
      </c>
      <c r="B21" s="18" t="inlineStr">
        <is>
          <t>Identidad y acceso</t>
        </is>
      </c>
      <c r="C21" s="18" t="inlineStr">
        <is>
          <t>auth</t>
        </is>
      </c>
      <c r="D21" s="18" t="inlineStr">
        <is>
          <t>dependencias</t>
        </is>
      </c>
      <c r="E21" s="18" t="n">
        <v>7</v>
      </c>
      <c r="F21" s="18" t="inlineStr">
        <is>
          <t>id_tercero</t>
        </is>
      </c>
      <c r="G21" s="18" t="inlineStr">
        <is>
          <t>numeric(11,0)</t>
        </is>
      </c>
      <c r="H21" s="18" t="inlineStr">
        <is>
          <t>Sí</t>
        </is>
      </c>
      <c r="I21" s="18" t="inlineStr"/>
      <c r="J21" s="18" t="inlineStr"/>
      <c r="K21" s="18" t="inlineStr"/>
      <c r="L21" s="18" t="inlineStr">
        <is>
          <t>No</t>
        </is>
      </c>
      <c r="M21" s="18" t="inlineStr">
        <is>
          <t>No</t>
        </is>
      </c>
      <c r="N21" s="18" t="inlineStr"/>
      <c r="O21" s="18" t="inlineStr"/>
      <c r="P21" s="18" t="inlineStr">
        <is>
          <t>Mapeada en auth-service/src/users/dependencia.entity.ts:79 (Dependencia.idTercero) | Validación: IsNumber, IsOptional</t>
        </is>
      </c>
      <c r="Q21" s="18" t="inlineStr">
        <is>
          <t>Código fuente (verificado)</t>
        </is>
      </c>
      <c r="R21" s="18" t="inlineStr">
        <is>
          <t>Identificador de la persona responsable de la dependencia (auth.personas.id_tercero).</t>
        </is>
      </c>
      <c r="S21" s="18" t="inlineStr">
        <is>
          <t>Alta</t>
        </is>
      </c>
      <c r="T21" s="18" t="inlineStr">
        <is>
          <t>backend/auth-service/schema.sql:498: FK_DEP_RESPONSABLE: ID_TERCERO referencia PERSONAS(ID_TERCERO) | backend/auth-service/schema.sql:273: la tabla de origen también tiene NOM_RESPONSABLE | backend/auth-service/src/users/estructura-organizacional.dto.ts:179: idTercero opcional</t>
        </is>
      </c>
      <c r="U21" s="18" t="inlineStr"/>
      <c r="V21" s="19" t="inlineStr">
        <is>
          <t>Aprobada</t>
        </is>
      </c>
      <c r="W21" s="19" t="inlineStr"/>
      <c r="X21" s="19" t="inlineStr">
        <is>
          <t>Aldair González (aprobación en bloque)</t>
        </is>
      </c>
      <c r="Y21" s="20" t="n">
        <v>46321</v>
      </c>
      <c r="Z21" s="19" t="inlineStr">
        <is>
          <t>Nivel 3: verificada con el código de la aplicación.</t>
        </is>
      </c>
      <c r="AA21" s="18">
        <f>IF(OR(V21="Aprobada"),R21,IF(AND(OR(V21="Aprobada con ajuste",V21="Rechazada"),W21&lt;&gt;""),W21,""))</f>
        <v/>
      </c>
    </row>
    <row r="22">
      <c r="A22" s="18" t="inlineStr">
        <is>
          <t>C0021</t>
        </is>
      </c>
      <c r="B22" s="18" t="inlineStr">
        <is>
          <t>Identidad y acceso</t>
        </is>
      </c>
      <c r="C22" s="18" t="inlineStr">
        <is>
          <t>auth</t>
        </is>
      </c>
      <c r="D22" s="18" t="inlineStr">
        <is>
          <t>dependencias</t>
        </is>
      </c>
      <c r="E22" s="18" t="n">
        <v>7</v>
      </c>
      <c r="F22" s="18" t="inlineStr">
        <is>
          <t>tip_unidad</t>
        </is>
      </c>
      <c r="G22" s="18" t="inlineStr">
        <is>
          <t>numeric(1,0)</t>
        </is>
      </c>
      <c r="H22" s="18" t="inlineStr">
        <is>
          <t>Sí</t>
        </is>
      </c>
      <c r="I22" s="18" t="inlineStr"/>
      <c r="J22" s="18" t="inlineStr"/>
      <c r="K22" s="18" t="inlineStr"/>
      <c r="L22" s="18" t="inlineStr">
        <is>
          <t>No</t>
        </is>
      </c>
      <c r="M22" s="18" t="inlineStr">
        <is>
          <t>No</t>
        </is>
      </c>
      <c r="N22" s="18" t="inlineStr"/>
      <c r="O22" s="18" t="inlineStr"/>
      <c r="P22" s="18" t="inlineStr">
        <is>
          <t>Mapeada en auth-service/src/users/dependencia.entity.ts:82 (Dependencia.tipUnidad) | Validación: IsNumber, IsOptional</t>
        </is>
      </c>
      <c r="Q22" s="18" t="inlineStr">
        <is>
          <t>Código fuente (verificado)</t>
        </is>
      </c>
      <c r="R22" s="18" t="inlineStr">
        <is>
          <t>Código numérico (un dígito) del tipo de unidad organizacional de la dependencia.</t>
        </is>
      </c>
      <c r="S22" s="18" t="inlineStr">
        <is>
          <t>Media</t>
        </is>
      </c>
      <c r="T22" s="18" t="inlineStr">
        <is>
          <t>backend/auth-service/src/users/dependencia.entity.ts:82: smallint nullable | backend/auth-service/src/users/estructura-organizacional.dto.ts:183: IsNumber opcional; el código no declara valores</t>
        </is>
      </c>
      <c r="U22" s="18" t="inlineStr">
        <is>
          <t>¿Qué valores toma tip_unidad y qué significa cada uno?</t>
        </is>
      </c>
      <c r="V22" s="19" t="inlineStr">
        <is>
          <t>Aprobada</t>
        </is>
      </c>
      <c r="W22" s="19" t="inlineStr"/>
      <c r="X22" s="19" t="inlineStr">
        <is>
          <t>Aldair González (validación del responsable de BD)</t>
        </is>
      </c>
      <c r="Y22" s="20" t="n">
        <v>46321</v>
      </c>
      <c r="Z22" s="19" t="inlineStr">
        <is>
          <t>Nivel 3: validada por decisión del responsable de la base de datos. Pregunta registrada para desarrollo: ¿Qué valores toma tip_unidad y qué significa cada uno?</t>
        </is>
      </c>
      <c r="AA22" s="18">
        <f>IF(OR(V22="Aprobada"),R22,IF(AND(OR(V22="Aprobada con ajuste",V22="Rechazada"),W22&lt;&gt;""),W22,""))</f>
        <v/>
      </c>
    </row>
    <row r="23">
      <c r="A23" s="18" t="inlineStr">
        <is>
          <t>C0022</t>
        </is>
      </c>
      <c r="B23" s="18" t="inlineStr">
        <is>
          <t>Identidad y acceso</t>
        </is>
      </c>
      <c r="C23" s="18" t="inlineStr">
        <is>
          <t>auth</t>
        </is>
      </c>
      <c r="D23" s="18" t="inlineStr">
        <is>
          <t>dependencias</t>
        </is>
      </c>
      <c r="E23" s="18" t="n">
        <v>7</v>
      </c>
      <c r="F23" s="18" t="inlineStr">
        <is>
          <t>gen_tip_unidad</t>
        </is>
      </c>
      <c r="G23" s="18" t="inlineStr">
        <is>
          <t>character varying(6)</t>
        </is>
      </c>
      <c r="H23" s="18" t="inlineStr">
        <is>
          <t>Sí</t>
        </is>
      </c>
      <c r="I23" s="18" t="inlineStr"/>
      <c r="J23" s="18" t="inlineStr"/>
      <c r="K23" s="18" t="inlineStr"/>
      <c r="L23" s="18" t="inlineStr">
        <is>
          <t>No</t>
        </is>
      </c>
      <c r="M23" s="18" t="inlineStr">
        <is>
          <t>No</t>
        </is>
      </c>
      <c r="N23" s="18" t="inlineStr"/>
      <c r="O23" s="18" t="inlineStr"/>
      <c r="P23" s="18" t="inlineStr">
        <is>
          <t>Mapeada en auth-service/src/users/dependencia.entity.ts:85 (Dependencia.genTipUnidad) | Validación: IsOptional, IsString, MaxLength(6)</t>
        </is>
      </c>
      <c r="Q23" s="18" t="inlineStr">
        <is>
          <t>Código fuente (verificado)</t>
        </is>
      </c>
      <c r="R23" s="18" t="inlineStr">
        <is>
          <t>Código de la lista genérica que define los tipos de unidad. Por defecto, TIUORG.</t>
        </is>
      </c>
      <c r="S23" s="18" t="inlineStr">
        <is>
          <t>Media</t>
        </is>
      </c>
      <c r="T23" s="18" t="inlineStr">
        <is>
          <t>backend/auth-service/src/users/estructura-organizacional.service.ts:2108: genTipUnidad = dto.genTipUnidad o 'TIUORG' | backend/auth-service/schema.sql:389: tabla GENERICA de origen con TIP_TABLA VARCHAR(6), sin FK desde dependencias</t>
        </is>
      </c>
      <c r="U23" s="18" t="inlineStr">
        <is>
          <t>¿gen_tip_unidad es el TIP_TABLA de la tabla genérica de origen al que pertenece tip_unidad?</t>
        </is>
      </c>
      <c r="V23" s="19" t="inlineStr">
        <is>
          <t>Aprobada</t>
        </is>
      </c>
      <c r="W23" s="19" t="inlineStr"/>
      <c r="X23" s="19" t="inlineStr">
        <is>
          <t>Aldair González (validación del responsable de BD)</t>
        </is>
      </c>
      <c r="Y23" s="20" t="n">
        <v>46321</v>
      </c>
      <c r="Z23" s="19" t="inlineStr">
        <is>
          <t>Nivel 3: validada por decisión del responsable de la base de datos. Pregunta registrada para desarrollo: ¿gen_tip_unidad es el TIP_TABLA de la tabla genérica de origen al que pertenece tip_unidad?</t>
        </is>
      </c>
      <c r="AA23" s="18">
        <f>IF(OR(V23="Aprobada"),R23,IF(AND(OR(V23="Aprobada con ajuste",V23="Rechazada"),W23&lt;&gt;""),W23,""))</f>
        <v/>
      </c>
    </row>
    <row r="24">
      <c r="A24" s="18" t="inlineStr">
        <is>
          <t>C0023</t>
        </is>
      </c>
      <c r="B24" s="18" t="inlineStr">
        <is>
          <t>Identidad y acceso</t>
        </is>
      </c>
      <c r="C24" s="18" t="inlineStr">
        <is>
          <t>auth</t>
        </is>
      </c>
      <c r="D24" s="18" t="inlineStr">
        <is>
          <t>dependencias</t>
        </is>
      </c>
      <c r="E24" s="18" t="n">
        <v>7</v>
      </c>
      <c r="F24" s="18" t="inlineStr">
        <is>
          <t>descripcion</t>
        </is>
      </c>
      <c r="G24" s="18" t="inlineStr">
        <is>
          <t>character varying(500)</t>
        </is>
      </c>
      <c r="H24" s="18" t="inlineStr">
        <is>
          <t>Sí</t>
        </is>
      </c>
      <c r="I24" s="18" t="inlineStr"/>
      <c r="J24" s="18" t="inlineStr"/>
      <c r="K24" s="18" t="inlineStr"/>
      <c r="L24" s="18" t="inlineStr">
        <is>
          <t>No</t>
        </is>
      </c>
      <c r="M24" s="18" t="inlineStr">
        <is>
          <t>No</t>
        </is>
      </c>
      <c r="N24" s="18" t="inlineStr"/>
      <c r="O24" s="18" t="inlineStr"/>
      <c r="P24" s="18" t="inlineStr">
        <is>
          <t>Mapeada en auth-service/src/users/dependencia.entity.ts:88 (Dependencia.descripcion) | Validación: IsOptional, IsString, MaxLength(150), MaxLength(150, { message: 'La descripción no puede superar 150 caracteres' }), MaxLength(500)</t>
        </is>
      </c>
      <c r="Q24" s="18" t="inlineStr">
        <is>
          <t>Regla estructural (redacción revisada)</t>
        </is>
      </c>
      <c r="R24" s="18" t="inlineStr">
        <is>
          <t>Descripción de la dependencia.</t>
        </is>
      </c>
      <c r="S24" s="18" t="inlineStr">
        <is>
          <t>Alta</t>
        </is>
      </c>
      <c r="T24" s="18" t="inlineStr">
        <is>
          <t>Convención de nombre, redactada con el contexto de la tabla y el código.</t>
        </is>
      </c>
      <c r="U24" s="18" t="inlineStr"/>
      <c r="V24" s="19" t="inlineStr">
        <is>
          <t>Aprobada</t>
        </is>
      </c>
      <c r="W24" s="19" t="inlineStr"/>
      <c r="X24" s="19" t="inlineStr">
        <is>
          <t>Aldair González (aprobación en bloque)</t>
        </is>
      </c>
      <c r="Y24" s="20" t="n">
        <v>46321</v>
      </c>
      <c r="Z24" s="19" t="inlineStr">
        <is>
          <t>Nivel 2: regla estructural con redacción revisada.</t>
        </is>
      </c>
      <c r="AA24" s="18">
        <f>IF(OR(V24="Aprobada"),R24,IF(AND(OR(V24="Aprobada con ajuste",V24="Rechazada"),W24&lt;&gt;""),W24,""))</f>
        <v/>
      </c>
    </row>
    <row r="25">
      <c r="A25" s="18" t="inlineStr">
        <is>
          <t>C0024</t>
        </is>
      </c>
      <c r="B25" s="18" t="inlineStr">
        <is>
          <t>Identidad y acceso</t>
        </is>
      </c>
      <c r="C25" s="18" t="inlineStr">
        <is>
          <t>auth</t>
        </is>
      </c>
      <c r="D25" s="18" t="inlineStr">
        <is>
          <t>dependencias</t>
        </is>
      </c>
      <c r="E25" s="18" t="n">
        <v>7</v>
      </c>
      <c r="F25" s="18" t="inlineStr">
        <is>
          <t>activo</t>
        </is>
      </c>
      <c r="G25" s="18" t="inlineStr">
        <is>
          <t>boolean</t>
        </is>
      </c>
      <c r="H25" s="18" t="inlineStr">
        <is>
          <t>No</t>
        </is>
      </c>
      <c r="I25" s="18" t="inlineStr"/>
      <c r="J25" s="18" t="inlineStr"/>
      <c r="K25" s="18" t="inlineStr"/>
      <c r="L25" s="18" t="inlineStr">
        <is>
          <t>No</t>
        </is>
      </c>
      <c r="M25" s="18" t="inlineStr">
        <is>
          <t>No</t>
        </is>
      </c>
      <c r="N25" s="18" t="inlineStr"/>
      <c r="O25" s="18" t="inlineStr">
        <is>
          <t>idx_dependencias_activo</t>
        </is>
      </c>
      <c r="P25" s="18" t="inlineStr">
        <is>
          <t>Mapeada en auth-service/src/users/dependencia.entity.ts:91 (Dependencia.activo) | Validación: IsBoolean, IsOptional</t>
        </is>
      </c>
      <c r="Q25" s="18" t="inlineStr">
        <is>
          <t>Regla estructural (redacción revisada)</t>
        </is>
      </c>
      <c r="R25" s="18" t="inlineStr">
        <is>
          <t>Indica si la dependencia está activa.</t>
        </is>
      </c>
      <c r="S25" s="18" t="inlineStr">
        <is>
          <t>Alta</t>
        </is>
      </c>
      <c r="T25" s="18" t="inlineStr">
        <is>
          <t>Convención de nombre, redactada con el contexto de la tabla y el código.</t>
        </is>
      </c>
      <c r="U25" s="18" t="inlineStr"/>
      <c r="V25" s="19" t="inlineStr">
        <is>
          <t>Aprobada</t>
        </is>
      </c>
      <c r="W25" s="19" t="inlineStr"/>
      <c r="X25" s="19" t="inlineStr">
        <is>
          <t>Aldair González (aprobación en bloque)</t>
        </is>
      </c>
      <c r="Y25" s="20" t="n">
        <v>46321</v>
      </c>
      <c r="Z25" s="19" t="inlineStr">
        <is>
          <t>Nivel 2: regla estructural con redacción revisada.</t>
        </is>
      </c>
      <c r="AA25" s="18">
        <f>IF(OR(V25="Aprobada"),R25,IF(AND(OR(V25="Aprobada con ajuste",V25="Rechazada"),W25&lt;&gt;""),W25,""))</f>
        <v/>
      </c>
    </row>
    <row r="26">
      <c r="A26" s="18" t="inlineStr">
        <is>
          <t>C0025</t>
        </is>
      </c>
      <c r="B26" s="18" t="inlineStr">
        <is>
          <t>Identidad y acceso</t>
        </is>
      </c>
      <c r="C26" s="18" t="inlineStr">
        <is>
          <t>auth</t>
        </is>
      </c>
      <c r="D26" s="18" t="inlineStr">
        <is>
          <t>dependencias_cargos</t>
        </is>
      </c>
      <c r="E26" s="18" t="n">
        <v>30</v>
      </c>
      <c r="F26" s="18" t="inlineStr">
        <is>
          <t>activo</t>
        </is>
      </c>
      <c r="G26" s="18" t="inlineStr">
        <is>
          <t>boolean</t>
        </is>
      </c>
      <c r="H26" s="18" t="inlineStr">
        <is>
          <t>No</t>
        </is>
      </c>
      <c r="I26" s="18" t="inlineStr"/>
      <c r="J26" s="18" t="inlineStr"/>
      <c r="K26" s="18" t="inlineStr"/>
      <c r="L26" s="18" t="inlineStr">
        <is>
          <t>No</t>
        </is>
      </c>
      <c r="M26" s="18" t="inlineStr">
        <is>
          <t>No</t>
        </is>
      </c>
      <c r="N26" s="18" t="inlineStr"/>
      <c r="O26" s="18" t="inlineStr">
        <is>
          <t>idx_dep_cargos_activo</t>
        </is>
      </c>
      <c r="P26" s="18" t="inlineStr">
        <is>
          <t>Mapeada en auth-service/src/users/dependencia-cargo.entity.ts:29 (DependenciaCargo.activo) | Validación: IsBoolean, IsOptional</t>
        </is>
      </c>
      <c r="Q26" s="18" t="inlineStr">
        <is>
          <t>Regla estructural (redacción revisada)</t>
        </is>
      </c>
      <c r="R26" s="18" t="inlineStr">
        <is>
          <t>Indica si la asignación del cargo a la dependencia está activa.</t>
        </is>
      </c>
      <c r="S26" s="18" t="inlineStr">
        <is>
          <t>Alta</t>
        </is>
      </c>
      <c r="T26" s="18" t="inlineStr">
        <is>
          <t>Convención de nombre, redactada con el contexto de la tabla y el código.</t>
        </is>
      </c>
      <c r="U26" s="18" t="inlineStr"/>
      <c r="V26" s="19" t="inlineStr">
        <is>
          <t>Aprobada</t>
        </is>
      </c>
      <c r="W26" s="19" t="inlineStr"/>
      <c r="X26" s="19" t="inlineStr">
        <is>
          <t>Aldair González (aprobación en bloque)</t>
        </is>
      </c>
      <c r="Y26" s="20" t="n">
        <v>46321</v>
      </c>
      <c r="Z26" s="19" t="inlineStr">
        <is>
          <t>Nivel 2: regla estructural con redacción revisada.</t>
        </is>
      </c>
      <c r="AA26" s="18">
        <f>IF(OR(V26="Aprobada"),R26,IF(AND(OR(V26="Aprobada con ajuste",V26="Rechazada"),W26&lt;&gt;""),W26,""))</f>
        <v/>
      </c>
    </row>
    <row r="27">
      <c r="A27" s="18" t="inlineStr">
        <is>
          <t>C0026</t>
        </is>
      </c>
      <c r="B27" s="18" t="inlineStr">
        <is>
          <t>Identidad y acceso</t>
        </is>
      </c>
      <c r="C27" s="18" t="inlineStr">
        <is>
          <t>auth</t>
        </is>
      </c>
      <c r="D27" s="18" t="inlineStr">
        <is>
          <t>documento_carpeta_digital</t>
        </is>
      </c>
      <c r="E27" s="18" t="n">
        <v>0</v>
      </c>
      <c r="F27" s="18" t="inlineStr">
        <is>
          <t>nombre</t>
        </is>
      </c>
      <c r="G27" s="18" t="inlineStr">
        <is>
          <t>character varying(255)</t>
        </is>
      </c>
      <c r="H27" s="18" t="inlineStr">
        <is>
          <t>No</t>
        </is>
      </c>
      <c r="I27" s="18" t="inlineStr"/>
      <c r="J27" s="18" t="inlineStr"/>
      <c r="K27" s="18" t="inlineStr"/>
      <c r="L27" s="18" t="inlineStr">
        <is>
          <t>No</t>
        </is>
      </c>
      <c r="M27" s="18" t="inlineStr">
        <is>
          <t>No</t>
        </is>
      </c>
      <c r="N27" s="18" t="inlineStr"/>
      <c r="O27" s="18" t="inlineStr"/>
      <c r="P27" s="18" t="inlineStr">
        <is>
          <t>db/migrations/339_create_documento_carpeta_digital.sql:29: Metadatos del archivo | Validación: IsOptional, IsString</t>
        </is>
      </c>
      <c r="Q27" s="18" t="inlineStr">
        <is>
          <t>Código fuente (verificado)</t>
        </is>
      </c>
      <c r="R27" s="18" t="inlineStr">
        <is>
          <t>Nombre original del archivo subido a la Carpeta Digital. Para los soportes del RUND se usa el nombre del archivo del soporte.</t>
        </is>
      </c>
      <c r="S27" s="18" t="inlineStr">
        <is>
          <t>Alta</t>
        </is>
      </c>
      <c r="T27" s="18" t="inlineStr">
        <is>
          <t>backend/auth-service/src/carpeta-digital/carpeta-digital.controller.ts:111: nombre = file.originalname | backend/auth-service/src/carpeta-digital/carpeta-digital.service.ts:158: soportes RUND: nombre_archivo del soporte | db/migrations/339_create_documento_carpeta_digital.sql:29: nombre VARCHAR(255) NOT NULL</t>
        </is>
      </c>
      <c r="U27" s="18" t="inlineStr"/>
      <c r="V27" s="19" t="inlineStr">
        <is>
          <t>Aprobada</t>
        </is>
      </c>
      <c r="W27" s="19" t="inlineStr"/>
      <c r="X27" s="19" t="inlineStr">
        <is>
          <t>Aldair González (aprobación en bloque)</t>
        </is>
      </c>
      <c r="Y27" s="20" t="n">
        <v>46321</v>
      </c>
      <c r="Z27" s="19" t="inlineStr">
        <is>
          <t>Nivel 3: verificada con el código de la aplicación.</t>
        </is>
      </c>
      <c r="AA27" s="18">
        <f>IF(OR(V27="Aprobada"),R27,IF(AND(OR(V27="Aprobada con ajuste",V27="Rechazada"),W27&lt;&gt;""),W27,""))</f>
        <v/>
      </c>
    </row>
    <row r="28">
      <c r="A28" s="18" t="inlineStr">
        <is>
          <t>C0027</t>
        </is>
      </c>
      <c r="B28" s="18" t="inlineStr">
        <is>
          <t>Identidad y acceso</t>
        </is>
      </c>
      <c r="C28" s="18" t="inlineStr">
        <is>
          <t>auth</t>
        </is>
      </c>
      <c r="D28" s="18" t="inlineStr">
        <is>
          <t>documento_carpeta_digital</t>
        </is>
      </c>
      <c r="E28" s="18" t="n">
        <v>0</v>
      </c>
      <c r="F28" s="18" t="inlineStr">
        <is>
          <t>categoria</t>
        </is>
      </c>
      <c r="G28" s="18" t="inlineStr">
        <is>
          <t>character varying(80)</t>
        </is>
      </c>
      <c r="H28" s="18" t="inlineStr">
        <is>
          <t>No</t>
        </is>
      </c>
      <c r="I28" s="18" t="inlineStr"/>
      <c r="J28" s="18" t="inlineStr"/>
      <c r="K28" s="18" t="inlineStr"/>
      <c r="L28" s="18" t="inlineStr">
        <is>
          <t>No</t>
        </is>
      </c>
      <c r="M28" s="18" t="inlineStr">
        <is>
          <t>No</t>
        </is>
      </c>
      <c r="N28" s="18" t="inlineStr"/>
      <c r="O28" s="18" t="inlineStr"/>
      <c r="P28" s="18" t="inlineStr">
        <is>
          <t>Mapeada en auth-service/src/carpeta-digital/documento-carpeta-digital.entity.ts:43 (DocumentoCarpetaDigital.categoria)</t>
        </is>
      </c>
      <c r="Q28" s="18" t="inlineStr">
        <is>
          <t>Código fuente (verificado)</t>
        </is>
      </c>
      <c r="R28" s="18" t="inlineStr">
        <is>
          <t>Categoría del documento en la Carpeta Digital, en texto. Por defecto, otros; los soportes del RUND usan rund.</t>
        </is>
      </c>
      <c r="S28" s="18" t="inlineStr">
        <is>
          <t>Media</t>
        </is>
      </c>
      <c r="T28" s="18" t="inlineStr">
        <is>
          <t>backend/auth-service/src/carpeta-digital/carpeta-digital.controller.ts:115: categoria = body.categoria o 'otros' | backend/auth-service/src/carpeta-digital/carpeta-digital.service.ts:159: 'rund' para soportes RUND | backend/academic-work-plan-service/src/pta/pta.service.ts:11698: el PTA reconoce personal, contacto, academico, formacion, laboral, vinculacion, certificados, escalafon, administrativo, situacion, otros y evaluacion; no hay CHECK ni catálogo</t>
        </is>
      </c>
      <c r="U28" s="18" t="inlineStr">
        <is>
          <t>¿Cuál es la lista cerrada de categorías y en qué catálogo se mantiene? El servicio acepta el texto que envía el cliente.</t>
        </is>
      </c>
      <c r="V28" s="19" t="inlineStr">
        <is>
          <t>Aprobada</t>
        </is>
      </c>
      <c r="W28" s="19" t="inlineStr"/>
      <c r="X28" s="19" t="inlineStr">
        <is>
          <t>Aldair González (validación del responsable de BD)</t>
        </is>
      </c>
      <c r="Y28" s="20" t="n">
        <v>46321</v>
      </c>
      <c r="Z28" s="19" t="inlineStr">
        <is>
          <t>Nivel 3: validada por decisión del responsable de la base de datos. Pregunta registrada para desarrollo: ¿Cuál es la lista cerrada de categorías y en qué catálogo se mantiene? El servicio acepta el texto que envía el cliente.</t>
        </is>
      </c>
      <c r="AA28" s="18">
        <f>IF(OR(V28="Aprobada"),R28,IF(AND(OR(V28="Aprobada con ajuste",V28="Rechazada"),W28&lt;&gt;""),W28,""))</f>
        <v/>
      </c>
    </row>
    <row r="29">
      <c r="A29" s="18" t="inlineStr">
        <is>
          <t>C0028</t>
        </is>
      </c>
      <c r="B29" s="18" t="inlineStr">
        <is>
          <t>Identidad y acceso</t>
        </is>
      </c>
      <c r="C29" s="18" t="inlineStr">
        <is>
          <t>auth</t>
        </is>
      </c>
      <c r="D29" s="18" t="inlineStr">
        <is>
          <t>documento_carpeta_digital</t>
        </is>
      </c>
      <c r="E29" s="18" t="n">
        <v>0</v>
      </c>
      <c r="F29" s="18" t="inlineStr">
        <is>
          <t>tipo_archivo</t>
        </is>
      </c>
      <c r="G29" s="18" t="inlineStr">
        <is>
          <t>character varying(40)</t>
        </is>
      </c>
      <c r="H29" s="18" t="inlineStr">
        <is>
          <t>Sí</t>
        </is>
      </c>
      <c r="I29" s="18" t="inlineStr"/>
      <c r="J29" s="18" t="inlineStr"/>
      <c r="K29" s="18" t="inlineStr"/>
      <c r="L29" s="18" t="inlineStr">
        <is>
          <t>No</t>
        </is>
      </c>
      <c r="M29" s="18" t="inlineStr">
        <is>
          <t>No</t>
        </is>
      </c>
      <c r="N29" s="18" t="inlineStr"/>
      <c r="O29" s="18" t="inlineStr"/>
      <c r="P29" s="18" t="inlineStr">
        <is>
          <t>Mapeada en auth-service/src/carpeta-digital/documento-carpeta-digital.entity.ts:46 (DocumentoCarpetaDigital.tipoArchivo)</t>
        </is>
      </c>
      <c r="Q29" s="18" t="inlineStr">
        <is>
          <t>Código fuente (verificado)</t>
        </is>
      </c>
      <c r="R29" s="18" t="inlineStr">
        <is>
          <t>Extensión del archivo subido, en minúsculas y sin punto (por ejemplo, pdf). Si no se puede obtener, pdf.</t>
        </is>
      </c>
      <c r="S29" s="18" t="inlineStr">
        <is>
          <t>Alta</t>
        </is>
      </c>
      <c r="T29" s="18" t="inlineStr">
        <is>
          <t>backend/auth-service/src/carpeta-digital/carpeta-digital.controller.ts:116: extname(file.originalname) sin punto y en minúsculas | backend/auth-service/src/carpeta-digital/carpeta-digital.service.ts:299: guessTipoArchivo toma la extensión del nombre o devuelve 'pdf'</t>
        </is>
      </c>
      <c r="U29" s="18" t="inlineStr"/>
      <c r="V29" s="19" t="inlineStr">
        <is>
          <t>Aprobada</t>
        </is>
      </c>
      <c r="W29" s="19" t="inlineStr"/>
      <c r="X29" s="19" t="inlineStr">
        <is>
          <t>Aldair González (aprobación en bloque)</t>
        </is>
      </c>
      <c r="Y29" s="20" t="n">
        <v>46321</v>
      </c>
      <c r="Z29" s="19" t="inlineStr">
        <is>
          <t>Nivel 3: verificada con el código de la aplicación.</t>
        </is>
      </c>
      <c r="AA29" s="18">
        <f>IF(OR(V29="Aprobada"),R29,IF(AND(OR(V29="Aprobada con ajuste",V29="Rechazada"),W29&lt;&gt;""),W29,""))</f>
        <v/>
      </c>
    </row>
    <row r="30">
      <c r="A30" s="18" t="inlineStr">
        <is>
          <t>C0029</t>
        </is>
      </c>
      <c r="B30" s="18" t="inlineStr">
        <is>
          <t>Identidad y acceso</t>
        </is>
      </c>
      <c r="C30" s="18" t="inlineStr">
        <is>
          <t>auth</t>
        </is>
      </c>
      <c r="D30" s="18" t="inlineStr">
        <is>
          <t>documento_carpeta_digital</t>
        </is>
      </c>
      <c r="E30" s="18" t="n">
        <v>0</v>
      </c>
      <c r="F30" s="18" t="inlineStr">
        <is>
          <t>tamano_bytes</t>
        </is>
      </c>
      <c r="G30" s="18" t="inlineStr">
        <is>
          <t>bigint</t>
        </is>
      </c>
      <c r="H30" s="18" t="inlineStr">
        <is>
          <t>Sí</t>
        </is>
      </c>
      <c r="I30" s="18" t="inlineStr"/>
      <c r="J30" s="18" t="inlineStr"/>
      <c r="K30" s="18" t="inlineStr"/>
      <c r="L30" s="18" t="inlineStr">
        <is>
          <t>No</t>
        </is>
      </c>
      <c r="M30" s="18" t="inlineStr">
        <is>
          <t>No</t>
        </is>
      </c>
      <c r="N30" s="18" t="inlineStr"/>
      <c r="O30" s="18" t="inlineStr"/>
      <c r="P30" s="18" t="inlineStr">
        <is>
          <t>Mapeada en auth-service/src/carpeta-digital/documento-carpeta-digital.entity.ts:49 (DocumentoCarpetaDigital.tamanoBytes)</t>
        </is>
      </c>
      <c r="Q30" s="18" t="inlineStr">
        <is>
          <t>Regla estructural (redacción revisada)</t>
        </is>
      </c>
      <c r="R30" s="18" t="inlineStr">
        <is>
          <t>Tamaño en bytes del archivo cargado en la carpeta digital.</t>
        </is>
      </c>
      <c r="S30" s="18" t="inlineStr">
        <is>
          <t>Alta</t>
        </is>
      </c>
      <c r="T30" s="18" t="inlineStr">
        <is>
          <t>Convención de nombre, redactada con el contexto de la tabla y el código.</t>
        </is>
      </c>
      <c r="U30" s="18" t="inlineStr"/>
      <c r="V30" s="19" t="inlineStr">
        <is>
          <t>Aprobada</t>
        </is>
      </c>
      <c r="W30" s="19" t="inlineStr"/>
      <c r="X30" s="19" t="inlineStr">
        <is>
          <t>Aldair González (aprobación en bloque)</t>
        </is>
      </c>
      <c r="Y30" s="20" t="n">
        <v>46321</v>
      </c>
      <c r="Z30" s="19" t="inlineStr">
        <is>
          <t>Nivel 2: regla estructural con redacción revisada.</t>
        </is>
      </c>
      <c r="AA30" s="18">
        <f>IF(OR(V30="Aprobada"),R30,IF(AND(OR(V30="Aprobada con ajuste",V30="Rechazada"),W30&lt;&gt;""),W30,""))</f>
        <v/>
      </c>
    </row>
    <row r="31">
      <c r="A31" s="18" t="inlineStr">
        <is>
          <t>C0030</t>
        </is>
      </c>
      <c r="B31" s="18" t="inlineStr">
        <is>
          <t>Identidad y acceso</t>
        </is>
      </c>
      <c r="C31" s="18" t="inlineStr">
        <is>
          <t>auth</t>
        </is>
      </c>
      <c r="D31" s="18" t="inlineStr">
        <is>
          <t>documento_carpeta_digital</t>
        </is>
      </c>
      <c r="E31" s="18" t="n">
        <v>0</v>
      </c>
      <c r="F31" s="18" t="inlineStr">
        <is>
          <t>estado</t>
        </is>
      </c>
      <c r="G31" s="18" t="inlineStr">
        <is>
          <t>character varying(30)</t>
        </is>
      </c>
      <c r="H31" s="18" t="inlineStr">
        <is>
          <t>No</t>
        </is>
      </c>
      <c r="I31" s="18" t="inlineStr">
        <is>
          <t>CHECK</t>
        </is>
      </c>
      <c r="J31" s="18" t="inlineStr">
        <is>
          <t>pendiente, rechazado, validado, vencido</t>
        </is>
      </c>
      <c r="K31" s="18" t="inlineStr"/>
      <c r="L31" s="18" t="inlineStr">
        <is>
          <t>Sí</t>
        </is>
      </c>
      <c r="M31" s="18" t="inlineStr">
        <is>
          <t>No</t>
        </is>
      </c>
      <c r="N31" s="18" t="inlineStr"/>
      <c r="O31" s="18" t="inlineStr">
        <is>
          <t>idx_documento_cd_estado</t>
        </is>
      </c>
      <c r="P31" s="18" t="inlineStr">
        <is>
          <t>db/migrations/339_create_documento_carpeta_digital.sql:36: Estado de validación | Validación: IsOptional, IsString</t>
        </is>
      </c>
      <c r="Q31" s="18" t="inlineStr">
        <is>
          <t>Código fuente</t>
        </is>
      </c>
      <c r="R31" s="18" t="inlineStr">
        <is>
          <t>Estado de validación del documento. Valores permitidos: pendiente, validado, rechazado, vencido; por defecto pendiente.</t>
        </is>
      </c>
      <c r="S31" s="18" t="inlineStr">
        <is>
          <t>Alta</t>
        </is>
      </c>
      <c r="T31" s="18" t="inlineStr">
        <is>
          <t>código: db/migrations/339_create_documento_carpeta_digital.sql:36</t>
        </is>
      </c>
      <c r="U31" s="18" t="inlineStr"/>
      <c r="V31" s="19" t="inlineStr">
        <is>
          <t>Aprobada</t>
        </is>
      </c>
      <c r="W31" s="19" t="inlineStr"/>
      <c r="X31" s="19" t="inlineStr">
        <is>
          <t>Aldair González (aprobación en bloque)</t>
        </is>
      </c>
      <c r="Y31" s="20" t="n">
        <v>46321</v>
      </c>
      <c r="Z31" s="19" t="inlineStr">
        <is>
          <t>Nivel 1: propuesta del comentario del desarrollador o de confianza alta, o regla de fecha/responsable/motivo.</t>
        </is>
      </c>
      <c r="AA31" s="18">
        <f>IF(OR(V31="Aprobada"),R31,IF(AND(OR(V31="Aprobada con ajuste",V31="Rechazada"),W31&lt;&gt;""),W31,""))</f>
        <v/>
      </c>
    </row>
    <row r="32">
      <c r="A32" s="18" t="inlineStr">
        <is>
          <t>C0031</t>
        </is>
      </c>
      <c r="B32" s="18" t="inlineStr">
        <is>
          <t>Identidad y acceso</t>
        </is>
      </c>
      <c r="C32" s="18" t="inlineStr">
        <is>
          <t>auth</t>
        </is>
      </c>
      <c r="D32" s="18" t="inlineStr">
        <is>
          <t>documento_carpeta_digital</t>
        </is>
      </c>
      <c r="E32" s="18" t="n">
        <v>0</v>
      </c>
      <c r="F32" s="18" t="inlineStr">
        <is>
          <t>comentarios</t>
        </is>
      </c>
      <c r="G32" s="18" t="inlineStr">
        <is>
          <t>text</t>
        </is>
      </c>
      <c r="H32" s="18" t="inlineStr">
        <is>
          <t>Sí</t>
        </is>
      </c>
      <c r="I32" s="18" t="inlineStr"/>
      <c r="J32" s="18" t="inlineStr"/>
      <c r="K32" s="18" t="inlineStr"/>
      <c r="L32" s="18" t="inlineStr">
        <is>
          <t>No</t>
        </is>
      </c>
      <c r="M32" s="18" t="inlineStr">
        <is>
          <t>No</t>
        </is>
      </c>
      <c r="N32" s="18" t="inlineStr"/>
      <c r="O32" s="18" t="inlineStr"/>
      <c r="P32" s="18" t="inlineStr">
        <is>
          <t>Mapeada en auth-service/src/carpeta-digital/documento-carpeta-digital.entity.ts:58 (DocumentoCarpetaDigital.comentarios)</t>
        </is>
      </c>
      <c r="Q32" s="18" t="inlineStr">
        <is>
          <t>Código fuente (verificado)</t>
        </is>
      </c>
      <c r="R32" s="18" t="inlineStr">
        <is>
          <t>Comentarios sobre el documento: al subirlo, la descripción que escribe quien lo carga; al validarlo o rechazarlo, el comentario de quien valida, que reemplaza al anterior. En los soportes del RUND, la observación del soporte.</t>
        </is>
      </c>
      <c r="S32" s="18" t="inlineStr">
        <is>
          <t>Alta</t>
        </is>
      </c>
      <c r="T32" s="18" t="inlineStr">
        <is>
          <t>backend/auth-service/src/carpeta-digital/carpeta-digital.controller.ts:118: comentarios = body.descripcion al subir | backend/auth-service/src/carpeta-digital/carpeta-digital.service.ts:247: validateDocumento escribe data.comentarios o conserva el anterior | backend/auth-service/src/carpeta-digital/carpeta-digital.service.ts:163: soportes RUND: sop.observacion</t>
        </is>
      </c>
      <c r="U32" s="18" t="inlineStr"/>
      <c r="V32" s="19" t="inlineStr">
        <is>
          <t>Aprobada</t>
        </is>
      </c>
      <c r="W32" s="19" t="inlineStr"/>
      <c r="X32" s="19" t="inlineStr">
        <is>
          <t>Aldair González (aprobación en bloque)</t>
        </is>
      </c>
      <c r="Y32" s="20" t="n">
        <v>46321</v>
      </c>
      <c r="Z32" s="19" t="inlineStr">
        <is>
          <t>Nivel 3: verificada con el código de la aplicación.</t>
        </is>
      </c>
      <c r="AA32" s="18">
        <f>IF(OR(V32="Aprobada"),R32,IF(AND(OR(V32="Aprobada con ajuste",V32="Rechazada"),W32&lt;&gt;""),W32,""))</f>
        <v/>
      </c>
    </row>
    <row r="33">
      <c r="A33" s="18" t="inlineStr">
        <is>
          <t>C0032</t>
        </is>
      </c>
      <c r="B33" s="18" t="inlineStr">
        <is>
          <t>Identidad y acceso</t>
        </is>
      </c>
      <c r="C33" s="18" t="inlineStr">
        <is>
          <t>auth</t>
        </is>
      </c>
      <c r="D33" s="18" t="inlineStr">
        <is>
          <t>documento_carpeta_digital</t>
        </is>
      </c>
      <c r="E33" s="18" t="n">
        <v>0</v>
      </c>
      <c r="F33" s="18" t="inlineStr">
        <is>
          <t>validado_por</t>
        </is>
      </c>
      <c r="G33" s="18" t="inlineStr">
        <is>
          <t>uuid</t>
        </is>
      </c>
      <c r="H33" s="18" t="inlineStr">
        <is>
          <t>Sí</t>
        </is>
      </c>
      <c r="I33" s="18" t="inlineStr"/>
      <c r="J33" s="18" t="inlineStr"/>
      <c r="K33" s="18" t="inlineStr"/>
      <c r="L33" s="18" t="inlineStr">
        <is>
          <t>No</t>
        </is>
      </c>
      <c r="M33" s="18" t="inlineStr">
        <is>
          <t>No</t>
        </is>
      </c>
      <c r="N33" s="18" t="inlineStr"/>
      <c r="O33" s="18" t="inlineStr"/>
      <c r="P33" s="18" t="inlineStr">
        <is>
          <t>Mapeada en auth-service/src/carpeta-digital/documento-carpeta-digital.entity.ts:61 (DocumentoCarpetaDigital.validadoPor)</t>
        </is>
      </c>
      <c r="Q33" s="18" t="inlineStr">
        <is>
          <t>Regla estructural</t>
        </is>
      </c>
      <c r="R33" s="18" t="inlineStr">
        <is>
          <t>Usuario que realizó la validación.</t>
        </is>
      </c>
      <c r="S33" s="18" t="inlineStr">
        <is>
          <t>Media</t>
        </is>
      </c>
      <c r="T33" s="18" t="inlineStr">
        <is>
          <t>Convención de nombre de la columna.</t>
        </is>
      </c>
      <c r="U33" s="18" t="inlineStr"/>
      <c r="V33" s="19" t="inlineStr">
        <is>
          <t>Aprobada</t>
        </is>
      </c>
      <c r="W33" s="19" t="inlineStr"/>
      <c r="X33" s="19" t="inlineStr">
        <is>
          <t>Aldair González (aprobación en bloque)</t>
        </is>
      </c>
      <c r="Y33" s="20" t="n">
        <v>46321</v>
      </c>
      <c r="Z33" s="19" t="inlineStr">
        <is>
          <t>Nivel 1: propuesta del comentario del desarrollador o de confianza alta, o regla de fecha/responsable/motivo.</t>
        </is>
      </c>
      <c r="AA33" s="18">
        <f>IF(OR(V33="Aprobada"),R33,IF(AND(OR(V33="Aprobada con ajuste",V33="Rechazada"),W33&lt;&gt;""),W33,""))</f>
        <v/>
      </c>
    </row>
    <row r="34">
      <c r="A34" s="18" t="inlineStr">
        <is>
          <t>C0033</t>
        </is>
      </c>
      <c r="B34" s="18" t="inlineStr">
        <is>
          <t>Identidad y acceso</t>
        </is>
      </c>
      <c r="C34" s="18" t="inlineStr">
        <is>
          <t>auth</t>
        </is>
      </c>
      <c r="D34" s="18" t="inlineStr">
        <is>
          <t>documento_carpeta_digital</t>
        </is>
      </c>
      <c r="E34" s="18" t="n">
        <v>0</v>
      </c>
      <c r="F34" s="18" t="inlineStr">
        <is>
          <t>fecha_validacion</t>
        </is>
      </c>
      <c r="G34" s="18" t="inlineStr">
        <is>
          <t>timestamp without time zone</t>
        </is>
      </c>
      <c r="H34" s="18" t="inlineStr">
        <is>
          <t>Sí</t>
        </is>
      </c>
      <c r="I34" s="18" t="inlineStr"/>
      <c r="J34" s="18" t="inlineStr"/>
      <c r="K34" s="18" t="inlineStr"/>
      <c r="L34" s="18" t="inlineStr">
        <is>
          <t>No</t>
        </is>
      </c>
      <c r="M34" s="18" t="inlineStr">
        <is>
          <t>No</t>
        </is>
      </c>
      <c r="N34" s="18" t="inlineStr"/>
      <c r="O34" s="18" t="inlineStr"/>
      <c r="P34" s="18" t="inlineStr">
        <is>
          <t>Mapeada en auth-service/src/carpeta-digital/documento-carpeta-digital.entity.ts:64 (DocumentoCarpetaDigital.fechaValidacion)</t>
        </is>
      </c>
      <c r="Q34" s="18" t="inlineStr">
        <is>
          <t>Regla estructural (redacción revisada)</t>
        </is>
      </c>
      <c r="R34" s="18" t="inlineStr">
        <is>
          <t>Fecha y hora en que se validó el documento de la carpeta digital.</t>
        </is>
      </c>
      <c r="S34" s="18" t="inlineStr">
        <is>
          <t>Alta</t>
        </is>
      </c>
      <c r="T34" s="18" t="inlineStr">
        <is>
          <t>Convención de nombre, redactada con el contexto de la tabla y el código.</t>
        </is>
      </c>
      <c r="U34" s="18" t="inlineStr"/>
      <c r="V34" s="19" t="inlineStr">
        <is>
          <t>Aprobada</t>
        </is>
      </c>
      <c r="W34" s="19" t="inlineStr"/>
      <c r="X34" s="19" t="inlineStr">
        <is>
          <t>Aldair González (aprobación en bloque)</t>
        </is>
      </c>
      <c r="Y34" s="20" t="n">
        <v>46321</v>
      </c>
      <c r="Z34" s="19" t="inlineStr">
        <is>
          <t>Nivel 2: regla estructural con redacción revisada.</t>
        </is>
      </c>
      <c r="AA34" s="18">
        <f>IF(OR(V34="Aprobada"),R34,IF(AND(OR(V34="Aprobada con ajuste",V34="Rechazada"),W34&lt;&gt;""),W34,""))</f>
        <v/>
      </c>
    </row>
    <row r="35">
      <c r="A35" s="18" t="inlineStr">
        <is>
          <t>C0034</t>
        </is>
      </c>
      <c r="B35" s="18" t="inlineStr">
        <is>
          <t>Identidad y acceso</t>
        </is>
      </c>
      <c r="C35" s="18" t="inlineStr">
        <is>
          <t>auth</t>
        </is>
      </c>
      <c r="D35" s="18" t="inlineStr">
        <is>
          <t>documento_carpeta_digital</t>
        </is>
      </c>
      <c r="E35" s="18" t="n">
        <v>0</v>
      </c>
      <c r="F35" s="18" t="inlineStr">
        <is>
          <t>fecha_subida</t>
        </is>
      </c>
      <c r="G35" s="18" t="inlineStr">
        <is>
          <t>timestamp without time zone</t>
        </is>
      </c>
      <c r="H35" s="18" t="inlineStr">
        <is>
          <t>No</t>
        </is>
      </c>
      <c r="I35" s="18" t="inlineStr"/>
      <c r="J35" s="18" t="inlineStr"/>
      <c r="K35" s="18" t="inlineStr"/>
      <c r="L35" s="18" t="inlineStr">
        <is>
          <t>No</t>
        </is>
      </c>
      <c r="M35" s="18" t="inlineStr">
        <is>
          <t>No</t>
        </is>
      </c>
      <c r="N35" s="18" t="inlineStr"/>
      <c r="O35" s="18" t="inlineStr"/>
      <c r="P35" s="18" t="inlineStr">
        <is>
          <t>db/migrations/339_create_documento_carpeta_digital.sql:42: Fechas</t>
        </is>
      </c>
      <c r="Q35" s="18" t="inlineStr">
        <is>
          <t>Código fuente</t>
        </is>
      </c>
      <c r="R35" s="18" t="inlineStr">
        <is>
          <t>Fecha y hora en que la persona cargó el documento; por defecto el momento de creación.</t>
        </is>
      </c>
      <c r="S35" s="18" t="inlineStr">
        <is>
          <t>Alta</t>
        </is>
      </c>
      <c r="T35" s="18" t="inlineStr">
        <is>
          <t>código: db/migrations/339_create_documento_carpeta_digital.sql:42</t>
        </is>
      </c>
      <c r="U35" s="18" t="inlineStr"/>
      <c r="V35" s="19" t="inlineStr">
        <is>
          <t>Aprobada</t>
        </is>
      </c>
      <c r="W35" s="19" t="inlineStr"/>
      <c r="X35" s="19" t="inlineStr">
        <is>
          <t>Aldair González (aprobación en bloque)</t>
        </is>
      </c>
      <c r="Y35" s="20" t="n">
        <v>46321</v>
      </c>
      <c r="Z35" s="19" t="inlineStr">
        <is>
          <t>Nivel 1: propuesta del comentario del desarrollador o de confianza alta, o regla de fecha/responsable/motivo.</t>
        </is>
      </c>
      <c r="AA35" s="18">
        <f>IF(OR(V35="Aprobada"),R35,IF(AND(OR(V35="Aprobada con ajuste",V35="Rechazada"),W35&lt;&gt;""),W35,""))</f>
        <v/>
      </c>
    </row>
    <row r="36">
      <c r="A36" s="18" t="inlineStr">
        <is>
          <t>C0035</t>
        </is>
      </c>
      <c r="B36" s="18" t="inlineStr">
        <is>
          <t>Identidad y acceso</t>
        </is>
      </c>
      <c r="C36" s="18" t="inlineStr">
        <is>
          <t>auth</t>
        </is>
      </c>
      <c r="D36" s="18" t="inlineStr">
        <is>
          <t>documento_carpeta_digital</t>
        </is>
      </c>
      <c r="E36" s="18" t="n">
        <v>0</v>
      </c>
      <c r="F36" s="18" t="inlineStr">
        <is>
          <t>fecha_vencimiento</t>
        </is>
      </c>
      <c r="G36" s="18" t="inlineStr">
        <is>
          <t>timestamp without time zone</t>
        </is>
      </c>
      <c r="H36" s="18" t="inlineStr">
        <is>
          <t>Sí</t>
        </is>
      </c>
      <c r="I36" s="18" t="inlineStr"/>
      <c r="J36" s="18" t="inlineStr"/>
      <c r="K36" s="18" t="inlineStr"/>
      <c r="L36" s="18" t="inlineStr">
        <is>
          <t>No</t>
        </is>
      </c>
      <c r="M36" s="18" t="inlineStr">
        <is>
          <t>No</t>
        </is>
      </c>
      <c r="N36" s="18" t="inlineStr"/>
      <c r="O36" s="18" t="inlineStr"/>
      <c r="P36" s="18" t="inlineStr">
        <is>
          <t>Mapeada en auth-service/src/carpeta-digital/documento-carpeta-digital.entity.ts:70 (DocumentoCarpetaDigital.fechaVencimiento)</t>
        </is>
      </c>
      <c r="Q36" s="18" t="inlineStr">
        <is>
          <t>Regla estructural (redacción revisada)</t>
        </is>
      </c>
      <c r="R36" s="18" t="inlineStr">
        <is>
          <t>Fecha y hora de vencimiento del documento de la carpeta digital.</t>
        </is>
      </c>
      <c r="S36" s="18" t="inlineStr">
        <is>
          <t>Alta</t>
        </is>
      </c>
      <c r="T36" s="18" t="inlineStr">
        <is>
          <t>Convención de nombre, redactada con el contexto de la tabla y el código.</t>
        </is>
      </c>
      <c r="U36" s="18" t="inlineStr"/>
      <c r="V36" s="19" t="inlineStr">
        <is>
          <t>Aprobada</t>
        </is>
      </c>
      <c r="W36" s="19" t="inlineStr"/>
      <c r="X36" s="19" t="inlineStr">
        <is>
          <t>Aldair González (aprobación en bloque)</t>
        </is>
      </c>
      <c r="Y36" s="20" t="n">
        <v>46321</v>
      </c>
      <c r="Z36" s="19" t="inlineStr">
        <is>
          <t>Nivel 2: regla estructural con redacción revisada.</t>
        </is>
      </c>
      <c r="AA36" s="18">
        <f>IF(OR(V36="Aprobada"),R36,IF(AND(OR(V36="Aprobada con ajuste",V36="Rechazada"),W36&lt;&gt;""),W36,""))</f>
        <v/>
      </c>
    </row>
    <row r="37">
      <c r="A37" s="18" t="inlineStr">
        <is>
          <t>C0036</t>
        </is>
      </c>
      <c r="B37" s="18" t="inlineStr">
        <is>
          <t>Identidad y acceso</t>
        </is>
      </c>
      <c r="C37" s="18" t="inlineStr">
        <is>
          <t>auth</t>
        </is>
      </c>
      <c r="D37" s="18" t="inlineStr">
        <is>
          <t>festivos_colombia</t>
        </is>
      </c>
      <c r="E37" s="18" t="n">
        <v>18</v>
      </c>
      <c r="F37" s="18" t="inlineStr">
        <is>
          <t>fecha</t>
        </is>
      </c>
      <c r="G37" s="18" t="inlineStr">
        <is>
          <t>date</t>
        </is>
      </c>
      <c r="H37" s="18" t="inlineStr">
        <is>
          <t>No</t>
        </is>
      </c>
      <c r="I37" s="18" t="inlineStr">
        <is>
          <t>Única</t>
        </is>
      </c>
      <c r="J37" s="18" t="inlineStr"/>
      <c r="K37" s="18" t="inlineStr"/>
      <c r="L37" s="18" t="inlineStr">
        <is>
          <t>No</t>
        </is>
      </c>
      <c r="M37" s="18" t="inlineStr">
        <is>
          <t>No</t>
        </is>
      </c>
      <c r="N37" s="18" t="inlineStr"/>
      <c r="O37" s="18" t="inlineStr">
        <is>
          <t>festivos_colombia_fecha_key, idx_auth_festivos_fecha</t>
        </is>
      </c>
      <c r="P37" s="18" t="inlineStr">
        <is>
          <t>Mapeada en travel-expenses-service/src/entities/festivo-colombia.entity.ts:21 (FestivoColombiaEntity.fecha)</t>
        </is>
      </c>
      <c r="Q37" s="18" t="inlineStr">
        <is>
          <t>Propuesta semántica</t>
        </is>
      </c>
      <c r="R37" s="18" t="inlineStr">
        <is>
          <t>Fecha del día festivo; es única en la tabla.</t>
        </is>
      </c>
      <c r="S37" s="18" t="inlineStr">
        <is>
          <t>Alta</t>
        </is>
      </c>
      <c r="T37" s="18" t="inlineStr">
        <is>
          <t>documentación de la entidad + restricción única</t>
        </is>
      </c>
      <c r="U37" s="18" t="inlineStr"/>
      <c r="V37" s="19" t="inlineStr">
        <is>
          <t>Aprobada</t>
        </is>
      </c>
      <c r="W37" s="19" t="inlineStr"/>
      <c r="X37" s="19" t="inlineStr">
        <is>
          <t>Aldair González (aprobación en bloque)</t>
        </is>
      </c>
      <c r="Y37" s="20" t="n">
        <v>46321</v>
      </c>
      <c r="Z37" s="19" t="inlineStr">
        <is>
          <t>Nivel 1: propuesta del comentario del desarrollador o de confianza alta, o regla de fecha/responsable/motivo.</t>
        </is>
      </c>
      <c r="AA37" s="18">
        <f>IF(OR(V37="Aprobada"),R37,IF(AND(OR(V37="Aprobada con ajuste",V37="Rechazada"),W37&lt;&gt;""),W37,""))</f>
        <v/>
      </c>
    </row>
    <row r="38">
      <c r="A38" s="18" t="inlineStr">
        <is>
          <t>C0037</t>
        </is>
      </c>
      <c r="B38" s="18" t="inlineStr">
        <is>
          <t>Identidad y acceso</t>
        </is>
      </c>
      <c r="C38" s="18" t="inlineStr">
        <is>
          <t>auth</t>
        </is>
      </c>
      <c r="D38" s="18" t="inlineStr">
        <is>
          <t>festivos_colombia</t>
        </is>
      </c>
      <c r="E38" s="18" t="n">
        <v>18</v>
      </c>
      <c r="F38" s="18" t="inlineStr">
        <is>
          <t>descripcion</t>
        </is>
      </c>
      <c r="G38" s="18" t="inlineStr">
        <is>
          <t>character varying(150)</t>
        </is>
      </c>
      <c r="H38" s="18" t="inlineStr">
        <is>
          <t>No</t>
        </is>
      </c>
      <c r="I38" s="18" t="inlineStr"/>
      <c r="J38" s="18" t="inlineStr"/>
      <c r="K38" s="18" t="inlineStr"/>
      <c r="L38" s="18" t="inlineStr">
        <is>
          <t>No</t>
        </is>
      </c>
      <c r="M38" s="18" t="inlineStr">
        <is>
          <t>No</t>
        </is>
      </c>
      <c r="N38" s="18" t="inlineStr"/>
      <c r="O38" s="18" t="inlineStr"/>
      <c r="P38" s="18" t="inlineStr">
        <is>
          <t>Mapeada en travel-expenses-service/src/entities/festivo-colombia.entity.ts:24 (FestivoColombiaEntity.descripcion) | Validación: IsOptional, IsString, Length(0, 255)</t>
        </is>
      </c>
      <c r="Q38" s="18" t="inlineStr">
        <is>
          <t>Regla estructural (redacción revisada)</t>
        </is>
      </c>
      <c r="R38" s="18" t="inlineStr">
        <is>
          <t>Descripción del día festivo.</t>
        </is>
      </c>
      <c r="S38" s="18" t="inlineStr">
        <is>
          <t>Alta</t>
        </is>
      </c>
      <c r="T38" s="18" t="inlineStr">
        <is>
          <t>Convención de nombre, redactada con el contexto de la tabla y el código.</t>
        </is>
      </c>
      <c r="U38" s="18" t="inlineStr"/>
      <c r="V38" s="19" t="inlineStr">
        <is>
          <t>Aprobada</t>
        </is>
      </c>
      <c r="W38" s="19" t="inlineStr"/>
      <c r="X38" s="19" t="inlineStr">
        <is>
          <t>Aldair González (aprobación en bloque)</t>
        </is>
      </c>
      <c r="Y38" s="20" t="n">
        <v>46321</v>
      </c>
      <c r="Z38" s="19" t="inlineStr">
        <is>
          <t>Nivel 2: regla estructural con redacción revisada.</t>
        </is>
      </c>
      <c r="AA38" s="18">
        <f>IF(OR(V38="Aprobada"),R38,IF(AND(OR(V38="Aprobada con ajuste",V38="Rechazada"),W38&lt;&gt;""),W38,""))</f>
        <v/>
      </c>
    </row>
    <row r="39">
      <c r="A39" s="18" t="inlineStr">
        <is>
          <t>C0038</t>
        </is>
      </c>
      <c r="B39" s="18" t="inlineStr">
        <is>
          <t>Identidad y acceso</t>
        </is>
      </c>
      <c r="C39" s="18" t="inlineStr">
        <is>
          <t>auth</t>
        </is>
      </c>
      <c r="D39" s="18" t="inlineStr">
        <is>
          <t>festivos_colombia</t>
        </is>
      </c>
      <c r="E39" s="18" t="n">
        <v>18</v>
      </c>
      <c r="F39" s="18" t="inlineStr">
        <is>
          <t>origen</t>
        </is>
      </c>
      <c r="G39" s="18" t="inlineStr">
        <is>
          <t>character varying(150)</t>
        </is>
      </c>
      <c r="H39" s="18" t="inlineStr">
        <is>
          <t>Sí</t>
        </is>
      </c>
      <c r="I39" s="18" t="inlineStr"/>
      <c r="J39" s="18" t="inlineStr"/>
      <c r="K39" s="18" t="inlineStr"/>
      <c r="L39" s="18" t="inlineStr">
        <is>
          <t>No</t>
        </is>
      </c>
      <c r="M39" s="18" t="inlineStr">
        <is>
          <t>No</t>
        </is>
      </c>
      <c r="N39" s="18" t="inlineStr"/>
      <c r="O39" s="18" t="inlineStr"/>
      <c r="P39" s="18" t="inlineStr">
        <is>
          <t>Mapeada en auth-service/src/settings/festivo-colombia.entity.ts:26 (FestivoColombia.origen) | Validación: IsOptional, IsString, MaxLength(150)</t>
        </is>
      </c>
      <c r="Q39" s="18" t="inlineStr">
        <is>
          <t>Código fuente (verificado)</t>
        </is>
      </c>
      <c r="R39" s="18" t="inlineStr">
        <is>
          <t>Fuente del festivo: la que informa el calendario nacional al sincronizar (por defecto, Ley 51/1983) o «Manual / Ajuste Interno» cuando se registra a mano.</t>
        </is>
      </c>
      <c r="S39" s="18" t="inlineStr">
        <is>
          <t>Alta</t>
        </is>
      </c>
      <c r="T39" s="18" t="inlineStr">
        <is>
          <t>backend/auth-service/src/settings/ajustes-generales.service.ts:198: origen = h.source de la API de calendario o 'Ley 51/1983' | backend/auth-service/src/settings/ajustes-generales.service.ts:246: festivo manual: 'Manual / Ajuste Interno' | backend/auth-service/src/settings/festivo-colombia.entity.ts:26: default 'Ley 51/1983'</t>
        </is>
      </c>
      <c r="U39" s="18" t="inlineStr"/>
      <c r="V39" s="19" t="inlineStr">
        <is>
          <t>Aprobada</t>
        </is>
      </c>
      <c r="W39" s="19" t="inlineStr"/>
      <c r="X39" s="19" t="inlineStr">
        <is>
          <t>Aldair González (aprobación en bloque)</t>
        </is>
      </c>
      <c r="Y39" s="20" t="n">
        <v>46321</v>
      </c>
      <c r="Z39" s="19" t="inlineStr">
        <is>
          <t>Nivel 3: verificada con el código de la aplicación.</t>
        </is>
      </c>
      <c r="AA39" s="18">
        <f>IF(OR(V39="Aprobada"),R39,IF(AND(OR(V39="Aprobada con ajuste",V39="Rechazada"),W39&lt;&gt;""),W39,""))</f>
        <v/>
      </c>
    </row>
    <row r="40">
      <c r="A40" s="18" t="inlineStr">
        <is>
          <t>C0039</t>
        </is>
      </c>
      <c r="B40" s="18" t="inlineStr">
        <is>
          <t>Identidad y acceso</t>
        </is>
      </c>
      <c r="C40" s="18" t="inlineStr">
        <is>
          <t>auth</t>
        </is>
      </c>
      <c r="D40" s="18" t="inlineStr">
        <is>
          <t>festivos_colombia</t>
        </is>
      </c>
      <c r="E40" s="18" t="n">
        <v>18</v>
      </c>
      <c r="F40" s="18" t="inlineStr">
        <is>
          <t>regla</t>
        </is>
      </c>
      <c r="G40" s="18" t="inlineStr">
        <is>
          <t>character varying(50)</t>
        </is>
      </c>
      <c r="H40" s="18" t="inlineStr">
        <is>
          <t>Sí</t>
        </is>
      </c>
      <c r="I40" s="18" t="inlineStr"/>
      <c r="J40" s="18" t="inlineStr"/>
      <c r="K40" s="18" t="inlineStr"/>
      <c r="L40" s="18" t="inlineStr">
        <is>
          <t>No</t>
        </is>
      </c>
      <c r="M40" s="18" t="inlineStr">
        <is>
          <t>No</t>
        </is>
      </c>
      <c r="N40" s="18" t="inlineStr"/>
      <c r="O40" s="18" t="inlineStr"/>
      <c r="P40" s="18" t="inlineStr">
        <is>
          <t>Mapeada en auth-service/src/settings/festivo-colombia.entity.ts:35 (FestivoColombia.regla) | Validación: IsOptional, IsString, MaxLength(50)</t>
        </is>
      </c>
      <c r="Q40" s="18" t="inlineStr">
        <is>
          <t>Código fuente (verificado)</t>
        </is>
      </c>
      <c r="R40" s="18" t="inlineStr">
        <is>
          <t>Regla con la que se determina la fecha del festivo, tomada del calendario nacional al sincronizar. Por defecto, fixed (fecha fija).</t>
        </is>
      </c>
      <c r="S40" s="18" t="inlineStr">
        <is>
          <t>Media</t>
        </is>
      </c>
      <c r="T40" s="18" t="inlineStr">
        <is>
          <t>backend/auth-service/src/settings/ajustes-generales.service.ts:199: regla = h.rule de la API de calendario o 'fixed' | backend/auth-service/src/settings/ajustes-generales.service.ts:247: festivo manual: dto.regla o 'fixed'; el código no declara otros valores</t>
        </is>
      </c>
      <c r="U40" s="18" t="inlineStr">
        <is>
          <t>¿Qué otros valores de regla entrega el calendario nacional (por ejemplo, traslado al lunes o basado en Pascua)?</t>
        </is>
      </c>
      <c r="V40" s="19" t="inlineStr">
        <is>
          <t>Aprobada</t>
        </is>
      </c>
      <c r="W40" s="19" t="inlineStr"/>
      <c r="X40" s="19" t="inlineStr">
        <is>
          <t>Aldair González (validación del responsable de BD)</t>
        </is>
      </c>
      <c r="Y40" s="20" t="n">
        <v>46321</v>
      </c>
      <c r="Z40" s="19" t="inlineStr">
        <is>
          <t>Nivel 3: validada por decisión del responsable de la base de datos. Pregunta registrada para desarrollo: ¿Qué otros valores de regla entrega el calendario nacional (por ejemplo, traslado al lunes o basado en Pascua)?</t>
        </is>
      </c>
      <c r="AA40" s="18">
        <f>IF(OR(V40="Aprobada"),R40,IF(AND(OR(V40="Aprobada con ajuste",V40="Rechazada"),W40&lt;&gt;""),W40,""))</f>
        <v/>
      </c>
    </row>
    <row r="41">
      <c r="A41" s="18" t="inlineStr">
        <is>
          <t>C0040</t>
        </is>
      </c>
      <c r="B41" s="18" t="inlineStr">
        <is>
          <t>Identidad y acceso</t>
        </is>
      </c>
      <c r="C41" s="18" t="inlineStr">
        <is>
          <t>auth</t>
        </is>
      </c>
      <c r="D41" s="18" t="inlineStr">
        <is>
          <t>geopolitica</t>
        </is>
      </c>
      <c r="E41" s="18" t="n">
        <v>1155</v>
      </c>
      <c r="F41" s="18" t="inlineStr">
        <is>
          <t>cod_geopolitica</t>
        </is>
      </c>
      <c r="G41" s="18" t="inlineStr">
        <is>
          <t>character varying(20)</t>
        </is>
      </c>
      <c r="H41" s="18" t="inlineStr">
        <is>
          <t>No</t>
        </is>
      </c>
      <c r="I41" s="18" t="inlineStr"/>
      <c r="J41" s="18" t="inlineStr"/>
      <c r="K41" s="18" t="inlineStr"/>
      <c r="L41" s="18" t="inlineStr">
        <is>
          <t>No</t>
        </is>
      </c>
      <c r="M41" s="18" t="inlineStr">
        <is>
          <t>No</t>
        </is>
      </c>
      <c r="N41" s="18" t="inlineStr"/>
      <c r="O41" s="18" t="inlineStr"/>
      <c r="P41" s="18" t="inlineStr">
        <is>
          <t>Mapeada en auth-service/src/users/geopolitica.entity.ts:15 (Geopolitica.codGeopolitica)</t>
        </is>
      </c>
      <c r="Q41" s="18" t="inlineStr">
        <is>
          <t>Código fuente (verificado)</t>
        </is>
      </c>
      <c r="R41" s="18" t="inlineStr">
        <is>
          <t>Código de la división geopolítica.</t>
        </is>
      </c>
      <c r="S41" s="18" t="inlineStr">
        <is>
          <t>Media</t>
        </is>
      </c>
      <c r="T41" s="18" t="inlineStr">
        <is>
          <t>backend/auth-service/src/users/geopolitica.entity.ts:15: varchar(20) | ningún servicio del backend lee ni escribe cod_geopolitica</t>
        </is>
      </c>
      <c r="U41" s="18" t="inlineStr">
        <is>
          <t>¿cod_geopolitica es el código DANE (Divipola) o un código interno?</t>
        </is>
      </c>
      <c r="V41" s="19" t="inlineStr">
        <is>
          <t>Aprobada</t>
        </is>
      </c>
      <c r="W41" s="19" t="inlineStr"/>
      <c r="X41" s="19" t="inlineStr">
        <is>
          <t>Aldair González (validación del responsable de BD)</t>
        </is>
      </c>
      <c r="Y41" s="20" t="n">
        <v>46321</v>
      </c>
      <c r="Z41" s="19" t="inlineStr">
        <is>
          <t>Nivel 3: validada por decisión del responsable de la base de datos. Pregunta registrada para desarrollo: ¿cod_geopolitica es el código DANE (Divipola) o un código interno?</t>
        </is>
      </c>
      <c r="AA41" s="18">
        <f>IF(OR(V41="Aprobada"),R41,IF(AND(OR(V41="Aprobada con ajuste",V41="Rechazada"),W41&lt;&gt;""),W41,""))</f>
        <v/>
      </c>
    </row>
    <row r="42">
      <c r="A42" s="18" t="inlineStr">
        <is>
          <t>C0041</t>
        </is>
      </c>
      <c r="B42" s="18" t="inlineStr">
        <is>
          <t>Identidad y acceso</t>
        </is>
      </c>
      <c r="C42" s="18" t="inlineStr">
        <is>
          <t>auth</t>
        </is>
      </c>
      <c r="D42" s="18" t="inlineStr">
        <is>
          <t>geopolitica</t>
        </is>
      </c>
      <c r="E42" s="18" t="n">
        <v>1155</v>
      </c>
      <c r="F42" s="18" t="inlineStr">
        <is>
          <t>cod_pais</t>
        </is>
      </c>
      <c r="G42" s="18" t="inlineStr">
        <is>
          <t>smallint</t>
        </is>
      </c>
      <c r="H42" s="18" t="inlineStr">
        <is>
          <t>Sí</t>
        </is>
      </c>
      <c r="I42" s="18" t="inlineStr"/>
      <c r="J42" s="18" t="inlineStr"/>
      <c r="K42" s="18" t="inlineStr"/>
      <c r="L42" s="18" t="inlineStr">
        <is>
          <t>No</t>
        </is>
      </c>
      <c r="M42" s="18" t="inlineStr">
        <is>
          <t>No</t>
        </is>
      </c>
      <c r="N42" s="18" t="inlineStr"/>
      <c r="O42" s="18" t="inlineStr"/>
      <c r="P42" s="18" t="inlineStr">
        <is>
          <t>Mapeada en auth-service/src/users/geopolitica.entity.ts:18 (Geopolitica.codPais)</t>
        </is>
      </c>
      <c r="Q42" s="18" t="inlineStr">
        <is>
          <t>Código fuente (verificado)</t>
        </is>
      </c>
      <c r="R42" s="18" t="inlineStr">
        <is>
          <t>Código del país de la división geopolítica.</t>
        </is>
      </c>
      <c r="S42" s="18" t="inlineStr">
        <is>
          <t>Media</t>
        </is>
      </c>
      <c r="T42" s="18" t="inlineStr">
        <is>
          <t>backend/auth-service/src/users/geopolitica.entity.ts:18: smallint | backend/auth-service/schema.sql:311: COD_PAIS NUMERIC(4,0) en la tabla de origen; ningún servicio usa la columna</t>
        </is>
      </c>
      <c r="U42" s="18" t="inlineStr">
        <is>
          <t>¿Qué codificación sigue cod_pais?</t>
        </is>
      </c>
      <c r="V42" s="19" t="inlineStr">
        <is>
          <t>Aprobada</t>
        </is>
      </c>
      <c r="W42" s="19" t="inlineStr"/>
      <c r="X42" s="19" t="inlineStr">
        <is>
          <t>Aldair González (validación del responsable de BD)</t>
        </is>
      </c>
      <c r="Y42" s="20" t="n">
        <v>46321</v>
      </c>
      <c r="Z42" s="19" t="inlineStr">
        <is>
          <t>Nivel 3: validada por decisión del responsable de la base de datos. Pregunta registrada para desarrollo: ¿Qué codificación sigue cod_pais?</t>
        </is>
      </c>
      <c r="AA42" s="18">
        <f>IF(OR(V42="Aprobada"),R42,IF(AND(OR(V42="Aprobada con ajuste",V42="Rechazada"),W42&lt;&gt;""),W42,""))</f>
        <v/>
      </c>
    </row>
    <row r="43">
      <c r="A43" s="18" t="inlineStr">
        <is>
          <t>C0042</t>
        </is>
      </c>
      <c r="B43" s="18" t="inlineStr">
        <is>
          <t>Identidad y acceso</t>
        </is>
      </c>
      <c r="C43" s="18" t="inlineStr">
        <is>
          <t>auth</t>
        </is>
      </c>
      <c r="D43" s="18" t="inlineStr">
        <is>
          <t>geopolitica</t>
        </is>
      </c>
      <c r="E43" s="18" t="n">
        <v>1155</v>
      </c>
      <c r="F43" s="18" t="inlineStr">
        <is>
          <t>cod_departamento</t>
        </is>
      </c>
      <c r="G43" s="18" t="inlineStr">
        <is>
          <t>smallint</t>
        </is>
      </c>
      <c r="H43" s="18" t="inlineStr">
        <is>
          <t>Sí</t>
        </is>
      </c>
      <c r="I43" s="18" t="inlineStr"/>
      <c r="J43" s="18" t="inlineStr"/>
      <c r="K43" s="18" t="inlineStr"/>
      <c r="L43" s="18" t="inlineStr">
        <is>
          <t>No</t>
        </is>
      </c>
      <c r="M43" s="18" t="inlineStr">
        <is>
          <t>No</t>
        </is>
      </c>
      <c r="N43" s="18" t="inlineStr"/>
      <c r="O43" s="18" t="inlineStr"/>
      <c r="P43" s="18" t="inlineStr">
        <is>
          <t>Mapeada en auth-service/src/users/geopolitica.entity.ts:21 (Geopolitica.codDepartamento)</t>
        </is>
      </c>
      <c r="Q43" s="18" t="inlineStr">
        <is>
          <t>Código fuente (verificado)</t>
        </is>
      </c>
      <c r="R43" s="18" t="inlineStr">
        <is>
          <t>Código DANE del departamento de la división geopolítica. El servicio lo usa para listar las ciudades de cada departamento.</t>
        </is>
      </c>
      <c r="S43" s="18" t="inlineStr">
        <is>
          <t>Alta</t>
        </is>
      </c>
      <c r="T43" s="18" t="inlineStr">
        <is>
          <t>backend/auth-service/src/users/estructura-organizacional.service.ts:102: comentario: las ciudades se asocian al departamento por el código DANE (cod_departamento) | backend/auth-service/src/users/estructura-organizacional.service.ts:108: filtro tipDivision CIUDAD y codDepartamento</t>
        </is>
      </c>
      <c r="U43" s="18" t="inlineStr"/>
      <c r="V43" s="19" t="inlineStr">
        <is>
          <t>Aprobada</t>
        </is>
      </c>
      <c r="W43" s="19" t="inlineStr"/>
      <c r="X43" s="19" t="inlineStr">
        <is>
          <t>Aldair González (aprobación en bloque)</t>
        </is>
      </c>
      <c r="Y43" s="20" t="n">
        <v>46321</v>
      </c>
      <c r="Z43" s="19" t="inlineStr">
        <is>
          <t>Nivel 3: verificada con el código de la aplicación.</t>
        </is>
      </c>
      <c r="AA43" s="18">
        <f>IF(OR(V43="Aprobada"),R43,IF(AND(OR(V43="Aprobada con ajuste",V43="Rechazada"),W43&lt;&gt;""),W43,""))</f>
        <v/>
      </c>
    </row>
    <row r="44">
      <c r="A44" s="18" t="inlineStr">
        <is>
          <t>C0043</t>
        </is>
      </c>
      <c r="B44" s="18" t="inlineStr">
        <is>
          <t>Identidad y acceso</t>
        </is>
      </c>
      <c r="C44" s="18" t="inlineStr">
        <is>
          <t>auth</t>
        </is>
      </c>
      <c r="D44" s="18" t="inlineStr">
        <is>
          <t>geopolitica</t>
        </is>
      </c>
      <c r="E44" s="18" t="n">
        <v>1155</v>
      </c>
      <c r="F44" s="18" t="inlineStr">
        <is>
          <t>cod_ciudad</t>
        </is>
      </c>
      <c r="G44" s="18" t="inlineStr">
        <is>
          <t>smallint</t>
        </is>
      </c>
      <c r="H44" s="18" t="inlineStr">
        <is>
          <t>Sí</t>
        </is>
      </c>
      <c r="I44" s="18" t="inlineStr"/>
      <c r="J44" s="18" t="inlineStr"/>
      <c r="K44" s="18" t="inlineStr"/>
      <c r="L44" s="18" t="inlineStr">
        <is>
          <t>No</t>
        </is>
      </c>
      <c r="M44" s="18" t="inlineStr">
        <is>
          <t>No</t>
        </is>
      </c>
      <c r="N44" s="18" t="inlineStr"/>
      <c r="O44" s="18" t="inlineStr"/>
      <c r="P44" s="18" t="inlineStr">
        <is>
          <t>Mapeada en auth-service/src/users/geopolitica.entity.ts:24 (Geopolitica.codCiudad)</t>
        </is>
      </c>
      <c r="Q44" s="18" t="inlineStr">
        <is>
          <t>Código fuente (verificado)</t>
        </is>
      </c>
      <c r="R44" s="18" t="inlineStr">
        <is>
          <t>Código de la ciudad o municipio de la división geopolítica.</t>
        </is>
      </c>
      <c r="S44" s="18" t="inlineStr">
        <is>
          <t>Media</t>
        </is>
      </c>
      <c r="T44" s="18" t="inlineStr">
        <is>
          <t>backend/auth-service/src/users/geopolitica.entity.ts:24: smallint | ningún servicio del backend usa cod_ciudad</t>
        </is>
      </c>
      <c r="U44" s="18" t="inlineStr">
        <is>
          <t>¿cod_ciudad es el código DANE del municipio (los tres dígitos dentro del departamento)?</t>
        </is>
      </c>
      <c r="V44" s="19" t="inlineStr">
        <is>
          <t>Aprobada</t>
        </is>
      </c>
      <c r="W44" s="19" t="inlineStr"/>
      <c r="X44" s="19" t="inlineStr">
        <is>
          <t>Aldair González (validación del responsable de BD)</t>
        </is>
      </c>
      <c r="Y44" s="20" t="n">
        <v>46321</v>
      </c>
      <c r="Z44" s="19" t="inlineStr">
        <is>
          <t>Nivel 3: validada por decisión del responsable de la base de datos. Pregunta registrada para desarrollo: ¿cod_ciudad es el código DANE del municipio (los tres dígitos dentro del departamento)?</t>
        </is>
      </c>
      <c r="AA44" s="18">
        <f>IF(OR(V44="Aprobada"),R44,IF(AND(OR(V44="Aprobada con ajuste",V44="Rechazada"),W44&lt;&gt;""),W44,""))</f>
        <v/>
      </c>
    </row>
    <row r="45">
      <c r="A45" s="18" t="inlineStr">
        <is>
          <t>C0044</t>
        </is>
      </c>
      <c r="B45" s="18" t="inlineStr">
        <is>
          <t>Identidad y acceso</t>
        </is>
      </c>
      <c r="C45" s="18" t="inlineStr">
        <is>
          <t>auth</t>
        </is>
      </c>
      <c r="D45" s="18" t="inlineStr">
        <is>
          <t>geopolitica</t>
        </is>
      </c>
      <c r="E45" s="18" t="n">
        <v>1155</v>
      </c>
      <c r="F45" s="18" t="inlineStr">
        <is>
          <t>nom_div_geopolitica</t>
        </is>
      </c>
      <c r="G45" s="18" t="inlineStr">
        <is>
          <t>character varying(250)</t>
        </is>
      </c>
      <c r="H45" s="18" t="inlineStr">
        <is>
          <t>Sí</t>
        </is>
      </c>
      <c r="I45" s="18" t="inlineStr"/>
      <c r="J45" s="18" t="inlineStr"/>
      <c r="K45" s="18" t="inlineStr"/>
      <c r="L45" s="18" t="inlineStr">
        <is>
          <t>No</t>
        </is>
      </c>
      <c r="M45" s="18" t="inlineStr">
        <is>
          <t>No</t>
        </is>
      </c>
      <c r="N45" s="18" t="inlineStr"/>
      <c r="O45" s="18" t="inlineStr"/>
      <c r="P45" s="18" t="inlineStr">
        <is>
          <t>Mapeada en auth-service/src/users/geopolitica.entity.ts:27 (Geopolitica.nomDivGeopolitica)</t>
        </is>
      </c>
      <c r="Q45" s="18" t="inlineStr">
        <is>
          <t>Propuesta semántica</t>
        </is>
      </c>
      <c r="R45" s="18" t="inlineStr">
        <is>
          <t>Nombre de la división geopolítica.</t>
        </is>
      </c>
      <c r="S45" s="18" t="inlineStr">
        <is>
          <t>Alta</t>
        </is>
      </c>
      <c r="T45" s="18" t="inlineStr">
        <is>
          <t>nombre + tipo + columnas vecinas</t>
        </is>
      </c>
      <c r="U45" s="18" t="inlineStr"/>
      <c r="V45" s="19" t="inlineStr">
        <is>
          <t>Aprobada</t>
        </is>
      </c>
      <c r="W45" s="19" t="inlineStr"/>
      <c r="X45" s="19" t="inlineStr">
        <is>
          <t>Aldair González (aprobación en bloque)</t>
        </is>
      </c>
      <c r="Y45" s="20" t="n">
        <v>46321</v>
      </c>
      <c r="Z45" s="19" t="inlineStr">
        <is>
          <t>Nivel 1: propuesta del comentario del desarrollador o de confianza alta, o regla de fecha/responsable/motivo.</t>
        </is>
      </c>
      <c r="AA45" s="18">
        <f>IF(OR(V45="Aprobada"),R45,IF(AND(OR(V45="Aprobada con ajuste",V45="Rechazada"),W45&lt;&gt;""),W45,""))</f>
        <v/>
      </c>
    </row>
    <row r="46">
      <c r="A46" s="18" t="inlineStr">
        <is>
          <t>C0045</t>
        </is>
      </c>
      <c r="B46" s="18" t="inlineStr">
        <is>
          <t>Identidad y acceso</t>
        </is>
      </c>
      <c r="C46" s="18" t="inlineStr">
        <is>
          <t>auth</t>
        </is>
      </c>
      <c r="D46" s="18" t="inlineStr">
        <is>
          <t>geopolitica</t>
        </is>
      </c>
      <c r="E46" s="18" t="n">
        <v>1155</v>
      </c>
      <c r="F46" s="18" t="inlineStr">
        <is>
          <t>num_habitantes</t>
        </is>
      </c>
      <c r="G46" s="18" t="inlineStr">
        <is>
          <t>bigint</t>
        </is>
      </c>
      <c r="H46" s="18" t="inlineStr">
        <is>
          <t>Sí</t>
        </is>
      </c>
      <c r="I46" s="18" t="inlineStr"/>
      <c r="J46" s="18" t="inlineStr"/>
      <c r="K46" s="18" t="inlineStr"/>
      <c r="L46" s="18" t="inlineStr">
        <is>
          <t>No</t>
        </is>
      </c>
      <c r="M46" s="18" t="inlineStr">
        <is>
          <t>No</t>
        </is>
      </c>
      <c r="N46" s="18" t="inlineStr"/>
      <c r="O46" s="18" t="inlineStr"/>
      <c r="P46" s="18" t="inlineStr">
        <is>
          <t>Mapeada en auth-service/src/users/geopolitica.entity.ts:30 (Geopolitica.numHabitantes)</t>
        </is>
      </c>
      <c r="Q46" s="18" t="inlineStr">
        <is>
          <t>Propuesta semántica</t>
        </is>
      </c>
      <c r="R46" s="18" t="inlineStr">
        <is>
          <t>Número de habitantes de la división geopolítica.</t>
        </is>
      </c>
      <c r="S46" s="18" t="inlineStr">
        <is>
          <t>Alta</t>
        </is>
      </c>
      <c r="T46" s="18" t="inlineStr">
        <is>
          <t>nombre + tipo + columnas vecinas</t>
        </is>
      </c>
      <c r="U46" s="18" t="inlineStr"/>
      <c r="V46" s="19" t="inlineStr">
        <is>
          <t>Aprobada</t>
        </is>
      </c>
      <c r="W46" s="19" t="inlineStr"/>
      <c r="X46" s="19" t="inlineStr">
        <is>
          <t>Aldair González (aprobación en bloque)</t>
        </is>
      </c>
      <c r="Y46" s="20" t="n">
        <v>46321</v>
      </c>
      <c r="Z46" s="19" t="inlineStr">
        <is>
          <t>Nivel 1: propuesta del comentario del desarrollador o de confianza alta, o regla de fecha/responsable/motivo.</t>
        </is>
      </c>
      <c r="AA46" s="18">
        <f>IF(OR(V46="Aprobada"),R46,IF(AND(OR(V46="Aprobada con ajuste",V46="Rechazada"),W46&lt;&gt;""),W46,""))</f>
        <v/>
      </c>
    </row>
    <row r="47">
      <c r="A47" s="18" t="inlineStr">
        <is>
          <t>C0046</t>
        </is>
      </c>
      <c r="B47" s="18" t="inlineStr">
        <is>
          <t>Identidad y acceso</t>
        </is>
      </c>
      <c r="C47" s="18" t="inlineStr">
        <is>
          <t>auth</t>
        </is>
      </c>
      <c r="D47" s="18" t="inlineStr">
        <is>
          <t>geopolitica</t>
        </is>
      </c>
      <c r="E47" s="18" t="n">
        <v>1155</v>
      </c>
      <c r="F47" s="18" t="inlineStr">
        <is>
          <t>tip_division</t>
        </is>
      </c>
      <c r="G47" s="18" t="inlineStr">
        <is>
          <t>character varying(6)</t>
        </is>
      </c>
      <c r="H47" s="18" t="inlineStr">
        <is>
          <t>Sí</t>
        </is>
      </c>
      <c r="I47" s="18" t="inlineStr"/>
      <c r="J47" s="18" t="inlineStr"/>
      <c r="K47" s="18" t="inlineStr"/>
      <c r="L47" s="18" t="inlineStr">
        <is>
          <t>No</t>
        </is>
      </c>
      <c r="M47" s="18" t="inlineStr">
        <is>
          <t>No</t>
        </is>
      </c>
      <c r="N47" s="18" t="inlineStr"/>
      <c r="O47" s="18" t="inlineStr"/>
      <c r="P47" s="18" t="inlineStr">
        <is>
          <t>Mapeada en auth-service/src/users/geopolitica.entity.ts:33 (Geopolitica.tipDivision)</t>
        </is>
      </c>
      <c r="Q47" s="18" t="inlineStr">
        <is>
          <t>Código fuente (verificado)</t>
        </is>
      </c>
      <c r="R47" s="18" t="inlineStr">
        <is>
          <t>Código del tipo de división geopolítica. El código usa DEPTO para departamentos y CIUDAD para ciudades o municipios.</t>
        </is>
      </c>
      <c r="S47" s="18" t="inlineStr">
        <is>
          <t>Media</t>
        </is>
      </c>
      <c r="T47" s="18" t="inlineStr">
        <is>
          <t>backend/auth-service/src/users/estructura-organizacional.service.ts:96: findDepartamentos filtra tipDivision = 'DEPTO' | backend/auth-service/src/users/estructura-organizacional.service.ts:107: ciudades con tipDivision = 'CIUDAD' | backend/auth-service/src/users/estructura-organizacional.service.ts:889: tip_division IN ('DEPTO', 'CIUDAD')</t>
        </is>
      </c>
      <c r="U47" s="18" t="inlineStr">
        <is>
          <t>¿Qué otros valores toma tip_division además de DEPTO y CIUDAD (por ejemplo, el de país)?</t>
        </is>
      </c>
      <c r="V47" s="19" t="inlineStr">
        <is>
          <t>Aprobada</t>
        </is>
      </c>
      <c r="W47" s="19" t="inlineStr"/>
      <c r="X47" s="19" t="inlineStr">
        <is>
          <t>Aldair González (validación del responsable de BD)</t>
        </is>
      </c>
      <c r="Y47" s="20" t="n">
        <v>46321</v>
      </c>
      <c r="Z47" s="19" t="inlineStr">
        <is>
          <t>Nivel 3: validada por decisión del responsable de la base de datos. Pregunta registrada para desarrollo: ¿Qué otros valores toma tip_division además de DEPTO y CIUDAD (por ejemplo, el de país)?</t>
        </is>
      </c>
      <c r="AA47" s="18">
        <f>IF(OR(V47="Aprobada"),R47,IF(AND(OR(V47="Aprobada con ajuste",V47="Rechazada"),W47&lt;&gt;""),W47,""))</f>
        <v/>
      </c>
    </row>
    <row r="48">
      <c r="A48" s="18" t="inlineStr">
        <is>
          <t>C0047</t>
        </is>
      </c>
      <c r="B48" s="18" t="inlineStr">
        <is>
          <t>Identidad y acceso</t>
        </is>
      </c>
      <c r="C48" s="18" t="inlineStr">
        <is>
          <t>auth</t>
        </is>
      </c>
      <c r="D48" s="18" t="inlineStr">
        <is>
          <t>geopolitica</t>
        </is>
      </c>
      <c r="E48" s="18" t="n">
        <v>1155</v>
      </c>
      <c r="F48" s="18" t="inlineStr">
        <is>
          <t>cod_division</t>
        </is>
      </c>
      <c r="G48" s="18" t="inlineStr">
        <is>
          <t>character varying(6)</t>
        </is>
      </c>
      <c r="H48" s="18" t="inlineStr">
        <is>
          <t>Sí</t>
        </is>
      </c>
      <c r="I48" s="18" t="inlineStr"/>
      <c r="J48" s="18" t="inlineStr"/>
      <c r="K48" s="18" t="inlineStr"/>
      <c r="L48" s="18" t="inlineStr">
        <is>
          <t>No</t>
        </is>
      </c>
      <c r="M48" s="18" t="inlineStr">
        <is>
          <t>No</t>
        </is>
      </c>
      <c r="N48" s="18" t="inlineStr"/>
      <c r="O48" s="18" t="inlineStr"/>
      <c r="P48" s="18" t="inlineStr">
        <is>
          <t>Mapeada en auth-service/src/users/geopolitica.entity.ts:36 (Geopolitica.codDivision)</t>
        </is>
      </c>
      <c r="Q48" s="18" t="inlineStr">
        <is>
          <t>Código fuente (verificado)</t>
        </is>
      </c>
      <c r="R48" s="18" t="inlineStr">
        <is>
          <t>Código de la clase de división geopolítica.</t>
        </is>
      </c>
      <c r="S48" s="18" t="inlineStr">
        <is>
          <t>Media</t>
        </is>
      </c>
      <c r="T48" s="18" t="inlineStr">
        <is>
          <t>backend/auth-service/src/users/geopolitica.entity.ts:36: varchar(6) | ningún servicio del backend usa cod_division</t>
        </is>
      </c>
      <c r="U48" s="18" t="inlineStr">
        <is>
          <t>¿En qué se diferencia cod_division de tip_division y qué valores toma?</t>
        </is>
      </c>
      <c r="V48" s="19" t="inlineStr">
        <is>
          <t>Aprobada</t>
        </is>
      </c>
      <c r="W48" s="19" t="inlineStr"/>
      <c r="X48" s="19" t="inlineStr">
        <is>
          <t>Aldair González (validación del responsable de BD)</t>
        </is>
      </c>
      <c r="Y48" s="20" t="n">
        <v>46321</v>
      </c>
      <c r="Z48" s="19" t="inlineStr">
        <is>
          <t>Nivel 3: validada por decisión del responsable de la base de datos. Pregunta registrada para desarrollo: ¿En qué se diferencia cod_division de tip_division y qué valores toma?</t>
        </is>
      </c>
      <c r="AA48" s="18">
        <f>IF(OR(V48="Aprobada"),R48,IF(AND(OR(V48="Aprobada con ajuste",V48="Rechazada"),W48&lt;&gt;""),W48,""))</f>
        <v/>
      </c>
    </row>
    <row r="49">
      <c r="A49" s="18" t="inlineStr">
        <is>
          <t>C0048</t>
        </is>
      </c>
      <c r="B49" s="18" t="inlineStr">
        <is>
          <t>Identidad y acceso</t>
        </is>
      </c>
      <c r="C49" s="18" t="inlineStr">
        <is>
          <t>auth</t>
        </is>
      </c>
      <c r="D49" s="18" t="inlineStr">
        <is>
          <t>geopolitica</t>
        </is>
      </c>
      <c r="E49" s="18" t="n">
        <v>1155</v>
      </c>
      <c r="F49" s="18" t="inlineStr">
        <is>
          <t>cod_zon_geografica</t>
        </is>
      </c>
      <c r="G49" s="18" t="inlineStr">
        <is>
          <t>character varying(6)</t>
        </is>
      </c>
      <c r="H49" s="18" t="inlineStr">
        <is>
          <t>Sí</t>
        </is>
      </c>
      <c r="I49" s="18" t="inlineStr"/>
      <c r="J49" s="18" t="inlineStr"/>
      <c r="K49" s="18" t="inlineStr"/>
      <c r="L49" s="18" t="inlineStr">
        <is>
          <t>No</t>
        </is>
      </c>
      <c r="M49" s="18" t="inlineStr">
        <is>
          <t>No</t>
        </is>
      </c>
      <c r="N49" s="18" t="inlineStr"/>
      <c r="O49" s="18" t="inlineStr"/>
      <c r="P49" s="18" t="inlineStr">
        <is>
          <t>Mapeada en auth-service/src/users/geopolitica.entity.ts:39 (Geopolitica.codZonGeografica)</t>
        </is>
      </c>
      <c r="Q49" s="18" t="inlineStr">
        <is>
          <t>Código fuente (verificado)</t>
        </is>
      </c>
      <c r="R49" s="18" t="inlineStr">
        <is>
          <t>Código de la zona geográfica a la que pertenece la división.</t>
        </is>
      </c>
      <c r="S49" s="18" t="inlineStr">
        <is>
          <t>Media</t>
        </is>
      </c>
      <c r="T49" s="18" t="inlineStr">
        <is>
          <t>backend/auth-service/src/users/geopolitica.entity.ts:39: varchar(6) | ningún servicio del backend usa cod_zon_geografica</t>
        </is>
      </c>
      <c r="U49" s="18" t="inlineStr">
        <is>
          <t>¿Qué valores toma la zona geográfica y de qué catálogo provienen?</t>
        </is>
      </c>
      <c r="V49" s="19" t="inlineStr">
        <is>
          <t>Aprobada</t>
        </is>
      </c>
      <c r="W49" s="19" t="inlineStr"/>
      <c r="X49" s="19" t="inlineStr">
        <is>
          <t>Aldair González (validación del responsable de BD)</t>
        </is>
      </c>
      <c r="Y49" s="20" t="n">
        <v>46321</v>
      </c>
      <c r="Z49" s="19" t="inlineStr">
        <is>
          <t>Nivel 3: validada por decisión del responsable de la base de datos. Pregunta registrada para desarrollo: ¿Qué valores toma la zona geográfica y de qué catálogo provienen?</t>
        </is>
      </c>
      <c r="AA49" s="18">
        <f>IF(OR(V49="Aprobada"),R49,IF(AND(OR(V49="Aprobada con ajuste",V49="Rechazada"),W49&lt;&gt;""),W49,""))</f>
        <v/>
      </c>
    </row>
    <row r="50">
      <c r="A50" s="18" t="inlineStr">
        <is>
          <t>C0049</t>
        </is>
      </c>
      <c r="B50" s="18" t="inlineStr">
        <is>
          <t>Identidad y acceso</t>
        </is>
      </c>
      <c r="C50" s="18" t="inlineStr">
        <is>
          <t>auth</t>
        </is>
      </c>
      <c r="D50" s="18" t="inlineStr">
        <is>
          <t>geopolitica</t>
        </is>
      </c>
      <c r="E50" s="18" t="n">
        <v>1155</v>
      </c>
      <c r="F50" s="18" t="inlineStr">
        <is>
          <t>fec_ult_act</t>
        </is>
      </c>
      <c r="G50" s="18" t="inlineStr">
        <is>
          <t>date</t>
        </is>
      </c>
      <c r="H50" s="18" t="inlineStr">
        <is>
          <t>Sí</t>
        </is>
      </c>
      <c r="I50" s="18" t="inlineStr"/>
      <c r="J50" s="18" t="inlineStr"/>
      <c r="K50" s="18" t="inlineStr"/>
      <c r="L50" s="18" t="inlineStr">
        <is>
          <t>No</t>
        </is>
      </c>
      <c r="M50" s="18" t="inlineStr">
        <is>
          <t>No</t>
        </is>
      </c>
      <c r="N50" s="18" t="inlineStr"/>
      <c r="O50" s="18" t="inlineStr"/>
      <c r="P50" s="18" t="inlineStr">
        <is>
          <t>Mapeada en auth-service/src/users/geopolitica.entity.ts:42 (Geopolitica.fecUltAct)</t>
        </is>
      </c>
      <c r="Q50" s="18" t="inlineStr">
        <is>
          <t>Propuesta semántica</t>
        </is>
      </c>
      <c r="R50" s="18" t="inlineStr">
        <is>
          <t>Fecha de la última actualización del registro.</t>
        </is>
      </c>
      <c r="S50" s="18" t="inlineStr">
        <is>
          <t>Alta</t>
        </is>
      </c>
      <c r="T50" s="18" t="inlineStr">
        <is>
          <t>nombre + tipo + columnas vecinas</t>
        </is>
      </c>
      <c r="U50" s="18" t="inlineStr"/>
      <c r="V50" s="19" t="inlineStr">
        <is>
          <t>Aprobada</t>
        </is>
      </c>
      <c r="W50" s="19" t="inlineStr"/>
      <c r="X50" s="19" t="inlineStr">
        <is>
          <t>Aldair González (aprobación en bloque)</t>
        </is>
      </c>
      <c r="Y50" s="20" t="n">
        <v>46321</v>
      </c>
      <c r="Z50" s="19" t="inlineStr">
        <is>
          <t>Nivel 1: propuesta del comentario del desarrollador o de confianza alta, o regla de fecha/responsable/motivo.</t>
        </is>
      </c>
      <c r="AA50" s="18">
        <f>IF(OR(V50="Aprobada"),R50,IF(AND(OR(V50="Aprobada con ajuste",V50="Rechazada"),W50&lt;&gt;""),W50,""))</f>
        <v/>
      </c>
    </row>
    <row r="51">
      <c r="A51" s="18" t="inlineStr">
        <is>
          <t>C0050</t>
        </is>
      </c>
      <c r="B51" s="18" t="inlineStr">
        <is>
          <t>Identidad y acceso</t>
        </is>
      </c>
      <c r="C51" s="18" t="inlineStr">
        <is>
          <t>auth</t>
        </is>
      </c>
      <c r="D51" s="18" t="inlineStr">
        <is>
          <t>geopolitica</t>
        </is>
      </c>
      <c r="E51" s="18" t="n">
        <v>1155</v>
      </c>
      <c r="F51" s="18" t="inlineStr">
        <is>
          <t>fec_creacion</t>
        </is>
      </c>
      <c r="G51" s="18" t="inlineStr">
        <is>
          <t>date</t>
        </is>
      </c>
      <c r="H51" s="18" t="inlineStr">
        <is>
          <t>Sí</t>
        </is>
      </c>
      <c r="I51" s="18" t="inlineStr"/>
      <c r="J51" s="18" t="inlineStr"/>
      <c r="K51" s="18" t="inlineStr"/>
      <c r="L51" s="18" t="inlineStr">
        <is>
          <t>No</t>
        </is>
      </c>
      <c r="M51" s="18" t="inlineStr">
        <is>
          <t>No</t>
        </is>
      </c>
      <c r="N51" s="18" t="inlineStr"/>
      <c r="O51" s="18" t="inlineStr"/>
      <c r="P51" s="18" t="inlineStr">
        <is>
          <t>Mapeada en auth-service/src/users/geopolitica.entity.ts:45 (Geopolitica.fecCreacion)</t>
        </is>
      </c>
      <c r="Q51" s="18" t="inlineStr">
        <is>
          <t>Propuesta semántica</t>
        </is>
      </c>
      <c r="R51" s="18" t="inlineStr">
        <is>
          <t>Fecha de creación del registro.</t>
        </is>
      </c>
      <c r="S51" s="18" t="inlineStr">
        <is>
          <t>Alta</t>
        </is>
      </c>
      <c r="T51" s="18" t="inlineStr">
        <is>
          <t>nombre + tipo + columnas vecinas</t>
        </is>
      </c>
      <c r="U51" s="18" t="inlineStr"/>
      <c r="V51" s="19" t="inlineStr">
        <is>
          <t>Aprobada</t>
        </is>
      </c>
      <c r="W51" s="19" t="inlineStr"/>
      <c r="X51" s="19" t="inlineStr">
        <is>
          <t>Aldair González (aprobación en bloque)</t>
        </is>
      </c>
      <c r="Y51" s="20" t="n">
        <v>46321</v>
      </c>
      <c r="Z51" s="19" t="inlineStr">
        <is>
          <t>Nivel 1: propuesta del comentario del desarrollador o de confianza alta, o regla de fecha/responsable/motivo.</t>
        </is>
      </c>
      <c r="AA51" s="18">
        <f>IF(OR(V51="Aprobada"),R51,IF(AND(OR(V51="Aprobada con ajuste",V51="Rechazada"),W51&lt;&gt;""),W51,""))</f>
        <v/>
      </c>
    </row>
    <row r="52">
      <c r="A52" s="18" t="inlineStr">
        <is>
          <t>C0051</t>
        </is>
      </c>
      <c r="B52" s="18" t="inlineStr">
        <is>
          <t>Identidad y acceso</t>
        </is>
      </c>
      <c r="C52" s="18" t="inlineStr">
        <is>
          <t>auth</t>
        </is>
      </c>
      <c r="D52" s="18" t="inlineStr">
        <is>
          <t>geopolitica</t>
        </is>
      </c>
      <c r="E52" s="18" t="n">
        <v>1155</v>
      </c>
      <c r="F52" s="18" t="inlineStr">
        <is>
          <t>usu_creacion</t>
        </is>
      </c>
      <c r="G52" s="18" t="inlineStr">
        <is>
          <t>character varying(20)</t>
        </is>
      </c>
      <c r="H52" s="18" t="inlineStr">
        <is>
          <t>Sí</t>
        </is>
      </c>
      <c r="I52" s="18" t="inlineStr"/>
      <c r="J52" s="18" t="inlineStr"/>
      <c r="K52" s="18" t="inlineStr"/>
      <c r="L52" s="18" t="inlineStr">
        <is>
          <t>No</t>
        </is>
      </c>
      <c r="M52" s="18" t="inlineStr">
        <is>
          <t>No</t>
        </is>
      </c>
      <c r="N52" s="18" t="inlineStr"/>
      <c r="O52" s="18" t="inlineStr"/>
      <c r="P52" s="18" t="inlineStr">
        <is>
          <t>Mapeada en auth-service/src/users/geopolitica.entity.ts:48 (Geopolitica.usuCreacion)</t>
        </is>
      </c>
      <c r="Q52" s="18" t="inlineStr">
        <is>
          <t>Código fuente (verificado)</t>
        </is>
      </c>
      <c r="R52" s="18" t="inlineStr">
        <is>
          <t>Usuario que creó el registro.</t>
        </is>
      </c>
      <c r="S52" s="18" t="inlineStr">
        <is>
          <t>Media</t>
        </is>
      </c>
      <c r="T52" s="18" t="inlineStr">
        <is>
          <t>backend/auth-service/src/users/geopolitica.entity.ts:48: varchar(20) | ningún servicio del backend escribe en auth.geopolitica</t>
        </is>
      </c>
      <c r="U52" s="18" t="inlineStr">
        <is>
          <t>¿usu_creacion guarda el nombre de usuario del sistema de origen?</t>
        </is>
      </c>
      <c r="V52" s="19" t="inlineStr">
        <is>
          <t>Aprobada</t>
        </is>
      </c>
      <c r="W52" s="19" t="inlineStr"/>
      <c r="X52" s="19" t="inlineStr">
        <is>
          <t>Aldair González (validación del responsable de BD)</t>
        </is>
      </c>
      <c r="Y52" s="20" t="n">
        <v>46321</v>
      </c>
      <c r="Z52" s="19" t="inlineStr">
        <is>
          <t>Nivel 3: validada por decisión del responsable de la base de datos. Pregunta registrada para desarrollo: ¿usu_creacion guarda el nombre de usuario del sistema de origen?</t>
        </is>
      </c>
      <c r="AA52" s="18">
        <f>IF(OR(V52="Aprobada"),R52,IF(AND(OR(V52="Aprobada con ajuste",V52="Rechazada"),W52&lt;&gt;""),W52,""))</f>
        <v/>
      </c>
    </row>
    <row r="53">
      <c r="A53" s="18" t="inlineStr">
        <is>
          <t>C0052</t>
        </is>
      </c>
      <c r="B53" s="18" t="inlineStr">
        <is>
          <t>Identidad y acceso</t>
        </is>
      </c>
      <c r="C53" s="18" t="inlineStr">
        <is>
          <t>auth</t>
        </is>
      </c>
      <c r="D53" s="18" t="inlineStr">
        <is>
          <t>geopolitica</t>
        </is>
      </c>
      <c r="E53" s="18" t="n">
        <v>1155</v>
      </c>
      <c r="F53" s="18" t="inlineStr">
        <is>
          <t>usu_actualizacion</t>
        </is>
      </c>
      <c r="G53" s="18" t="inlineStr">
        <is>
          <t>character varying(20)</t>
        </is>
      </c>
      <c r="H53" s="18" t="inlineStr">
        <is>
          <t>Sí</t>
        </is>
      </c>
      <c r="I53" s="18" t="inlineStr"/>
      <c r="J53" s="18" t="inlineStr"/>
      <c r="K53" s="18" t="inlineStr"/>
      <c r="L53" s="18" t="inlineStr">
        <is>
          <t>No</t>
        </is>
      </c>
      <c r="M53" s="18" t="inlineStr">
        <is>
          <t>No</t>
        </is>
      </c>
      <c r="N53" s="18" t="inlineStr"/>
      <c r="O53" s="18" t="inlineStr"/>
      <c r="P53" s="18" t="inlineStr">
        <is>
          <t>Mapeada en auth-service/src/users/geopolitica.entity.ts:51 (Geopolitica.usuActualizacion)</t>
        </is>
      </c>
      <c r="Q53" s="18" t="inlineStr">
        <is>
          <t>Código fuente (verificado)</t>
        </is>
      </c>
      <c r="R53" s="18" t="inlineStr">
        <is>
          <t>Usuario que hizo la última actualización del registro.</t>
        </is>
      </c>
      <c r="S53" s="18" t="inlineStr">
        <is>
          <t>Media</t>
        </is>
      </c>
      <c r="T53" s="18" t="inlineStr">
        <is>
          <t>backend/auth-service/src/users/geopolitica.entity.ts:51: varchar(20) | ningún servicio del backend escribe en auth.geopolitica</t>
        </is>
      </c>
      <c r="U53" s="18" t="inlineStr">
        <is>
          <t>¿usu_actualizacion guarda el nombre de usuario del sistema de origen?</t>
        </is>
      </c>
      <c r="V53" s="19" t="inlineStr">
        <is>
          <t>Aprobada</t>
        </is>
      </c>
      <c r="W53" s="19" t="inlineStr"/>
      <c r="X53" s="19" t="inlineStr">
        <is>
          <t>Aldair González (validación del responsable de BD)</t>
        </is>
      </c>
      <c r="Y53" s="20" t="n">
        <v>46321</v>
      </c>
      <c r="Z53" s="19" t="inlineStr">
        <is>
          <t>Nivel 3: validada por decisión del responsable de la base de datos. Pregunta registrada para desarrollo: ¿usu_actualizacion guarda el nombre de usuario del sistema de origen?</t>
        </is>
      </c>
      <c r="AA53" s="18">
        <f>IF(OR(V53="Aprobada"),R53,IF(AND(OR(V53="Aprobada con ajuste",V53="Rechazada"),W53&lt;&gt;""),W53,""))</f>
        <v/>
      </c>
    </row>
    <row r="54">
      <c r="A54" s="18" t="inlineStr">
        <is>
          <t>C0053</t>
        </is>
      </c>
      <c r="B54" s="18" t="inlineStr">
        <is>
          <t>Identidad y acceso</t>
        </is>
      </c>
      <c r="C54" s="18" t="inlineStr">
        <is>
          <t>auth</t>
        </is>
      </c>
      <c r="D54" s="18" t="inlineStr">
        <is>
          <t>geopolitica</t>
        </is>
      </c>
      <c r="E54" s="18" t="n">
        <v>1155</v>
      </c>
      <c r="F54" s="18" t="inlineStr">
        <is>
          <t>cod_intl_pais</t>
        </is>
      </c>
      <c r="G54" s="18" t="inlineStr">
        <is>
          <t>character varying(3)</t>
        </is>
      </c>
      <c r="H54" s="18" t="inlineStr">
        <is>
          <t>Sí</t>
        </is>
      </c>
      <c r="I54" s="18" t="inlineStr"/>
      <c r="J54" s="18" t="inlineStr"/>
      <c r="K54" s="18" t="inlineStr"/>
      <c r="L54" s="18" t="inlineStr">
        <is>
          <t>No</t>
        </is>
      </c>
      <c r="M54" s="18" t="inlineStr">
        <is>
          <t>No</t>
        </is>
      </c>
      <c r="N54" s="18" t="inlineStr"/>
      <c r="O54" s="18" t="inlineStr"/>
      <c r="P54" s="18" t="inlineStr"/>
      <c r="Q54" s="18" t="inlineStr">
        <is>
          <t>Código fuente (verificado)</t>
        </is>
      </c>
      <c r="R54" s="18" t="inlineStr">
        <is>
          <t>Código internacional del país (tres caracteres).</t>
        </is>
      </c>
      <c r="S54" s="18" t="inlineStr">
        <is>
          <t>Media</t>
        </is>
      </c>
      <c r="T54" s="18" t="inlineStr">
        <is>
          <t>backend/auth-service/schema.sql:323: COD_INTL_PAIS VARCHAR(3) en la tabla de origen | no está mapeada en la entidad Geopolitica ni la usa ningún servicio</t>
        </is>
      </c>
      <c r="U54" s="18" t="inlineStr">
        <is>
          <t>¿Sigue ISO 3166-1 (alfa-3 o numérico)?</t>
        </is>
      </c>
      <c r="V54" s="19" t="inlineStr">
        <is>
          <t>Aprobada</t>
        </is>
      </c>
      <c r="W54" s="19" t="inlineStr"/>
      <c r="X54" s="19" t="inlineStr">
        <is>
          <t>Aldair González (validación del responsable de BD)</t>
        </is>
      </c>
      <c r="Y54" s="20" t="n">
        <v>46321</v>
      </c>
      <c r="Z54" s="19" t="inlineStr">
        <is>
          <t>Nivel 3: validada por decisión del responsable de la base de datos. Pregunta registrada para desarrollo: ¿Sigue ISO 3166-1 (alfa-3 o numérico)?</t>
        </is>
      </c>
      <c r="AA54" s="18">
        <f>IF(OR(V54="Aprobada"),R54,IF(AND(OR(V54="Aprobada con ajuste",V54="Rechazada"),W54&lt;&gt;""),W54,""))</f>
        <v/>
      </c>
    </row>
    <row r="55">
      <c r="A55" s="18" t="inlineStr">
        <is>
          <t>C0054</t>
        </is>
      </c>
      <c r="B55" s="18" t="inlineStr">
        <is>
          <t>Identidad y acceso</t>
        </is>
      </c>
      <c r="C55" s="18" t="inlineStr">
        <is>
          <t>auth</t>
        </is>
      </c>
      <c r="D55" s="18" t="inlineStr">
        <is>
          <t>geopolitica</t>
        </is>
      </c>
      <c r="E55" s="18" t="n">
        <v>1155</v>
      </c>
      <c r="F55" s="18" t="inlineStr">
        <is>
          <t>cod_unso</t>
        </is>
      </c>
      <c r="G55" s="18" t="inlineStr">
        <is>
          <t>character varying(3)</t>
        </is>
      </c>
      <c r="H55" s="18" t="inlineStr">
        <is>
          <t>Sí</t>
        </is>
      </c>
      <c r="I55" s="18" t="inlineStr"/>
      <c r="J55" s="18" t="inlineStr"/>
      <c r="K55" s="18" t="inlineStr"/>
      <c r="L55" s="18" t="inlineStr">
        <is>
          <t>No</t>
        </is>
      </c>
      <c r="M55" s="18" t="inlineStr">
        <is>
          <t>No</t>
        </is>
      </c>
      <c r="N55" s="18" t="inlineStr"/>
      <c r="O55" s="18" t="inlineStr"/>
      <c r="P55" s="18" t="inlineStr"/>
      <c r="Q55" s="18" t="inlineStr">
        <is>
          <t>Código fuente (verificado)</t>
        </is>
      </c>
      <c r="R55" s="18" t="inlineStr">
        <is>
          <t>Código del país de tres caracteres; su codificación está por confirmar.</t>
        </is>
      </c>
      <c r="S55" s="18" t="inlineStr">
        <is>
          <t>Media</t>
        </is>
      </c>
      <c r="T55" s="18" t="inlineStr">
        <is>
          <t>backend/auth-service/schema.sql:324: COD_UNSO VARCHAR(3) en la tabla de origen | no está mapeada en la entidad Geopolitica ni la usa ningún servicio</t>
        </is>
      </c>
      <c r="U55" s="18" t="inlineStr">
        <is>
          <t>¿Qué significa UNSO y qué codificación sigue?</t>
        </is>
      </c>
      <c r="V55" s="19" t="inlineStr">
        <is>
          <t>Aprobada</t>
        </is>
      </c>
      <c r="W55" s="19" t="inlineStr"/>
      <c r="X55" s="19" t="inlineStr">
        <is>
          <t>Aldair González (validación del responsable de BD)</t>
        </is>
      </c>
      <c r="Y55" s="20" t="n">
        <v>46321</v>
      </c>
      <c r="Z55" s="19" t="inlineStr">
        <is>
          <t>Nivel 3: validada por decisión del responsable de la base de datos. Pregunta registrada para desarrollo: ¿Qué significa UNSO y qué codificación sigue?</t>
        </is>
      </c>
      <c r="AA55" s="18">
        <f>IF(OR(V55="Aprobada"),R55,IF(AND(OR(V55="Aprobada con ajuste",V55="Rechazada"),W55&lt;&gt;""),W55,""))</f>
        <v/>
      </c>
    </row>
    <row r="56">
      <c r="A56" s="18" t="inlineStr">
        <is>
          <t>C0055</t>
        </is>
      </c>
      <c r="B56" s="18" t="inlineStr">
        <is>
          <t>Identidad y acceso</t>
        </is>
      </c>
      <c r="C56" s="18" t="inlineStr">
        <is>
          <t>auth</t>
        </is>
      </c>
      <c r="D56" s="18" t="inlineStr">
        <is>
          <t>geopolitica</t>
        </is>
      </c>
      <c r="E56" s="18" t="n">
        <v>1155</v>
      </c>
      <c r="F56" s="18" t="inlineStr">
        <is>
          <t>cod_dian</t>
        </is>
      </c>
      <c r="G56" s="18" t="inlineStr">
        <is>
          <t>character varying(3)</t>
        </is>
      </c>
      <c r="H56" s="18" t="inlineStr">
        <is>
          <t>Sí</t>
        </is>
      </c>
      <c r="I56" s="18" t="inlineStr"/>
      <c r="J56" s="18" t="inlineStr"/>
      <c r="K56" s="18" t="inlineStr"/>
      <c r="L56" s="18" t="inlineStr">
        <is>
          <t>No</t>
        </is>
      </c>
      <c r="M56" s="18" t="inlineStr">
        <is>
          <t>No</t>
        </is>
      </c>
      <c r="N56" s="18" t="inlineStr"/>
      <c r="O56" s="18" t="inlineStr"/>
      <c r="P56" s="18" t="inlineStr"/>
      <c r="Q56" s="18" t="inlineStr">
        <is>
          <t>Código fuente (verificado)</t>
        </is>
      </c>
      <c r="R56" s="18" t="inlineStr">
        <is>
          <t>Código del país o división asignado por la DIAN.</t>
        </is>
      </c>
      <c r="S56" s="18" t="inlineStr">
        <is>
          <t>Media</t>
        </is>
      </c>
      <c r="T56" s="18" t="inlineStr">
        <is>
          <t>backend/auth-service/schema.sql:325: COD_DIAN VARCHAR(3) en la tabla de origen | no está mapeada en la entidad Geopolitica ni la usa ningún servicio</t>
        </is>
      </c>
      <c r="U56" s="18" t="inlineStr">
        <is>
          <t>¿Es el código de país de la DIAN usado en información exógena?</t>
        </is>
      </c>
      <c r="V56" s="19" t="inlineStr">
        <is>
          <t>Aprobada</t>
        </is>
      </c>
      <c r="W56" s="19" t="inlineStr"/>
      <c r="X56" s="19" t="inlineStr">
        <is>
          <t>Aldair González (validación del responsable de BD)</t>
        </is>
      </c>
      <c r="Y56" s="20" t="n">
        <v>46321</v>
      </c>
      <c r="Z56" s="19" t="inlineStr">
        <is>
          <t>Nivel 3: validada por decisión del responsable de la base de datos. Pregunta registrada para desarrollo: ¿Es el código de país de la DIAN usado en información exógena?</t>
        </is>
      </c>
      <c r="AA56" s="18">
        <f>IF(OR(V56="Aprobada"),R56,IF(AND(OR(V56="Aprobada con ajuste",V56="Rechazada"),W56&lt;&gt;""),W56,""))</f>
        <v/>
      </c>
    </row>
    <row r="57">
      <c r="A57" s="18" t="inlineStr">
        <is>
          <t>C0056</t>
        </is>
      </c>
      <c r="B57" s="18" t="inlineStr">
        <is>
          <t>Identidad y acceso</t>
        </is>
      </c>
      <c r="C57" s="18" t="inlineStr">
        <is>
          <t>auth</t>
        </is>
      </c>
      <c r="D57" s="18" t="inlineStr">
        <is>
          <t>geopolitica</t>
        </is>
      </c>
      <c r="E57" s="18" t="n">
        <v>1155</v>
      </c>
      <c r="F57" s="18" t="inlineStr">
        <is>
          <t>cod_lat</t>
        </is>
      </c>
      <c r="G57" s="18" t="inlineStr">
        <is>
          <t>numeric(11,8)</t>
        </is>
      </c>
      <c r="H57" s="18" t="inlineStr">
        <is>
          <t>Sí</t>
        </is>
      </c>
      <c r="I57" s="18" t="inlineStr"/>
      <c r="J57" s="18" t="inlineStr"/>
      <c r="K57" s="18" t="inlineStr"/>
      <c r="L57" s="18" t="inlineStr">
        <is>
          <t>No</t>
        </is>
      </c>
      <c r="M57" s="18" t="inlineStr">
        <is>
          <t>No</t>
        </is>
      </c>
      <c r="N57" s="18" t="inlineStr"/>
      <c r="O57" s="18" t="inlineStr"/>
      <c r="P57" s="18" t="inlineStr">
        <is>
          <t>Mapeada en auth-service/src/users/geopolitica.entity.ts:54 (Geopolitica.codLat)</t>
        </is>
      </c>
      <c r="Q57" s="18" t="inlineStr">
        <is>
          <t>Propuesta semántica</t>
        </is>
      </c>
      <c r="R57" s="18" t="inlineStr">
        <is>
          <t>Latitud geográfica de la división, en grados decimales.</t>
        </is>
      </c>
      <c r="S57" s="18" t="inlineStr">
        <is>
          <t>Alta</t>
        </is>
      </c>
      <c r="T57" s="18" t="inlineStr">
        <is>
          <t>nombre + tipo + columnas vecinas (cod_lon)</t>
        </is>
      </c>
      <c r="U57" s="18" t="inlineStr"/>
      <c r="V57" s="19" t="inlineStr">
        <is>
          <t>Aprobada</t>
        </is>
      </c>
      <c r="W57" s="19" t="inlineStr"/>
      <c r="X57" s="19" t="inlineStr">
        <is>
          <t>Aldair González (aprobación en bloque)</t>
        </is>
      </c>
      <c r="Y57" s="20" t="n">
        <v>46321</v>
      </c>
      <c r="Z57" s="19" t="inlineStr">
        <is>
          <t>Nivel 1: propuesta del comentario del desarrollador o de confianza alta, o regla de fecha/responsable/motivo.</t>
        </is>
      </c>
      <c r="AA57" s="18">
        <f>IF(OR(V57="Aprobada"),R57,IF(AND(OR(V57="Aprobada con ajuste",V57="Rechazada"),W57&lt;&gt;""),W57,""))</f>
        <v/>
      </c>
    </row>
    <row r="58">
      <c r="A58" s="18" t="inlineStr">
        <is>
          <t>C0057</t>
        </is>
      </c>
      <c r="B58" s="18" t="inlineStr">
        <is>
          <t>Identidad y acceso</t>
        </is>
      </c>
      <c r="C58" s="18" t="inlineStr">
        <is>
          <t>auth</t>
        </is>
      </c>
      <c r="D58" s="18" t="inlineStr">
        <is>
          <t>geopolitica</t>
        </is>
      </c>
      <c r="E58" s="18" t="n">
        <v>1155</v>
      </c>
      <c r="F58" s="18" t="inlineStr">
        <is>
          <t>cod_lon</t>
        </is>
      </c>
      <c r="G58" s="18" t="inlineStr">
        <is>
          <t>numeric(11,8)</t>
        </is>
      </c>
      <c r="H58" s="18" t="inlineStr">
        <is>
          <t>Sí</t>
        </is>
      </c>
      <c r="I58" s="18" t="inlineStr"/>
      <c r="J58" s="18" t="inlineStr"/>
      <c r="K58" s="18" t="inlineStr"/>
      <c r="L58" s="18" t="inlineStr">
        <is>
          <t>No</t>
        </is>
      </c>
      <c r="M58" s="18" t="inlineStr">
        <is>
          <t>No</t>
        </is>
      </c>
      <c r="N58" s="18" t="inlineStr"/>
      <c r="O58" s="18" t="inlineStr"/>
      <c r="P58" s="18" t="inlineStr">
        <is>
          <t>Mapeada en auth-service/src/users/geopolitica.entity.ts:57 (Geopolitica.codLon)</t>
        </is>
      </c>
      <c r="Q58" s="18" t="inlineStr">
        <is>
          <t>Propuesta semántica</t>
        </is>
      </c>
      <c r="R58" s="18" t="inlineStr">
        <is>
          <t>Longitud geográfica de la división, en grados decimales.</t>
        </is>
      </c>
      <c r="S58" s="18" t="inlineStr">
        <is>
          <t>Alta</t>
        </is>
      </c>
      <c r="T58" s="18" t="inlineStr">
        <is>
          <t>nombre + tipo + columnas vecinas (cod_lat)</t>
        </is>
      </c>
      <c r="U58" s="18" t="inlineStr"/>
      <c r="V58" s="19" t="inlineStr">
        <is>
          <t>Aprobada</t>
        </is>
      </c>
      <c r="W58" s="19" t="inlineStr"/>
      <c r="X58" s="19" t="inlineStr">
        <is>
          <t>Aldair González (aprobación en bloque)</t>
        </is>
      </c>
      <c r="Y58" s="20" t="n">
        <v>46321</v>
      </c>
      <c r="Z58" s="19" t="inlineStr">
        <is>
          <t>Nivel 1: propuesta del comentario del desarrollador o de confianza alta, o regla de fecha/responsable/motivo.</t>
        </is>
      </c>
      <c r="AA58" s="18">
        <f>IF(OR(V58="Aprobada"),R58,IF(AND(OR(V58="Aprobada con ajuste",V58="Rechazada"),W58&lt;&gt;""),W58,""))</f>
        <v/>
      </c>
    </row>
    <row r="59">
      <c r="A59" s="18" t="inlineStr">
        <is>
          <t>C0058</t>
        </is>
      </c>
      <c r="B59" s="18" t="inlineStr">
        <is>
          <t>Identidad y acceso</t>
        </is>
      </c>
      <c r="C59" s="18" t="inlineStr">
        <is>
          <t>auth</t>
        </is>
      </c>
      <c r="D59" s="18" t="inlineStr">
        <is>
          <t>geopolitica</t>
        </is>
      </c>
      <c r="E59" s="18" t="n">
        <v>1155</v>
      </c>
      <c r="F59" s="18" t="inlineStr">
        <is>
          <t>cod_idioma</t>
        </is>
      </c>
      <c r="G59" s="18" t="inlineStr">
        <is>
          <t>character varying(3)</t>
        </is>
      </c>
      <c r="H59" s="18" t="inlineStr">
        <is>
          <t>Sí</t>
        </is>
      </c>
      <c r="I59" s="18" t="inlineStr"/>
      <c r="J59" s="18" t="inlineStr"/>
      <c r="K59" s="18" t="inlineStr"/>
      <c r="L59" s="18" t="inlineStr">
        <is>
          <t>No</t>
        </is>
      </c>
      <c r="M59" s="18" t="inlineStr">
        <is>
          <t>No</t>
        </is>
      </c>
      <c r="N59" s="18" t="inlineStr"/>
      <c r="O59" s="18" t="inlineStr"/>
      <c r="P59" s="18" t="inlineStr"/>
      <c r="Q59" s="18" t="inlineStr">
        <is>
          <t>Código fuente (verificado)</t>
        </is>
      </c>
      <c r="R59" s="18" t="inlineStr">
        <is>
          <t>Código del idioma principal de la división geopolítica.</t>
        </is>
      </c>
      <c r="S59" s="18" t="inlineStr">
        <is>
          <t>Media</t>
        </is>
      </c>
      <c r="T59" s="18" t="inlineStr">
        <is>
          <t>backend/auth-service/schema.sql:329: COD_IDIOMA VARCHAR(3) en la tabla de origen | no está mapeada en la entidad Geopolitica ni la usa ningún servicio</t>
        </is>
      </c>
      <c r="U59" s="18" t="inlineStr">
        <is>
          <t>¿Sigue ISO 639?</t>
        </is>
      </c>
      <c r="V59" s="19" t="inlineStr">
        <is>
          <t>Aprobada</t>
        </is>
      </c>
      <c r="W59" s="19" t="inlineStr"/>
      <c r="X59" s="19" t="inlineStr">
        <is>
          <t>Aldair González (validación del responsable de BD)</t>
        </is>
      </c>
      <c r="Y59" s="20" t="n">
        <v>46321</v>
      </c>
      <c r="Z59" s="19" t="inlineStr">
        <is>
          <t>Nivel 3: validada por decisión del responsable de la base de datos. Pregunta registrada para desarrollo: ¿Sigue ISO 639?</t>
        </is>
      </c>
      <c r="AA59" s="18">
        <f>IF(OR(V59="Aprobada"),R59,IF(AND(OR(V59="Aprobada con ajuste",V59="Rechazada"),W59&lt;&gt;""),W59,""))</f>
        <v/>
      </c>
    </row>
    <row r="60">
      <c r="A60" s="18" t="inlineStr">
        <is>
          <t>C0059</t>
        </is>
      </c>
      <c r="B60" s="18" t="inlineStr">
        <is>
          <t>Identidad y acceso</t>
        </is>
      </c>
      <c r="C60" s="18" t="inlineStr">
        <is>
          <t>auth</t>
        </is>
      </c>
      <c r="D60" s="18" t="inlineStr">
        <is>
          <t>geopolitica</t>
        </is>
      </c>
      <c r="E60" s="18" t="n">
        <v>1155</v>
      </c>
      <c r="F60" s="18" t="inlineStr">
        <is>
          <t>nom_idioma</t>
        </is>
      </c>
      <c r="G60" s="18" t="inlineStr">
        <is>
          <t>character varying(250)</t>
        </is>
      </c>
      <c r="H60" s="18" t="inlineStr">
        <is>
          <t>Sí</t>
        </is>
      </c>
      <c r="I60" s="18" t="inlineStr"/>
      <c r="J60" s="18" t="inlineStr"/>
      <c r="K60" s="18" t="inlineStr"/>
      <c r="L60" s="18" t="inlineStr">
        <is>
          <t>No</t>
        </is>
      </c>
      <c r="M60" s="18" t="inlineStr">
        <is>
          <t>No</t>
        </is>
      </c>
      <c r="N60" s="18" t="inlineStr"/>
      <c r="O60" s="18" t="inlineStr"/>
      <c r="P60" s="18" t="inlineStr"/>
      <c r="Q60" s="18" t="inlineStr">
        <is>
          <t>Código fuente (verificado)</t>
        </is>
      </c>
      <c r="R60" s="18" t="inlineStr">
        <is>
          <t>Nombre del idioma principal de la división geopolítica.</t>
        </is>
      </c>
      <c r="S60" s="18" t="inlineStr">
        <is>
          <t>Media</t>
        </is>
      </c>
      <c r="T60" s="18" t="inlineStr">
        <is>
          <t>backend/auth-service/schema.sql:330: NOM_IDIOMA VARCHAR(250) en la tabla de origen | no está mapeada en la entidad Geopolitica ni la usa ningún servicio</t>
        </is>
      </c>
      <c r="U60" s="18" t="inlineStr">
        <is>
          <t>¿Se usa este dato en algún módulo? El backend no lo lee.</t>
        </is>
      </c>
      <c r="V60" s="19" t="inlineStr">
        <is>
          <t>Aprobada</t>
        </is>
      </c>
      <c r="W60" s="19" t="inlineStr"/>
      <c r="X60" s="19" t="inlineStr">
        <is>
          <t>Aldair González (validación del responsable de BD)</t>
        </is>
      </c>
      <c r="Y60" s="20" t="n">
        <v>46321</v>
      </c>
      <c r="Z60" s="19" t="inlineStr">
        <is>
          <t>Nivel 3: validada por decisión del responsable de la base de datos. Pregunta registrada para desarrollo: ¿Se usa este dato en algún módulo? El backend no lo lee.</t>
        </is>
      </c>
      <c r="AA60" s="18">
        <f>IF(OR(V60="Aprobada"),R60,IF(AND(OR(V60="Aprobada con ajuste",V60="Rechazada"),W60&lt;&gt;""),W60,""))</f>
        <v/>
      </c>
    </row>
    <row r="61">
      <c r="A61" s="18" t="inlineStr">
        <is>
          <t>C0060</t>
        </is>
      </c>
      <c r="B61" s="18" t="inlineStr">
        <is>
          <t>Identidad y acceso</t>
        </is>
      </c>
      <c r="C61" s="18" t="inlineStr">
        <is>
          <t>auth</t>
        </is>
      </c>
      <c r="D61" s="18" t="inlineStr">
        <is>
          <t>geopolitica</t>
        </is>
      </c>
      <c r="E61" s="18" t="n">
        <v>1155</v>
      </c>
      <c r="F61" s="18" t="inlineStr">
        <is>
          <t>cod_idm</t>
        </is>
      </c>
      <c r="G61" s="18" t="inlineStr">
        <is>
          <t>character varying(3)</t>
        </is>
      </c>
      <c r="H61" s="18" t="inlineStr">
        <is>
          <t>Sí</t>
        </is>
      </c>
      <c r="I61" s="18" t="inlineStr"/>
      <c r="J61" s="18" t="inlineStr"/>
      <c r="K61" s="18" t="inlineStr"/>
      <c r="L61" s="18" t="inlineStr">
        <is>
          <t>No</t>
        </is>
      </c>
      <c r="M61" s="18" t="inlineStr">
        <is>
          <t>No</t>
        </is>
      </c>
      <c r="N61" s="18" t="inlineStr"/>
      <c r="O61" s="18" t="inlineStr"/>
      <c r="P61" s="18" t="inlineStr"/>
      <c r="Q61" s="18" t="inlineStr">
        <is>
          <t>Código fuente (verificado)</t>
        </is>
      </c>
      <c r="R61" s="18" t="inlineStr">
        <is>
          <t>Código de idioma abreviado de la división geopolítica.</t>
        </is>
      </c>
      <c r="S61" s="18" t="inlineStr">
        <is>
          <t>Media</t>
        </is>
      </c>
      <c r="T61" s="18" t="inlineStr">
        <is>
          <t>backend/auth-service/schema.sql:331: COD_IDM VARCHAR(3) en la tabla de origen | no está mapeada en la entidad Geopolitica ni la usa ningún servicio</t>
        </is>
      </c>
      <c r="U61" s="18" t="inlineStr">
        <is>
          <t>¿En qué se diferencia cod_idm de cod_idioma?</t>
        </is>
      </c>
      <c r="V61" s="19" t="inlineStr">
        <is>
          <t>Aprobada</t>
        </is>
      </c>
      <c r="W61" s="19" t="inlineStr"/>
      <c r="X61" s="19" t="inlineStr">
        <is>
          <t>Aldair González (validación del responsable de BD)</t>
        </is>
      </c>
      <c r="Y61" s="20" t="n">
        <v>46321</v>
      </c>
      <c r="Z61" s="19" t="inlineStr">
        <is>
          <t>Nivel 3: validada por decisión del responsable de la base de datos. Pregunta registrada para desarrollo: ¿En qué se diferencia cod_idm de cod_idioma?</t>
        </is>
      </c>
      <c r="AA61" s="18">
        <f>IF(OR(V61="Aprobada"),R61,IF(AND(OR(V61="Aprobada con ajuste",V61="Rechazada"),W61&lt;&gt;""),W61,""))</f>
        <v/>
      </c>
    </row>
    <row r="62">
      <c r="A62" s="18" t="inlineStr">
        <is>
          <t>C0061</t>
        </is>
      </c>
      <c r="B62" s="18" t="inlineStr">
        <is>
          <t>Identidad y acceso</t>
        </is>
      </c>
      <c r="C62" s="18" t="inlineStr">
        <is>
          <t>auth</t>
        </is>
      </c>
      <c r="D62" s="18" t="inlineStr">
        <is>
          <t>geopolitica</t>
        </is>
      </c>
      <c r="E62" s="18" t="n">
        <v>1155</v>
      </c>
      <c r="F62" s="18" t="inlineStr">
        <is>
          <t>nom_div_geopolitica_tot</t>
        </is>
      </c>
      <c r="G62" s="18" t="inlineStr">
        <is>
          <t>character varying(200)</t>
        </is>
      </c>
      <c r="H62" s="18" t="inlineStr">
        <is>
          <t>Sí</t>
        </is>
      </c>
      <c r="I62" s="18" t="inlineStr"/>
      <c r="J62" s="18" t="inlineStr"/>
      <c r="K62" s="18" t="inlineStr"/>
      <c r="L62" s="18" t="inlineStr">
        <is>
          <t>No</t>
        </is>
      </c>
      <c r="M62" s="18" t="inlineStr">
        <is>
          <t>No</t>
        </is>
      </c>
      <c r="N62" s="18" t="inlineStr"/>
      <c r="O62" s="18" t="inlineStr"/>
      <c r="P62" s="18" t="inlineStr"/>
      <c r="Q62" s="18" t="inlineStr">
        <is>
          <t>Código fuente (verificado)</t>
        </is>
      </c>
      <c r="R62" s="18" t="inlineStr">
        <is>
          <t>Nombre completo de la división geopolítica.</t>
        </is>
      </c>
      <c r="S62" s="18" t="inlineStr">
        <is>
          <t>Media</t>
        </is>
      </c>
      <c r="T62" s="18" t="inlineStr">
        <is>
          <t>backend/auth-service/schema.sql:332: NOM_DIV_GEOPOLITICA_TOT VARCHAR(200) en la tabla de origen | no está mapeada en la entidad Geopolitica ni la usa ningún servicio</t>
        </is>
      </c>
      <c r="U62" s="18" t="inlineStr">
        <is>
          <t>¿El nombre total concatena la jerarquía de la división (municipio, departamento, país)?</t>
        </is>
      </c>
      <c r="V62" s="19" t="inlineStr">
        <is>
          <t>Aprobada</t>
        </is>
      </c>
      <c r="W62" s="19" t="inlineStr"/>
      <c r="X62" s="19" t="inlineStr">
        <is>
          <t>Aldair González (validación del responsable de BD)</t>
        </is>
      </c>
      <c r="Y62" s="20" t="n">
        <v>46321</v>
      </c>
      <c r="Z62" s="19" t="inlineStr">
        <is>
          <t>Nivel 3: validada por decisión del responsable de la base de datos. Pregunta registrada para desarrollo: ¿El nombre total concatena la jerarquía de la división (municipio, departamento, país)?</t>
        </is>
      </c>
      <c r="AA62" s="18">
        <f>IF(OR(V62="Aprobada"),R62,IF(AND(OR(V62="Aprobada con ajuste",V62="Rechazada"),W62&lt;&gt;""),W62,""))</f>
        <v/>
      </c>
    </row>
    <row r="63">
      <c r="A63" s="18" t="inlineStr">
        <is>
          <t>C0062</t>
        </is>
      </c>
      <c r="B63" s="18" t="inlineStr">
        <is>
          <t>Identidad y acceso</t>
        </is>
      </c>
      <c r="C63" s="18" t="inlineStr">
        <is>
          <t>auth</t>
        </is>
      </c>
      <c r="D63" s="18" t="inlineStr">
        <is>
          <t>geopolitica</t>
        </is>
      </c>
      <c r="E63" s="18" t="n">
        <v>1155</v>
      </c>
      <c r="F63" s="18" t="inlineStr">
        <is>
          <t>cod_are_tel</t>
        </is>
      </c>
      <c r="G63" s="18" t="inlineStr">
        <is>
          <t>character varying(6)</t>
        </is>
      </c>
      <c r="H63" s="18" t="inlineStr">
        <is>
          <t>Sí</t>
        </is>
      </c>
      <c r="I63" s="18" t="inlineStr"/>
      <c r="J63" s="18" t="inlineStr"/>
      <c r="K63" s="18" t="inlineStr"/>
      <c r="L63" s="18" t="inlineStr">
        <is>
          <t>No</t>
        </is>
      </c>
      <c r="M63" s="18" t="inlineStr">
        <is>
          <t>No</t>
        </is>
      </c>
      <c r="N63" s="18" t="inlineStr"/>
      <c r="O63" s="18" t="inlineStr"/>
      <c r="P63" s="18" t="inlineStr"/>
      <c r="Q63" s="18" t="inlineStr">
        <is>
          <t>Código fuente (verificado)</t>
        </is>
      </c>
      <c r="R63" s="18" t="inlineStr">
        <is>
          <t>Código de área telefónica (indicativo) de la división geopolítica.</t>
        </is>
      </c>
      <c r="S63" s="18" t="inlineStr">
        <is>
          <t>Media</t>
        </is>
      </c>
      <c r="T63" s="18" t="inlineStr">
        <is>
          <t>backend/auth-service/schema.sql:333: COD_ARE_TEL VARCHAR(6) en la tabla de origen | no está mapeada en la entidad Geopolitica ni la usa ningún servicio</t>
        </is>
      </c>
      <c r="U63" s="18" t="inlineStr">
        <is>
          <t>¿Es el indicativo telefónico nacional o internacional?</t>
        </is>
      </c>
      <c r="V63" s="19" t="inlineStr">
        <is>
          <t>Aprobada</t>
        </is>
      </c>
      <c r="W63" s="19" t="inlineStr"/>
      <c r="X63" s="19" t="inlineStr">
        <is>
          <t>Aldair González (validación del responsable de BD)</t>
        </is>
      </c>
      <c r="Y63" s="20" t="n">
        <v>46321</v>
      </c>
      <c r="Z63" s="19" t="inlineStr">
        <is>
          <t>Nivel 3: validada por decisión del responsable de la base de datos. Pregunta registrada para desarrollo: ¿Es el indicativo telefónico nacional o internacional?</t>
        </is>
      </c>
      <c r="AA63" s="18">
        <f>IF(OR(V63="Aprobada"),R63,IF(AND(OR(V63="Aprobada con ajuste",V63="Rechazada"),W63&lt;&gt;""),W63,""))</f>
        <v/>
      </c>
    </row>
    <row r="64">
      <c r="A64" s="18" t="inlineStr">
        <is>
          <t>C0063</t>
        </is>
      </c>
      <c r="B64" s="18" t="inlineStr">
        <is>
          <t>Identidad y acceso</t>
        </is>
      </c>
      <c r="C64" s="18" t="inlineStr">
        <is>
          <t>auth</t>
        </is>
      </c>
      <c r="D64" s="18" t="inlineStr">
        <is>
          <t>geopolitica</t>
        </is>
      </c>
      <c r="E64" s="18" t="n">
        <v>1155</v>
      </c>
      <c r="F64" s="18" t="inlineStr">
        <is>
          <t>cod_pais_defecto</t>
        </is>
      </c>
      <c r="G64" s="18" t="inlineStr">
        <is>
          <t>character varying(3)</t>
        </is>
      </c>
      <c r="H64" s="18" t="inlineStr">
        <is>
          <t>Sí</t>
        </is>
      </c>
      <c r="I64" s="18" t="inlineStr"/>
      <c r="J64" s="18" t="inlineStr"/>
      <c r="K64" s="18" t="inlineStr"/>
      <c r="L64" s="18" t="inlineStr">
        <is>
          <t>No</t>
        </is>
      </c>
      <c r="M64" s="18" t="inlineStr">
        <is>
          <t>No</t>
        </is>
      </c>
      <c r="N64" s="18" t="inlineStr"/>
      <c r="O64" s="18" t="inlineStr"/>
      <c r="P64" s="18" t="inlineStr"/>
      <c r="Q64" s="18" t="inlineStr">
        <is>
          <t>Código fuente (verificado)</t>
        </is>
      </c>
      <c r="R64" s="18" t="inlineStr">
        <is>
          <t>Código del país por defecto asociado a la división geopolítica.</t>
        </is>
      </c>
      <c r="S64" s="18" t="inlineStr">
        <is>
          <t>Media</t>
        </is>
      </c>
      <c r="T64" s="18" t="inlineStr">
        <is>
          <t>backend/auth-service/schema.sql:334: COD_PAIS_DEFECTO VARCHAR(3) en la tabla de origen | no está mapeada en la entidad Geopolitica ni la usa ningún servicio</t>
        </is>
      </c>
      <c r="U64" s="18" t="inlineStr">
        <is>
          <t>¿Para qué se usa cod_pais_defecto?</t>
        </is>
      </c>
      <c r="V64" s="19" t="inlineStr">
        <is>
          <t>Aprobada</t>
        </is>
      </c>
      <c r="W64" s="19" t="inlineStr"/>
      <c r="X64" s="19" t="inlineStr">
        <is>
          <t>Aldair González (validación del responsable de BD)</t>
        </is>
      </c>
      <c r="Y64" s="20" t="n">
        <v>46321</v>
      </c>
      <c r="Z64" s="19" t="inlineStr">
        <is>
          <t>Nivel 3: validada por decisión del responsable de la base de datos. Pregunta registrada para desarrollo: ¿Para qué se usa cod_pais_defecto?</t>
        </is>
      </c>
      <c r="AA64" s="18">
        <f>IF(OR(V64="Aprobada"),R64,IF(AND(OR(V64="Aprobada con ajuste",V64="Rechazada"),W64&lt;&gt;""),W64,""))</f>
        <v/>
      </c>
    </row>
    <row r="65">
      <c r="A65" s="18" t="inlineStr">
        <is>
          <t>C0064</t>
        </is>
      </c>
      <c r="B65" s="18" t="inlineStr">
        <is>
          <t>Identidad y acceso</t>
        </is>
      </c>
      <c r="C65" s="18" t="inlineStr">
        <is>
          <t>auth</t>
        </is>
      </c>
      <c r="D65" s="18" t="inlineStr">
        <is>
          <t>geopolitica</t>
        </is>
      </c>
      <c r="E65" s="18" t="n">
        <v>1155</v>
      </c>
      <c r="F65" s="18" t="inlineStr">
        <is>
          <t>ind_oculto</t>
        </is>
      </c>
      <c r="G65" s="18" t="inlineStr">
        <is>
          <t>smallint</t>
        </is>
      </c>
      <c r="H65" s="18" t="inlineStr">
        <is>
          <t>No</t>
        </is>
      </c>
      <c r="I65" s="18" t="inlineStr"/>
      <c r="J65" s="18" t="inlineStr"/>
      <c r="K65" s="18" t="inlineStr"/>
      <c r="L65" s="18" t="inlineStr">
        <is>
          <t>No</t>
        </is>
      </c>
      <c r="M65" s="18" t="inlineStr">
        <is>
          <t>No</t>
        </is>
      </c>
      <c r="N65" s="18" t="inlineStr"/>
      <c r="O65" s="18" t="inlineStr"/>
      <c r="P65" s="18" t="inlineStr">
        <is>
          <t>Mapeada en auth-service/src/users/geopolitica.entity.ts:70 (Geopolitica.indOculto)</t>
        </is>
      </c>
      <c r="Q65" s="18" t="inlineStr">
        <is>
          <t>Código fuente (verificado)</t>
        </is>
      </c>
      <c r="R65" s="18" t="inlineStr">
        <is>
          <t>Indicador numérico de si la división geopolítica se oculta. Por defecto, 0.</t>
        </is>
      </c>
      <c r="S65" s="18" t="inlineStr">
        <is>
          <t>Media</t>
        </is>
      </c>
      <c r="T65" s="18" t="inlineStr">
        <is>
          <t>backend/auth-service/src/users/geopolitica.entity.ts:70: smallint, default 0 | ningún servicio filtra ni escribe indOculto</t>
        </is>
      </c>
      <c r="U65" s="18" t="inlineStr">
        <is>
          <t>¿Qué valores toma ind_oculto (0 y 1) y dónde se aplica el ocultamiento?</t>
        </is>
      </c>
      <c r="V65" s="19" t="inlineStr">
        <is>
          <t>Aprobada</t>
        </is>
      </c>
      <c r="W65" s="19" t="inlineStr"/>
      <c r="X65" s="19" t="inlineStr">
        <is>
          <t>Aldair González (validación del responsable de BD)</t>
        </is>
      </c>
      <c r="Y65" s="20" t="n">
        <v>46321</v>
      </c>
      <c r="Z65" s="19" t="inlineStr">
        <is>
          <t>Nivel 3: validada por decisión del responsable de la base de datos. Pregunta registrada para desarrollo: ¿Qué valores toma ind_oculto (0 y 1) y dónde se aplica el ocultamiento?</t>
        </is>
      </c>
      <c r="AA65" s="18">
        <f>IF(OR(V65="Aprobada"),R65,IF(AND(OR(V65="Aprobada con ajuste",V65="Rechazada"),W65&lt;&gt;""),W65,""))</f>
        <v/>
      </c>
    </row>
    <row r="66">
      <c r="A66" s="18" t="inlineStr">
        <is>
          <t>C0065</t>
        </is>
      </c>
      <c r="B66" s="18" t="inlineStr">
        <is>
          <t>Identidad y acceso</t>
        </is>
      </c>
      <c r="C66" s="18" t="inlineStr">
        <is>
          <t>auth</t>
        </is>
      </c>
      <c r="D66" s="18" t="inlineStr">
        <is>
          <t>migrations_db_log</t>
        </is>
      </c>
      <c r="E66" s="18" t="n">
        <v>1221</v>
      </c>
      <c r="F66" s="18" t="inlineStr">
        <is>
          <t>executed_at</t>
        </is>
      </c>
      <c r="G66" s="18" t="inlineStr">
        <is>
          <t>timestamp without time zone</t>
        </is>
      </c>
      <c r="H66" s="18" t="inlineStr">
        <is>
          <t>Sí</t>
        </is>
      </c>
      <c r="I66" s="18" t="inlineStr"/>
      <c r="J66" s="18" t="inlineStr"/>
      <c r="K66" s="18" t="inlineStr"/>
      <c r="L66" s="18" t="inlineStr">
        <is>
          <t>Sí</t>
        </is>
      </c>
      <c r="M66" s="18" t="inlineStr">
        <is>
          <t>No</t>
        </is>
      </c>
      <c r="N66" s="18" t="inlineStr"/>
      <c r="O66" s="18" t="inlineStr"/>
      <c r="P66" s="18" t="inlineStr"/>
      <c r="Q66" s="18" t="inlineStr">
        <is>
          <t>Propuesta semántica</t>
        </is>
      </c>
      <c r="R66" s="18" t="inlineStr">
        <is>
          <t>Fecha y hora en que se ejecutó el archivo de migración. Por defecto, la fecha y hora del registro.</t>
        </is>
      </c>
      <c r="S66" s="18" t="inlineStr">
        <is>
          <t>Alta</t>
        </is>
      </c>
      <c r="T66" s="18" t="inlineStr">
        <is>
          <t>nombre + tipo + columnas vecinas (filename) + defecto now()</t>
        </is>
      </c>
      <c r="U66" s="18" t="inlineStr"/>
      <c r="V66" s="19" t="inlineStr">
        <is>
          <t>Aprobada</t>
        </is>
      </c>
      <c r="W66" s="19" t="inlineStr"/>
      <c r="X66" s="19" t="inlineStr">
        <is>
          <t>Aldair González (aprobación en bloque)</t>
        </is>
      </c>
      <c r="Y66" s="20" t="n">
        <v>46321</v>
      </c>
      <c r="Z66" s="19" t="inlineStr">
        <is>
          <t>Nivel 1: propuesta del comentario del desarrollador o de confianza alta, o regla de fecha/responsable/motivo.</t>
        </is>
      </c>
      <c r="AA66" s="18">
        <f>IF(OR(V66="Aprobada"),R66,IF(AND(OR(V66="Aprobada con ajuste",V66="Rechazada"),W66&lt;&gt;""),W66,""))</f>
        <v/>
      </c>
    </row>
    <row r="67">
      <c r="A67" s="18" t="inlineStr">
        <is>
          <t>C0066</t>
        </is>
      </c>
      <c r="B67" s="18" t="inlineStr">
        <is>
          <t>Identidad y acceso</t>
        </is>
      </c>
      <c r="C67" s="18" t="inlineStr">
        <is>
          <t>auth</t>
        </is>
      </c>
      <c r="D67" s="18" t="inlineStr">
        <is>
          <t>module</t>
        </is>
      </c>
      <c r="E67" s="18" t="n">
        <v>23</v>
      </c>
      <c r="F67" s="18" t="inlineStr">
        <is>
          <t>code</t>
        </is>
      </c>
      <c r="G67" s="18" t="inlineStr">
        <is>
          <t>character varying(50)</t>
        </is>
      </c>
      <c r="H67" s="18" t="inlineStr">
        <is>
          <t>No</t>
        </is>
      </c>
      <c r="I67" s="18" t="inlineStr">
        <is>
          <t>Única</t>
        </is>
      </c>
      <c r="J67" s="18" t="inlineStr"/>
      <c r="K67" s="18" t="inlineStr"/>
      <c r="L67" s="18" t="inlineStr">
        <is>
          <t>No</t>
        </is>
      </c>
      <c r="M67" s="18" t="inlineStr">
        <is>
          <t>Sí</t>
        </is>
      </c>
      <c r="N67" s="18" t="inlineStr">
        <is>
          <t>Vista hiring.roles_del_modulo</t>
        </is>
      </c>
      <c r="O67" s="18" t="inlineStr">
        <is>
          <t>module_code_key</t>
        </is>
      </c>
      <c r="P67" s="18" t="inlineStr">
        <is>
          <t>Mapeada en auth-service/src/users/module.entity.ts:9 (Module.code) | Validación: IsString, Matches(/^\d{6}$/, { message: 'El código debe tener 6 dígitos' })</t>
        </is>
      </c>
      <c r="Q67" s="18" t="inlineStr">
        <is>
          <t>Regla estructural (redacción revisada)</t>
        </is>
      </c>
      <c r="R67" s="18" t="inlineStr">
        <is>
          <t>Código del módulo, único en la tabla; la aplicación lo valida con seis dígitos.</t>
        </is>
      </c>
      <c r="S67" s="18" t="inlineStr">
        <is>
          <t>Alta</t>
        </is>
      </c>
      <c r="T67" s="18" t="inlineStr">
        <is>
          <t>Convención de nombre, redactada con el contexto de la tabla y el código.</t>
        </is>
      </c>
      <c r="U67" s="18" t="inlineStr"/>
      <c r="V67" s="19" t="inlineStr">
        <is>
          <t>Aprobada</t>
        </is>
      </c>
      <c r="W67" s="19" t="inlineStr"/>
      <c r="X67" s="19" t="inlineStr">
        <is>
          <t>Aldair González (aprobación en bloque)</t>
        </is>
      </c>
      <c r="Y67" s="20" t="n">
        <v>46321</v>
      </c>
      <c r="Z67" s="19" t="inlineStr">
        <is>
          <t>Nivel 2: regla estructural con redacción revisada.</t>
        </is>
      </c>
      <c r="AA67" s="18">
        <f>IF(OR(V67="Aprobada"),R67,IF(AND(OR(V67="Aprobada con ajuste",V67="Rechazada"),W67&lt;&gt;""),W67,""))</f>
        <v/>
      </c>
    </row>
    <row r="68">
      <c r="A68" s="18" t="inlineStr">
        <is>
          <t>C0067</t>
        </is>
      </c>
      <c r="B68" s="18" t="inlineStr">
        <is>
          <t>Identidad y acceso</t>
        </is>
      </c>
      <c r="C68" s="18" t="inlineStr">
        <is>
          <t>auth</t>
        </is>
      </c>
      <c r="D68" s="18" t="inlineStr">
        <is>
          <t>module</t>
        </is>
      </c>
      <c r="E68" s="18" t="n">
        <v>23</v>
      </c>
      <c r="F68" s="18" t="inlineStr">
        <is>
          <t>name</t>
        </is>
      </c>
      <c r="G68" s="18" t="inlineStr">
        <is>
          <t>character varying(100)</t>
        </is>
      </c>
      <c r="H68" s="18" t="inlineStr">
        <is>
          <t>No</t>
        </is>
      </c>
      <c r="I68" s="18" t="inlineStr"/>
      <c r="J68" s="18" t="inlineStr"/>
      <c r="K68" s="18" t="inlineStr"/>
      <c r="L68" s="18" t="inlineStr">
        <is>
          <t>No</t>
        </is>
      </c>
      <c r="M68" s="18" t="inlineStr">
        <is>
          <t>Sí</t>
        </is>
      </c>
      <c r="N68" s="18" t="inlineStr">
        <is>
          <t>Vista hiring.roles_del_modulo</t>
        </is>
      </c>
      <c r="O68" s="18" t="inlineStr"/>
      <c r="P68" s="18" t="inlineStr">
        <is>
          <t>Mapeada en auth-service/src/users/module.entity.ts:12 (Module.name) | Validación: IsOptional, IsString</t>
        </is>
      </c>
      <c r="Q68" s="18" t="inlineStr">
        <is>
          <t>Regla estructural (redacción revisada)</t>
        </is>
      </c>
      <c r="R68" s="18" t="inlineStr">
        <is>
          <t>Nombre del módulo.</t>
        </is>
      </c>
      <c r="S68" s="18" t="inlineStr">
        <is>
          <t>Alta</t>
        </is>
      </c>
      <c r="T68" s="18" t="inlineStr">
        <is>
          <t>Convención de nombre, redactada con el contexto de la tabla y el código.</t>
        </is>
      </c>
      <c r="U68" s="18" t="inlineStr"/>
      <c r="V68" s="19" t="inlineStr">
        <is>
          <t>Aprobada</t>
        </is>
      </c>
      <c r="W68" s="19" t="inlineStr"/>
      <c r="X68" s="19" t="inlineStr">
        <is>
          <t>Aldair González (aprobación en bloque)</t>
        </is>
      </c>
      <c r="Y68" s="20" t="n">
        <v>46321</v>
      </c>
      <c r="Z68" s="19" t="inlineStr">
        <is>
          <t>Nivel 2: regla estructural con redacción revisada.</t>
        </is>
      </c>
      <c r="AA68" s="18">
        <f>IF(OR(V68="Aprobada"),R68,IF(AND(OR(V68="Aprobada con ajuste",V68="Rechazada"),W68&lt;&gt;""),W68,""))</f>
        <v/>
      </c>
    </row>
    <row r="69">
      <c r="A69" s="18" t="inlineStr">
        <is>
          <t>C0068</t>
        </is>
      </c>
      <c r="B69" s="18" t="inlineStr">
        <is>
          <t>Identidad y acceso</t>
        </is>
      </c>
      <c r="C69" s="18" t="inlineStr">
        <is>
          <t>auth</t>
        </is>
      </c>
      <c r="D69" s="18" t="inlineStr">
        <is>
          <t>module</t>
        </is>
      </c>
      <c r="E69" s="18" t="n">
        <v>23</v>
      </c>
      <c r="F69" s="18" t="inlineStr">
        <is>
          <t>description</t>
        </is>
      </c>
      <c r="G69" s="18" t="inlineStr">
        <is>
          <t>text</t>
        </is>
      </c>
      <c r="H69" s="18" t="inlineStr">
        <is>
          <t>Sí</t>
        </is>
      </c>
      <c r="I69" s="18" t="inlineStr"/>
      <c r="J69" s="18" t="inlineStr"/>
      <c r="K69" s="18" t="inlineStr"/>
      <c r="L69" s="18" t="inlineStr">
        <is>
          <t>No</t>
        </is>
      </c>
      <c r="M69" s="18" t="inlineStr">
        <is>
          <t>No</t>
        </is>
      </c>
      <c r="N69" s="18" t="inlineStr"/>
      <c r="O69" s="18" t="inlineStr"/>
      <c r="P69" s="18" t="inlineStr">
        <is>
          <t>Mapeada en auth-service/src/users/module.entity.ts:15 (Module.description) | Validación: IsOptional, IsString</t>
        </is>
      </c>
      <c r="Q69" s="18" t="inlineStr">
        <is>
          <t>Regla estructural (redacción revisada)</t>
        </is>
      </c>
      <c r="R69" s="18" t="inlineStr">
        <is>
          <t>Descripción del módulo.</t>
        </is>
      </c>
      <c r="S69" s="18" t="inlineStr">
        <is>
          <t>Alta</t>
        </is>
      </c>
      <c r="T69" s="18" t="inlineStr">
        <is>
          <t>Convención de nombre, redactada con el contexto de la tabla y el código.</t>
        </is>
      </c>
      <c r="U69" s="18" t="inlineStr"/>
      <c r="V69" s="19" t="inlineStr">
        <is>
          <t>Aprobada</t>
        </is>
      </c>
      <c r="W69" s="19" t="inlineStr"/>
      <c r="X69" s="19" t="inlineStr">
        <is>
          <t>Aldair González (aprobación en bloque)</t>
        </is>
      </c>
      <c r="Y69" s="20" t="n">
        <v>46321</v>
      </c>
      <c r="Z69" s="19" t="inlineStr">
        <is>
          <t>Nivel 2: regla estructural con redacción revisada.</t>
        </is>
      </c>
      <c r="AA69" s="18">
        <f>IF(OR(V69="Aprobada"),R69,IF(AND(OR(V69="Aprobada con ajuste",V69="Rechazada"),W69&lt;&gt;""),W69,""))</f>
        <v/>
      </c>
    </row>
    <row r="70">
      <c r="A70" s="18" t="inlineStr">
        <is>
          <t>C0069</t>
        </is>
      </c>
      <c r="B70" s="18" t="inlineStr">
        <is>
          <t>Identidad y acceso</t>
        </is>
      </c>
      <c r="C70" s="18" t="inlineStr">
        <is>
          <t>auth</t>
        </is>
      </c>
      <c r="D70" s="18" t="inlineStr">
        <is>
          <t>module</t>
        </is>
      </c>
      <c r="E70" s="18" t="n">
        <v>23</v>
      </c>
      <c r="F70" s="18" t="inlineStr">
        <is>
          <t>icon</t>
        </is>
      </c>
      <c r="G70" s="18" t="inlineStr">
        <is>
          <t>character varying(50)</t>
        </is>
      </c>
      <c r="H70" s="18" t="inlineStr">
        <is>
          <t>Sí</t>
        </is>
      </c>
      <c r="I70" s="18" t="inlineStr"/>
      <c r="J70" s="18" t="inlineStr"/>
      <c r="K70" s="18" t="inlineStr"/>
      <c r="L70" s="18" t="inlineStr">
        <is>
          <t>No</t>
        </is>
      </c>
      <c r="M70" s="18" t="inlineStr">
        <is>
          <t>No</t>
        </is>
      </c>
      <c r="N70" s="18" t="inlineStr"/>
      <c r="O70" s="18" t="inlineStr"/>
      <c r="P70" s="18" t="inlineStr">
        <is>
          <t>Mapeada en auth-service/src/users/module.entity.ts:18 (Module.icon) | Validación: IsOptional, IsString</t>
        </is>
      </c>
      <c r="Q70" s="18" t="inlineStr">
        <is>
          <t>Propuesta semántica</t>
        </is>
      </c>
      <c r="R70" s="18" t="inlineStr">
        <is>
          <t>Nombre del ícono con que se muestra el módulo en la interfaz. Por defecto, Shield.</t>
        </is>
      </c>
      <c r="S70" s="18" t="inlineStr">
        <is>
          <t>Alta</t>
        </is>
      </c>
      <c r="T70" s="18" t="inlineStr">
        <is>
          <t>nombre + tipo + columnas vecinas + defecto</t>
        </is>
      </c>
      <c r="U70" s="18" t="inlineStr"/>
      <c r="V70" s="19" t="inlineStr">
        <is>
          <t>Aprobada</t>
        </is>
      </c>
      <c r="W70" s="19" t="inlineStr"/>
      <c r="X70" s="19" t="inlineStr">
        <is>
          <t>Aldair González (aprobación en bloque)</t>
        </is>
      </c>
      <c r="Y70" s="20" t="n">
        <v>46321</v>
      </c>
      <c r="Z70" s="19" t="inlineStr">
        <is>
          <t>Nivel 1: propuesta del comentario del desarrollador o de confianza alta, o regla de fecha/responsable/motivo.</t>
        </is>
      </c>
      <c r="AA70" s="18">
        <f>IF(OR(V70="Aprobada"),R70,IF(AND(OR(V70="Aprobada con ajuste",V70="Rechazada"),W70&lt;&gt;""),W70,""))</f>
        <v/>
      </c>
    </row>
    <row r="71">
      <c r="A71" s="18" t="inlineStr">
        <is>
          <t>C0070</t>
        </is>
      </c>
      <c r="B71" s="18" t="inlineStr">
        <is>
          <t>Identidad y acceso</t>
        </is>
      </c>
      <c r="C71" s="18" t="inlineStr">
        <is>
          <t>auth</t>
        </is>
      </c>
      <c r="D71" s="18" t="inlineStr">
        <is>
          <t>module</t>
        </is>
      </c>
      <c r="E71" s="18" t="n">
        <v>23</v>
      </c>
      <c r="F71" s="18" t="inlineStr">
        <is>
          <t>color</t>
        </is>
      </c>
      <c r="G71" s="18" t="inlineStr">
        <is>
          <t>character varying(20)</t>
        </is>
      </c>
      <c r="H71" s="18" t="inlineStr">
        <is>
          <t>Sí</t>
        </is>
      </c>
      <c r="I71" s="18" t="inlineStr"/>
      <c r="J71" s="18" t="inlineStr"/>
      <c r="K71" s="18" t="inlineStr"/>
      <c r="L71" s="18" t="inlineStr">
        <is>
          <t>No</t>
        </is>
      </c>
      <c r="M71" s="18" t="inlineStr">
        <is>
          <t>No</t>
        </is>
      </c>
      <c r="N71" s="18" t="inlineStr"/>
      <c r="O71" s="18" t="inlineStr"/>
      <c r="P71" s="18" t="inlineStr">
        <is>
          <t>Mapeada en auth-service/src/users/module.entity.ts:21 (Module.color) | Validación: IsOptional, IsString</t>
        </is>
      </c>
      <c r="Q71" s="18" t="inlineStr">
        <is>
          <t>Propuesta semántica</t>
        </is>
      </c>
      <c r="R71" s="18" t="inlineStr">
        <is>
          <t>Color del módulo en la interfaz, en formato hexadecimal. Por defecto, #003DA5.</t>
        </is>
      </c>
      <c r="S71" s="18" t="inlineStr">
        <is>
          <t>Alta</t>
        </is>
      </c>
      <c r="T71" s="18" t="inlineStr">
        <is>
          <t>nombre + tipo + columnas vecinas + defecto</t>
        </is>
      </c>
      <c r="U71" s="18" t="inlineStr"/>
      <c r="V71" s="19" t="inlineStr">
        <is>
          <t>Aprobada</t>
        </is>
      </c>
      <c r="W71" s="19" t="inlineStr"/>
      <c r="X71" s="19" t="inlineStr">
        <is>
          <t>Aldair González (aprobación en bloque)</t>
        </is>
      </c>
      <c r="Y71" s="20" t="n">
        <v>46321</v>
      </c>
      <c r="Z71" s="19" t="inlineStr">
        <is>
          <t>Nivel 1: propuesta del comentario del desarrollador o de confianza alta, o regla de fecha/responsable/motivo.</t>
        </is>
      </c>
      <c r="AA71" s="18">
        <f>IF(OR(V71="Aprobada"),R71,IF(AND(OR(V71="Aprobada con ajuste",V71="Rechazada"),W71&lt;&gt;""),W71,""))</f>
        <v/>
      </c>
    </row>
    <row r="72">
      <c r="A72" s="18" t="inlineStr">
        <is>
          <t>C0071</t>
        </is>
      </c>
      <c r="B72" s="18" t="inlineStr">
        <is>
          <t>Identidad y acceso</t>
        </is>
      </c>
      <c r="C72" s="18" t="inlineStr">
        <is>
          <t>auth</t>
        </is>
      </c>
      <c r="D72" s="18" t="inlineStr">
        <is>
          <t>module</t>
        </is>
      </c>
      <c r="E72" s="18" t="n">
        <v>23</v>
      </c>
      <c r="F72" s="18" t="inlineStr">
        <is>
          <t>display_order</t>
        </is>
      </c>
      <c r="G72" s="18" t="inlineStr">
        <is>
          <t>integer</t>
        </is>
      </c>
      <c r="H72" s="18" t="inlineStr">
        <is>
          <t>Sí</t>
        </is>
      </c>
      <c r="I72" s="18" t="inlineStr"/>
      <c r="J72" s="18" t="inlineStr"/>
      <c r="K72" s="18" t="inlineStr"/>
      <c r="L72" s="18" t="inlineStr">
        <is>
          <t>No</t>
        </is>
      </c>
      <c r="M72" s="18" t="inlineStr">
        <is>
          <t>No</t>
        </is>
      </c>
      <c r="N72" s="18" t="inlineStr"/>
      <c r="O72" s="18" t="inlineStr"/>
      <c r="P72" s="18" t="inlineStr">
        <is>
          <t>Mapeada en auth-service/src/users/module.entity.ts:24 (Module.display_order) | Validación: IsNumber, IsOptional</t>
        </is>
      </c>
      <c r="Q72" s="18" t="inlineStr">
        <is>
          <t>Propuesta semántica</t>
        </is>
      </c>
      <c r="R72" s="18" t="inlineStr">
        <is>
          <t>Posición del módulo en las listas de presentación. Por defecto, 0.</t>
        </is>
      </c>
      <c r="S72" s="18" t="inlineStr">
        <is>
          <t>Alta</t>
        </is>
      </c>
      <c r="T72" s="18" t="inlineStr">
        <is>
          <t>nombre + tipo + columnas vecinas + defecto</t>
        </is>
      </c>
      <c r="U72" s="18" t="inlineStr"/>
      <c r="V72" s="19" t="inlineStr">
        <is>
          <t>Aprobada</t>
        </is>
      </c>
      <c r="W72" s="19" t="inlineStr"/>
      <c r="X72" s="19" t="inlineStr">
        <is>
          <t>Aldair González (aprobación en bloque)</t>
        </is>
      </c>
      <c r="Y72" s="20" t="n">
        <v>46321</v>
      </c>
      <c r="Z72" s="19" t="inlineStr">
        <is>
          <t>Nivel 1: propuesta del comentario del desarrollador o de confianza alta, o regla de fecha/responsable/motivo.</t>
        </is>
      </c>
      <c r="AA72" s="18">
        <f>IF(OR(V72="Aprobada"),R72,IF(AND(OR(V72="Aprobada con ajuste",V72="Rechazada"),W72&lt;&gt;""),W72,""))</f>
        <v/>
      </c>
    </row>
    <row r="73">
      <c r="A73" s="18" t="inlineStr">
        <is>
          <t>C0072</t>
        </is>
      </c>
      <c r="B73" s="18" t="inlineStr">
        <is>
          <t>Identidad y acceso</t>
        </is>
      </c>
      <c r="C73" s="18" t="inlineStr">
        <is>
          <t>auth</t>
        </is>
      </c>
      <c r="D73" s="18" t="inlineStr">
        <is>
          <t>module</t>
        </is>
      </c>
      <c r="E73" s="18" t="n">
        <v>23</v>
      </c>
      <c r="F73" s="18" t="inlineStr">
        <is>
          <t>category</t>
        </is>
      </c>
      <c r="G73" s="18" t="inlineStr">
        <is>
          <t>character varying(30)</t>
        </is>
      </c>
      <c r="H73" s="18" t="inlineStr">
        <is>
          <t>No</t>
        </is>
      </c>
      <c r="I73" s="18" t="inlineStr"/>
      <c r="J73" s="18" t="inlineStr"/>
      <c r="K73" s="18" t="inlineStr"/>
      <c r="L73" s="18" t="inlineStr">
        <is>
          <t>No</t>
        </is>
      </c>
      <c r="M73" s="18" t="inlineStr">
        <is>
          <t>No</t>
        </is>
      </c>
      <c r="N73" s="18" t="inlineStr"/>
      <c r="O73" s="18" t="inlineStr"/>
      <c r="P73" s="18" t="inlineStr">
        <is>
          <t>db/init/old/001_schema_auth.sql:475: backoffice | portal | Validación: IsIn(['backoffice', 'portal']), IsOptional</t>
        </is>
      </c>
      <c r="Q73" s="18" t="inlineStr">
        <is>
          <t>Código fuente</t>
        </is>
      </c>
      <c r="R73" s="18" t="inlineStr">
        <is>
          <t>Categoría del módulo según la aplicación donde se presenta. Valores previstos: backoffice, portal; por defecto backoffice.</t>
        </is>
      </c>
      <c r="S73" s="18" t="inlineStr">
        <is>
          <t>Alta</t>
        </is>
      </c>
      <c r="T73" s="18" t="inlineStr">
        <is>
          <t>código: db/init/old/001_schema_auth.sql:475</t>
        </is>
      </c>
      <c r="U73" s="18" t="inlineStr"/>
      <c r="V73" s="19" t="inlineStr">
        <is>
          <t>Aprobada</t>
        </is>
      </c>
      <c r="W73" s="19" t="inlineStr"/>
      <c r="X73" s="19" t="inlineStr">
        <is>
          <t>Aldair González (aprobación en bloque)</t>
        </is>
      </c>
      <c r="Y73" s="20" t="n">
        <v>46321</v>
      </c>
      <c r="Z73" s="19" t="inlineStr">
        <is>
          <t>Nivel 1: propuesta del comentario del desarrollador o de confianza alta, o regla de fecha/responsable/motivo.</t>
        </is>
      </c>
      <c r="AA73" s="18">
        <f>IF(OR(V73="Aprobada"),R73,IF(AND(OR(V73="Aprobada con ajuste",V73="Rechazada"),W73&lt;&gt;""),W73,""))</f>
        <v/>
      </c>
    </row>
    <row r="74">
      <c r="A74" s="18" t="inlineStr">
        <is>
          <t>C0073</t>
        </is>
      </c>
      <c r="B74" s="18" t="inlineStr">
        <is>
          <t>Identidad y acceso</t>
        </is>
      </c>
      <c r="C74" s="18" t="inlineStr">
        <is>
          <t>auth</t>
        </is>
      </c>
      <c r="D74" s="18" t="inlineStr">
        <is>
          <t>module</t>
        </is>
      </c>
      <c r="E74" s="18" t="n">
        <v>23</v>
      </c>
      <c r="F74" s="18" t="inlineStr">
        <is>
          <t>is_active</t>
        </is>
      </c>
      <c r="G74" s="18" t="inlineStr">
        <is>
          <t>boolean</t>
        </is>
      </c>
      <c r="H74" s="18" t="inlineStr">
        <is>
          <t>Sí</t>
        </is>
      </c>
      <c r="I74" s="18" t="inlineStr"/>
      <c r="J74" s="18" t="inlineStr"/>
      <c r="K74" s="18" t="inlineStr"/>
      <c r="L74" s="18" t="inlineStr">
        <is>
          <t>No</t>
        </is>
      </c>
      <c r="M74" s="18" t="inlineStr">
        <is>
          <t>Sí</t>
        </is>
      </c>
      <c r="N74" s="18" t="inlineStr">
        <is>
          <t>Vista hiring.roles_del_modulo</t>
        </is>
      </c>
      <c r="O74" s="18" t="inlineStr"/>
      <c r="P74" s="18" t="inlineStr">
        <is>
          <t>Mapeada en auth-service/src/users/module.entity.ts:30 (Module.is_active) | Validación: IsBoolean, IsOptional</t>
        </is>
      </c>
      <c r="Q74" s="18" t="inlineStr">
        <is>
          <t>Regla estructural (redacción revisada)</t>
        </is>
      </c>
      <c r="R74" s="18" t="inlineStr">
        <is>
          <t>Indica si el módulo está activo.</t>
        </is>
      </c>
      <c r="S74" s="18" t="inlineStr">
        <is>
          <t>Alta</t>
        </is>
      </c>
      <c r="T74" s="18" t="inlineStr">
        <is>
          <t>Convención de nombre, redactada con el contexto de la tabla y el código.</t>
        </is>
      </c>
      <c r="U74" s="18" t="inlineStr"/>
      <c r="V74" s="19" t="inlineStr">
        <is>
          <t>Aprobada</t>
        </is>
      </c>
      <c r="W74" s="19" t="inlineStr"/>
      <c r="X74" s="19" t="inlineStr">
        <is>
          <t>Aldair González (aprobación en bloque)</t>
        </is>
      </c>
      <c r="Y74" s="20" t="n">
        <v>46321</v>
      </c>
      <c r="Z74" s="19" t="inlineStr">
        <is>
          <t>Nivel 2: regla estructural con redacción revisada.</t>
        </is>
      </c>
      <c r="AA74" s="18">
        <f>IF(OR(V74="Aprobada"),R74,IF(AND(OR(V74="Aprobada con ajuste",V74="Rechazada"),W74&lt;&gt;""),W74,""))</f>
        <v/>
      </c>
    </row>
    <row r="75">
      <c r="A75" s="18" t="inlineStr">
        <is>
          <t>C0074</t>
        </is>
      </c>
      <c r="B75" s="18" t="inlineStr">
        <is>
          <t>Identidad y acceso</t>
        </is>
      </c>
      <c r="C75" s="18" t="inlineStr">
        <is>
          <t>auth</t>
        </is>
      </c>
      <c r="D75" s="18" t="inlineStr">
        <is>
          <t>permission</t>
        </is>
      </c>
      <c r="E75" s="18" t="n">
        <v>704</v>
      </c>
      <c r="F75" s="18" t="inlineStr">
        <is>
          <t>code</t>
        </is>
      </c>
      <c r="G75" s="18" t="inlineStr">
        <is>
          <t>character varying(100)</t>
        </is>
      </c>
      <c r="H75" s="18" t="inlineStr">
        <is>
          <t>No</t>
        </is>
      </c>
      <c r="I75" s="18" t="inlineStr">
        <is>
          <t>Única</t>
        </is>
      </c>
      <c r="J75" s="18" t="inlineStr"/>
      <c r="K75" s="18" t="inlineStr"/>
      <c r="L75" s="18" t="inlineStr">
        <is>
          <t>No</t>
        </is>
      </c>
      <c r="M75" s="18" t="inlineStr">
        <is>
          <t>Sí</t>
        </is>
      </c>
      <c r="N75" s="18" t="inlineStr">
        <is>
          <t>Vista hiring.roles_del_modulo</t>
        </is>
      </c>
      <c r="O75" s="18" t="inlineStr">
        <is>
          <t>permission_code_key</t>
        </is>
      </c>
      <c r="P75" s="18" t="inlineStr">
        <is>
          <t>Mapeada en auth-service/src/users/permission.entity.ts:10 (Permission.code) | Validación: IsString, Matches(/^\d{6}$/, { message: 'El código debe tener 6 dígitos' })</t>
        </is>
      </c>
      <c r="Q75" s="18" t="inlineStr">
        <is>
          <t>Regla estructural (redacción revisada)</t>
        </is>
      </c>
      <c r="R75" s="18" t="inlineStr">
        <is>
          <t>Código del permiso, único en la tabla; la aplicación lo valida con seis dígitos.</t>
        </is>
      </c>
      <c r="S75" s="18" t="inlineStr">
        <is>
          <t>Alta</t>
        </is>
      </c>
      <c r="T75" s="18" t="inlineStr">
        <is>
          <t>Convención de nombre, redactada con el contexto de la tabla y el código.</t>
        </is>
      </c>
      <c r="U75" s="18" t="inlineStr"/>
      <c r="V75" s="19" t="inlineStr">
        <is>
          <t>Aprobada</t>
        </is>
      </c>
      <c r="W75" s="19" t="inlineStr"/>
      <c r="X75" s="19" t="inlineStr">
        <is>
          <t>Aldair González (aprobación en bloque)</t>
        </is>
      </c>
      <c r="Y75" s="20" t="n">
        <v>46321</v>
      </c>
      <c r="Z75" s="19" t="inlineStr">
        <is>
          <t>Nivel 2: regla estructural con redacción revisada.</t>
        </is>
      </c>
      <c r="AA75" s="18">
        <f>IF(OR(V75="Aprobada"),R75,IF(AND(OR(V75="Aprobada con ajuste",V75="Rechazada"),W75&lt;&gt;""),W75,""))</f>
        <v/>
      </c>
    </row>
    <row r="76">
      <c r="A76" s="18" t="inlineStr">
        <is>
          <t>C0075</t>
        </is>
      </c>
      <c r="B76" s="18" t="inlineStr">
        <is>
          <t>Identidad y acceso</t>
        </is>
      </c>
      <c r="C76" s="18" t="inlineStr">
        <is>
          <t>auth</t>
        </is>
      </c>
      <c r="D76" s="18" t="inlineStr">
        <is>
          <t>permission</t>
        </is>
      </c>
      <c r="E76" s="18" t="n">
        <v>704</v>
      </c>
      <c r="F76" s="18" t="inlineStr">
        <is>
          <t>name</t>
        </is>
      </c>
      <c r="G76" s="18" t="inlineStr">
        <is>
          <t>character varying(150)</t>
        </is>
      </c>
      <c r="H76" s="18" t="inlineStr">
        <is>
          <t>No</t>
        </is>
      </c>
      <c r="I76" s="18" t="inlineStr"/>
      <c r="J76" s="18" t="inlineStr"/>
      <c r="K76" s="18" t="inlineStr"/>
      <c r="L76" s="18" t="inlineStr">
        <is>
          <t>No</t>
        </is>
      </c>
      <c r="M76" s="18" t="inlineStr">
        <is>
          <t>Sí</t>
        </is>
      </c>
      <c r="N76" s="18" t="inlineStr">
        <is>
          <t>Vista hiring.roles_del_modulo</t>
        </is>
      </c>
      <c r="O76" s="18" t="inlineStr"/>
      <c r="P76" s="18" t="inlineStr">
        <is>
          <t>Mapeada en auth-service/src/users/permission.entity.ts:13 (Permission.name) | Validación: IsOptional, IsString</t>
        </is>
      </c>
      <c r="Q76" s="18" t="inlineStr">
        <is>
          <t>Regla estructural (redacción revisada)</t>
        </is>
      </c>
      <c r="R76" s="18" t="inlineStr">
        <is>
          <t>Nombre del permiso.</t>
        </is>
      </c>
      <c r="S76" s="18" t="inlineStr">
        <is>
          <t>Alta</t>
        </is>
      </c>
      <c r="T76" s="18" t="inlineStr">
        <is>
          <t>Convención de nombre, redactada con el contexto de la tabla y el código.</t>
        </is>
      </c>
      <c r="U76" s="18" t="inlineStr"/>
      <c r="V76" s="19" t="inlineStr">
        <is>
          <t>Aprobada</t>
        </is>
      </c>
      <c r="W76" s="19" t="inlineStr"/>
      <c r="X76" s="19" t="inlineStr">
        <is>
          <t>Aldair González (aprobación en bloque)</t>
        </is>
      </c>
      <c r="Y76" s="20" t="n">
        <v>46321</v>
      </c>
      <c r="Z76" s="19" t="inlineStr">
        <is>
          <t>Nivel 2: regla estructural con redacción revisada.</t>
        </is>
      </c>
      <c r="AA76" s="18">
        <f>IF(OR(V76="Aprobada"),R76,IF(AND(OR(V76="Aprobada con ajuste",V76="Rechazada"),W76&lt;&gt;""),W76,""))</f>
        <v/>
      </c>
    </row>
    <row r="77">
      <c r="A77" s="18" t="inlineStr">
        <is>
          <t>C0076</t>
        </is>
      </c>
      <c r="B77" s="18" t="inlineStr">
        <is>
          <t>Identidad y acceso</t>
        </is>
      </c>
      <c r="C77" s="18" t="inlineStr">
        <is>
          <t>auth</t>
        </is>
      </c>
      <c r="D77" s="18" t="inlineStr">
        <is>
          <t>permission</t>
        </is>
      </c>
      <c r="E77" s="18" t="n">
        <v>704</v>
      </c>
      <c r="F77" s="18" t="inlineStr">
        <is>
          <t>description</t>
        </is>
      </c>
      <c r="G77" s="18" t="inlineStr">
        <is>
          <t>text</t>
        </is>
      </c>
      <c r="H77" s="18" t="inlineStr">
        <is>
          <t>Sí</t>
        </is>
      </c>
      <c r="I77" s="18" t="inlineStr"/>
      <c r="J77" s="18" t="inlineStr"/>
      <c r="K77" s="18" t="inlineStr"/>
      <c r="L77" s="18" t="inlineStr">
        <is>
          <t>No</t>
        </is>
      </c>
      <c r="M77" s="18" t="inlineStr">
        <is>
          <t>No</t>
        </is>
      </c>
      <c r="N77" s="18" t="inlineStr"/>
      <c r="O77" s="18" t="inlineStr"/>
      <c r="P77" s="18" t="inlineStr">
        <is>
          <t>Mapeada en auth-service/src/users/permission.entity.ts:16 (Permission.description) | Validación: IsOptional, IsString</t>
        </is>
      </c>
      <c r="Q77" s="18" t="inlineStr">
        <is>
          <t>Regla estructural (redacción revisada)</t>
        </is>
      </c>
      <c r="R77" s="18" t="inlineStr">
        <is>
          <t>Descripción del permiso.</t>
        </is>
      </c>
      <c r="S77" s="18" t="inlineStr">
        <is>
          <t>Alta</t>
        </is>
      </c>
      <c r="T77" s="18" t="inlineStr">
        <is>
          <t>Convención de nombre, redactada con el contexto de la tabla y el código.</t>
        </is>
      </c>
      <c r="U77" s="18" t="inlineStr"/>
      <c r="V77" s="19" t="inlineStr">
        <is>
          <t>Aprobada</t>
        </is>
      </c>
      <c r="W77" s="19" t="inlineStr"/>
      <c r="X77" s="19" t="inlineStr">
        <is>
          <t>Aldair González (aprobación en bloque)</t>
        </is>
      </c>
      <c r="Y77" s="20" t="n">
        <v>46321</v>
      </c>
      <c r="Z77" s="19" t="inlineStr">
        <is>
          <t>Nivel 2: regla estructural con redacción revisada.</t>
        </is>
      </c>
      <c r="AA77" s="18">
        <f>IF(OR(V77="Aprobada"),R77,IF(AND(OR(V77="Aprobada con ajuste",V77="Rechazada"),W77&lt;&gt;""),W77,""))</f>
        <v/>
      </c>
    </row>
    <row r="78">
      <c r="A78" s="18" t="inlineStr">
        <is>
          <t>C0077</t>
        </is>
      </c>
      <c r="B78" s="18" t="inlineStr">
        <is>
          <t>Identidad y acceso</t>
        </is>
      </c>
      <c r="C78" s="18" t="inlineStr">
        <is>
          <t>auth</t>
        </is>
      </c>
      <c r="D78" s="18" t="inlineStr">
        <is>
          <t>permission</t>
        </is>
      </c>
      <c r="E78" s="18" t="n">
        <v>704</v>
      </c>
      <c r="F78" s="18" t="inlineStr">
        <is>
          <t>is_active</t>
        </is>
      </c>
      <c r="G78" s="18" t="inlineStr">
        <is>
          <t>boolean</t>
        </is>
      </c>
      <c r="H78" s="18" t="inlineStr">
        <is>
          <t>Sí</t>
        </is>
      </c>
      <c r="I78" s="18" t="inlineStr"/>
      <c r="J78" s="18" t="inlineStr"/>
      <c r="K78" s="18" t="inlineStr"/>
      <c r="L78" s="18" t="inlineStr">
        <is>
          <t>No</t>
        </is>
      </c>
      <c r="M78" s="18" t="inlineStr">
        <is>
          <t>Sí</t>
        </is>
      </c>
      <c r="N78" s="18" t="inlineStr">
        <is>
          <t>Vista hiring.roles_del_modulo</t>
        </is>
      </c>
      <c r="O78" s="18" t="inlineStr"/>
      <c r="P78" s="18" t="inlineStr">
        <is>
          <t>Mapeada en auth-service/src/users/permission.entity.ts:22 (Permission.is_active) | Validación: IsBoolean, IsOptional</t>
        </is>
      </c>
      <c r="Q78" s="18" t="inlineStr">
        <is>
          <t>Regla estructural (redacción revisada)</t>
        </is>
      </c>
      <c r="R78" s="18" t="inlineStr">
        <is>
          <t>Indica si el permiso está activo.</t>
        </is>
      </c>
      <c r="S78" s="18" t="inlineStr">
        <is>
          <t>Alta</t>
        </is>
      </c>
      <c r="T78" s="18" t="inlineStr">
        <is>
          <t>Convención de nombre, redactada con el contexto de la tabla y el código.</t>
        </is>
      </c>
      <c r="U78" s="18" t="inlineStr"/>
      <c r="V78" s="19" t="inlineStr">
        <is>
          <t>Aprobada</t>
        </is>
      </c>
      <c r="W78" s="19" t="inlineStr"/>
      <c r="X78" s="19" t="inlineStr">
        <is>
          <t>Aldair González (aprobación en bloque)</t>
        </is>
      </c>
      <c r="Y78" s="20" t="n">
        <v>46321</v>
      </c>
      <c r="Z78" s="19" t="inlineStr">
        <is>
          <t>Nivel 2: regla estructural con redacción revisada.</t>
        </is>
      </c>
      <c r="AA78" s="18">
        <f>IF(OR(V78="Aprobada"),R78,IF(AND(OR(V78="Aprobada con ajuste",V78="Rechazada"),W78&lt;&gt;""),W78,""))</f>
        <v/>
      </c>
    </row>
    <row r="79">
      <c r="A79" s="18" t="inlineStr">
        <is>
          <t>C0078</t>
        </is>
      </c>
      <c r="B79" s="18" t="inlineStr">
        <is>
          <t>Identidad y acceso</t>
        </is>
      </c>
      <c r="C79" s="18" t="inlineStr">
        <is>
          <t>auth</t>
        </is>
      </c>
      <c r="D79" s="18" t="inlineStr">
        <is>
          <t>personas</t>
        </is>
      </c>
      <c r="E79" s="18" t="n">
        <v>409</v>
      </c>
      <c r="F79" s="18" t="inlineStr">
        <is>
          <t>num_identificacion</t>
        </is>
      </c>
      <c r="G79" s="18" t="inlineStr">
        <is>
          <t>character varying(30)</t>
        </is>
      </c>
      <c r="H79" s="18" t="inlineStr">
        <is>
          <t>No</t>
        </is>
      </c>
      <c r="I79" s="18" t="inlineStr"/>
      <c r="J79" s="18" t="inlineStr"/>
      <c r="K79" s="18" t="inlineStr"/>
      <c r="L79" s="18" t="inlineStr">
        <is>
          <t>No</t>
        </is>
      </c>
      <c r="M79" s="18" t="inlineStr">
        <is>
          <t>Sí</t>
        </is>
      </c>
      <c r="N79" s="18" t="inlineStr">
        <is>
          <t>Trigger trg_auth_personas_rund_document_immutable; Vista control_interno.v_auditor_disponibilidad</t>
        </is>
      </c>
      <c r="O79" s="18" t="inlineStr"/>
      <c r="P79" s="18" t="inlineStr">
        <is>
          <t>Mapeada en auth-service/src/users/person.entity.ts:17 (Person.identification_number) | Validación: IsString</t>
        </is>
      </c>
      <c r="Q79" s="18" t="inlineStr">
        <is>
          <t>Regla estructural (redacción revisada)</t>
        </is>
      </c>
      <c r="R79" s="18" t="inlineStr">
        <is>
          <t>Número de identificación de la persona.</t>
        </is>
      </c>
      <c r="S79" s="18" t="inlineStr">
        <is>
          <t>Alta</t>
        </is>
      </c>
      <c r="T79" s="18" t="inlineStr">
        <is>
          <t>Convención de nombre, redactada con el contexto de la tabla y el código.</t>
        </is>
      </c>
      <c r="U79" s="18" t="inlineStr"/>
      <c r="V79" s="19" t="inlineStr">
        <is>
          <t>Aprobada</t>
        </is>
      </c>
      <c r="W79" s="19" t="inlineStr"/>
      <c r="X79" s="19" t="inlineStr">
        <is>
          <t>Aldair González (aprobación en bloque)</t>
        </is>
      </c>
      <c r="Y79" s="20" t="n">
        <v>46321</v>
      </c>
      <c r="Z79" s="19" t="inlineStr">
        <is>
          <t>Nivel 2: regla estructural con redacción revisada.</t>
        </is>
      </c>
      <c r="AA79" s="18">
        <f>IF(OR(V79="Aprobada"),R79,IF(AND(OR(V79="Aprobada con ajuste",V79="Rechazada"),W79&lt;&gt;""),W79,""))</f>
        <v/>
      </c>
    </row>
    <row r="80">
      <c r="A80" s="18" t="inlineStr">
        <is>
          <t>C0079</t>
        </is>
      </c>
      <c r="B80" s="18" t="inlineStr">
        <is>
          <t>Identidad y acceso</t>
        </is>
      </c>
      <c r="C80" s="18" t="inlineStr">
        <is>
          <t>auth</t>
        </is>
      </c>
      <c r="D80" s="18" t="inlineStr">
        <is>
          <t>personas</t>
        </is>
      </c>
      <c r="E80" s="18" t="n">
        <v>409</v>
      </c>
      <c r="F80" s="18" t="inlineStr">
        <is>
          <t>tip_identificacion</t>
        </is>
      </c>
      <c r="G80" s="18" t="inlineStr">
        <is>
          <t>character varying(6)</t>
        </is>
      </c>
      <c r="H80" s="18" t="inlineStr">
        <is>
          <t>No</t>
        </is>
      </c>
      <c r="I80" s="18" t="inlineStr"/>
      <c r="J80" s="18" t="inlineStr"/>
      <c r="K80" s="18" t="inlineStr"/>
      <c r="L80" s="18" t="inlineStr">
        <is>
          <t>No</t>
        </is>
      </c>
      <c r="M80" s="18" t="inlineStr">
        <is>
          <t>Sí</t>
        </is>
      </c>
      <c r="N80" s="18" t="inlineStr">
        <is>
          <t>Vista control_interno.v_auditor_disponibilidad</t>
        </is>
      </c>
      <c r="O80" s="18" t="inlineStr"/>
      <c r="P80" s="18" t="inlineStr">
        <is>
          <t>Mapeada en auth-service/src/users/person.entity.ts:20 (Person.identification_type) | Validación: IsString</t>
        </is>
      </c>
      <c r="Q80" s="18" t="inlineStr">
        <is>
          <t>Código fuente (verificado)</t>
        </is>
      </c>
      <c r="R80" s="18" t="inlineStr">
        <is>
          <t>Código del tipo de documento de identidad de la persona, en mayúsculas. El servicio valida la longitud del número para CC, CE y TI.</t>
        </is>
      </c>
      <c r="S80" s="18" t="inlineStr">
        <is>
          <t>Media</t>
        </is>
      </c>
      <c r="T80" s="18" t="inlineStr">
        <is>
          <t>backend/auth-service/src/users/users.service.ts:325: normalizeIdentificationType pasa el valor a mayúsculas | backend/auth-service/src/users/users.service.ts:342: reglas para CC, CE (6 a 10 dígitos) y TI (10 u 11 dígitos); otros códigos se aceptan sin validar | backend/auth-service/src/users/dto/create-person.dto.ts:14: solo IsString</t>
        </is>
      </c>
      <c r="U80" s="18" t="inlineStr">
        <is>
          <t>¿Qué otros tipos de documento se admiten además de CC, CE y TI (por ejemplo, PA) y de qué lista provienen?</t>
        </is>
      </c>
      <c r="V80" s="19" t="inlineStr">
        <is>
          <t>Aprobada</t>
        </is>
      </c>
      <c r="W80" s="19" t="inlineStr"/>
      <c r="X80" s="19" t="inlineStr">
        <is>
          <t>Aldair González (validación del responsable de BD)</t>
        </is>
      </c>
      <c r="Y80" s="20" t="n">
        <v>46321</v>
      </c>
      <c r="Z80" s="19" t="inlineStr">
        <is>
          <t>Nivel 3: validada por decisión del responsable de la base de datos. Pregunta registrada para desarrollo: ¿Qué otros tipos de documento se admiten además de CC, CE y TI (por ejemplo, PA) y de qué lista provienen?</t>
        </is>
      </c>
      <c r="AA80" s="18">
        <f>IF(OR(V80="Aprobada"),R80,IF(AND(OR(V80="Aprobada con ajuste",V80="Rechazada"),W80&lt;&gt;""),W80,""))</f>
        <v/>
      </c>
    </row>
    <row r="81">
      <c r="A81" s="18" t="inlineStr">
        <is>
          <t>C0080</t>
        </is>
      </c>
      <c r="B81" s="18" t="inlineStr">
        <is>
          <t>Identidad y acceso</t>
        </is>
      </c>
      <c r="C81" s="18" t="inlineStr">
        <is>
          <t>auth</t>
        </is>
      </c>
      <c r="D81" s="18" t="inlineStr">
        <is>
          <t>personas</t>
        </is>
      </c>
      <c r="E81" s="18" t="n">
        <v>409</v>
      </c>
      <c r="F81" s="18" t="inlineStr">
        <is>
          <t>nom_largo</t>
        </is>
      </c>
      <c r="G81" s="18" t="inlineStr">
        <is>
          <t>character varying(1000)</t>
        </is>
      </c>
      <c r="H81" s="18" t="inlineStr">
        <is>
          <t>No</t>
        </is>
      </c>
      <c r="I81" s="18" t="inlineStr"/>
      <c r="J81" s="18" t="inlineStr"/>
      <c r="K81" s="18" t="inlineStr"/>
      <c r="L81" s="18" t="inlineStr">
        <is>
          <t>No</t>
        </is>
      </c>
      <c r="M81" s="18" t="inlineStr">
        <is>
          <t>Sí</t>
        </is>
      </c>
      <c r="N81" s="18" t="inlineStr">
        <is>
          <t>Vista control_interno.v_auditor_disponibilidad; Vista control_interno.v_auditorias_kanban_completo</t>
        </is>
      </c>
      <c r="O81" s="18" t="inlineStr"/>
      <c r="P81" s="18" t="inlineStr">
        <is>
          <t>Mapeada en auth-service/src/users/person.entity.ts:23 (Person.full_name)</t>
        </is>
      </c>
      <c r="Q81" s="18" t="inlineStr">
        <is>
          <t>Código fuente (verificado)</t>
        </is>
      </c>
      <c r="R81" s="18" t="inlineStr">
        <is>
          <t>Nombre completo de la persona, formado por el sistema al unir nom_tercero (nombres) y pri_apellido (primer apellido) con un espacio. Se recalcula cuando cambian los nombres o el apellido.</t>
        </is>
      </c>
      <c r="S81" s="18" t="inlineStr">
        <is>
          <t>Alta</t>
        </is>
      </c>
      <c r="T81" s="18" t="inlineStr">
        <is>
          <t>backend/auth-service/src/users/users.service.ts:502: full_name = `${firstName} ${lastName}` | backend/auth-service/src/users/users.service.ts:1151: al actualizar nombres o apellido se recalcula nom_largo | backend/auth-service/src/users/person.entity.ts:23: nom_largo mapeada como full_name</t>
        </is>
      </c>
      <c r="U81" s="18" t="inlineStr"/>
      <c r="V81" s="19" t="inlineStr">
        <is>
          <t>Aprobada</t>
        </is>
      </c>
      <c r="W81" s="19" t="inlineStr"/>
      <c r="X81" s="19" t="inlineStr">
        <is>
          <t>Aldair González (aprobación en bloque)</t>
        </is>
      </c>
      <c r="Y81" s="20" t="n">
        <v>46321</v>
      </c>
      <c r="Z81" s="19" t="inlineStr">
        <is>
          <t>Nivel 3: verificada con el código de la aplicación.</t>
        </is>
      </c>
      <c r="AA81" s="18">
        <f>IF(OR(V81="Aprobada"),R81,IF(AND(OR(V81="Aprobada con ajuste",V81="Rechazada"),W81&lt;&gt;""),W81,""))</f>
        <v/>
      </c>
    </row>
    <row r="82">
      <c r="A82" s="18" t="inlineStr">
        <is>
          <t>C0081</t>
        </is>
      </c>
      <c r="B82" s="18" t="inlineStr">
        <is>
          <t>Identidad y acceso</t>
        </is>
      </c>
      <c r="C82" s="18" t="inlineStr">
        <is>
          <t>auth</t>
        </is>
      </c>
      <c r="D82" s="18" t="inlineStr">
        <is>
          <t>personas</t>
        </is>
      </c>
      <c r="E82" s="18" t="n">
        <v>409</v>
      </c>
      <c r="F82" s="18" t="inlineStr">
        <is>
          <t>nom_tercero</t>
        </is>
      </c>
      <c r="G82" s="18" t="inlineStr">
        <is>
          <t>character varying(250)</t>
        </is>
      </c>
      <c r="H82" s="18" t="inlineStr">
        <is>
          <t>No</t>
        </is>
      </c>
      <c r="I82" s="18" t="inlineStr"/>
      <c r="J82" s="18" t="inlineStr"/>
      <c r="K82" s="18" t="inlineStr"/>
      <c r="L82" s="18" t="inlineStr">
        <is>
          <t>No</t>
        </is>
      </c>
      <c r="M82" s="18" t="inlineStr">
        <is>
          <t>No</t>
        </is>
      </c>
      <c r="N82" s="18" t="inlineStr"/>
      <c r="O82" s="18" t="inlineStr"/>
      <c r="P82" s="18" t="inlineStr">
        <is>
          <t>Mapeada en auth-service/src/users/person.entity.ts:26 (Person.first_name) | Validación: IsString</t>
        </is>
      </c>
      <c r="Q82" s="18" t="inlineStr">
        <is>
          <t>Código fuente (verificado)</t>
        </is>
      </c>
      <c r="R82" s="18" t="inlineStr">
        <is>
          <t>Nombres de la persona, sin apellidos. El apellido se guarda en pri_apellido.</t>
        </is>
      </c>
      <c r="S82" s="18" t="inlineStr">
        <is>
          <t>Alta</t>
        </is>
      </c>
      <c r="T82" s="18" t="inlineStr">
        <is>
          <t>backend/auth-service/src/users/person.entity.ts:26: nom_tercero mapeada como first_name | backend/auth-service/src/users/users.service.ts:500: first_name y last_name se guardan por separado | backend/auth-service/src/users/users.service.ts:1143: nom_tercero se actualiza con first_name</t>
        </is>
      </c>
      <c r="U82" s="18" t="inlineStr"/>
      <c r="V82" s="19" t="inlineStr">
        <is>
          <t>Aprobada</t>
        </is>
      </c>
      <c r="W82" s="19" t="inlineStr"/>
      <c r="X82" s="19" t="inlineStr">
        <is>
          <t>Aldair González (aprobación en bloque)</t>
        </is>
      </c>
      <c r="Y82" s="20" t="n">
        <v>46321</v>
      </c>
      <c r="Z82" s="19" t="inlineStr">
        <is>
          <t>Nivel 3: verificada con el código de la aplicación.</t>
        </is>
      </c>
      <c r="AA82" s="18">
        <f>IF(OR(V82="Aprobada"),R82,IF(AND(OR(V82="Aprobada con ajuste",V82="Rechazada"),W82&lt;&gt;""),W82,""))</f>
        <v/>
      </c>
    </row>
    <row r="83">
      <c r="A83" s="18" t="inlineStr">
        <is>
          <t>C0082</t>
        </is>
      </c>
      <c r="B83" s="18" t="inlineStr">
        <is>
          <t>Identidad y acceso</t>
        </is>
      </c>
      <c r="C83" s="18" t="inlineStr">
        <is>
          <t>auth</t>
        </is>
      </c>
      <c r="D83" s="18" t="inlineStr">
        <is>
          <t>personas</t>
        </is>
      </c>
      <c r="E83" s="18" t="n">
        <v>409</v>
      </c>
      <c r="F83" s="18" t="inlineStr">
        <is>
          <t>pri_apellido</t>
        </is>
      </c>
      <c r="G83" s="18" t="inlineStr">
        <is>
          <t>character varying(250)</t>
        </is>
      </c>
      <c r="H83" s="18" t="inlineStr">
        <is>
          <t>Sí</t>
        </is>
      </c>
      <c r="I83" s="18" t="inlineStr"/>
      <c r="J83" s="18" t="inlineStr"/>
      <c r="K83" s="18" t="inlineStr"/>
      <c r="L83" s="18" t="inlineStr">
        <is>
          <t>No</t>
        </is>
      </c>
      <c r="M83" s="18" t="inlineStr">
        <is>
          <t>No</t>
        </is>
      </c>
      <c r="N83" s="18" t="inlineStr"/>
      <c r="O83" s="18" t="inlineStr"/>
      <c r="P83" s="18" t="inlineStr">
        <is>
          <t>Mapeada en auth-service/src/users/person.entity.ts:29 (Person.last_name) | Validación: IsString</t>
        </is>
      </c>
      <c r="Q83" s="18" t="inlineStr">
        <is>
          <t>Propuesta semántica</t>
        </is>
      </c>
      <c r="R83" s="18" t="inlineStr">
        <is>
          <t>Primer apellido de la persona.</t>
        </is>
      </c>
      <c r="S83" s="18" t="inlineStr">
        <is>
          <t>Alta</t>
        </is>
      </c>
      <c r="T83" s="18" t="inlineStr">
        <is>
          <t>nombre + tipo + columnas vecinas</t>
        </is>
      </c>
      <c r="U83" s="18" t="inlineStr"/>
      <c r="V83" s="19" t="inlineStr">
        <is>
          <t>Aprobada</t>
        </is>
      </c>
      <c r="W83" s="19" t="inlineStr"/>
      <c r="X83" s="19" t="inlineStr">
        <is>
          <t>Aldair González (aprobación en bloque)</t>
        </is>
      </c>
      <c r="Y83" s="20" t="n">
        <v>46321</v>
      </c>
      <c r="Z83" s="19" t="inlineStr">
        <is>
          <t>Nivel 1: propuesta del comentario del desarrollador o de confianza alta, o regla de fecha/responsable/motivo.</t>
        </is>
      </c>
      <c r="AA83" s="18">
        <f>IF(OR(V83="Aprobada"),R83,IF(AND(OR(V83="Aprobada con ajuste",V83="Rechazada"),W83&lt;&gt;""),W83,""))</f>
        <v/>
      </c>
    </row>
    <row r="84">
      <c r="A84" s="18" t="inlineStr">
        <is>
          <t>C0083</t>
        </is>
      </c>
      <c r="B84" s="18" t="inlineStr">
        <is>
          <t>Identidad y acceso</t>
        </is>
      </c>
      <c r="C84" s="18" t="inlineStr">
        <is>
          <t>auth</t>
        </is>
      </c>
      <c r="D84" s="18" t="inlineStr">
        <is>
          <t>personas</t>
        </is>
      </c>
      <c r="E84" s="18" t="n">
        <v>409</v>
      </c>
      <c r="F84" s="18" t="inlineStr">
        <is>
          <t>seg_apellido</t>
        </is>
      </c>
      <c r="G84" s="18" t="inlineStr">
        <is>
          <t>character varying(250)</t>
        </is>
      </c>
      <c r="H84" s="18" t="inlineStr">
        <is>
          <t>Sí</t>
        </is>
      </c>
      <c r="I84" s="18" t="inlineStr"/>
      <c r="J84" s="18" t="inlineStr"/>
      <c r="K84" s="18" t="inlineStr"/>
      <c r="L84" s="18" t="inlineStr">
        <is>
          <t>No</t>
        </is>
      </c>
      <c r="M84" s="18" t="inlineStr">
        <is>
          <t>No</t>
        </is>
      </c>
      <c r="N84" s="18" t="inlineStr"/>
      <c r="O84" s="18" t="inlineStr"/>
      <c r="P84" s="18" t="inlineStr"/>
      <c r="Q84" s="18" t="inlineStr">
        <is>
          <t>Propuesta semántica</t>
        </is>
      </c>
      <c r="R84" s="18" t="inlineStr">
        <is>
          <t>Segundo apellido de la persona.</t>
        </is>
      </c>
      <c r="S84" s="18" t="inlineStr">
        <is>
          <t>Alta</t>
        </is>
      </c>
      <c r="T84" s="18" t="inlineStr">
        <is>
          <t>nombre + tipo + columnas vecinas</t>
        </is>
      </c>
      <c r="U84" s="18" t="inlineStr"/>
      <c r="V84" s="19" t="inlineStr">
        <is>
          <t>Aprobada</t>
        </is>
      </c>
      <c r="W84" s="19" t="inlineStr"/>
      <c r="X84" s="19" t="inlineStr">
        <is>
          <t>Aldair González (aprobación en bloque)</t>
        </is>
      </c>
      <c r="Y84" s="20" t="n">
        <v>46321</v>
      </c>
      <c r="Z84" s="19" t="inlineStr">
        <is>
          <t>Nivel 1: propuesta del comentario del desarrollador o de confianza alta, o regla de fecha/responsable/motivo.</t>
        </is>
      </c>
      <c r="AA84" s="18">
        <f>IF(OR(V84="Aprobada"),R84,IF(AND(OR(V84="Aprobada con ajuste",V84="Rechazada"),W84&lt;&gt;""),W84,""))</f>
        <v/>
      </c>
    </row>
    <row r="85">
      <c r="A85" s="18" t="inlineStr">
        <is>
          <t>C0084</t>
        </is>
      </c>
      <c r="B85" s="18" t="inlineStr">
        <is>
          <t>Identidad y acceso</t>
        </is>
      </c>
      <c r="C85" s="18" t="inlineStr">
        <is>
          <t>auth</t>
        </is>
      </c>
      <c r="D85" s="18" t="inlineStr">
        <is>
          <t>personas</t>
        </is>
      </c>
      <c r="E85" s="18" t="n">
        <v>409</v>
      </c>
      <c r="F85" s="18" t="inlineStr">
        <is>
          <t>gen_tercero</t>
        </is>
      </c>
      <c r="G85" s="18" t="inlineStr">
        <is>
          <t>character varying(6)</t>
        </is>
      </c>
      <c r="H85" s="18" t="inlineStr">
        <is>
          <t>No</t>
        </is>
      </c>
      <c r="I85" s="18" t="inlineStr"/>
      <c r="J85" s="18" t="inlineStr"/>
      <c r="K85" s="18" t="inlineStr"/>
      <c r="L85" s="18" t="inlineStr">
        <is>
          <t>No</t>
        </is>
      </c>
      <c r="M85" s="18" t="inlineStr">
        <is>
          <t>No</t>
        </is>
      </c>
      <c r="N85" s="18" t="inlineStr"/>
      <c r="O85" s="18" t="inlineStr">
        <is>
          <t>idx_personas_gen_tercero</t>
        </is>
      </c>
      <c r="P85" s="18" t="inlineStr">
        <is>
          <t>Mapeada en auth-service/src/users/person.entity.ts:32 (Person.gender) | Validación: IsOptional, IsString</t>
        </is>
      </c>
      <c r="Q85" s="18" t="inlineStr">
        <is>
          <t>Código fuente (verificado)</t>
        </is>
      </c>
      <c r="R85" s="18" t="inlineStr">
        <is>
          <t>Código del género de la persona, en mayúsculas. Si no se informa, N (no especificado).</t>
        </is>
      </c>
      <c r="S85" s="18" t="inlineStr">
        <is>
          <t>Media</t>
        </is>
      </c>
      <c r="T85" s="18" t="inlineStr">
        <is>
          <t>backend/auth-service/src/users/users.service.ts:371: normalizeGender pasa a mayúsculas y usa 'N' si viene vacío | backend/auth-service/src/users/users.service.ts:1176: comentario «'N' = No especificado» | backend/auth-service/src/users/dto/create-person.dto.ts:25: solo IsString</t>
        </is>
      </c>
      <c r="U85" s="18" t="inlineStr">
        <is>
          <t>¿Qué otros códigos de género se admiten además de N y de qué lista provienen?</t>
        </is>
      </c>
      <c r="V85" s="19" t="inlineStr">
        <is>
          <t>Aprobada</t>
        </is>
      </c>
      <c r="W85" s="19" t="inlineStr"/>
      <c r="X85" s="19" t="inlineStr">
        <is>
          <t>Aldair González (validación del responsable de BD)</t>
        </is>
      </c>
      <c r="Y85" s="20" t="n">
        <v>46321</v>
      </c>
      <c r="Z85" s="19" t="inlineStr">
        <is>
          <t>Nivel 3: validada por decisión del responsable de la base de datos. Pregunta registrada para desarrollo: ¿Qué otros códigos de género se admiten además de N y de qué lista provienen?</t>
        </is>
      </c>
      <c r="AA85" s="18">
        <f>IF(OR(V85="Aprobada"),R85,IF(AND(OR(V85="Aprobada con ajuste",V85="Rechazada"),W85&lt;&gt;""),W85,""))</f>
        <v/>
      </c>
    </row>
    <row r="86">
      <c r="A86" s="18" t="inlineStr">
        <is>
          <t>C0085</t>
        </is>
      </c>
      <c r="B86" s="18" t="inlineStr">
        <is>
          <t>Identidad y acceso</t>
        </is>
      </c>
      <c r="C86" s="18" t="inlineStr">
        <is>
          <t>auth</t>
        </is>
      </c>
      <c r="D86" s="18" t="inlineStr">
        <is>
          <t>personas</t>
        </is>
      </c>
      <c r="E86" s="18" t="n">
        <v>409</v>
      </c>
      <c r="F86" s="18" t="inlineStr">
        <is>
          <t>fec_nacimiento</t>
        </is>
      </c>
      <c r="G86" s="18" t="inlineStr">
        <is>
          <t>date</t>
        </is>
      </c>
      <c r="H86" s="18" t="inlineStr">
        <is>
          <t>Sí</t>
        </is>
      </c>
      <c r="I86" s="18" t="inlineStr"/>
      <c r="J86" s="18" t="inlineStr"/>
      <c r="K86" s="18" t="inlineStr"/>
      <c r="L86" s="18" t="inlineStr">
        <is>
          <t>No</t>
        </is>
      </c>
      <c r="M86" s="18" t="inlineStr">
        <is>
          <t>No</t>
        </is>
      </c>
      <c r="N86" s="18" t="inlineStr"/>
      <c r="O86" s="18" t="inlineStr"/>
      <c r="P86" s="18" t="inlineStr">
        <is>
          <t>Mapeada en auth-service/src/users/person.entity.ts:85 (Person.fec_nacimiento)</t>
        </is>
      </c>
      <c r="Q86" s="18" t="inlineStr">
        <is>
          <t>Propuesta semántica</t>
        </is>
      </c>
      <c r="R86" s="18" t="inlineStr">
        <is>
          <t>Fecha de nacimiento de la persona.</t>
        </is>
      </c>
      <c r="S86" s="18" t="inlineStr">
        <is>
          <t>Alta</t>
        </is>
      </c>
      <c r="T86" s="18" t="inlineStr">
        <is>
          <t>nombre + tipo + columnas vecinas</t>
        </is>
      </c>
      <c r="U86" s="18" t="inlineStr"/>
      <c r="V86" s="19" t="inlineStr">
        <is>
          <t>Aprobada</t>
        </is>
      </c>
      <c r="W86" s="19" t="inlineStr"/>
      <c r="X86" s="19" t="inlineStr">
        <is>
          <t>Aldair González (aprobación en bloque)</t>
        </is>
      </c>
      <c r="Y86" s="20" t="n">
        <v>46321</v>
      </c>
      <c r="Z86" s="19" t="inlineStr">
        <is>
          <t>Nivel 1: propuesta del comentario del desarrollador o de confianza alta, o regla de fecha/responsable/motivo.</t>
        </is>
      </c>
      <c r="AA86" s="18">
        <f>IF(OR(V86="Aprobada"),R86,IF(AND(OR(V86="Aprobada con ajuste",V86="Rechazada"),W86&lt;&gt;""),W86,""))</f>
        <v/>
      </c>
    </row>
    <row r="87">
      <c r="A87" s="18" t="inlineStr">
        <is>
          <t>C0086</t>
        </is>
      </c>
      <c r="B87" s="18" t="inlineStr">
        <is>
          <t>Identidad y acceso</t>
        </is>
      </c>
      <c r="C87" s="18" t="inlineStr">
        <is>
          <t>auth</t>
        </is>
      </c>
      <c r="D87" s="18" t="inlineStr">
        <is>
          <t>personas</t>
        </is>
      </c>
      <c r="E87" s="18" t="n">
        <v>409</v>
      </c>
      <c r="F87" s="18" t="inlineStr">
        <is>
          <t>dir_residencia</t>
        </is>
      </c>
      <c r="G87" s="18" t="inlineStr">
        <is>
          <t>character varying(250)</t>
        </is>
      </c>
      <c r="H87" s="18" t="inlineStr">
        <is>
          <t>Sí</t>
        </is>
      </c>
      <c r="I87" s="18" t="inlineStr"/>
      <c r="J87" s="18" t="inlineStr"/>
      <c r="K87" s="18" t="inlineStr"/>
      <c r="L87" s="18" t="inlineStr">
        <is>
          <t>No</t>
        </is>
      </c>
      <c r="M87" s="18" t="inlineStr">
        <is>
          <t>No</t>
        </is>
      </c>
      <c r="N87" s="18" t="inlineStr"/>
      <c r="O87" s="18" t="inlineStr"/>
      <c r="P87" s="18" t="inlineStr">
        <is>
          <t>Mapeada en auth-service/src/users/person.entity.ts:88 (Person.dir_residencia)</t>
        </is>
      </c>
      <c r="Q87" s="18" t="inlineStr">
        <is>
          <t>Propuesta semántica</t>
        </is>
      </c>
      <c r="R87" s="18" t="inlineStr">
        <is>
          <t>Dirección de residencia de la persona.</t>
        </is>
      </c>
      <c r="S87" s="18" t="inlineStr">
        <is>
          <t>Alta</t>
        </is>
      </c>
      <c r="T87" s="18" t="inlineStr">
        <is>
          <t>nombre + tipo + columnas vecinas</t>
        </is>
      </c>
      <c r="U87" s="18" t="inlineStr"/>
      <c r="V87" s="19" t="inlineStr">
        <is>
          <t>Aprobada</t>
        </is>
      </c>
      <c r="W87" s="19" t="inlineStr"/>
      <c r="X87" s="19" t="inlineStr">
        <is>
          <t>Aldair González (aprobación en bloque)</t>
        </is>
      </c>
      <c r="Y87" s="20" t="n">
        <v>46321</v>
      </c>
      <c r="Z87" s="19" t="inlineStr">
        <is>
          <t>Nivel 1: propuesta del comentario del desarrollador o de confianza alta, o regla de fecha/responsable/motivo.</t>
        </is>
      </c>
      <c r="AA87" s="18">
        <f>IF(OR(V87="Aprobada"),R87,IF(AND(OR(V87="Aprobada con ajuste",V87="Rechazada"),W87&lt;&gt;""),W87,""))</f>
        <v/>
      </c>
    </row>
    <row r="88">
      <c r="A88" s="18" t="inlineStr">
        <is>
          <t>C0087</t>
        </is>
      </c>
      <c r="B88" s="18" t="inlineStr">
        <is>
          <t>Identidad y acceso</t>
        </is>
      </c>
      <c r="C88" s="18" t="inlineStr">
        <is>
          <t>auth</t>
        </is>
      </c>
      <c r="D88" s="18" t="inlineStr">
        <is>
          <t>personas</t>
        </is>
      </c>
      <c r="E88" s="18" t="n">
        <v>409</v>
      </c>
      <c r="F88" s="18" t="inlineStr">
        <is>
          <t>dir_email</t>
        </is>
      </c>
      <c r="G88" s="18" t="inlineStr">
        <is>
          <t>character varying(100)</t>
        </is>
      </c>
      <c r="H88" s="18" t="inlineStr">
        <is>
          <t>Sí</t>
        </is>
      </c>
      <c r="I88" s="18" t="inlineStr"/>
      <c r="J88" s="18" t="inlineStr"/>
      <c r="K88" s="18" t="inlineStr"/>
      <c r="L88" s="18" t="inlineStr">
        <is>
          <t>No</t>
        </is>
      </c>
      <c r="M88" s="18" t="inlineStr">
        <is>
          <t>Sí</t>
        </is>
      </c>
      <c r="N88" s="18" t="inlineStr">
        <is>
          <t>Vista control_interno.v_auditor_disponibilidad; Vista control_interno.v_auditorias_kanban_completo</t>
        </is>
      </c>
      <c r="O88" s="18" t="inlineStr"/>
      <c r="P88" s="18" t="inlineStr">
        <is>
          <t>Mapeada en auth-service/src/users/person.entity.ts:35 (Person.email) | Validación: IsEmail, IsOptional, IsString</t>
        </is>
      </c>
      <c r="Q88" s="18" t="inlineStr">
        <is>
          <t>Código fuente (verificado)</t>
        </is>
      </c>
      <c r="R88" s="18" t="inlineStr">
        <is>
          <t>Correo electrónico de la persona, guardado en minúsculas.</t>
        </is>
      </c>
      <c r="S88" s="18" t="inlineStr">
        <is>
          <t>Media</t>
        </is>
      </c>
      <c r="T88" s="18" t="inlineStr">
        <is>
          <t>backend/auth-service/src/users/users.service.ts:317: normalizeEmail recorta y pasa a minúsculas | backend/auth-service/src/users/dto/create-person.dto.ts:17: IsEmail; el código no distingue correo institucional de personal</t>
        </is>
      </c>
      <c r="U88" s="18" t="inlineStr">
        <is>
          <t>¿Es el correo institucional o el personal?</t>
        </is>
      </c>
      <c r="V88" s="19" t="inlineStr">
        <is>
          <t>Aprobada</t>
        </is>
      </c>
      <c r="W88" s="19" t="inlineStr"/>
      <c r="X88" s="19" t="inlineStr">
        <is>
          <t>Aldair González (validación del responsable de BD)</t>
        </is>
      </c>
      <c r="Y88" s="20" t="n">
        <v>46321</v>
      </c>
      <c r="Z88" s="19" t="inlineStr">
        <is>
          <t>Nivel 3: validada por decisión del responsable de la base de datos. Pregunta registrada para desarrollo: ¿Es el correo institucional o el personal?</t>
        </is>
      </c>
      <c r="AA88" s="18">
        <f>IF(OR(V88="Aprobada"),R88,IF(AND(OR(V88="Aprobada con ajuste",V88="Rechazada"),W88&lt;&gt;""),W88,""))</f>
        <v/>
      </c>
    </row>
    <row r="89">
      <c r="A89" s="18" t="inlineStr">
        <is>
          <t>C0088</t>
        </is>
      </c>
      <c r="B89" s="18" t="inlineStr">
        <is>
          <t>Identidad y acceso</t>
        </is>
      </c>
      <c r="C89" s="18" t="inlineStr">
        <is>
          <t>auth</t>
        </is>
      </c>
      <c r="D89" s="18" t="inlineStr">
        <is>
          <t>personas</t>
        </is>
      </c>
      <c r="E89" s="18" t="n">
        <v>409</v>
      </c>
      <c r="F89" s="18" t="inlineStr">
        <is>
          <t>tel_celular</t>
        </is>
      </c>
      <c r="G89" s="18" t="inlineStr">
        <is>
          <t>character varying(255)</t>
        </is>
      </c>
      <c r="H89" s="18" t="inlineStr">
        <is>
          <t>Sí</t>
        </is>
      </c>
      <c r="I89" s="18" t="inlineStr"/>
      <c r="J89" s="18" t="inlineStr"/>
      <c r="K89" s="18" t="inlineStr"/>
      <c r="L89" s="18" t="inlineStr">
        <is>
          <t>No</t>
        </is>
      </c>
      <c r="M89" s="18" t="inlineStr">
        <is>
          <t>No</t>
        </is>
      </c>
      <c r="N89" s="18" t="inlineStr"/>
      <c r="O89" s="18" t="inlineStr"/>
      <c r="P89" s="18" t="inlineStr">
        <is>
          <t>Mapeada en auth-service/src/users/person.entity.ts:38 (Person.phone) | Validación: IsOptional, IsString</t>
        </is>
      </c>
      <c r="Q89" s="18" t="inlineStr">
        <is>
          <t>Propuesta semántica</t>
        </is>
      </c>
      <c r="R89" s="18" t="inlineStr">
        <is>
          <t>Número de teléfono celular de la persona.</t>
        </is>
      </c>
      <c r="S89" s="18" t="inlineStr">
        <is>
          <t>Alta</t>
        </is>
      </c>
      <c r="T89" s="18" t="inlineStr">
        <is>
          <t>nombre + tipo + columnas vecinas</t>
        </is>
      </c>
      <c r="U89" s="18" t="inlineStr"/>
      <c r="V89" s="19" t="inlineStr">
        <is>
          <t>Aprobada</t>
        </is>
      </c>
      <c r="W89" s="19" t="inlineStr"/>
      <c r="X89" s="19" t="inlineStr">
        <is>
          <t>Aldair González (aprobación en bloque)</t>
        </is>
      </c>
      <c r="Y89" s="20" t="n">
        <v>46321</v>
      </c>
      <c r="Z89" s="19" t="inlineStr">
        <is>
          <t>Nivel 1: propuesta del comentario del desarrollador o de confianza alta, o regla de fecha/responsable/motivo.</t>
        </is>
      </c>
      <c r="AA89" s="18">
        <f>IF(OR(V89="Aprobada"),R89,IF(AND(OR(V89="Aprobada con ajuste",V89="Rechazada"),W89&lt;&gt;""),W89,""))</f>
        <v/>
      </c>
    </row>
    <row r="90">
      <c r="A90" s="18" t="inlineStr">
        <is>
          <t>C0089</t>
        </is>
      </c>
      <c r="B90" s="18" t="inlineStr">
        <is>
          <t>Identidad y acceso</t>
        </is>
      </c>
      <c r="C90" s="18" t="inlineStr">
        <is>
          <t>auth</t>
        </is>
      </c>
      <c r="D90" s="18" t="inlineStr">
        <is>
          <t>personas</t>
        </is>
      </c>
      <c r="E90" s="18" t="n">
        <v>409</v>
      </c>
      <c r="F90" s="18" t="inlineStr">
        <is>
          <t>fec_creacion</t>
        </is>
      </c>
      <c r="G90" s="18" t="inlineStr">
        <is>
          <t>timestamp with time zone</t>
        </is>
      </c>
      <c r="H90" s="18" t="inlineStr">
        <is>
          <t>Sí</t>
        </is>
      </c>
      <c r="I90" s="18" t="inlineStr"/>
      <c r="J90" s="18" t="inlineStr"/>
      <c r="K90" s="18" t="inlineStr"/>
      <c r="L90" s="18" t="inlineStr">
        <is>
          <t>No</t>
        </is>
      </c>
      <c r="M90" s="18" t="inlineStr">
        <is>
          <t>No</t>
        </is>
      </c>
      <c r="N90" s="18" t="inlineStr"/>
      <c r="O90" s="18" t="inlineStr"/>
      <c r="P90" s="18" t="inlineStr">
        <is>
          <t>Mapeada en auth-service/src/users/person.entity.ts:42 (Person.created_at)</t>
        </is>
      </c>
      <c r="Q90" s="18" t="inlineStr">
        <is>
          <t>Propuesta semántica</t>
        </is>
      </c>
      <c r="R90" s="18" t="inlineStr">
        <is>
          <t>Fecha y hora de creación del registro. Por defecto, la fecha y hora del registro.</t>
        </is>
      </c>
      <c r="S90" s="18" t="inlineStr">
        <is>
          <t>Alta</t>
        </is>
      </c>
      <c r="T90" s="18" t="inlineStr">
        <is>
          <t>nombre + tipo + columnas vecinas + defecto</t>
        </is>
      </c>
      <c r="U90" s="18" t="inlineStr"/>
      <c r="V90" s="19" t="inlineStr">
        <is>
          <t>Aprobada</t>
        </is>
      </c>
      <c r="W90" s="19" t="inlineStr"/>
      <c r="X90" s="19" t="inlineStr">
        <is>
          <t>Aldair González (aprobación en bloque)</t>
        </is>
      </c>
      <c r="Y90" s="20" t="n">
        <v>46321</v>
      </c>
      <c r="Z90" s="19" t="inlineStr">
        <is>
          <t>Nivel 1: propuesta del comentario del desarrollador o de confianza alta, o regla de fecha/responsable/motivo.</t>
        </is>
      </c>
      <c r="AA90" s="18">
        <f>IF(OR(V90="Aprobada"),R90,IF(AND(OR(V90="Aprobada con ajuste",V90="Rechazada"),W90&lt;&gt;""),W90,""))</f>
        <v/>
      </c>
    </row>
    <row r="91">
      <c r="A91" s="18" t="inlineStr">
        <is>
          <t>C0090</t>
        </is>
      </c>
      <c r="B91" s="18" t="inlineStr">
        <is>
          <t>Identidad y acceso</t>
        </is>
      </c>
      <c r="C91" s="18" t="inlineStr">
        <is>
          <t>auth</t>
        </is>
      </c>
      <c r="D91" s="18" t="inlineStr">
        <is>
          <t>personas</t>
        </is>
      </c>
      <c r="E91" s="18" t="n">
        <v>409</v>
      </c>
      <c r="F91" s="18" t="inlineStr">
        <is>
          <t>fec_modificacion</t>
        </is>
      </c>
      <c r="G91" s="18" t="inlineStr">
        <is>
          <t>timestamp with time zone</t>
        </is>
      </c>
      <c r="H91" s="18" t="inlineStr">
        <is>
          <t>Sí</t>
        </is>
      </c>
      <c r="I91" s="18" t="inlineStr"/>
      <c r="J91" s="18" t="inlineStr"/>
      <c r="K91" s="18" t="inlineStr"/>
      <c r="L91" s="18" t="inlineStr">
        <is>
          <t>No</t>
        </is>
      </c>
      <c r="M91" s="18" t="inlineStr">
        <is>
          <t>No</t>
        </is>
      </c>
      <c r="N91" s="18" t="inlineStr"/>
      <c r="O91" s="18" t="inlineStr"/>
      <c r="P91" s="18" t="inlineStr">
        <is>
          <t>Mapeada en auth-service/src/users/person.entity.ts:45 (Person.updated_at)</t>
        </is>
      </c>
      <c r="Q91" s="18" t="inlineStr">
        <is>
          <t>Propuesta semántica</t>
        </is>
      </c>
      <c r="R91" s="18" t="inlineStr">
        <is>
          <t>Fecha y hora de la última modificación del registro.</t>
        </is>
      </c>
      <c r="S91" s="18" t="inlineStr">
        <is>
          <t>Alta</t>
        </is>
      </c>
      <c r="T91" s="18" t="inlineStr">
        <is>
          <t>nombre + tipo + columnas vecinas</t>
        </is>
      </c>
      <c r="U91" s="18" t="inlineStr"/>
      <c r="V91" s="19" t="inlineStr">
        <is>
          <t>Aprobada</t>
        </is>
      </c>
      <c r="W91" s="19" t="inlineStr"/>
      <c r="X91" s="19" t="inlineStr">
        <is>
          <t>Aldair González (aprobación en bloque)</t>
        </is>
      </c>
      <c r="Y91" s="20" t="n">
        <v>46321</v>
      </c>
      <c r="Z91" s="19" t="inlineStr">
        <is>
          <t>Nivel 1: propuesta del comentario del desarrollador o de confianza alta, o regla de fecha/responsable/motivo.</t>
        </is>
      </c>
      <c r="AA91" s="18">
        <f>IF(OR(V91="Aprobada"),R91,IF(AND(OR(V91="Aprobada con ajuste",V91="Rechazada"),W91&lt;&gt;""),W91,""))</f>
        <v/>
      </c>
    </row>
    <row r="92">
      <c r="A92" s="18" t="inlineStr">
        <is>
          <t>C0091</t>
        </is>
      </c>
      <c r="B92" s="18" t="inlineStr">
        <is>
          <t>Identidad y acceso</t>
        </is>
      </c>
      <c r="C92" s="18" t="inlineStr">
        <is>
          <t>auth</t>
        </is>
      </c>
      <c r="D92" s="18" t="inlineStr">
        <is>
          <t>personas</t>
        </is>
      </c>
      <c r="E92" s="18" t="n">
        <v>409</v>
      </c>
      <c r="F92" s="18" t="inlineStr">
        <is>
          <t>usu_creacion</t>
        </is>
      </c>
      <c r="G92" s="18" t="inlineStr">
        <is>
          <t>character varying(20)</t>
        </is>
      </c>
      <c r="H92" s="18" t="inlineStr">
        <is>
          <t>Sí</t>
        </is>
      </c>
      <c r="I92" s="18" t="inlineStr"/>
      <c r="J92" s="18" t="inlineStr"/>
      <c r="K92" s="18" t="inlineStr"/>
      <c r="L92" s="18" t="inlineStr">
        <is>
          <t>No</t>
        </is>
      </c>
      <c r="M92" s="18" t="inlineStr">
        <is>
          <t>No</t>
        </is>
      </c>
      <c r="N92" s="18" t="inlineStr"/>
      <c r="O92" s="18" t="inlineStr"/>
      <c r="P92" s="18" t="inlineStr"/>
      <c r="Q92" s="18" t="inlineStr">
        <is>
          <t>Código fuente (verificado)</t>
        </is>
      </c>
      <c r="R92" s="18" t="inlineStr">
        <is>
          <t>Usuario que creó el registro.</t>
        </is>
      </c>
      <c r="S92" s="18" t="inlineStr">
        <is>
          <t>Media</t>
        </is>
      </c>
      <c r="T92" s="18" t="inlineStr">
        <is>
          <t>backend/auth-service/schema.sql:29: USU_CREACION VARCHAR(20) en la tabla de origen | backend/auth-service/src/users/person.entity.ts: la columna no está mapeada y ningún servicio la escribe</t>
        </is>
      </c>
      <c r="U92" s="18" t="inlineStr">
        <is>
          <t>¿usu_creacion guarda el nombre de usuario o el identificador del sistema de origen?</t>
        </is>
      </c>
      <c r="V92" s="19" t="inlineStr">
        <is>
          <t>Aprobada</t>
        </is>
      </c>
      <c r="W92" s="19" t="inlineStr"/>
      <c r="X92" s="19" t="inlineStr">
        <is>
          <t>Aldair González (validación del responsable de BD)</t>
        </is>
      </c>
      <c r="Y92" s="20" t="n">
        <v>46321</v>
      </c>
      <c r="Z92" s="19" t="inlineStr">
        <is>
          <t>Nivel 3: validada por decisión del responsable de la base de datos. Pregunta registrada para desarrollo: ¿usu_creacion guarda el nombre de usuario o el identificador del sistema de origen?</t>
        </is>
      </c>
      <c r="AA92" s="18">
        <f>IF(OR(V92="Aprobada"),R92,IF(AND(OR(V92="Aprobada con ajuste",V92="Rechazada"),W92&lt;&gt;""),W92,""))</f>
        <v/>
      </c>
    </row>
    <row r="93">
      <c r="A93" s="18" t="inlineStr">
        <is>
          <t>C0092</t>
        </is>
      </c>
      <c r="B93" s="18" t="inlineStr">
        <is>
          <t>Identidad y acceso</t>
        </is>
      </c>
      <c r="C93" s="18" t="inlineStr">
        <is>
          <t>auth</t>
        </is>
      </c>
      <c r="D93" s="18" t="inlineStr">
        <is>
          <t>personas</t>
        </is>
      </c>
      <c r="E93" s="18" t="n">
        <v>409</v>
      </c>
      <c r="F93" s="18" t="inlineStr">
        <is>
          <t>usu_modificacion</t>
        </is>
      </c>
      <c r="G93" s="18" t="inlineStr">
        <is>
          <t>character varying(20)</t>
        </is>
      </c>
      <c r="H93" s="18" t="inlineStr">
        <is>
          <t>Sí</t>
        </is>
      </c>
      <c r="I93" s="18" t="inlineStr"/>
      <c r="J93" s="18" t="inlineStr"/>
      <c r="K93" s="18" t="inlineStr"/>
      <c r="L93" s="18" t="inlineStr">
        <is>
          <t>No</t>
        </is>
      </c>
      <c r="M93" s="18" t="inlineStr">
        <is>
          <t>No</t>
        </is>
      </c>
      <c r="N93" s="18" t="inlineStr"/>
      <c r="O93" s="18" t="inlineStr"/>
      <c r="P93" s="18" t="inlineStr"/>
      <c r="Q93" s="18" t="inlineStr">
        <is>
          <t>Código fuente (verificado)</t>
        </is>
      </c>
      <c r="R93" s="18" t="inlineStr">
        <is>
          <t>Usuario que hizo la última modificación del registro.</t>
        </is>
      </c>
      <c r="S93" s="18" t="inlineStr">
        <is>
          <t>Media</t>
        </is>
      </c>
      <c r="T93" s="18" t="inlineStr">
        <is>
          <t>backend/auth-service/schema.sql:30: USU_MODIFICACION VARCHAR(20) en la tabla de origen | backend/auth-service/src/users/person.entity.ts: la columna no está mapeada y ningún servicio la escribe</t>
        </is>
      </c>
      <c r="U93" s="18" t="inlineStr">
        <is>
          <t>¿usu_modificacion guarda el nombre de usuario o el identificador del sistema de origen?</t>
        </is>
      </c>
      <c r="V93" s="19" t="inlineStr">
        <is>
          <t>Aprobada</t>
        </is>
      </c>
      <c r="W93" s="19" t="inlineStr"/>
      <c r="X93" s="19" t="inlineStr">
        <is>
          <t>Aldair González (validación del responsable de BD)</t>
        </is>
      </c>
      <c r="Y93" s="20" t="n">
        <v>46321</v>
      </c>
      <c r="Z93" s="19" t="inlineStr">
        <is>
          <t>Nivel 3: validada por decisión del responsable de la base de datos. Pregunta registrada para desarrollo: ¿usu_modificacion guarda el nombre de usuario o el identificador del sistema de origen?</t>
        </is>
      </c>
      <c r="AA93" s="18">
        <f>IF(OR(V93="Aprobada"),R93,IF(AND(OR(V93="Aprobada con ajuste",V93="Rechazada"),W93&lt;&gt;""),W93,""))</f>
        <v/>
      </c>
    </row>
    <row r="94">
      <c r="A94" s="18" t="inlineStr">
        <is>
          <t>C0093</t>
        </is>
      </c>
      <c r="B94" s="18" t="inlineStr">
        <is>
          <t>Identidad y acceso</t>
        </is>
      </c>
      <c r="C94" s="18" t="inlineStr">
        <is>
          <t>auth</t>
        </is>
      </c>
      <c r="D94" s="18" t="inlineStr">
        <is>
          <t>personas</t>
        </is>
      </c>
      <c r="E94" s="18" t="n">
        <v>409</v>
      </c>
      <c r="F94" s="18" t="inlineStr">
        <is>
          <t>id_person</t>
        </is>
      </c>
      <c r="G94" s="18" t="inlineStr">
        <is>
          <t>uuid</t>
        </is>
      </c>
      <c r="H94" s="18" t="inlineStr">
        <is>
          <t>No</t>
        </is>
      </c>
      <c r="I94" s="18" t="inlineStr">
        <is>
          <t>Única</t>
        </is>
      </c>
      <c r="J94" s="18" t="inlineStr"/>
      <c r="K94" s="18" t="inlineStr"/>
      <c r="L94" s="18" t="inlineStr">
        <is>
          <t>No</t>
        </is>
      </c>
      <c r="M94" s="18" t="inlineStr">
        <is>
          <t>Sí</t>
        </is>
      </c>
      <c r="N94" s="18" t="inlineStr">
        <is>
          <t>Función control_interno.fn_registrar_cambio_estado_auditoria; Función control_interno.fn_registrar_cambio_estado_plan_anual; Vista control_interno.v_auditor_disponibilidad; Vista control_interno.v_auditorias_kanban_completo — control_interno.fn_registrar_cambio_estado_auditoria: SELECT id_person INTO v_usuario_id | control_interno.fn_registrar_cambio_estado_plan_anual: SELECT id_person INTO v_usuario_id</t>
        </is>
      </c>
      <c r="O94" s="18" t="inlineStr">
        <is>
          <t>personas_id_person_key</t>
        </is>
      </c>
      <c r="P94" s="18" t="inlineStr">
        <is>
          <t>Mapeada en auth-service/src/users/person.entity.ts:11 (Person.id)</t>
        </is>
      </c>
      <c r="Q94" s="18" t="inlineStr">
        <is>
          <t>Propuesta semántica</t>
        </is>
      </c>
      <c r="R94" s="18" t="inlineStr">
        <is>
          <t>Identificador único (UUID) de la persona, usado por las demás tablas para enlazarla; se genera automáticamente.</t>
        </is>
      </c>
      <c r="S94" s="18" t="inlineStr">
        <is>
          <t>Alta</t>
        </is>
      </c>
      <c r="T94" s="18" t="inlineStr">
        <is>
          <t>nombre + tipo + columnas vecinas + restricción única + uso en funciones de control_interno</t>
        </is>
      </c>
      <c r="U94" s="18" t="inlineStr"/>
      <c r="V94" s="19" t="inlineStr">
        <is>
          <t>Aprobada</t>
        </is>
      </c>
      <c r="W94" s="19" t="inlineStr"/>
      <c r="X94" s="19" t="inlineStr">
        <is>
          <t>Aldair González (aprobación en bloque)</t>
        </is>
      </c>
      <c r="Y94" s="20" t="n">
        <v>46321</v>
      </c>
      <c r="Z94" s="19" t="inlineStr">
        <is>
          <t>Nivel 1: propuesta del comentario del desarrollador o de confianza alta, o regla de fecha/responsable/motivo.</t>
        </is>
      </c>
      <c r="AA94" s="18">
        <f>IF(OR(V94="Aprobada"),R94,IF(AND(OR(V94="Aprobada con ajuste",V94="Rechazada"),W94&lt;&gt;""),W94,""))</f>
        <v/>
      </c>
    </row>
    <row r="95">
      <c r="A95" s="18" t="inlineStr">
        <is>
          <t>C0094</t>
        </is>
      </c>
      <c r="B95" s="18" t="inlineStr">
        <is>
          <t>Identidad y acceso</t>
        </is>
      </c>
      <c r="C95" s="18" t="inlineStr">
        <is>
          <t>auth</t>
        </is>
      </c>
      <c r="D95" s="18" t="inlineStr">
        <is>
          <t>personas</t>
        </is>
      </c>
      <c r="E95" s="18" t="n">
        <v>409</v>
      </c>
      <c r="F95" s="18" t="inlineStr">
        <is>
          <t>city</t>
        </is>
      </c>
      <c r="G95" s="18" t="inlineStr">
        <is>
          <t>character varying(255)</t>
        </is>
      </c>
      <c r="H95" s="18" t="inlineStr">
        <is>
          <t>Sí</t>
        </is>
      </c>
      <c r="I95" s="18" t="inlineStr"/>
      <c r="J95" s="18" t="inlineStr"/>
      <c r="K95" s="18" t="inlineStr"/>
      <c r="L95" s="18" t="inlineStr">
        <is>
          <t>No</t>
        </is>
      </c>
      <c r="M95" s="18" t="inlineStr">
        <is>
          <t>No</t>
        </is>
      </c>
      <c r="N95" s="18" t="inlineStr"/>
      <c r="O95" s="18" t="inlineStr"/>
      <c r="P95" s="18" t="inlineStr">
        <is>
          <t>Mapeada en auth-service/src/users/person.entity.ts:91 (Person.city) | Validación: IsOptional, IsString</t>
        </is>
      </c>
      <c r="Q95" s="18" t="inlineStr">
        <is>
          <t>Código fuente (verificado)</t>
        </is>
      </c>
      <c r="R95" s="18" t="inlineStr">
        <is>
          <t>Ciudad de la persona, en texto libre.</t>
        </is>
      </c>
      <c r="S95" s="18" t="inlineStr">
        <is>
          <t>Media</t>
        </is>
      </c>
      <c r="T95" s="18" t="inlineStr">
        <is>
          <t>backend/auth-service/src/users/person.entity.ts:91: varchar nullable | backend/auth-service/src/users/users.service.ts:514: city = data.city sin validar contra auth.geopolitica | backend/auth-service/src/users/users.service.ts:1359: se actualiza con dto.city</t>
        </is>
      </c>
      <c r="U95" s="18" t="inlineStr">
        <is>
          <t>¿Es la ciudad de residencia y por qué se guarda como texto en lugar de un id de auth.geopolitica?</t>
        </is>
      </c>
      <c r="V95" s="19" t="inlineStr">
        <is>
          <t>Aprobada</t>
        </is>
      </c>
      <c r="W95" s="19" t="inlineStr"/>
      <c r="X95" s="19" t="inlineStr">
        <is>
          <t>Aldair González (validación del responsable de BD)</t>
        </is>
      </c>
      <c r="Y95" s="20" t="n">
        <v>46321</v>
      </c>
      <c r="Z95" s="19" t="inlineStr">
        <is>
          <t>Nivel 3: validada por decisión del responsable de la base de datos. Pregunta registrada para desarrollo: ¿Es la ciudad de residencia y por qué se guarda como texto en lugar de un id de auth.geopolitica?</t>
        </is>
      </c>
      <c r="AA95" s="18">
        <f>IF(OR(V95="Aprobada"),R95,IF(AND(OR(V95="Aprobada con ajuste",V95="Rechazada"),W95&lt;&gt;""),W95,""))</f>
        <v/>
      </c>
    </row>
    <row r="96">
      <c r="A96" s="18" t="inlineStr">
        <is>
          <t>C0095</t>
        </is>
      </c>
      <c r="B96" s="18" t="inlineStr">
        <is>
          <t>Identidad y acceso</t>
        </is>
      </c>
      <c r="C96" s="18" t="inlineStr">
        <is>
          <t>auth</t>
        </is>
      </c>
      <c r="D96" s="18" t="inlineStr">
        <is>
          <t>programas_academicos</t>
        </is>
      </c>
      <c r="E96" s="18" t="n">
        <v>12</v>
      </c>
      <c r="F96" s="18" t="inlineStr">
        <is>
          <t>codigo</t>
        </is>
      </c>
      <c r="G96" s="18" t="inlineStr">
        <is>
          <t>text</t>
        </is>
      </c>
      <c r="H96" s="18" t="inlineStr">
        <is>
          <t>No</t>
        </is>
      </c>
      <c r="I96" s="18" t="inlineStr">
        <is>
          <t>Única</t>
        </is>
      </c>
      <c r="J96" s="18" t="inlineStr"/>
      <c r="K96" s="18" t="inlineStr"/>
      <c r="L96" s="18" t="inlineStr">
        <is>
          <t>No</t>
        </is>
      </c>
      <c r="M96" s="18" t="inlineStr">
        <is>
          <t>No</t>
        </is>
      </c>
      <c r="N96" s="18" t="inlineStr"/>
      <c r="O96" s="18" t="inlineStr">
        <is>
          <t>programas_academicos_codigo_key</t>
        </is>
      </c>
      <c r="P96" s="18" t="inlineStr"/>
      <c r="Q96" s="18" t="inlineStr">
        <is>
          <t>Regla estructural (redacción revisada)</t>
        </is>
      </c>
      <c r="R96" s="18" t="inlineStr">
        <is>
          <t>Código del programa académico, único en la tabla.</t>
        </is>
      </c>
      <c r="S96" s="18" t="inlineStr">
        <is>
          <t>Alta</t>
        </is>
      </c>
      <c r="T96" s="18" t="inlineStr">
        <is>
          <t>Convención de nombre, redactada con el contexto de la tabla y el código.</t>
        </is>
      </c>
      <c r="U96" s="18" t="inlineStr"/>
      <c r="V96" s="19" t="inlineStr">
        <is>
          <t>Aprobada</t>
        </is>
      </c>
      <c r="W96" s="19" t="inlineStr"/>
      <c r="X96" s="19" t="inlineStr">
        <is>
          <t>Aldair González (aprobación en bloque)</t>
        </is>
      </c>
      <c r="Y96" s="20" t="n">
        <v>46321</v>
      </c>
      <c r="Z96" s="19" t="inlineStr">
        <is>
          <t>Nivel 2: regla estructural con redacción revisada.</t>
        </is>
      </c>
      <c r="AA96" s="18">
        <f>IF(OR(V96="Aprobada"),R96,IF(AND(OR(V96="Aprobada con ajuste",V96="Rechazada"),W96&lt;&gt;""),W96,""))</f>
        <v/>
      </c>
    </row>
    <row r="97">
      <c r="A97" s="18" t="inlineStr">
        <is>
          <t>C0096</t>
        </is>
      </c>
      <c r="B97" s="18" t="inlineStr">
        <is>
          <t>Identidad y acceso</t>
        </is>
      </c>
      <c r="C97" s="18" t="inlineStr">
        <is>
          <t>auth</t>
        </is>
      </c>
      <c r="D97" s="18" t="inlineStr">
        <is>
          <t>programas_academicos</t>
        </is>
      </c>
      <c r="E97" s="18" t="n">
        <v>12</v>
      </c>
      <c r="F97" s="18" t="inlineStr">
        <is>
          <t>nombre</t>
        </is>
      </c>
      <c r="G97" s="18" t="inlineStr">
        <is>
          <t>text</t>
        </is>
      </c>
      <c r="H97" s="18" t="inlineStr">
        <is>
          <t>No</t>
        </is>
      </c>
      <c r="I97" s="18" t="inlineStr"/>
      <c r="J97" s="18" t="inlineStr"/>
      <c r="K97" s="18" t="inlineStr"/>
      <c r="L97" s="18" t="inlineStr">
        <is>
          <t>No</t>
        </is>
      </c>
      <c r="M97" s="18" t="inlineStr">
        <is>
          <t>No</t>
        </is>
      </c>
      <c r="N97" s="18" t="inlineStr"/>
      <c r="O97" s="18" t="inlineStr"/>
      <c r="P97" s="18" t="inlineStr"/>
      <c r="Q97" s="18" t="inlineStr">
        <is>
          <t>Regla estructural (redacción revisada)</t>
        </is>
      </c>
      <c r="R97" s="18" t="inlineStr">
        <is>
          <t>Nombre del programa académico.</t>
        </is>
      </c>
      <c r="S97" s="18" t="inlineStr">
        <is>
          <t>Alta</t>
        </is>
      </c>
      <c r="T97" s="18" t="inlineStr">
        <is>
          <t>Convención de nombre, redactada con el contexto de la tabla y el código.</t>
        </is>
      </c>
      <c r="U97" s="18" t="inlineStr"/>
      <c r="V97" s="19" t="inlineStr">
        <is>
          <t>Aprobada</t>
        </is>
      </c>
      <c r="W97" s="19" t="inlineStr"/>
      <c r="X97" s="19" t="inlineStr">
        <is>
          <t>Aldair González (aprobación en bloque)</t>
        </is>
      </c>
      <c r="Y97" s="20" t="n">
        <v>46321</v>
      </c>
      <c r="Z97" s="19" t="inlineStr">
        <is>
          <t>Nivel 2: regla estructural con redacción revisada.</t>
        </is>
      </c>
      <c r="AA97" s="18">
        <f>IF(OR(V97="Aprobada"),R97,IF(AND(OR(V97="Aprobada con ajuste",V97="Rechazada"),W97&lt;&gt;""),W97,""))</f>
        <v/>
      </c>
    </row>
    <row r="98">
      <c r="A98" s="18" t="inlineStr">
        <is>
          <t>C0097</t>
        </is>
      </c>
      <c r="B98" s="18" t="inlineStr">
        <is>
          <t>Identidad y acceso</t>
        </is>
      </c>
      <c r="C98" s="18" t="inlineStr">
        <is>
          <t>auth</t>
        </is>
      </c>
      <c r="D98" s="18" t="inlineStr">
        <is>
          <t>programas_academicos</t>
        </is>
      </c>
      <c r="E98" s="18" t="n">
        <v>12</v>
      </c>
      <c r="F98" s="18" t="inlineStr">
        <is>
          <t>nivel_formacion</t>
        </is>
      </c>
      <c r="G98" s="18" t="inlineStr">
        <is>
          <t>text</t>
        </is>
      </c>
      <c r="H98" s="18" t="inlineStr">
        <is>
          <t>No</t>
        </is>
      </c>
      <c r="I98" s="18" t="inlineStr"/>
      <c r="J98" s="18" t="inlineStr"/>
      <c r="K98" s="18" t="inlineStr"/>
      <c r="L98" s="18" t="inlineStr">
        <is>
          <t>No</t>
        </is>
      </c>
      <c r="M98" s="18" t="inlineStr">
        <is>
          <t>No</t>
        </is>
      </c>
      <c r="N98" s="18" t="inlineStr"/>
      <c r="O98" s="18" t="inlineStr"/>
      <c r="P98" s="18" t="inlineStr">
        <is>
          <t>db/migrations/old/006_create_programas_academicos.sql:12: Pregrado, Especialización, Maestría, Doctorado, etc.</t>
        </is>
      </c>
      <c r="Q98" s="18" t="inlineStr">
        <is>
          <t>Código fuente</t>
        </is>
      </c>
      <c r="R98" s="18" t="inlineStr">
        <is>
          <t>Nivel de formación del programa (por ejemplo, Pregrado, Especialización, Maestría, Doctorado).</t>
        </is>
      </c>
      <c r="S98" s="18" t="inlineStr">
        <is>
          <t>Alta</t>
        </is>
      </c>
      <c r="T98" s="18" t="inlineStr">
        <is>
          <t>código: db/migrations/old/006_create_programas_academicos.sql:12</t>
        </is>
      </c>
      <c r="U98" s="18" t="inlineStr"/>
      <c r="V98" s="19" t="inlineStr">
        <is>
          <t>Aprobada</t>
        </is>
      </c>
      <c r="W98" s="19" t="inlineStr"/>
      <c r="X98" s="19" t="inlineStr">
        <is>
          <t>Aldair González (aprobación en bloque)</t>
        </is>
      </c>
      <c r="Y98" s="20" t="n">
        <v>46321</v>
      </c>
      <c r="Z98" s="19" t="inlineStr">
        <is>
          <t>Nivel 1: propuesta del comentario del desarrollador o de confianza alta, o regla de fecha/responsable/motivo.</t>
        </is>
      </c>
      <c r="AA98" s="18">
        <f>IF(OR(V98="Aprobada"),R98,IF(AND(OR(V98="Aprobada con ajuste",V98="Rechazada"),W98&lt;&gt;""),W98,""))</f>
        <v/>
      </c>
    </row>
    <row r="99">
      <c r="A99" s="18" t="inlineStr">
        <is>
          <t>C0098</t>
        </is>
      </c>
      <c r="B99" s="18" t="inlineStr">
        <is>
          <t>Identidad y acceso</t>
        </is>
      </c>
      <c r="C99" s="18" t="inlineStr">
        <is>
          <t>auth</t>
        </is>
      </c>
      <c r="D99" s="18" t="inlineStr">
        <is>
          <t>programas_academicos</t>
        </is>
      </c>
      <c r="E99" s="18" t="n">
        <v>12</v>
      </c>
      <c r="F99" s="18" t="inlineStr">
        <is>
          <t>modalidad</t>
        </is>
      </c>
      <c r="G99" s="18" t="inlineStr">
        <is>
          <t>text</t>
        </is>
      </c>
      <c r="H99" s="18" t="inlineStr">
        <is>
          <t>No</t>
        </is>
      </c>
      <c r="I99" s="18" t="inlineStr"/>
      <c r="J99" s="18" t="inlineStr"/>
      <c r="K99" s="18" t="inlineStr"/>
      <c r="L99" s="18" t="inlineStr">
        <is>
          <t>No</t>
        </is>
      </c>
      <c r="M99" s="18" t="inlineStr">
        <is>
          <t>No</t>
        </is>
      </c>
      <c r="N99" s="18" t="inlineStr"/>
      <c r="O99" s="18" t="inlineStr"/>
      <c r="P99" s="18" t="inlineStr">
        <is>
          <t>db/migrations/old/006_create_programas_academicos.sql:13: Presencial, Virtual, Distancia, Dual</t>
        </is>
      </c>
      <c r="Q99" s="18" t="inlineStr">
        <is>
          <t>Código fuente</t>
        </is>
      </c>
      <c r="R99" s="18" t="inlineStr">
        <is>
          <t>Modalidad del programa (por ejemplo, Presencial, Virtual, Distancia, Dual).</t>
        </is>
      </c>
      <c r="S99" s="18" t="inlineStr">
        <is>
          <t>Alta</t>
        </is>
      </c>
      <c r="T99" s="18" t="inlineStr">
        <is>
          <t>código: db/migrations/old/006_create_programas_academicos.sql:13</t>
        </is>
      </c>
      <c r="U99" s="18" t="inlineStr"/>
      <c r="V99" s="19" t="inlineStr">
        <is>
          <t>Aprobada</t>
        </is>
      </c>
      <c r="W99" s="19" t="inlineStr"/>
      <c r="X99" s="19" t="inlineStr">
        <is>
          <t>Aldair González (aprobación en bloque)</t>
        </is>
      </c>
      <c r="Y99" s="20" t="n">
        <v>46321</v>
      </c>
      <c r="Z99" s="19" t="inlineStr">
        <is>
          <t>Nivel 1: propuesta del comentario del desarrollador o de confianza alta, o regla de fecha/responsable/motivo.</t>
        </is>
      </c>
      <c r="AA99" s="18">
        <f>IF(OR(V99="Aprobada"),R99,IF(AND(OR(V99="Aprobada con ajuste",V99="Rechazada"),W99&lt;&gt;""),W99,""))</f>
        <v/>
      </c>
    </row>
    <row r="100">
      <c r="A100" s="18" t="inlineStr">
        <is>
          <t>C0099</t>
        </is>
      </c>
      <c r="B100" s="18" t="inlineStr">
        <is>
          <t>Identidad y acceso</t>
        </is>
      </c>
      <c r="C100" s="18" t="inlineStr">
        <is>
          <t>auth</t>
        </is>
      </c>
      <c r="D100" s="18" t="inlineStr">
        <is>
          <t>programas_academicos</t>
        </is>
      </c>
      <c r="E100" s="18" t="n">
        <v>12</v>
      </c>
      <c r="F100" s="18" t="inlineStr">
        <is>
          <t>jornada</t>
        </is>
      </c>
      <c r="G100" s="18" t="inlineStr">
        <is>
          <t>text</t>
        </is>
      </c>
      <c r="H100" s="18" t="inlineStr">
        <is>
          <t>No</t>
        </is>
      </c>
      <c r="I100" s="18" t="inlineStr"/>
      <c r="J100" s="18" t="inlineStr"/>
      <c r="K100" s="18" t="inlineStr"/>
      <c r="L100" s="18" t="inlineStr">
        <is>
          <t>No</t>
        </is>
      </c>
      <c r="M100" s="18" t="inlineStr">
        <is>
          <t>No</t>
        </is>
      </c>
      <c r="N100" s="18" t="inlineStr"/>
      <c r="O100" s="18" t="inlineStr"/>
      <c r="P100" s="18" t="inlineStr">
        <is>
          <t>db/migrations/old/006_create_programas_academicos.sql:14: Diurna, Nocturna, Mixta, Flexible</t>
        </is>
      </c>
      <c r="Q100" s="18" t="inlineStr">
        <is>
          <t>Código fuente</t>
        </is>
      </c>
      <c r="R100" s="18" t="inlineStr">
        <is>
          <t>Jornada del programa (por ejemplo, Diurna, Nocturna, Mixta, Flexible).</t>
        </is>
      </c>
      <c r="S100" s="18" t="inlineStr">
        <is>
          <t>Alta</t>
        </is>
      </c>
      <c r="T100" s="18" t="inlineStr">
        <is>
          <t>código: db/migrations/old/006_create_programas_academicos.sql:14</t>
        </is>
      </c>
      <c r="U100" s="18" t="inlineStr"/>
      <c r="V100" s="19" t="inlineStr">
        <is>
          <t>Aprobada</t>
        </is>
      </c>
      <c r="W100" s="19" t="inlineStr"/>
      <c r="X100" s="19" t="inlineStr">
        <is>
          <t>Aldair González (aprobación en bloque)</t>
        </is>
      </c>
      <c r="Y100" s="20" t="n">
        <v>46321</v>
      </c>
      <c r="Z100" s="19" t="inlineStr">
        <is>
          <t>Nivel 1: propuesta del comentario del desarrollador o de confianza alta, o regla de fecha/responsable/motivo.</t>
        </is>
      </c>
      <c r="AA100" s="18">
        <f>IF(OR(V100="Aprobada"),R100,IF(AND(OR(V100="Aprobada con ajuste",V100="Rechazada"),W100&lt;&gt;""),W100,""))</f>
        <v/>
      </c>
    </row>
    <row r="101">
      <c r="A101" s="18" t="inlineStr">
        <is>
          <t>C0100</t>
        </is>
      </c>
      <c r="B101" s="18" t="inlineStr">
        <is>
          <t>Identidad y acceso</t>
        </is>
      </c>
      <c r="C101" s="18" t="inlineStr">
        <is>
          <t>auth</t>
        </is>
      </c>
      <c r="D101" s="18" t="inlineStr">
        <is>
          <t>programas_academicos</t>
        </is>
      </c>
      <c r="E101" s="18" t="n">
        <v>12</v>
      </c>
      <c r="F101" s="18" t="inlineStr">
        <is>
          <t>duracion_semestres</t>
        </is>
      </c>
      <c r="G101" s="18" t="inlineStr">
        <is>
          <t>integer</t>
        </is>
      </c>
      <c r="H101" s="18" t="inlineStr">
        <is>
          <t>No</t>
        </is>
      </c>
      <c r="I101" s="18" t="inlineStr"/>
      <c r="J101" s="18" t="inlineStr"/>
      <c r="K101" s="18" t="inlineStr"/>
      <c r="L101" s="18" t="inlineStr">
        <is>
          <t>No</t>
        </is>
      </c>
      <c r="M101" s="18" t="inlineStr">
        <is>
          <t>No</t>
        </is>
      </c>
      <c r="N101" s="18" t="inlineStr"/>
      <c r="O101" s="18" t="inlineStr"/>
      <c r="P101" s="18" t="inlineStr"/>
      <c r="Q101" s="18" t="inlineStr">
        <is>
          <t>Propuesta semántica</t>
        </is>
      </c>
      <c r="R101" s="18" t="inlineStr">
        <is>
          <t>Duración del programa académico, en semestres.</t>
        </is>
      </c>
      <c r="S101" s="18" t="inlineStr">
        <is>
          <t>Alta</t>
        </is>
      </c>
      <c r="T101" s="18" t="inlineStr">
        <is>
          <t>nombre + tipo + columnas vecinas</t>
        </is>
      </c>
      <c r="U101" s="18" t="inlineStr"/>
      <c r="V101" s="19" t="inlineStr">
        <is>
          <t>Aprobada</t>
        </is>
      </c>
      <c r="W101" s="19" t="inlineStr"/>
      <c r="X101" s="19" t="inlineStr">
        <is>
          <t>Aldair González (aprobación en bloque)</t>
        </is>
      </c>
      <c r="Y101" s="20" t="n">
        <v>46321</v>
      </c>
      <c r="Z101" s="19" t="inlineStr">
        <is>
          <t>Nivel 1: propuesta del comentario del desarrollador o de confianza alta, o regla de fecha/responsable/motivo.</t>
        </is>
      </c>
      <c r="AA101" s="18">
        <f>IF(OR(V101="Aprobada"),R101,IF(AND(OR(V101="Aprobada con ajuste",V101="Rechazada"),W101&lt;&gt;""),W101,""))</f>
        <v/>
      </c>
    </row>
    <row r="102">
      <c r="A102" s="18" t="inlineStr">
        <is>
          <t>C0101</t>
        </is>
      </c>
      <c r="B102" s="18" t="inlineStr">
        <is>
          <t>Identidad y acceso</t>
        </is>
      </c>
      <c r="C102" s="18" t="inlineStr">
        <is>
          <t>auth</t>
        </is>
      </c>
      <c r="D102" s="18" t="inlineStr">
        <is>
          <t>programas_academicos</t>
        </is>
      </c>
      <c r="E102" s="18" t="n">
        <v>12</v>
      </c>
      <c r="F102" s="18" t="inlineStr">
        <is>
          <t>creditos</t>
        </is>
      </c>
      <c r="G102" s="18" t="inlineStr">
        <is>
          <t>integer</t>
        </is>
      </c>
      <c r="H102" s="18" t="inlineStr">
        <is>
          <t>No</t>
        </is>
      </c>
      <c r="I102" s="18" t="inlineStr"/>
      <c r="J102" s="18" t="inlineStr"/>
      <c r="K102" s="18" t="inlineStr"/>
      <c r="L102" s="18" t="inlineStr">
        <is>
          <t>No</t>
        </is>
      </c>
      <c r="M102" s="18" t="inlineStr">
        <is>
          <t>No</t>
        </is>
      </c>
      <c r="N102" s="18" t="inlineStr"/>
      <c r="O102" s="18" t="inlineStr"/>
      <c r="P102" s="18" t="inlineStr"/>
      <c r="Q102" s="18" t="inlineStr">
        <is>
          <t>Propuesta semántica</t>
        </is>
      </c>
      <c r="R102" s="18" t="inlineStr">
        <is>
          <t>Número total de créditos académicos del programa.</t>
        </is>
      </c>
      <c r="S102" s="18" t="inlineStr">
        <is>
          <t>Alta</t>
        </is>
      </c>
      <c r="T102" s="18" t="inlineStr">
        <is>
          <t>nombre + tipo + columnas vecinas</t>
        </is>
      </c>
      <c r="U102" s="18" t="inlineStr"/>
      <c r="V102" s="19" t="inlineStr">
        <is>
          <t>Aprobada</t>
        </is>
      </c>
      <c r="W102" s="19" t="inlineStr"/>
      <c r="X102" s="19" t="inlineStr">
        <is>
          <t>Aldair González (aprobación en bloque)</t>
        </is>
      </c>
      <c r="Y102" s="20" t="n">
        <v>46321</v>
      </c>
      <c r="Z102" s="19" t="inlineStr">
        <is>
          <t>Nivel 1: propuesta del comentario del desarrollador o de confianza alta, o regla de fecha/responsable/motivo.</t>
        </is>
      </c>
      <c r="AA102" s="18">
        <f>IF(OR(V102="Aprobada"),R102,IF(AND(OR(V102="Aprobada con ajuste",V102="Rechazada"),W102&lt;&gt;""),W102,""))</f>
        <v/>
      </c>
    </row>
    <row r="103">
      <c r="A103" s="18" t="inlineStr">
        <is>
          <t>C0102</t>
        </is>
      </c>
      <c r="B103" s="18" t="inlineStr">
        <is>
          <t>Identidad y acceso</t>
        </is>
      </c>
      <c r="C103" s="18" t="inlineStr">
        <is>
          <t>auth</t>
        </is>
      </c>
      <c r="D103" s="18" t="inlineStr">
        <is>
          <t>programas_academicos</t>
        </is>
      </c>
      <c r="E103" s="18" t="n">
        <v>12</v>
      </c>
      <c r="F103" s="18" t="inlineStr">
        <is>
          <t>facultad</t>
        </is>
      </c>
      <c r="G103" s="18" t="inlineStr">
        <is>
          <t>text</t>
        </is>
      </c>
      <c r="H103" s="18" t="inlineStr">
        <is>
          <t>Sí</t>
        </is>
      </c>
      <c r="I103" s="18" t="inlineStr"/>
      <c r="J103" s="18" t="inlineStr"/>
      <c r="K103" s="18" t="inlineStr"/>
      <c r="L103" s="18" t="inlineStr">
        <is>
          <t>No</t>
        </is>
      </c>
      <c r="M103" s="18" t="inlineStr">
        <is>
          <t>No</t>
        </is>
      </c>
      <c r="N103" s="18" t="inlineStr"/>
      <c r="O103" s="18" t="inlineStr"/>
      <c r="P103" s="18" t="inlineStr"/>
      <c r="Q103" s="18" t="inlineStr">
        <is>
          <t>Código fuente (verificado)</t>
        </is>
      </c>
      <c r="R103" s="18" t="inlineStr">
        <is>
          <t>Facultad a la que pertenece el programa, en texto.</t>
        </is>
      </c>
      <c r="S103" s="18" t="inlineStr">
        <is>
          <t>Media</t>
        </is>
      </c>
      <c r="T103" s="18" t="inlineStr">
        <is>
          <t>db/migrations/old/006_create_programas_academicos.sql:18: facultad TEXT | backend/auth-service/src/users/datos-maestros.service.ts:71: el servicio solo lee id, nombre y codigo de la tabla; ningún servicio escribe facultad</t>
        </is>
      </c>
      <c r="U103" s="18" t="inlineStr">
        <is>
          <t>¿Se guarda el nombre o el código de la facultad?</t>
        </is>
      </c>
      <c r="V103" s="19" t="inlineStr">
        <is>
          <t>Aprobada</t>
        </is>
      </c>
      <c r="W103" s="19" t="inlineStr"/>
      <c r="X103" s="19" t="inlineStr">
        <is>
          <t>Aldair González (validación del responsable de BD)</t>
        </is>
      </c>
      <c r="Y103" s="20" t="n">
        <v>46321</v>
      </c>
      <c r="Z103" s="19" t="inlineStr">
        <is>
          <t>Nivel 3: validada por decisión del responsable de la base de datos. Pregunta registrada para desarrollo: ¿Se guarda el nombre o el código de la facultad?</t>
        </is>
      </c>
      <c r="AA103" s="18">
        <f>IF(OR(V103="Aprobada"),R103,IF(AND(OR(V103="Aprobada con ajuste",V103="Rechazada"),W103&lt;&gt;""),W103,""))</f>
        <v/>
      </c>
    </row>
    <row r="104">
      <c r="A104" s="18" t="inlineStr">
        <is>
          <t>C0103</t>
        </is>
      </c>
      <c r="B104" s="18" t="inlineStr">
        <is>
          <t>Identidad y acceso</t>
        </is>
      </c>
      <c r="C104" s="18" t="inlineStr">
        <is>
          <t>auth</t>
        </is>
      </c>
      <c r="D104" s="18" t="inlineStr">
        <is>
          <t>programas_academicos</t>
        </is>
      </c>
      <c r="E104" s="18" t="n">
        <v>12</v>
      </c>
      <c r="F104" s="18" t="inlineStr">
        <is>
          <t>estado</t>
        </is>
      </c>
      <c r="G104" s="18" t="inlineStr">
        <is>
          <t>text</t>
        </is>
      </c>
      <c r="H104" s="18" t="inlineStr">
        <is>
          <t>No</t>
        </is>
      </c>
      <c r="I104" s="18" t="inlineStr"/>
      <c r="J104" s="18" t="inlineStr"/>
      <c r="K104" s="18" t="inlineStr"/>
      <c r="L104" s="18" t="inlineStr">
        <is>
          <t>No</t>
        </is>
      </c>
      <c r="M104" s="18" t="inlineStr">
        <is>
          <t>No</t>
        </is>
      </c>
      <c r="N104" s="18" t="inlineStr"/>
      <c r="O104" s="18" t="inlineStr">
        <is>
          <t>idx_programas_estado</t>
        </is>
      </c>
      <c r="P104" s="18" t="inlineStr"/>
      <c r="Q104" s="18" t="inlineStr">
        <is>
          <t>Regla estructural (redacción revisada)</t>
        </is>
      </c>
      <c r="R104" s="18" t="inlineStr">
        <is>
          <t>Estado del programa académico.</t>
        </is>
      </c>
      <c r="S104" s="18" t="inlineStr">
        <is>
          <t>Alta</t>
        </is>
      </c>
      <c r="T104" s="18" t="inlineStr">
        <is>
          <t>Convención de nombre, redactada con el contexto de la tabla y el código.</t>
        </is>
      </c>
      <c r="U104" s="18" t="inlineStr"/>
      <c r="V104" s="19" t="inlineStr">
        <is>
          <t>Aprobada</t>
        </is>
      </c>
      <c r="W104" s="19" t="inlineStr"/>
      <c r="X104" s="19" t="inlineStr">
        <is>
          <t>Aldair González (aprobación en bloque)</t>
        </is>
      </c>
      <c r="Y104" s="20" t="n">
        <v>46321</v>
      </c>
      <c r="Z104" s="19" t="inlineStr">
        <is>
          <t>Nivel 2: regla estructural con redacción revisada.</t>
        </is>
      </c>
      <c r="AA104" s="18">
        <f>IF(OR(V104="Aprobada"),R104,IF(AND(OR(V104="Aprobada con ajuste",V104="Rechazada"),W104&lt;&gt;""),W104,""))</f>
        <v/>
      </c>
    </row>
    <row r="105">
      <c r="A105" s="18" t="inlineStr">
        <is>
          <t>C0104</t>
        </is>
      </c>
      <c r="B105" s="18" t="inlineStr">
        <is>
          <t>Identidad y acceso</t>
        </is>
      </c>
      <c r="C105" s="18" t="inlineStr">
        <is>
          <t>auth</t>
        </is>
      </c>
      <c r="D105" s="18" t="inlineStr">
        <is>
          <t>programas_academicos</t>
        </is>
      </c>
      <c r="E105" s="18" t="n">
        <v>12</v>
      </c>
      <c r="F105" s="18" t="inlineStr">
        <is>
          <t>descripcion</t>
        </is>
      </c>
      <c r="G105" s="18" t="inlineStr">
        <is>
          <t>text</t>
        </is>
      </c>
      <c r="H105" s="18" t="inlineStr">
        <is>
          <t>Sí</t>
        </is>
      </c>
      <c r="I105" s="18" t="inlineStr"/>
      <c r="J105" s="18" t="inlineStr"/>
      <c r="K105" s="18" t="inlineStr"/>
      <c r="L105" s="18" t="inlineStr">
        <is>
          <t>No</t>
        </is>
      </c>
      <c r="M105" s="18" t="inlineStr">
        <is>
          <t>No</t>
        </is>
      </c>
      <c r="N105" s="18" t="inlineStr"/>
      <c r="O105" s="18" t="inlineStr"/>
      <c r="P105" s="18" t="inlineStr"/>
      <c r="Q105" s="18" t="inlineStr">
        <is>
          <t>Regla estructural (redacción revisada)</t>
        </is>
      </c>
      <c r="R105" s="18" t="inlineStr">
        <is>
          <t>Descripción del programa académico.</t>
        </is>
      </c>
      <c r="S105" s="18" t="inlineStr">
        <is>
          <t>Alta</t>
        </is>
      </c>
      <c r="T105" s="18" t="inlineStr">
        <is>
          <t>Convención de nombre, redactada con el contexto de la tabla y el código.</t>
        </is>
      </c>
      <c r="U105" s="18" t="inlineStr"/>
      <c r="V105" s="19" t="inlineStr">
        <is>
          <t>Aprobada</t>
        </is>
      </c>
      <c r="W105" s="19" t="inlineStr"/>
      <c r="X105" s="19" t="inlineStr">
        <is>
          <t>Aldair González (aprobación en bloque)</t>
        </is>
      </c>
      <c r="Y105" s="20" t="n">
        <v>46321</v>
      </c>
      <c r="Z105" s="19" t="inlineStr">
        <is>
          <t>Nivel 2: regla estructural con redacción revisada.</t>
        </is>
      </c>
      <c r="AA105" s="18">
        <f>IF(OR(V105="Aprobada"),R105,IF(AND(OR(V105="Aprobada con ajuste",V105="Rechazada"),W105&lt;&gt;""),W105,""))</f>
        <v/>
      </c>
    </row>
    <row r="106">
      <c r="A106" s="18" t="inlineStr">
        <is>
          <t>C0105</t>
        </is>
      </c>
      <c r="B106" s="18" t="inlineStr">
        <is>
          <t>Identidad y acceso</t>
        </is>
      </c>
      <c r="C106" s="18" t="inlineStr">
        <is>
          <t>auth</t>
        </is>
      </c>
      <c r="D106" s="18" t="inlineStr">
        <is>
          <t>programas_academicos</t>
        </is>
      </c>
      <c r="E106" s="18" t="n">
        <v>12</v>
      </c>
      <c r="F106" s="18" t="inlineStr">
        <is>
          <t>perfil_egresado</t>
        </is>
      </c>
      <c r="G106" s="18" t="inlineStr">
        <is>
          <t>text</t>
        </is>
      </c>
      <c r="H106" s="18" t="inlineStr">
        <is>
          <t>Sí</t>
        </is>
      </c>
      <c r="I106" s="18" t="inlineStr"/>
      <c r="J106" s="18" t="inlineStr"/>
      <c r="K106" s="18" t="inlineStr"/>
      <c r="L106" s="18" t="inlineStr">
        <is>
          <t>No</t>
        </is>
      </c>
      <c r="M106" s="18" t="inlineStr">
        <is>
          <t>No</t>
        </is>
      </c>
      <c r="N106" s="18" t="inlineStr"/>
      <c r="O106" s="18" t="inlineStr"/>
      <c r="P106" s="18" t="inlineStr"/>
      <c r="Q106" s="18" t="inlineStr">
        <is>
          <t>Propuesta semántica</t>
        </is>
      </c>
      <c r="R106" s="18" t="inlineStr">
        <is>
          <t>Descripción del perfil del egresado del programa.</t>
        </is>
      </c>
      <c r="S106" s="18" t="inlineStr">
        <is>
          <t>Alta</t>
        </is>
      </c>
      <c r="T106" s="18" t="inlineStr">
        <is>
          <t>nombre + tipo + columnas vecinas</t>
        </is>
      </c>
      <c r="U106" s="18" t="inlineStr"/>
      <c r="V106" s="19" t="inlineStr">
        <is>
          <t>Aprobada</t>
        </is>
      </c>
      <c r="W106" s="19" t="inlineStr"/>
      <c r="X106" s="19" t="inlineStr">
        <is>
          <t>Aldair González (aprobación en bloque)</t>
        </is>
      </c>
      <c r="Y106" s="20" t="n">
        <v>46321</v>
      </c>
      <c r="Z106" s="19" t="inlineStr">
        <is>
          <t>Nivel 1: propuesta del comentario del desarrollador o de confianza alta, o regla de fecha/responsable/motivo.</t>
        </is>
      </c>
      <c r="AA106" s="18">
        <f>IF(OR(V106="Aprobada"),R106,IF(AND(OR(V106="Aprobada con ajuste",V106="Rechazada"),W106&lt;&gt;""),W106,""))</f>
        <v/>
      </c>
    </row>
    <row r="107">
      <c r="A107" s="18" t="inlineStr">
        <is>
          <t>C0106</t>
        </is>
      </c>
      <c r="B107" s="18" t="inlineStr">
        <is>
          <t>Identidad y acceso</t>
        </is>
      </c>
      <c r="C107" s="18" t="inlineStr">
        <is>
          <t>auth</t>
        </is>
      </c>
      <c r="D107" s="18" t="inlineStr">
        <is>
          <t>programas_academicos</t>
        </is>
      </c>
      <c r="E107" s="18" t="n">
        <v>12</v>
      </c>
      <c r="F107" s="18" t="inlineStr">
        <is>
          <t>requisitos_ingreso</t>
        </is>
      </c>
      <c r="G107" s="18" t="inlineStr">
        <is>
          <t>text[]</t>
        </is>
      </c>
      <c r="H107" s="18" t="inlineStr">
        <is>
          <t>Sí</t>
        </is>
      </c>
      <c r="I107" s="18" t="inlineStr"/>
      <c r="J107" s="18" t="inlineStr"/>
      <c r="K107" s="18" t="inlineStr"/>
      <c r="L107" s="18" t="inlineStr">
        <is>
          <t>No</t>
        </is>
      </c>
      <c r="M107" s="18" t="inlineStr">
        <is>
          <t>No</t>
        </is>
      </c>
      <c r="N107" s="18" t="inlineStr"/>
      <c r="O107" s="18" t="inlineStr"/>
      <c r="P107" s="18" t="inlineStr"/>
      <c r="Q107" s="18" t="inlineStr">
        <is>
          <t>Propuesta semántica</t>
        </is>
      </c>
      <c r="R107" s="18" t="inlineStr">
        <is>
          <t>Lista de requisitos de ingreso al programa.</t>
        </is>
      </c>
      <c r="S107" s="18" t="inlineStr">
        <is>
          <t>Alta</t>
        </is>
      </c>
      <c r="T107" s="18" t="inlineStr">
        <is>
          <t>nombre + tipo + columnas vecinas (text[])</t>
        </is>
      </c>
      <c r="U107" s="18" t="inlineStr"/>
      <c r="V107" s="19" t="inlineStr">
        <is>
          <t>Aprobada</t>
        </is>
      </c>
      <c r="W107" s="19" t="inlineStr"/>
      <c r="X107" s="19" t="inlineStr">
        <is>
          <t>Aldair González (aprobación en bloque)</t>
        </is>
      </c>
      <c r="Y107" s="20" t="n">
        <v>46321</v>
      </c>
      <c r="Z107" s="19" t="inlineStr">
        <is>
          <t>Nivel 1: propuesta del comentario del desarrollador o de confianza alta, o regla de fecha/responsable/motivo.</t>
        </is>
      </c>
      <c r="AA107" s="18">
        <f>IF(OR(V107="Aprobada"),R107,IF(AND(OR(V107="Aprobada con ajuste",V107="Rechazada"),W107&lt;&gt;""),W107,""))</f>
        <v/>
      </c>
    </row>
    <row r="108">
      <c r="A108" s="18" t="inlineStr">
        <is>
          <t>C0107</t>
        </is>
      </c>
      <c r="B108" s="18" t="inlineStr">
        <is>
          <t>Identidad y acceso</t>
        </is>
      </c>
      <c r="C108" s="18" t="inlineStr">
        <is>
          <t>auth</t>
        </is>
      </c>
      <c r="D108" s="18" t="inlineStr">
        <is>
          <t>programas_academicos</t>
        </is>
      </c>
      <c r="E108" s="18" t="n">
        <v>12</v>
      </c>
      <c r="F108" s="18" t="inlineStr">
        <is>
          <t>costo_matricula</t>
        </is>
      </c>
      <c r="G108" s="18" t="inlineStr">
        <is>
          <t>numeric(14,2)</t>
        </is>
      </c>
      <c r="H108" s="18" t="inlineStr">
        <is>
          <t>Sí</t>
        </is>
      </c>
      <c r="I108" s="18" t="inlineStr"/>
      <c r="J108" s="18" t="inlineStr"/>
      <c r="K108" s="18" t="inlineStr"/>
      <c r="L108" s="18" t="inlineStr">
        <is>
          <t>No</t>
        </is>
      </c>
      <c r="M108" s="18" t="inlineStr">
        <is>
          <t>No</t>
        </is>
      </c>
      <c r="N108" s="18" t="inlineStr"/>
      <c r="O108" s="18" t="inlineStr"/>
      <c r="P108" s="18" t="inlineStr"/>
      <c r="Q108" s="18" t="inlineStr">
        <is>
          <t>Código fuente (verificado)</t>
        </is>
      </c>
      <c r="R108" s="18" t="inlineStr">
        <is>
          <t>Valor de la matrícula del programa.</t>
        </is>
      </c>
      <c r="S108" s="18" t="inlineStr">
        <is>
          <t>Media</t>
        </is>
      </c>
      <c r="T108" s="18" t="inlineStr">
        <is>
          <t>db/migrations/old/006_create_programas_academicos.sql:23: costo_matricula NUMERIC(14,2) | ningún servicio del backend lee ni escribe la columna</t>
        </is>
      </c>
      <c r="U108" s="18" t="inlineStr">
        <is>
          <t>¿El valor es por semestre y en pesos colombianos?</t>
        </is>
      </c>
      <c r="V108" s="19" t="inlineStr">
        <is>
          <t>Aprobada</t>
        </is>
      </c>
      <c r="W108" s="19" t="inlineStr"/>
      <c r="X108" s="19" t="inlineStr">
        <is>
          <t>Aldair González (validación del responsable de BD)</t>
        </is>
      </c>
      <c r="Y108" s="20" t="n">
        <v>46321</v>
      </c>
      <c r="Z108" s="19" t="inlineStr">
        <is>
          <t>Nivel 3: validada por decisión del responsable de la base de datos. Pregunta registrada para desarrollo: ¿El valor es por semestre y en pesos colombianos?</t>
        </is>
      </c>
      <c r="AA108" s="18">
        <f>IF(OR(V108="Aprobada"),R108,IF(AND(OR(V108="Aprobada con ajuste",V108="Rechazada"),W108&lt;&gt;""),W108,""))</f>
        <v/>
      </c>
    </row>
    <row r="109">
      <c r="A109" s="18" t="inlineStr">
        <is>
          <t>C0108</t>
        </is>
      </c>
      <c r="B109" s="18" t="inlineStr">
        <is>
          <t>Identidad y acceso</t>
        </is>
      </c>
      <c r="C109" s="18" t="inlineStr">
        <is>
          <t>auth</t>
        </is>
      </c>
      <c r="D109" s="18" t="inlineStr">
        <is>
          <t>programas_academicos</t>
        </is>
      </c>
      <c r="E109" s="18" t="n">
        <v>12</v>
      </c>
      <c r="F109" s="18" t="inlineStr">
        <is>
          <t>estudiantes_activos</t>
        </is>
      </c>
      <c r="G109" s="18" t="inlineStr">
        <is>
          <t>integer</t>
        </is>
      </c>
      <c r="H109" s="18" t="inlineStr">
        <is>
          <t>Sí</t>
        </is>
      </c>
      <c r="I109" s="18" t="inlineStr"/>
      <c r="J109" s="18" t="inlineStr"/>
      <c r="K109" s="18" t="inlineStr"/>
      <c r="L109" s="18" t="inlineStr">
        <is>
          <t>No</t>
        </is>
      </c>
      <c r="M109" s="18" t="inlineStr">
        <is>
          <t>No</t>
        </is>
      </c>
      <c r="N109" s="18" t="inlineStr"/>
      <c r="O109" s="18" t="inlineStr"/>
      <c r="P109" s="18" t="inlineStr"/>
      <c r="Q109" s="18" t="inlineStr">
        <is>
          <t>Código fuente (verificado)</t>
        </is>
      </c>
      <c r="R109" s="18" t="inlineStr">
        <is>
          <t>Número de estudiantes activos en el programa. Por defecto, 0.</t>
        </is>
      </c>
      <c r="S109" s="18" t="inlineStr">
        <is>
          <t>Media</t>
        </is>
      </c>
      <c r="T109" s="18" t="inlineStr">
        <is>
          <t>db/migrations/old/006_create_programas_academicos.sql:24: INTEGER DEFAULT 0 | ningún servicio del backend ni trigger actualiza la columna; backend/auth-service/src/users/datos-maestros.service.ts:71 solo lee id, nombre y codigo</t>
        </is>
      </c>
      <c r="U109" s="18" t="inlineStr">
        <is>
          <t>¿Quién registra este conteo y con qué frecuencia? El backend no lo calcula.</t>
        </is>
      </c>
      <c r="V109" s="19" t="inlineStr">
        <is>
          <t>Aprobada</t>
        </is>
      </c>
      <c r="W109" s="19" t="inlineStr"/>
      <c r="X109" s="19" t="inlineStr">
        <is>
          <t>Aldair González (validación del responsable de BD)</t>
        </is>
      </c>
      <c r="Y109" s="20" t="n">
        <v>46321</v>
      </c>
      <c r="Z109" s="19" t="inlineStr">
        <is>
          <t>Nivel 3: validada por decisión del responsable de la base de datos. Pregunta registrada para desarrollo: ¿Quién registra este conteo y con qué frecuencia? El backend no lo calcula.</t>
        </is>
      </c>
      <c r="AA109" s="18">
        <f>IF(OR(V109="Aprobada"),R109,IF(AND(OR(V109="Aprobada con ajuste",V109="Rechazada"),W109&lt;&gt;""),W109,""))</f>
        <v/>
      </c>
    </row>
    <row r="110">
      <c r="A110" s="18" t="inlineStr">
        <is>
          <t>C0109</t>
        </is>
      </c>
      <c r="B110" s="18" t="inlineStr">
        <is>
          <t>Identidad y acceso</t>
        </is>
      </c>
      <c r="C110" s="18" t="inlineStr">
        <is>
          <t>auth</t>
        </is>
      </c>
      <c r="D110" s="18" t="inlineStr">
        <is>
          <t>programas_academicos</t>
        </is>
      </c>
      <c r="E110" s="18" t="n">
        <v>12</v>
      </c>
      <c r="F110" s="18" t="inlineStr">
        <is>
          <t>graduados</t>
        </is>
      </c>
      <c r="G110" s="18" t="inlineStr">
        <is>
          <t>integer</t>
        </is>
      </c>
      <c r="H110" s="18" t="inlineStr">
        <is>
          <t>Sí</t>
        </is>
      </c>
      <c r="I110" s="18" t="inlineStr"/>
      <c r="J110" s="18" t="inlineStr"/>
      <c r="K110" s="18" t="inlineStr"/>
      <c r="L110" s="18" t="inlineStr">
        <is>
          <t>No</t>
        </is>
      </c>
      <c r="M110" s="18" t="inlineStr">
        <is>
          <t>No</t>
        </is>
      </c>
      <c r="N110" s="18" t="inlineStr"/>
      <c r="O110" s="18" t="inlineStr"/>
      <c r="P110" s="18" t="inlineStr"/>
      <c r="Q110" s="18" t="inlineStr">
        <is>
          <t>Código fuente (verificado)</t>
        </is>
      </c>
      <c r="R110" s="18" t="inlineStr">
        <is>
          <t>Número de graduados del programa. Por defecto, 0.</t>
        </is>
      </c>
      <c r="S110" s="18" t="inlineStr">
        <is>
          <t>Media</t>
        </is>
      </c>
      <c r="T110" s="18" t="inlineStr">
        <is>
          <t>db/migrations/old/006_create_programas_academicos.sql:25: INTEGER DEFAULT 0 | ningún servicio del backend ni trigger actualiza la columna; backend/auth-service/src/users/datos-maestros.service.ts:71 solo lee id, nombre y codigo</t>
        </is>
      </c>
      <c r="U110" s="18" t="inlineStr">
        <is>
          <t>¿Quién registra este conteo y con qué frecuencia? El backend no lo calcula.</t>
        </is>
      </c>
      <c r="V110" s="19" t="inlineStr">
        <is>
          <t>Aprobada</t>
        </is>
      </c>
      <c r="W110" s="19" t="inlineStr"/>
      <c r="X110" s="19" t="inlineStr">
        <is>
          <t>Aldair González (validación del responsable de BD)</t>
        </is>
      </c>
      <c r="Y110" s="20" t="n">
        <v>46321</v>
      </c>
      <c r="Z110" s="19" t="inlineStr">
        <is>
          <t>Nivel 3: validada por decisión del responsable de la base de datos. Pregunta registrada para desarrollo: ¿Quién registra este conteo y con qué frecuencia? El backend no lo calcula.</t>
        </is>
      </c>
      <c r="AA110" s="18">
        <f>IF(OR(V110="Aprobada"),R110,IF(AND(OR(V110="Aprobada con ajuste",V110="Rechazada"),W110&lt;&gt;""),W110,""))</f>
        <v/>
      </c>
    </row>
    <row r="111">
      <c r="A111" s="18" t="inlineStr">
        <is>
          <t>C0110</t>
        </is>
      </c>
      <c r="B111" s="18" t="inlineStr">
        <is>
          <t>Identidad y acceso</t>
        </is>
      </c>
      <c r="C111" s="18" t="inlineStr">
        <is>
          <t>auth</t>
        </is>
      </c>
      <c r="D111" s="18" t="inlineStr">
        <is>
          <t>programas_academicos</t>
        </is>
      </c>
      <c r="E111" s="18" t="n">
        <v>12</v>
      </c>
      <c r="F111" s="18" t="inlineStr">
        <is>
          <t>docentes_asignados</t>
        </is>
      </c>
      <c r="G111" s="18" t="inlineStr">
        <is>
          <t>integer</t>
        </is>
      </c>
      <c r="H111" s="18" t="inlineStr">
        <is>
          <t>Sí</t>
        </is>
      </c>
      <c r="I111" s="18" t="inlineStr"/>
      <c r="J111" s="18" t="inlineStr"/>
      <c r="K111" s="18" t="inlineStr"/>
      <c r="L111" s="18" t="inlineStr">
        <is>
          <t>No</t>
        </is>
      </c>
      <c r="M111" s="18" t="inlineStr">
        <is>
          <t>No</t>
        </is>
      </c>
      <c r="N111" s="18" t="inlineStr"/>
      <c r="O111" s="18" t="inlineStr"/>
      <c r="P111" s="18" t="inlineStr"/>
      <c r="Q111" s="18" t="inlineStr">
        <is>
          <t>Código fuente (verificado)</t>
        </is>
      </c>
      <c r="R111" s="18" t="inlineStr">
        <is>
          <t>Número de docentes asignados al programa. Por defecto, 0.</t>
        </is>
      </c>
      <c r="S111" s="18" t="inlineStr">
        <is>
          <t>Media</t>
        </is>
      </c>
      <c r="T111" s="18" t="inlineStr">
        <is>
          <t>db/migrations/old/006_create_programas_academicos.sql:26: INTEGER DEFAULT 0 | ningún servicio del backend ni trigger actualiza la columna; backend/auth-service/src/users/datos-maestros.service.ts:71 solo lee id, nombre y codigo</t>
        </is>
      </c>
      <c r="U111" s="18" t="inlineStr">
        <is>
          <t>¿Quién registra este conteo y con qué frecuencia? El backend no lo calcula.</t>
        </is>
      </c>
      <c r="V111" s="19" t="inlineStr">
        <is>
          <t>Aprobada</t>
        </is>
      </c>
      <c r="W111" s="19" t="inlineStr"/>
      <c r="X111" s="19" t="inlineStr">
        <is>
          <t>Aldair González (validación del responsable de BD)</t>
        </is>
      </c>
      <c r="Y111" s="20" t="n">
        <v>46321</v>
      </c>
      <c r="Z111" s="19" t="inlineStr">
        <is>
          <t>Nivel 3: validada por decisión del responsable de la base de datos. Pregunta registrada para desarrollo: ¿Quién registra este conteo y con qué frecuencia? El backend no lo calcula.</t>
        </is>
      </c>
      <c r="AA111" s="18">
        <f>IF(OR(V111="Aprobada"),R111,IF(AND(OR(V111="Aprobada con ajuste",V111="Rechazada"),W111&lt;&gt;""),W111,""))</f>
        <v/>
      </c>
    </row>
    <row r="112">
      <c r="A112" s="18" t="inlineStr">
        <is>
          <t>C0111</t>
        </is>
      </c>
      <c r="B112" s="18" t="inlineStr">
        <is>
          <t>Identidad y acceso</t>
        </is>
      </c>
      <c r="C112" s="18" t="inlineStr">
        <is>
          <t>auth</t>
        </is>
      </c>
      <c r="D112" s="18" t="inlineStr">
        <is>
          <t>programas_academicos</t>
        </is>
      </c>
      <c r="E112" s="18" t="n">
        <v>12</v>
      </c>
      <c r="F112" s="18" t="inlineStr">
        <is>
          <t>ultima_actualizacion</t>
        </is>
      </c>
      <c r="G112" s="18" t="inlineStr">
        <is>
          <t>date</t>
        </is>
      </c>
      <c r="H112" s="18" t="inlineStr">
        <is>
          <t>Sí</t>
        </is>
      </c>
      <c r="I112" s="18" t="inlineStr"/>
      <c r="J112" s="18" t="inlineStr"/>
      <c r="K112" s="18" t="inlineStr"/>
      <c r="L112" s="18" t="inlineStr">
        <is>
          <t>No</t>
        </is>
      </c>
      <c r="M112" s="18" t="inlineStr">
        <is>
          <t>No</t>
        </is>
      </c>
      <c r="N112" s="18" t="inlineStr"/>
      <c r="O112" s="18" t="inlineStr"/>
      <c r="P112" s="18" t="inlineStr"/>
      <c r="Q112" s="18" t="inlineStr">
        <is>
          <t>Código fuente (verificado)</t>
        </is>
      </c>
      <c r="R112" s="18" t="inlineStr">
        <is>
          <t>Fecha de actualización de la información del programa; toma la fecha actual al crear el registro y no se actualiza automáticamente. actualizado_en, en cambio, lo actualiza un trigger en cada modificación.</t>
        </is>
      </c>
      <c r="S112" s="18" t="inlineStr">
        <is>
          <t>Alta</t>
        </is>
      </c>
      <c r="T112" s="18" t="inlineStr">
        <is>
          <t>db/migrations/old/006_create_programas_academicos.sql:28: ultima_actualizacion DATE DEFAULT CURRENT_DATE | db/migrations/old/006_create_programas_academicos.sql:61: función set_updated_at asigna NEW.actualizado_en = NOW() | db/migrations/old/006_create_programas_academicos.sql:74: trigger trg_programas_academicos_updated_at BEFORE UPDATE</t>
        </is>
      </c>
      <c r="U112" s="18" t="inlineStr"/>
      <c r="V112" s="19" t="inlineStr">
        <is>
          <t>Aprobada</t>
        </is>
      </c>
      <c r="W112" s="19" t="inlineStr"/>
      <c r="X112" s="19" t="inlineStr">
        <is>
          <t>Aldair González (aprobación en bloque)</t>
        </is>
      </c>
      <c r="Y112" s="20" t="n">
        <v>46321</v>
      </c>
      <c r="Z112" s="19" t="inlineStr">
        <is>
          <t>Nivel 3: verificada con el código de la aplicación.</t>
        </is>
      </c>
      <c r="AA112" s="18">
        <f>IF(OR(V112="Aprobada"),R112,IF(AND(OR(V112="Aprobada con ajuste",V112="Rechazada"),W112&lt;&gt;""),W112,""))</f>
        <v/>
      </c>
    </row>
    <row r="113">
      <c r="A113" s="18" t="inlineStr">
        <is>
          <t>C0112</t>
        </is>
      </c>
      <c r="B113" s="18" t="inlineStr">
        <is>
          <t>Identidad y acceso</t>
        </is>
      </c>
      <c r="C113" s="18" t="inlineStr">
        <is>
          <t>auth</t>
        </is>
      </c>
      <c r="D113" s="18" t="inlineStr">
        <is>
          <t>registros_calificados</t>
        </is>
      </c>
      <c r="E113" s="18" t="n">
        <v>12</v>
      </c>
      <c r="F113" s="18" t="inlineStr">
        <is>
          <t>numero</t>
        </is>
      </c>
      <c r="G113" s="18" t="inlineStr">
        <is>
          <t>text</t>
        </is>
      </c>
      <c r="H113" s="18" t="inlineStr">
        <is>
          <t>No</t>
        </is>
      </c>
      <c r="I113" s="18" t="inlineStr"/>
      <c r="J113" s="18" t="inlineStr"/>
      <c r="K113" s="18" t="inlineStr"/>
      <c r="L113" s="18" t="inlineStr">
        <is>
          <t>No</t>
        </is>
      </c>
      <c r="M113" s="18" t="inlineStr">
        <is>
          <t>No</t>
        </is>
      </c>
      <c r="N113" s="18" t="inlineStr"/>
      <c r="O113" s="18" t="inlineStr"/>
      <c r="P113" s="18" t="inlineStr"/>
      <c r="Q113" s="18" t="inlineStr">
        <is>
          <t>Regla estructural (redacción revisada)</t>
        </is>
      </c>
      <c r="R113" s="18" t="inlineStr">
        <is>
          <t>Número del registro calificado del programa académico.</t>
        </is>
      </c>
      <c r="S113" s="18" t="inlineStr">
        <is>
          <t>Alta</t>
        </is>
      </c>
      <c r="T113" s="18" t="inlineStr">
        <is>
          <t>Convención de nombre, redactada con el contexto de la tabla y el código.</t>
        </is>
      </c>
      <c r="U113" s="18" t="inlineStr"/>
      <c r="V113" s="19" t="inlineStr">
        <is>
          <t>Aprobada</t>
        </is>
      </c>
      <c r="W113" s="19" t="inlineStr"/>
      <c r="X113" s="19" t="inlineStr">
        <is>
          <t>Aldair González (aprobación en bloque)</t>
        </is>
      </c>
      <c r="Y113" s="20" t="n">
        <v>46321</v>
      </c>
      <c r="Z113" s="19" t="inlineStr">
        <is>
          <t>Nivel 2: regla estructural con redacción revisada.</t>
        </is>
      </c>
      <c r="AA113" s="18">
        <f>IF(OR(V113="Aprobada"),R113,IF(AND(OR(V113="Aprobada con ajuste",V113="Rechazada"),W113&lt;&gt;""),W113,""))</f>
        <v/>
      </c>
    </row>
    <row r="114">
      <c r="A114" s="18" t="inlineStr">
        <is>
          <t>C0113</t>
        </is>
      </c>
      <c r="B114" s="18" t="inlineStr">
        <is>
          <t>Identidad y acceso</t>
        </is>
      </c>
      <c r="C114" s="18" t="inlineStr">
        <is>
          <t>auth</t>
        </is>
      </c>
      <c r="D114" s="18" t="inlineStr">
        <is>
          <t>registros_calificados</t>
        </is>
      </c>
      <c r="E114" s="18" t="n">
        <v>12</v>
      </c>
      <c r="F114" s="18" t="inlineStr">
        <is>
          <t>fecha_emision</t>
        </is>
      </c>
      <c r="G114" s="18" t="inlineStr">
        <is>
          <t>date</t>
        </is>
      </c>
      <c r="H114" s="18" t="inlineStr">
        <is>
          <t>No</t>
        </is>
      </c>
      <c r="I114" s="18" t="inlineStr"/>
      <c r="J114" s="18" t="inlineStr"/>
      <c r="K114" s="18" t="inlineStr"/>
      <c r="L114" s="18" t="inlineStr">
        <is>
          <t>No</t>
        </is>
      </c>
      <c r="M114" s="18" t="inlineStr">
        <is>
          <t>No</t>
        </is>
      </c>
      <c r="N114" s="18" t="inlineStr"/>
      <c r="O114" s="18" t="inlineStr"/>
      <c r="P114" s="18" t="inlineStr"/>
      <c r="Q114" s="18" t="inlineStr">
        <is>
          <t>Regla estructural (redacción revisada)</t>
        </is>
      </c>
      <c r="R114" s="18" t="inlineStr">
        <is>
          <t>Fecha de emisión del registro calificado.</t>
        </is>
      </c>
      <c r="S114" s="18" t="inlineStr">
        <is>
          <t>Alta</t>
        </is>
      </c>
      <c r="T114" s="18" t="inlineStr">
        <is>
          <t>Convención de nombre, redactada con el contexto de la tabla y el código.</t>
        </is>
      </c>
      <c r="U114" s="18" t="inlineStr"/>
      <c r="V114" s="19" t="inlineStr">
        <is>
          <t>Aprobada</t>
        </is>
      </c>
      <c r="W114" s="19" t="inlineStr"/>
      <c r="X114" s="19" t="inlineStr">
        <is>
          <t>Aldair González (aprobación en bloque)</t>
        </is>
      </c>
      <c r="Y114" s="20" t="n">
        <v>46321</v>
      </c>
      <c r="Z114" s="19" t="inlineStr">
        <is>
          <t>Nivel 2: regla estructural con redacción revisada.</t>
        </is>
      </c>
      <c r="AA114" s="18">
        <f>IF(OR(V114="Aprobada"),R114,IF(AND(OR(V114="Aprobada con ajuste",V114="Rechazada"),W114&lt;&gt;""),W114,""))</f>
        <v/>
      </c>
    </row>
    <row r="115">
      <c r="A115" s="18" t="inlineStr">
        <is>
          <t>C0114</t>
        </is>
      </c>
      <c r="B115" s="18" t="inlineStr">
        <is>
          <t>Identidad y acceso</t>
        </is>
      </c>
      <c r="C115" s="18" t="inlineStr">
        <is>
          <t>auth</t>
        </is>
      </c>
      <c r="D115" s="18" t="inlineStr">
        <is>
          <t>registros_calificados</t>
        </is>
      </c>
      <c r="E115" s="18" t="n">
        <v>12</v>
      </c>
      <c r="F115" s="18" t="inlineStr">
        <is>
          <t>vigencia</t>
        </is>
      </c>
      <c r="G115" s="18" t="inlineStr">
        <is>
          <t>date</t>
        </is>
      </c>
      <c r="H115" s="18" t="inlineStr">
        <is>
          <t>No</t>
        </is>
      </c>
      <c r="I115" s="18" t="inlineStr"/>
      <c r="J115" s="18" t="inlineStr"/>
      <c r="K115" s="18" t="inlineStr"/>
      <c r="L115" s="18" t="inlineStr">
        <is>
          <t>No</t>
        </is>
      </c>
      <c r="M115" s="18" t="inlineStr">
        <is>
          <t>No</t>
        </is>
      </c>
      <c r="N115" s="18" t="inlineStr"/>
      <c r="O115" s="18" t="inlineStr"/>
      <c r="P115" s="18" t="inlineStr"/>
      <c r="Q115" s="18" t="inlineStr">
        <is>
          <t>Regla estructural (redacción revisada)</t>
        </is>
      </c>
      <c r="R115" s="18" t="inlineStr">
        <is>
          <t>Fecha hasta la que está vigente el registro calificado.</t>
        </is>
      </c>
      <c r="S115" s="18" t="inlineStr">
        <is>
          <t>Alta</t>
        </is>
      </c>
      <c r="T115" s="18" t="inlineStr">
        <is>
          <t>Convención de nombre, redactada con el contexto de la tabla y el código.</t>
        </is>
      </c>
      <c r="U115" s="18" t="inlineStr"/>
      <c r="V115" s="19" t="inlineStr">
        <is>
          <t>Aprobada</t>
        </is>
      </c>
      <c r="W115" s="19" t="inlineStr"/>
      <c r="X115" s="19" t="inlineStr">
        <is>
          <t>Aldair González (aprobación en bloque)</t>
        </is>
      </c>
      <c r="Y115" s="20" t="n">
        <v>46321</v>
      </c>
      <c r="Z115" s="19" t="inlineStr">
        <is>
          <t>Nivel 2: regla estructural con redacción revisada.</t>
        </is>
      </c>
      <c r="AA115" s="18">
        <f>IF(OR(V115="Aprobada"),R115,IF(AND(OR(V115="Aprobada con ajuste",V115="Rechazada"),W115&lt;&gt;""),W115,""))</f>
        <v/>
      </c>
    </row>
    <row r="116">
      <c r="A116" s="18" t="inlineStr">
        <is>
          <t>C0115</t>
        </is>
      </c>
      <c r="B116" s="18" t="inlineStr">
        <is>
          <t>Identidad y acceso</t>
        </is>
      </c>
      <c r="C116" s="18" t="inlineStr">
        <is>
          <t>auth</t>
        </is>
      </c>
      <c r="D116" s="18" t="inlineStr">
        <is>
          <t>role</t>
        </is>
      </c>
      <c r="E116" s="18" t="n">
        <v>132</v>
      </c>
      <c r="F116" s="18" t="inlineStr">
        <is>
          <t>code</t>
        </is>
      </c>
      <c r="G116" s="18" t="inlineStr">
        <is>
          <t>character varying(50)</t>
        </is>
      </c>
      <c r="H116" s="18" t="inlineStr">
        <is>
          <t>No</t>
        </is>
      </c>
      <c r="I116" s="18" t="inlineStr">
        <is>
          <t>Única</t>
        </is>
      </c>
      <c r="J116" s="18" t="inlineStr"/>
      <c r="K116" s="18" t="inlineStr"/>
      <c r="L116" s="18" t="inlineStr">
        <is>
          <t>No</t>
        </is>
      </c>
      <c r="M116" s="18" t="inlineStr">
        <is>
          <t>Sí</t>
        </is>
      </c>
      <c r="N116" s="18" t="inlineStr">
        <is>
          <t>Vista hiring.roles_del_modulo</t>
        </is>
      </c>
      <c r="O116" s="18" t="inlineStr">
        <is>
          <t>role_code_key</t>
        </is>
      </c>
      <c r="P116" s="18" t="inlineStr">
        <is>
          <t>db/init/old/001_schema_auth.sql:452: código técnico del rol (para backend) | Validación: IsString, Matches(/^\d{6}$/, { message: 'El código debe tener 6 dígitos' })</t>
        </is>
      </c>
      <c r="Q116" s="18" t="inlineStr">
        <is>
          <t>Código fuente</t>
        </is>
      </c>
      <c r="R116" s="18" t="inlineStr">
        <is>
          <t>Código técnico único del rol, de seis dígitos, usado por el backend.</t>
        </is>
      </c>
      <c r="S116" s="18" t="inlineStr">
        <is>
          <t>Alta</t>
        </is>
      </c>
      <c r="T116" s="18" t="inlineStr">
        <is>
          <t>código: db/init/old/001_schema_auth.sql:452</t>
        </is>
      </c>
      <c r="U116" s="18" t="inlineStr"/>
      <c r="V116" s="19" t="inlineStr">
        <is>
          <t>Aprobada</t>
        </is>
      </c>
      <c r="W116" s="19" t="inlineStr"/>
      <c r="X116" s="19" t="inlineStr">
        <is>
          <t>Aldair González (aprobación en bloque)</t>
        </is>
      </c>
      <c r="Y116" s="20" t="n">
        <v>46321</v>
      </c>
      <c r="Z116" s="19" t="inlineStr">
        <is>
          <t>Nivel 1: propuesta del comentario del desarrollador o de confianza alta, o regla de fecha/responsable/motivo.</t>
        </is>
      </c>
      <c r="AA116" s="18">
        <f>IF(OR(V116="Aprobada"),R116,IF(AND(OR(V116="Aprobada con ajuste",V116="Rechazada"),W116&lt;&gt;""),W116,""))</f>
        <v/>
      </c>
    </row>
    <row r="117">
      <c r="A117" s="18" t="inlineStr">
        <is>
          <t>C0116</t>
        </is>
      </c>
      <c r="B117" s="18" t="inlineStr">
        <is>
          <t>Identidad y acceso</t>
        </is>
      </c>
      <c r="C117" s="18" t="inlineStr">
        <is>
          <t>auth</t>
        </is>
      </c>
      <c r="D117" s="18" t="inlineStr">
        <is>
          <t>role</t>
        </is>
      </c>
      <c r="E117" s="18" t="n">
        <v>132</v>
      </c>
      <c r="F117" s="18" t="inlineStr">
        <is>
          <t>name</t>
        </is>
      </c>
      <c r="G117" s="18" t="inlineStr">
        <is>
          <t>character varying(100)</t>
        </is>
      </c>
      <c r="H117" s="18" t="inlineStr">
        <is>
          <t>No</t>
        </is>
      </c>
      <c r="I117" s="18" t="inlineStr">
        <is>
          <t>Única</t>
        </is>
      </c>
      <c r="J117" s="18" t="inlineStr"/>
      <c r="K117" s="18" t="inlineStr"/>
      <c r="L117" s="18" t="inlineStr">
        <is>
          <t>No</t>
        </is>
      </c>
      <c r="M117" s="18" t="inlineStr">
        <is>
          <t>Sí</t>
        </is>
      </c>
      <c r="N117" s="18" t="inlineStr">
        <is>
          <t>Vista hiring.roles_del_modulo</t>
        </is>
      </c>
      <c r="O117" s="18" t="inlineStr">
        <is>
          <t>role_name_key</t>
        </is>
      </c>
      <c r="P117" s="18" t="inlineStr">
        <is>
          <t>db/init/old/001_schema_auth.sql:453: nombre visible en UI | Validación: IsOptional, IsString</t>
        </is>
      </c>
      <c r="Q117" s="18" t="inlineStr">
        <is>
          <t>Código fuente</t>
        </is>
      </c>
      <c r="R117" s="18" t="inlineStr">
        <is>
          <t>Nombre único del rol que se muestra en la interfaz.</t>
        </is>
      </c>
      <c r="S117" s="18" t="inlineStr">
        <is>
          <t>Alta</t>
        </is>
      </c>
      <c r="T117" s="18" t="inlineStr">
        <is>
          <t>código: db/init/old/001_schema_auth.sql:453</t>
        </is>
      </c>
      <c r="U117" s="18" t="inlineStr"/>
      <c r="V117" s="19" t="inlineStr">
        <is>
          <t>Aprobada</t>
        </is>
      </c>
      <c r="W117" s="19" t="inlineStr"/>
      <c r="X117" s="19" t="inlineStr">
        <is>
          <t>Aldair González (aprobación en bloque)</t>
        </is>
      </c>
      <c r="Y117" s="20" t="n">
        <v>46321</v>
      </c>
      <c r="Z117" s="19" t="inlineStr">
        <is>
          <t>Nivel 1: propuesta del comentario del desarrollador o de confianza alta, o regla de fecha/responsable/motivo.</t>
        </is>
      </c>
      <c r="AA117" s="18">
        <f>IF(OR(V117="Aprobada"),R117,IF(AND(OR(V117="Aprobada con ajuste",V117="Rechazada"),W117&lt;&gt;""),W117,""))</f>
        <v/>
      </c>
    </row>
    <row r="118">
      <c r="A118" s="18" t="inlineStr">
        <is>
          <t>C0117</t>
        </is>
      </c>
      <c r="B118" s="18" t="inlineStr">
        <is>
          <t>Identidad y acceso</t>
        </is>
      </c>
      <c r="C118" s="18" t="inlineStr">
        <is>
          <t>auth</t>
        </is>
      </c>
      <c r="D118" s="18" t="inlineStr">
        <is>
          <t>role</t>
        </is>
      </c>
      <c r="E118" s="18" t="n">
        <v>132</v>
      </c>
      <c r="F118" s="18" t="inlineStr">
        <is>
          <t>description</t>
        </is>
      </c>
      <c r="G118" s="18" t="inlineStr">
        <is>
          <t>text</t>
        </is>
      </c>
      <c r="H118" s="18" t="inlineStr">
        <is>
          <t>Sí</t>
        </is>
      </c>
      <c r="I118" s="18" t="inlineStr"/>
      <c r="J118" s="18" t="inlineStr"/>
      <c r="K118" s="18" t="inlineStr"/>
      <c r="L118" s="18" t="inlineStr">
        <is>
          <t>No</t>
        </is>
      </c>
      <c r="M118" s="18" t="inlineStr">
        <is>
          <t>No</t>
        </is>
      </c>
      <c r="N118" s="18" t="inlineStr"/>
      <c r="O118" s="18" t="inlineStr"/>
      <c r="P118" s="18" t="inlineStr">
        <is>
          <t>Mapeada en auth-service/src/users/role.entity.ts:16 (Role.description) | Validación: IsOptional, IsString</t>
        </is>
      </c>
      <c r="Q118" s="18" t="inlineStr">
        <is>
          <t>Regla estructural (redacción revisada)</t>
        </is>
      </c>
      <c r="R118" s="18" t="inlineStr">
        <is>
          <t>Descripción del rol.</t>
        </is>
      </c>
      <c r="S118" s="18" t="inlineStr">
        <is>
          <t>Alta</t>
        </is>
      </c>
      <c r="T118" s="18" t="inlineStr">
        <is>
          <t>Convención de nombre, redactada con el contexto de la tabla y el código.</t>
        </is>
      </c>
      <c r="U118" s="18" t="inlineStr"/>
      <c r="V118" s="19" t="inlineStr">
        <is>
          <t>Aprobada</t>
        </is>
      </c>
      <c r="W118" s="19" t="inlineStr"/>
      <c r="X118" s="19" t="inlineStr">
        <is>
          <t>Aldair González (aprobación en bloque)</t>
        </is>
      </c>
      <c r="Y118" s="20" t="n">
        <v>46321</v>
      </c>
      <c r="Z118" s="19" t="inlineStr">
        <is>
          <t>Nivel 2: regla estructural con redacción revisada.</t>
        </is>
      </c>
      <c r="AA118" s="18">
        <f>IF(OR(V118="Aprobada"),R118,IF(AND(OR(V118="Aprobada con ajuste",V118="Rechazada"),W118&lt;&gt;""),W118,""))</f>
        <v/>
      </c>
    </row>
    <row r="119">
      <c r="A119" s="18" t="inlineStr">
        <is>
          <t>C0118</t>
        </is>
      </c>
      <c r="B119" s="18" t="inlineStr">
        <is>
          <t>Identidad y acceso</t>
        </is>
      </c>
      <c r="C119" s="18" t="inlineStr">
        <is>
          <t>auth</t>
        </is>
      </c>
      <c r="D119" s="18" t="inlineStr">
        <is>
          <t>role</t>
        </is>
      </c>
      <c r="E119" s="18" t="n">
        <v>132</v>
      </c>
      <c r="F119" s="18" t="inlineStr">
        <is>
          <t>category</t>
        </is>
      </c>
      <c r="G119" s="18" t="inlineStr">
        <is>
          <t>character varying(20)</t>
        </is>
      </c>
      <c r="H119" s="18" t="inlineStr">
        <is>
          <t>No</t>
        </is>
      </c>
      <c r="I119" s="18" t="inlineStr"/>
      <c r="J119" s="18" t="inlineStr"/>
      <c r="K119" s="18" t="inlineStr"/>
      <c r="L119" s="18" t="inlineStr">
        <is>
          <t>No</t>
        </is>
      </c>
      <c r="M119" s="18" t="inlineStr">
        <is>
          <t>No</t>
        </is>
      </c>
      <c r="N119" s="18" t="inlineStr"/>
      <c r="O119" s="18" t="inlineStr"/>
      <c r="P119" s="18" t="inlineStr">
        <is>
          <t>db/init/old/001_schema_auth.sql:455: academico | administrativo | directivo | operativo | sistema | Validación: IsIn(['backoffice', 'portal']), IsOptional</t>
        </is>
      </c>
      <c r="Q119" s="18" t="inlineStr">
        <is>
          <t>Código fuente (verificado)</t>
        </is>
      </c>
      <c r="R119" s="18" t="inlineStr">
        <is>
          <t>Categoría del rol. Valores admitidos por el servicio: backoffice, portal, sistema, academico, directivo y administrativo. Por defecto, sistema.</t>
        </is>
      </c>
      <c r="S119" s="18" t="inlineStr">
        <is>
          <t>Alta</t>
        </is>
      </c>
      <c r="T119" s="18" t="inlineStr">
        <is>
          <t>backend/auth-service/src/users/role.entity.ts:34: default 'sistema'; tipo 'backoffice' | 'portal' | 'sistema' | 'academico' | 'directivo' | 'administrativo' | backend/auth-service/src/users/roles.service.ts:263: category o 'sistema' al crear | backend/auth-service/src/users/dto/update-module.dto.ts:25: IsIn(['backoffice', 'portal']) aplica a la categoría del módulo, no del rol | db/init/old/001_schema_auth.sql:455: comentario anterior sin backoffice ni portal</t>
        </is>
      </c>
      <c r="U119" s="18" t="inlineStr"/>
      <c r="V119" s="19" t="inlineStr">
        <is>
          <t>Aprobada</t>
        </is>
      </c>
      <c r="W119" s="19" t="inlineStr"/>
      <c r="X119" s="19" t="inlineStr">
        <is>
          <t>Aldair González (aprobación en bloque)</t>
        </is>
      </c>
      <c r="Y119" s="20" t="n">
        <v>46321</v>
      </c>
      <c r="Z119" s="19" t="inlineStr">
        <is>
          <t>Nivel 3: verificada con el código de la aplicación.</t>
        </is>
      </c>
      <c r="AA119" s="18">
        <f>IF(OR(V119="Aprobada"),R119,IF(AND(OR(V119="Aprobada con ajuste",V119="Rechazada"),W119&lt;&gt;""),W119,""))</f>
        <v/>
      </c>
    </row>
    <row r="120">
      <c r="A120" s="18" t="inlineStr">
        <is>
          <t>C0119</t>
        </is>
      </c>
      <c r="B120" s="18" t="inlineStr">
        <is>
          <t>Identidad y acceso</t>
        </is>
      </c>
      <c r="C120" s="18" t="inlineStr">
        <is>
          <t>auth</t>
        </is>
      </c>
      <c r="D120" s="18" t="inlineStr">
        <is>
          <t>role</t>
        </is>
      </c>
      <c r="E120" s="18" t="n">
        <v>132</v>
      </c>
      <c r="F120" s="18" t="inlineStr">
        <is>
          <t>icon</t>
        </is>
      </c>
      <c r="G120" s="18" t="inlineStr">
        <is>
          <t>character varying(50)</t>
        </is>
      </c>
      <c r="H120" s="18" t="inlineStr">
        <is>
          <t>Sí</t>
        </is>
      </c>
      <c r="I120" s="18" t="inlineStr"/>
      <c r="J120" s="18" t="inlineStr"/>
      <c r="K120" s="18" t="inlineStr"/>
      <c r="L120" s="18" t="inlineStr">
        <is>
          <t>No</t>
        </is>
      </c>
      <c r="M120" s="18" t="inlineStr">
        <is>
          <t>No</t>
        </is>
      </c>
      <c r="N120" s="18" t="inlineStr"/>
      <c r="O120" s="18" t="inlineStr"/>
      <c r="P120" s="18" t="inlineStr">
        <is>
          <t>db/init/old/001_schema_auth.sql:456: ícono del rol | Validación: IsOptional, IsString</t>
        </is>
      </c>
      <c r="Q120" s="18" t="inlineStr">
        <is>
          <t>Código fuente</t>
        </is>
      </c>
      <c r="R120" s="18" t="inlineStr">
        <is>
          <t>Nombre del ícono del rol en la interfaz; por defecto Shield.</t>
        </is>
      </c>
      <c r="S120" s="18" t="inlineStr">
        <is>
          <t>Alta</t>
        </is>
      </c>
      <c r="T120" s="18" t="inlineStr">
        <is>
          <t>código: db/init/old/001_schema_auth.sql:456</t>
        </is>
      </c>
      <c r="U120" s="18" t="inlineStr"/>
      <c r="V120" s="19" t="inlineStr">
        <is>
          <t>Aprobada</t>
        </is>
      </c>
      <c r="W120" s="19" t="inlineStr"/>
      <c r="X120" s="19" t="inlineStr">
        <is>
          <t>Aldair González (aprobación en bloque)</t>
        </is>
      </c>
      <c r="Y120" s="20" t="n">
        <v>46321</v>
      </c>
      <c r="Z120" s="19" t="inlineStr">
        <is>
          <t>Nivel 1: propuesta del comentario del desarrollador o de confianza alta, o regla de fecha/responsable/motivo.</t>
        </is>
      </c>
      <c r="AA120" s="18">
        <f>IF(OR(V120="Aprobada"),R120,IF(AND(OR(V120="Aprobada con ajuste",V120="Rechazada"),W120&lt;&gt;""),W120,""))</f>
        <v/>
      </c>
    </row>
    <row r="121">
      <c r="A121" s="18" t="inlineStr">
        <is>
          <t>C0120</t>
        </is>
      </c>
      <c r="B121" s="18" t="inlineStr">
        <is>
          <t>Identidad y acceso</t>
        </is>
      </c>
      <c r="C121" s="18" t="inlineStr">
        <is>
          <t>auth</t>
        </is>
      </c>
      <c r="D121" s="18" t="inlineStr">
        <is>
          <t>role</t>
        </is>
      </c>
      <c r="E121" s="18" t="n">
        <v>132</v>
      </c>
      <c r="F121" s="18" t="inlineStr">
        <is>
          <t>color</t>
        </is>
      </c>
      <c r="G121" s="18" t="inlineStr">
        <is>
          <t>character varying(20)</t>
        </is>
      </c>
      <c r="H121" s="18" t="inlineStr">
        <is>
          <t>Sí</t>
        </is>
      </c>
      <c r="I121" s="18" t="inlineStr"/>
      <c r="J121" s="18" t="inlineStr"/>
      <c r="K121" s="18" t="inlineStr"/>
      <c r="L121" s="18" t="inlineStr">
        <is>
          <t>No</t>
        </is>
      </c>
      <c r="M121" s="18" t="inlineStr">
        <is>
          <t>No</t>
        </is>
      </c>
      <c r="N121" s="18" t="inlineStr"/>
      <c r="O121" s="18" t="inlineStr"/>
      <c r="P121" s="18" t="inlineStr">
        <is>
          <t>db/init/old/001_schema_auth.sql:457: color del rol | Validación: IsOptional, IsString</t>
        </is>
      </c>
      <c r="Q121" s="18" t="inlineStr">
        <is>
          <t>Código fuente</t>
        </is>
      </c>
      <c r="R121" s="18" t="inlineStr">
        <is>
          <t>Color del rol en la interfaz, en código hexadecimal; por defecto #003DA5.</t>
        </is>
      </c>
      <c r="S121" s="18" t="inlineStr">
        <is>
          <t>Alta</t>
        </is>
      </c>
      <c r="T121" s="18" t="inlineStr">
        <is>
          <t>código: db/init/old/001_schema_auth.sql:457</t>
        </is>
      </c>
      <c r="U121" s="18" t="inlineStr"/>
      <c r="V121" s="19" t="inlineStr">
        <is>
          <t>Aprobada</t>
        </is>
      </c>
      <c r="W121" s="19" t="inlineStr"/>
      <c r="X121" s="19" t="inlineStr">
        <is>
          <t>Aldair González (aprobación en bloque)</t>
        </is>
      </c>
      <c r="Y121" s="20" t="n">
        <v>46321</v>
      </c>
      <c r="Z121" s="19" t="inlineStr">
        <is>
          <t>Nivel 1: propuesta del comentario del desarrollador o de confianza alta, o regla de fecha/responsable/motivo.</t>
        </is>
      </c>
      <c r="AA121" s="18">
        <f>IF(OR(V121="Aprobada"),R121,IF(AND(OR(V121="Aprobada con ajuste",V121="Rechazada"),W121&lt;&gt;""),W121,""))</f>
        <v/>
      </c>
    </row>
    <row r="122">
      <c r="A122" s="18" t="inlineStr">
        <is>
          <t>C0121</t>
        </is>
      </c>
      <c r="B122" s="18" t="inlineStr">
        <is>
          <t>Identidad y acceso</t>
        </is>
      </c>
      <c r="C122" s="18" t="inlineStr">
        <is>
          <t>auth</t>
        </is>
      </c>
      <c r="D122" s="18" t="inlineStr">
        <is>
          <t>role</t>
        </is>
      </c>
      <c r="E122" s="18" t="n">
        <v>132</v>
      </c>
      <c r="F122" s="18" t="inlineStr">
        <is>
          <t>type</t>
        </is>
      </c>
      <c r="G122" s="18" t="inlineStr">
        <is>
          <t>character varying(20)</t>
        </is>
      </c>
      <c r="H122" s="18" t="inlineStr">
        <is>
          <t>Sí</t>
        </is>
      </c>
      <c r="I122" s="18" t="inlineStr"/>
      <c r="J122" s="18" t="inlineStr"/>
      <c r="K122" s="18" t="inlineStr"/>
      <c r="L122" s="18" t="inlineStr">
        <is>
          <t>No</t>
        </is>
      </c>
      <c r="M122" s="18" t="inlineStr">
        <is>
          <t>Sí</t>
        </is>
      </c>
      <c r="N122" s="18" t="inlineStr">
        <is>
          <t>Vista hiring.roles_del_modulo</t>
        </is>
      </c>
      <c r="O122" s="18" t="inlineStr"/>
      <c r="P122" s="18" t="inlineStr">
        <is>
          <t>db/init/old/001_schema_auth.sql:458: sistema | personalizado</t>
        </is>
      </c>
      <c r="Q122" s="18" t="inlineStr">
        <is>
          <t>Código fuente</t>
        </is>
      </c>
      <c r="R122" s="18" t="inlineStr">
        <is>
          <t>Tipo de rol. Valores previstos: sistema, personalizado; por defecto personalizado.</t>
        </is>
      </c>
      <c r="S122" s="18" t="inlineStr">
        <is>
          <t>Alta</t>
        </is>
      </c>
      <c r="T122" s="18" t="inlineStr">
        <is>
          <t>código: db/init/old/001_schema_auth.sql:458</t>
        </is>
      </c>
      <c r="U122" s="18" t="inlineStr"/>
      <c r="V122" s="19" t="inlineStr">
        <is>
          <t>Aprobada</t>
        </is>
      </c>
      <c r="W122" s="19" t="inlineStr"/>
      <c r="X122" s="19" t="inlineStr">
        <is>
          <t>Aldair González (aprobación en bloque)</t>
        </is>
      </c>
      <c r="Y122" s="20" t="n">
        <v>46321</v>
      </c>
      <c r="Z122" s="19" t="inlineStr">
        <is>
          <t>Nivel 1: propuesta del comentario del desarrollador o de confianza alta, o regla de fecha/responsable/motivo.</t>
        </is>
      </c>
      <c r="AA122" s="18">
        <f>IF(OR(V122="Aprobada"),R122,IF(AND(OR(V122="Aprobada con ajuste",V122="Rechazada"),W122&lt;&gt;""),W122,""))</f>
        <v/>
      </c>
    </row>
    <row r="123">
      <c r="A123" s="18" t="inlineStr">
        <is>
          <t>C0122</t>
        </is>
      </c>
      <c r="B123" s="18" t="inlineStr">
        <is>
          <t>Identidad y acceso</t>
        </is>
      </c>
      <c r="C123" s="18" t="inlineStr">
        <is>
          <t>auth</t>
        </is>
      </c>
      <c r="D123" s="18" t="inlineStr">
        <is>
          <t>role</t>
        </is>
      </c>
      <c r="E123" s="18" t="n">
        <v>132</v>
      </c>
      <c r="F123" s="18" t="inlineStr">
        <is>
          <t>is_active</t>
        </is>
      </c>
      <c r="G123" s="18" t="inlineStr">
        <is>
          <t>boolean</t>
        </is>
      </c>
      <c r="H123" s="18" t="inlineStr">
        <is>
          <t>Sí</t>
        </is>
      </c>
      <c r="I123" s="18" t="inlineStr"/>
      <c r="J123" s="18" t="inlineStr"/>
      <c r="K123" s="18" t="inlineStr"/>
      <c r="L123" s="18" t="inlineStr">
        <is>
          <t>No</t>
        </is>
      </c>
      <c r="M123" s="18" t="inlineStr">
        <is>
          <t>Sí</t>
        </is>
      </c>
      <c r="N123" s="18" t="inlineStr">
        <is>
          <t>Vista hiring.roles_del_modulo</t>
        </is>
      </c>
      <c r="O123" s="18" t="inlineStr"/>
      <c r="P123" s="18" t="inlineStr">
        <is>
          <t>Mapeada en auth-service/src/users/role.entity.ts:37 (Role.is_active) | Validación: IsBoolean, IsOptional</t>
        </is>
      </c>
      <c r="Q123" s="18" t="inlineStr">
        <is>
          <t>Regla estructural (redacción revisada)</t>
        </is>
      </c>
      <c r="R123" s="18" t="inlineStr">
        <is>
          <t>Indica si el rol está activo.</t>
        </is>
      </c>
      <c r="S123" s="18" t="inlineStr">
        <is>
          <t>Alta</t>
        </is>
      </c>
      <c r="T123" s="18" t="inlineStr">
        <is>
          <t>Convención de nombre, redactada con el contexto de la tabla y el código.</t>
        </is>
      </c>
      <c r="U123" s="18" t="inlineStr"/>
      <c r="V123" s="19" t="inlineStr">
        <is>
          <t>Aprobada</t>
        </is>
      </c>
      <c r="W123" s="19" t="inlineStr"/>
      <c r="X123" s="19" t="inlineStr">
        <is>
          <t>Aldair González (aprobación en bloque)</t>
        </is>
      </c>
      <c r="Y123" s="20" t="n">
        <v>46321</v>
      </c>
      <c r="Z123" s="19" t="inlineStr">
        <is>
          <t>Nivel 2: regla estructural con redacción revisada.</t>
        </is>
      </c>
      <c r="AA123" s="18">
        <f>IF(OR(V123="Aprobada"),R123,IF(AND(OR(V123="Aprobada con ajuste",V123="Rechazada"),W123&lt;&gt;""),W123,""))</f>
        <v/>
      </c>
    </row>
    <row r="124">
      <c r="A124" s="18" t="inlineStr">
        <is>
          <t>C0123</t>
        </is>
      </c>
      <c r="B124" s="18" t="inlineStr">
        <is>
          <t>Identidad y acceso</t>
        </is>
      </c>
      <c r="C124" s="18" t="inlineStr">
        <is>
          <t>auth</t>
        </is>
      </c>
      <c r="D124" s="18" t="inlineStr">
        <is>
          <t>role</t>
        </is>
      </c>
      <c r="E124" s="18" t="n">
        <v>132</v>
      </c>
      <c r="F124" s="18" t="inlineStr">
        <is>
          <t>requires_2fa</t>
        </is>
      </c>
      <c r="G124" s="18" t="inlineStr">
        <is>
          <t>boolean</t>
        </is>
      </c>
      <c r="H124" s="18" t="inlineStr">
        <is>
          <t>Sí</t>
        </is>
      </c>
      <c r="I124" s="18" t="inlineStr"/>
      <c r="J124" s="18" t="inlineStr"/>
      <c r="K124" s="18" t="inlineStr"/>
      <c r="L124" s="18" t="inlineStr">
        <is>
          <t>No</t>
        </is>
      </c>
      <c r="M124" s="18" t="inlineStr">
        <is>
          <t>No</t>
        </is>
      </c>
      <c r="N124" s="18" t="inlineStr"/>
      <c r="O124" s="18" t="inlineStr"/>
      <c r="P124" s="18" t="inlineStr">
        <is>
          <t>db/init/old/001_schema_auth.sql:460: requiere autenticación de dos factores</t>
        </is>
      </c>
      <c r="Q124" s="18" t="inlineStr">
        <is>
          <t>Código fuente</t>
        </is>
      </c>
      <c r="R124" s="18" t="inlineStr">
        <is>
          <t>Indica si el rol requiere autenticación de dos factores; por defecto falso.</t>
        </is>
      </c>
      <c r="S124" s="18" t="inlineStr">
        <is>
          <t>Alta</t>
        </is>
      </c>
      <c r="T124" s="18" t="inlineStr">
        <is>
          <t>código: db/init/old/001_schema_auth.sql:460</t>
        </is>
      </c>
      <c r="U124" s="18" t="inlineStr"/>
      <c r="V124" s="19" t="inlineStr">
        <is>
          <t>Aprobada</t>
        </is>
      </c>
      <c r="W124" s="19" t="inlineStr"/>
      <c r="X124" s="19" t="inlineStr">
        <is>
          <t>Aldair González (aprobación en bloque)</t>
        </is>
      </c>
      <c r="Y124" s="20" t="n">
        <v>46321</v>
      </c>
      <c r="Z124" s="19" t="inlineStr">
        <is>
          <t>Nivel 1: propuesta del comentario del desarrollador o de confianza alta, o regla de fecha/responsable/motivo.</t>
        </is>
      </c>
      <c r="AA124" s="18">
        <f>IF(OR(V124="Aprobada"),R124,IF(AND(OR(V124="Aprobada con ajuste",V124="Rechazada"),W124&lt;&gt;""),W124,""))</f>
        <v/>
      </c>
    </row>
    <row r="125">
      <c r="A125" s="18" t="inlineStr">
        <is>
          <t>C0124</t>
        </is>
      </c>
      <c r="B125" s="18" t="inlineStr">
        <is>
          <t>Identidad y acceso</t>
        </is>
      </c>
      <c r="C125" s="18" t="inlineStr">
        <is>
          <t>auth</t>
        </is>
      </c>
      <c r="D125" s="18" t="inlineStr">
        <is>
          <t>role</t>
        </is>
      </c>
      <c r="E125" s="18" t="n">
        <v>132</v>
      </c>
      <c r="F125" s="18" t="inlineStr">
        <is>
          <t>sistema_destino</t>
        </is>
      </c>
      <c r="G125" s="18" t="inlineStr">
        <is>
          <t>text</t>
        </is>
      </c>
      <c r="H125" s="18" t="inlineStr">
        <is>
          <t>Sí</t>
        </is>
      </c>
      <c r="I125" s="18" t="inlineStr"/>
      <c r="J125" s="18" t="inlineStr"/>
      <c r="K125" s="18" t="inlineStr"/>
      <c r="L125" s="18" t="inlineStr">
        <is>
          <t>No</t>
        </is>
      </c>
      <c r="M125" s="18" t="inlineStr">
        <is>
          <t>No</t>
        </is>
      </c>
      <c r="N125" s="18" t="inlineStr"/>
      <c r="O125" s="18" t="inlineStr"/>
      <c r="P125" s="18" t="inlineStr">
        <is>
          <t>Mapeada en auth-service/src/users/role.entity.ts:28 (Role.sistema_destino)</t>
        </is>
      </c>
      <c r="Q125" s="18" t="inlineStr">
        <is>
          <t>Código fuente (verificado)</t>
        </is>
      </c>
      <c r="R125" s="18" t="inlineStr">
        <is>
          <t>Sistema al que aplica el rol: Backoffice, Portal o Ambos. Por defecto, Backoffice.</t>
        </is>
      </c>
      <c r="S125" s="18" t="inlineStr">
        <is>
          <t>Alta</t>
        </is>
      </c>
      <c r="T125" s="18" t="inlineStr">
        <is>
          <t>backend/auth-service/src/users/roles.service.ts:43: sistema_destino?: 'Backoffice' | 'Portal' | 'Ambos' | backend/auth-service/src/users/roles.service.ts:261: valor o 'Backoffice' | db/migrations/224_add_sistema_destino_to_role.sql:5: TEXT DEFAULT 'Backoffice'</t>
        </is>
      </c>
      <c r="U125" s="18" t="inlineStr"/>
      <c r="V125" s="19" t="inlineStr">
        <is>
          <t>Aprobada</t>
        </is>
      </c>
      <c r="W125" s="19" t="inlineStr"/>
      <c r="X125" s="19" t="inlineStr">
        <is>
          <t>Aldair González (aprobación en bloque)</t>
        </is>
      </c>
      <c r="Y125" s="20" t="n">
        <v>46321</v>
      </c>
      <c r="Z125" s="19" t="inlineStr">
        <is>
          <t>Nivel 3: verificada con el código de la aplicación.</t>
        </is>
      </c>
      <c r="AA125" s="18">
        <f>IF(OR(V125="Aprobada"),R125,IF(AND(OR(V125="Aprobada con ajuste",V125="Rechazada"),W125&lt;&gt;""),W125,""))</f>
        <v/>
      </c>
    </row>
    <row r="126">
      <c r="A126" s="18" t="inlineStr">
        <is>
          <t>C0125</t>
        </is>
      </c>
      <c r="B126" s="18" t="inlineStr">
        <is>
          <t>Identidad y acceso</t>
        </is>
      </c>
      <c r="C126" s="18" t="inlineStr">
        <is>
          <t>auth</t>
        </is>
      </c>
      <c r="D126" s="18" t="inlineStr">
        <is>
          <t>role</t>
        </is>
      </c>
      <c r="E126" s="18" t="n">
        <v>132</v>
      </c>
      <c r="F126" s="18" t="inlineStr">
        <is>
          <t>alcance</t>
        </is>
      </c>
      <c r="G126" s="18" t="inlineStr">
        <is>
          <t>jsonb</t>
        </is>
      </c>
      <c r="H126" s="18" t="inlineStr">
        <is>
          <t>Sí</t>
        </is>
      </c>
      <c r="I126" s="18" t="inlineStr"/>
      <c r="J126" s="18" t="inlineStr"/>
      <c r="K126" s="18" t="inlineStr"/>
      <c r="L126" s="18" t="inlineStr">
        <is>
          <t>No</t>
        </is>
      </c>
      <c r="M126" s="18" t="inlineStr">
        <is>
          <t>No</t>
        </is>
      </c>
      <c r="N126" s="18" t="inlineStr"/>
      <c r="O126" s="18" t="inlineStr"/>
      <c r="P126" s="18" t="inlineStr">
        <is>
          <t>Mapeada en auth-service/src/users/role.entity.ts:31 (Role.alcance)</t>
        </is>
      </c>
      <c r="Q126" s="18" t="inlineStr">
        <is>
          <t>Código fuente (verificado)</t>
        </is>
      </c>
      <c r="R126" s="18" t="inlineStr">
        <is>
          <t>Configuración del alcance administrativo del rol, en formato JSON.</t>
        </is>
      </c>
      <c r="S126" s="18" t="inlineStr">
        <is>
          <t>Media</t>
        </is>
      </c>
      <c r="T126" s="18" t="inlineStr">
        <is>
          <t>db/migrations/225_add_alcance_to_role.sql:2: «JSON type column to store administrative scope configuration» | backend/auth-service/src/users/roles.service.ts:18: alcance?: any, sin estructura | backend/academic-schedule-service/src/concertacion/permisos-pta.service.ts:19: el alcance del rol no se usa en el PTA</t>
        </is>
      </c>
      <c r="U126" s="18" t="inlineStr">
        <is>
          <t>¿Qué estructura tiene el JSON de alcance (sedes, dependencias, módulos) y qué módulo lo interpreta?</t>
        </is>
      </c>
      <c r="V126" s="19" t="inlineStr">
        <is>
          <t>Aprobada</t>
        </is>
      </c>
      <c r="W126" s="19" t="inlineStr"/>
      <c r="X126" s="19" t="inlineStr">
        <is>
          <t>Aldair González (validación del responsable de BD)</t>
        </is>
      </c>
      <c r="Y126" s="20" t="n">
        <v>46321</v>
      </c>
      <c r="Z126" s="19" t="inlineStr">
        <is>
          <t>Nivel 3: validada por decisión del responsable de la base de datos. Pregunta registrada para desarrollo: ¿Qué estructura tiene el JSON de alcance (sedes, dependencias, módulos) y qué módulo lo interpreta?</t>
        </is>
      </c>
      <c r="AA126" s="18">
        <f>IF(OR(V126="Aprobada"),R126,IF(AND(OR(V126="Aprobada con ajuste",V126="Rechazada"),W126&lt;&gt;""),W126,""))</f>
        <v/>
      </c>
    </row>
    <row r="127">
      <c r="A127" s="18" t="inlineStr">
        <is>
          <t>C0126</t>
        </is>
      </c>
      <c r="B127" s="18" t="inlineStr">
        <is>
          <t>Identidad y acceso</t>
        </is>
      </c>
      <c r="C127" s="18" t="inlineStr">
        <is>
          <t>auth</t>
        </is>
      </c>
      <c r="D127" s="18" t="inlineStr">
        <is>
          <t>role_permissions</t>
        </is>
      </c>
      <c r="E127" s="18" t="n">
        <v>3112</v>
      </c>
      <c r="F127" s="18" t="inlineStr">
        <is>
          <t>is_active</t>
        </is>
      </c>
      <c r="G127" s="18" t="inlineStr">
        <is>
          <t>boolean</t>
        </is>
      </c>
      <c r="H127" s="18" t="inlineStr">
        <is>
          <t>Sí</t>
        </is>
      </c>
      <c r="I127" s="18" t="inlineStr"/>
      <c r="J127" s="18" t="inlineStr"/>
      <c r="K127" s="18" t="inlineStr"/>
      <c r="L127" s="18" t="inlineStr">
        <is>
          <t>No</t>
        </is>
      </c>
      <c r="M127" s="18" t="inlineStr">
        <is>
          <t>Sí</t>
        </is>
      </c>
      <c r="N127" s="18" t="inlineStr">
        <is>
          <t>Vista hiring.roles_del_modulo</t>
        </is>
      </c>
      <c r="O127" s="18" t="inlineStr"/>
      <c r="P127" s="18" t="inlineStr"/>
      <c r="Q127" s="18" t="inlineStr">
        <is>
          <t>Regla estructural (redacción revisada)</t>
        </is>
      </c>
      <c r="R127" s="18" t="inlineStr">
        <is>
          <t>Indica si la asignación del permiso al rol está activa.</t>
        </is>
      </c>
      <c r="S127" s="18" t="inlineStr">
        <is>
          <t>Alta</t>
        </is>
      </c>
      <c r="T127" s="18" t="inlineStr">
        <is>
          <t>Convención de nombre, redactada con el contexto de la tabla y el código.</t>
        </is>
      </c>
      <c r="U127" s="18" t="inlineStr"/>
      <c r="V127" s="19" t="inlineStr">
        <is>
          <t>Aprobada</t>
        </is>
      </c>
      <c r="W127" s="19" t="inlineStr"/>
      <c r="X127" s="19" t="inlineStr">
        <is>
          <t>Aldair González (aprobación en bloque)</t>
        </is>
      </c>
      <c r="Y127" s="20" t="n">
        <v>46321</v>
      </c>
      <c r="Z127" s="19" t="inlineStr">
        <is>
          <t>Nivel 2: regla estructural con redacción revisada.</t>
        </is>
      </c>
      <c r="AA127" s="18">
        <f>IF(OR(V127="Aprobada"),R127,IF(AND(OR(V127="Aprobada con ajuste",V127="Rechazada"),W127&lt;&gt;""),W127,""))</f>
        <v/>
      </c>
    </row>
    <row r="128">
      <c r="A128" s="18" t="inlineStr">
        <is>
          <t>C0127</t>
        </is>
      </c>
      <c r="B128" s="18" t="inlineStr">
        <is>
          <t>Identidad y acceso</t>
        </is>
      </c>
      <c r="C128" s="18" t="inlineStr">
        <is>
          <t>auth</t>
        </is>
      </c>
      <c r="D128" s="18" t="inlineStr">
        <is>
          <t>seccionales</t>
        </is>
      </c>
      <c r="E128" s="18" t="n">
        <v>38</v>
      </c>
      <c r="F128" s="18" t="inlineStr">
        <is>
          <t>nom_seccional</t>
        </is>
      </c>
      <c r="G128" s="18" t="inlineStr">
        <is>
          <t>character varying(100)</t>
        </is>
      </c>
      <c r="H128" s="18" t="inlineStr">
        <is>
          <t>No</t>
        </is>
      </c>
      <c r="I128" s="18" t="inlineStr"/>
      <c r="J128" s="18" t="inlineStr"/>
      <c r="K128" s="18" t="inlineStr"/>
      <c r="L128" s="18" t="inlineStr">
        <is>
          <t>No</t>
        </is>
      </c>
      <c r="M128" s="18" t="inlineStr">
        <is>
          <t>No</t>
        </is>
      </c>
      <c r="N128" s="18" t="inlineStr"/>
      <c r="O128" s="18" t="inlineStr"/>
      <c r="P128" s="18" t="inlineStr">
        <is>
          <t>Mapeada en auth-service/src/users/seccional.entity.ts:15 (Seccional.nomSeccional) | Validación: IsOptional, IsString, MaxLength(100, { message: 'El nombre de seccional no puede exceder 100 caracteres' })</t>
        </is>
      </c>
      <c r="Q128" s="18" t="inlineStr">
        <is>
          <t>Propuesta semántica</t>
        </is>
      </c>
      <c r="R128" s="18" t="inlineStr">
        <is>
          <t>Nombre de la seccional (máximo 100 caracteres).</t>
        </is>
      </c>
      <c r="S128" s="18" t="inlineStr">
        <is>
          <t>Alta</t>
        </is>
      </c>
      <c r="T128" s="18" t="inlineStr">
        <is>
          <t>nombre + tipo + columnas vecinas + validaciones</t>
        </is>
      </c>
      <c r="U128" s="18" t="inlineStr"/>
      <c r="V128" s="19" t="inlineStr">
        <is>
          <t>Aprobada</t>
        </is>
      </c>
      <c r="W128" s="19" t="inlineStr"/>
      <c r="X128" s="19" t="inlineStr">
        <is>
          <t>Aldair González (aprobación en bloque)</t>
        </is>
      </c>
      <c r="Y128" s="20" t="n">
        <v>46321</v>
      </c>
      <c r="Z128" s="19" t="inlineStr">
        <is>
          <t>Nivel 1: propuesta del comentario del desarrollador o de confianza alta, o regla de fecha/responsable/motivo.</t>
        </is>
      </c>
      <c r="AA128" s="18">
        <f>IF(OR(V128="Aprobada"),R128,IF(AND(OR(V128="Aprobada con ajuste",V128="Rechazada"),W128&lt;&gt;""),W128,""))</f>
        <v/>
      </c>
    </row>
    <row r="129">
      <c r="A129" s="18" t="inlineStr">
        <is>
          <t>C0128</t>
        </is>
      </c>
      <c r="B129" s="18" t="inlineStr">
        <is>
          <t>Identidad y acceso</t>
        </is>
      </c>
      <c r="C129" s="18" t="inlineStr">
        <is>
          <t>auth</t>
        </is>
      </c>
      <c r="D129" s="18" t="inlineStr">
        <is>
          <t>seccionales</t>
        </is>
      </c>
      <c r="E129" s="18" t="n">
        <v>38</v>
      </c>
      <c r="F129" s="18" t="inlineStr">
        <is>
          <t>dir_seccional</t>
        </is>
      </c>
      <c r="G129" s="18" t="inlineStr">
        <is>
          <t>character varying(250)</t>
        </is>
      </c>
      <c r="H129" s="18" t="inlineStr">
        <is>
          <t>Sí</t>
        </is>
      </c>
      <c r="I129" s="18" t="inlineStr"/>
      <c r="J129" s="18" t="inlineStr"/>
      <c r="K129" s="18" t="inlineStr"/>
      <c r="L129" s="18" t="inlineStr">
        <is>
          <t>No</t>
        </is>
      </c>
      <c r="M129" s="18" t="inlineStr">
        <is>
          <t>No</t>
        </is>
      </c>
      <c r="N129" s="18" t="inlineStr"/>
      <c r="O129" s="18" t="inlineStr"/>
      <c r="P129" s="18" t="inlineStr">
        <is>
          <t>Mapeada en auth-service/src/users/seccional.entity.ts:18 (Seccional.dirSeccional)</t>
        </is>
      </c>
      <c r="Q129" s="18" t="inlineStr">
        <is>
          <t>Propuesta semántica</t>
        </is>
      </c>
      <c r="R129" s="18" t="inlineStr">
        <is>
          <t>Dirección física de la seccional.</t>
        </is>
      </c>
      <c r="S129" s="18" t="inlineStr">
        <is>
          <t>Alta</t>
        </is>
      </c>
      <c r="T129" s="18" t="inlineStr">
        <is>
          <t>nombre + tipo + columnas vecinas</t>
        </is>
      </c>
      <c r="U129" s="18" t="inlineStr"/>
      <c r="V129" s="19" t="inlineStr">
        <is>
          <t>Aprobada</t>
        </is>
      </c>
      <c r="W129" s="19" t="inlineStr"/>
      <c r="X129" s="19" t="inlineStr">
        <is>
          <t>Aldair González (aprobación en bloque)</t>
        </is>
      </c>
      <c r="Y129" s="20" t="n">
        <v>46321</v>
      </c>
      <c r="Z129" s="19" t="inlineStr">
        <is>
          <t>Nivel 1: propuesta del comentario del desarrollador o de confianza alta, o regla de fecha/responsable/motivo.</t>
        </is>
      </c>
      <c r="AA129" s="18">
        <f>IF(OR(V129="Aprobada"),R129,IF(AND(OR(V129="Aprobada con ajuste",V129="Rechazada"),W129&lt;&gt;""),W129,""))</f>
        <v/>
      </c>
    </row>
    <row r="130">
      <c r="A130" s="18" t="inlineStr">
        <is>
          <t>C0129</t>
        </is>
      </c>
      <c r="B130" s="18" t="inlineStr">
        <is>
          <t>Identidad y acceso</t>
        </is>
      </c>
      <c r="C130" s="18" t="inlineStr">
        <is>
          <t>auth</t>
        </is>
      </c>
      <c r="D130" s="18" t="inlineStr">
        <is>
          <t>seccionales</t>
        </is>
      </c>
      <c r="E130" s="18" t="n">
        <v>38</v>
      </c>
      <c r="F130" s="18" t="inlineStr">
        <is>
          <t>fec_creacion</t>
        </is>
      </c>
      <c r="G130" s="18" t="inlineStr">
        <is>
          <t>date</t>
        </is>
      </c>
      <c r="H130" s="18" t="inlineStr">
        <is>
          <t>Sí</t>
        </is>
      </c>
      <c r="I130" s="18" t="inlineStr"/>
      <c r="J130" s="18" t="inlineStr"/>
      <c r="K130" s="18" t="inlineStr"/>
      <c r="L130" s="18" t="inlineStr">
        <is>
          <t>No</t>
        </is>
      </c>
      <c r="M130" s="18" t="inlineStr">
        <is>
          <t>No</t>
        </is>
      </c>
      <c r="N130" s="18" t="inlineStr"/>
      <c r="O130" s="18" t="inlineStr"/>
      <c r="P130" s="18" t="inlineStr">
        <is>
          <t>Mapeada en auth-service/src/users/seccional.entity.ts:28 (Seccional.fecCreacion)</t>
        </is>
      </c>
      <c r="Q130" s="18" t="inlineStr">
        <is>
          <t>Propuesta semántica</t>
        </is>
      </c>
      <c r="R130" s="18" t="inlineStr">
        <is>
          <t>Fecha de creación del registro.</t>
        </is>
      </c>
      <c r="S130" s="18" t="inlineStr">
        <is>
          <t>Alta</t>
        </is>
      </c>
      <c r="T130" s="18" t="inlineStr">
        <is>
          <t>nombre + tipo + columnas vecinas</t>
        </is>
      </c>
      <c r="U130" s="18" t="inlineStr"/>
      <c r="V130" s="19" t="inlineStr">
        <is>
          <t>Aprobada</t>
        </is>
      </c>
      <c r="W130" s="19" t="inlineStr"/>
      <c r="X130" s="19" t="inlineStr">
        <is>
          <t>Aldair González (aprobación en bloque)</t>
        </is>
      </c>
      <c r="Y130" s="20" t="n">
        <v>46321</v>
      </c>
      <c r="Z130" s="19" t="inlineStr">
        <is>
          <t>Nivel 1: propuesta del comentario del desarrollador o de confianza alta, o regla de fecha/responsable/motivo.</t>
        </is>
      </c>
      <c r="AA130" s="18">
        <f>IF(OR(V130="Aprobada"),R130,IF(AND(OR(V130="Aprobada con ajuste",V130="Rechazada"),W130&lt;&gt;""),W130,""))</f>
        <v/>
      </c>
    </row>
    <row r="131">
      <c r="A131" s="18" t="inlineStr">
        <is>
          <t>C0130</t>
        </is>
      </c>
      <c r="B131" s="18" t="inlineStr">
        <is>
          <t>Identidad y acceso</t>
        </is>
      </c>
      <c r="C131" s="18" t="inlineStr">
        <is>
          <t>auth</t>
        </is>
      </c>
      <c r="D131" s="18" t="inlineStr">
        <is>
          <t>seccionales</t>
        </is>
      </c>
      <c r="E131" s="18" t="n">
        <v>38</v>
      </c>
      <c r="F131" s="18" t="inlineStr">
        <is>
          <t>fec_ult_act</t>
        </is>
      </c>
      <c r="G131" s="18" t="inlineStr">
        <is>
          <t>date</t>
        </is>
      </c>
      <c r="H131" s="18" t="inlineStr">
        <is>
          <t>Sí</t>
        </is>
      </c>
      <c r="I131" s="18" t="inlineStr"/>
      <c r="J131" s="18" t="inlineStr"/>
      <c r="K131" s="18" t="inlineStr"/>
      <c r="L131" s="18" t="inlineStr">
        <is>
          <t>No</t>
        </is>
      </c>
      <c r="M131" s="18" t="inlineStr">
        <is>
          <t>No</t>
        </is>
      </c>
      <c r="N131" s="18" t="inlineStr"/>
      <c r="O131" s="18" t="inlineStr"/>
      <c r="P131" s="18" t="inlineStr">
        <is>
          <t>Mapeada en auth-service/src/users/seccional.entity.ts:31 (Seccional.fecUltAct)</t>
        </is>
      </c>
      <c r="Q131" s="18" t="inlineStr">
        <is>
          <t>Propuesta semántica</t>
        </is>
      </c>
      <c r="R131" s="18" t="inlineStr">
        <is>
          <t>Fecha de la última actualización del registro.</t>
        </is>
      </c>
      <c r="S131" s="18" t="inlineStr">
        <is>
          <t>Alta</t>
        </is>
      </c>
      <c r="T131" s="18" t="inlineStr">
        <is>
          <t>nombre + tipo + columnas vecinas</t>
        </is>
      </c>
      <c r="U131" s="18" t="inlineStr"/>
      <c r="V131" s="19" t="inlineStr">
        <is>
          <t>Aprobada</t>
        </is>
      </c>
      <c r="W131" s="19" t="inlineStr"/>
      <c r="X131" s="19" t="inlineStr">
        <is>
          <t>Aldair González (aprobación en bloque)</t>
        </is>
      </c>
      <c r="Y131" s="20" t="n">
        <v>46321</v>
      </c>
      <c r="Z131" s="19" t="inlineStr">
        <is>
          <t>Nivel 1: propuesta del comentario del desarrollador o de confianza alta, o regla de fecha/responsable/motivo.</t>
        </is>
      </c>
      <c r="AA131" s="18">
        <f>IF(OR(V131="Aprobada"),R131,IF(AND(OR(V131="Aprobada con ajuste",V131="Rechazada"),W131&lt;&gt;""),W131,""))</f>
        <v/>
      </c>
    </row>
    <row r="132">
      <c r="A132" s="18" t="inlineStr">
        <is>
          <t>C0131</t>
        </is>
      </c>
      <c r="B132" s="18" t="inlineStr">
        <is>
          <t>Identidad y acceso</t>
        </is>
      </c>
      <c r="C132" s="18" t="inlineStr">
        <is>
          <t>auth</t>
        </is>
      </c>
      <c r="D132" s="18" t="inlineStr">
        <is>
          <t>seccionales</t>
        </is>
      </c>
      <c r="E132" s="18" t="n">
        <v>38</v>
      </c>
      <c r="F132" s="18" t="inlineStr">
        <is>
          <t>usu_creacion</t>
        </is>
      </c>
      <c r="G132" s="18" t="inlineStr">
        <is>
          <t>character varying(20)</t>
        </is>
      </c>
      <c r="H132" s="18" t="inlineStr">
        <is>
          <t>Sí</t>
        </is>
      </c>
      <c r="I132" s="18" t="inlineStr"/>
      <c r="J132" s="18" t="inlineStr"/>
      <c r="K132" s="18" t="inlineStr"/>
      <c r="L132" s="18" t="inlineStr">
        <is>
          <t>No</t>
        </is>
      </c>
      <c r="M132" s="18" t="inlineStr">
        <is>
          <t>No</t>
        </is>
      </c>
      <c r="N132" s="18" t="inlineStr"/>
      <c r="O132" s="18" t="inlineStr"/>
      <c r="P132" s="18" t="inlineStr">
        <is>
          <t>Mapeada en auth-service/src/users/seccional.entity.ts:34 (Seccional.usuCreacion)</t>
        </is>
      </c>
      <c r="Q132" s="18" t="inlineStr">
        <is>
          <t>Código fuente (verificado)</t>
        </is>
      </c>
      <c r="R132" s="18" t="inlineStr">
        <is>
          <t>Usuario que creó el registro. La carga de estructura organizacional escribe el valor sistema.</t>
        </is>
      </c>
      <c r="S132" s="18" t="inlineStr">
        <is>
          <t>Media</t>
        </is>
      </c>
      <c r="T132" s="18" t="inlineStr">
        <is>
          <t>backend/auth-service/src/estructura-import/estructura-import.service.ts:498: INSERT en auth.seccionales con usu_creacion = 'sistema' | backend/auth-service/src/users/seccional.entity.ts:34: varchar(20)</t>
        </is>
      </c>
      <c r="U132" s="18" t="inlineStr">
        <is>
          <t>¿Los registros que no crea la carga guardan el nombre de usuario del sistema de origen?</t>
        </is>
      </c>
      <c r="V132" s="19" t="inlineStr">
        <is>
          <t>Aprobada</t>
        </is>
      </c>
      <c r="W132" s="19" t="inlineStr"/>
      <c r="X132" s="19" t="inlineStr">
        <is>
          <t>Aldair González (validación del responsable de BD)</t>
        </is>
      </c>
      <c r="Y132" s="20" t="n">
        <v>46321</v>
      </c>
      <c r="Z132" s="19" t="inlineStr">
        <is>
          <t>Nivel 3: validada por decisión del responsable de la base de datos. Pregunta registrada para desarrollo: ¿Los registros que no crea la carga guardan el nombre de usuario del sistema de origen?</t>
        </is>
      </c>
      <c r="AA132" s="18">
        <f>IF(OR(V132="Aprobada"),R132,IF(AND(OR(V132="Aprobada con ajuste",V132="Rechazada"),W132&lt;&gt;""),W132,""))</f>
        <v/>
      </c>
    </row>
    <row r="133">
      <c r="A133" s="18" t="inlineStr">
        <is>
          <t>C0132</t>
        </is>
      </c>
      <c r="B133" s="18" t="inlineStr">
        <is>
          <t>Identidad y acceso</t>
        </is>
      </c>
      <c r="C133" s="18" t="inlineStr">
        <is>
          <t>auth</t>
        </is>
      </c>
      <c r="D133" s="18" t="inlineStr">
        <is>
          <t>seccionales</t>
        </is>
      </c>
      <c r="E133" s="18" t="n">
        <v>38</v>
      </c>
      <c r="F133" s="18" t="inlineStr">
        <is>
          <t>usu_actualizacion</t>
        </is>
      </c>
      <c r="G133" s="18" t="inlineStr">
        <is>
          <t>character varying(20)</t>
        </is>
      </c>
      <c r="H133" s="18" t="inlineStr">
        <is>
          <t>Sí</t>
        </is>
      </c>
      <c r="I133" s="18" t="inlineStr"/>
      <c r="J133" s="18" t="inlineStr"/>
      <c r="K133" s="18" t="inlineStr"/>
      <c r="L133" s="18" t="inlineStr">
        <is>
          <t>No</t>
        </is>
      </c>
      <c r="M133" s="18" t="inlineStr">
        <is>
          <t>No</t>
        </is>
      </c>
      <c r="N133" s="18" t="inlineStr"/>
      <c r="O133" s="18" t="inlineStr"/>
      <c r="P133" s="18" t="inlineStr">
        <is>
          <t>Mapeada en auth-service/src/users/seccional.entity.ts:37 (Seccional.usuActualizacion)</t>
        </is>
      </c>
      <c r="Q133" s="18" t="inlineStr">
        <is>
          <t>Código fuente (verificado)</t>
        </is>
      </c>
      <c r="R133" s="18" t="inlineStr">
        <is>
          <t>Usuario que hizo la última actualización del registro. La carga de estructura organizacional escribe el valor sistema.</t>
        </is>
      </c>
      <c r="S133" s="18" t="inlineStr">
        <is>
          <t>Media</t>
        </is>
      </c>
      <c r="T133" s="18" t="inlineStr">
        <is>
          <t>backend/auth-service/src/estructura-import/estructura-import.service.ts:487: UPDATE de auth.seccionales con usu_actualizacion = 'sistema' | backend/auth-service/src/users/seccional.entity.ts:37: varchar(20)</t>
        </is>
      </c>
      <c r="U133" s="18" t="inlineStr">
        <is>
          <t>¿Los registros que no actualiza la carga guardan el nombre de usuario del sistema de origen?</t>
        </is>
      </c>
      <c r="V133" s="19" t="inlineStr">
        <is>
          <t>Aprobada</t>
        </is>
      </c>
      <c r="W133" s="19" t="inlineStr"/>
      <c r="X133" s="19" t="inlineStr">
        <is>
          <t>Aldair González (validación del responsable de BD)</t>
        </is>
      </c>
      <c r="Y133" s="20" t="n">
        <v>46321</v>
      </c>
      <c r="Z133" s="19" t="inlineStr">
        <is>
          <t>Nivel 3: validada por decisión del responsable de la base de datos. Pregunta registrada para desarrollo: ¿Los registros que no actualiza la carga guardan el nombre de usuario del sistema de origen?</t>
        </is>
      </c>
      <c r="AA133" s="18">
        <f>IF(OR(V133="Aprobada"),R133,IF(AND(OR(V133="Aprobada con ajuste",V133="Rechazada"),W133&lt;&gt;""),W133,""))</f>
        <v/>
      </c>
    </row>
    <row r="134">
      <c r="A134" s="18" t="inlineStr">
        <is>
          <t>C0133</t>
        </is>
      </c>
      <c r="B134" s="18" t="inlineStr">
        <is>
          <t>Identidad y acceso</t>
        </is>
      </c>
      <c r="C134" s="18" t="inlineStr">
        <is>
          <t>auth</t>
        </is>
      </c>
      <c r="D134" s="18" t="inlineStr">
        <is>
          <t>seccionales</t>
        </is>
      </c>
      <c r="E134" s="18" t="n">
        <v>38</v>
      </c>
      <c r="F134" s="18" t="inlineStr">
        <is>
          <t>cod_seccional</t>
        </is>
      </c>
      <c r="G134" s="18" t="inlineStr">
        <is>
          <t>character varying(20)</t>
        </is>
      </c>
      <c r="H134" s="18" t="inlineStr">
        <is>
          <t>Sí</t>
        </is>
      </c>
      <c r="I134" s="18" t="inlineStr"/>
      <c r="J134" s="18" t="inlineStr"/>
      <c r="K134" s="18" t="inlineStr"/>
      <c r="L134" s="18" t="inlineStr">
        <is>
          <t>No</t>
        </is>
      </c>
      <c r="M134" s="18" t="inlineStr">
        <is>
          <t>No</t>
        </is>
      </c>
      <c r="N134" s="18" t="inlineStr"/>
      <c r="O134" s="18" t="inlineStr"/>
      <c r="P134" s="18" t="inlineStr">
        <is>
          <t>Mapeada en auth-service/src/users/seccional.entity.ts:40 (Seccional.codSeccional) | Validación: IsOptional, IsString, MaxLength(20, { message: 'El código de seccional no puede exceder 20 caracteres' })</t>
        </is>
      </c>
      <c r="Q134" s="18" t="inlineStr">
        <is>
          <t>Propuesta semántica</t>
        </is>
      </c>
      <c r="R134" s="18" t="inlineStr">
        <is>
          <t>Código de la seccional (máximo 20 caracteres).</t>
        </is>
      </c>
      <c r="S134" s="18" t="inlineStr">
        <is>
          <t>Alta</t>
        </is>
      </c>
      <c r="T134" s="18" t="inlineStr">
        <is>
          <t>nombre + tipo + columnas vecinas + validaciones</t>
        </is>
      </c>
      <c r="U134" s="18" t="inlineStr"/>
      <c r="V134" s="19" t="inlineStr">
        <is>
          <t>Aprobada</t>
        </is>
      </c>
      <c r="W134" s="19" t="inlineStr"/>
      <c r="X134" s="19" t="inlineStr">
        <is>
          <t>Aldair González (aprobación en bloque)</t>
        </is>
      </c>
      <c r="Y134" s="20" t="n">
        <v>46321</v>
      </c>
      <c r="Z134" s="19" t="inlineStr">
        <is>
          <t>Nivel 1: propuesta del comentario del desarrollador o de confianza alta, o regla de fecha/responsable/motivo.</t>
        </is>
      </c>
      <c r="AA134" s="18">
        <f>IF(OR(V134="Aprobada"),R134,IF(AND(OR(V134="Aprobada con ajuste",V134="Rechazada"),W134&lt;&gt;""),W134,""))</f>
        <v/>
      </c>
    </row>
    <row r="135">
      <c r="A135" s="18" t="inlineStr">
        <is>
          <t>C0134</t>
        </is>
      </c>
      <c r="B135" s="18" t="inlineStr">
        <is>
          <t>Identidad y acceso</t>
        </is>
      </c>
      <c r="C135" s="18" t="inlineStr">
        <is>
          <t>auth</t>
        </is>
      </c>
      <c r="D135" s="18" t="inlineStr">
        <is>
          <t>seccionales</t>
        </is>
      </c>
      <c r="E135" s="18" t="n">
        <v>38</v>
      </c>
      <c r="F135" s="18" t="inlineStr">
        <is>
          <t>id_empresa</t>
        </is>
      </c>
      <c r="G135" s="18" t="inlineStr">
        <is>
          <t>bigint</t>
        </is>
      </c>
      <c r="H135" s="18" t="inlineStr">
        <is>
          <t>Sí</t>
        </is>
      </c>
      <c r="I135" s="18" t="inlineStr"/>
      <c r="J135" s="18" t="inlineStr"/>
      <c r="K135" s="18" t="inlineStr"/>
      <c r="L135" s="18" t="inlineStr">
        <is>
          <t>No</t>
        </is>
      </c>
      <c r="M135" s="18" t="inlineStr">
        <is>
          <t>No</t>
        </is>
      </c>
      <c r="N135" s="18" t="inlineStr"/>
      <c r="O135" s="18" t="inlineStr"/>
      <c r="P135" s="18" t="inlineStr">
        <is>
          <t>Mapeada en auth-service/src/users/seccional.entity.ts:43 (Seccional.idEmpresa)</t>
        </is>
      </c>
      <c r="Q135" s="18" t="inlineStr">
        <is>
          <t>Código fuente (verificado)</t>
        </is>
      </c>
      <c r="R135" s="18" t="inlineStr">
        <is>
          <t>Identificador de la empresa o entidad a la que pertenece la seccional.</t>
        </is>
      </c>
      <c r="S135" s="18" t="inlineStr">
        <is>
          <t>Media</t>
        </is>
      </c>
      <c r="T135" s="18" t="inlineStr">
        <is>
          <t>backend/auth-service/src/users/seccional.entity.ts:43: bigint nullable | backend/auth-service/schema.sql:377: ID_EMPRESA sin FK; no existe tabla de empresas en el código y la carga no asigna el valor</t>
        </is>
      </c>
      <c r="U135" s="18" t="inlineStr">
        <is>
          <t>¿Qué tabla o catálogo identifica id_empresa?</t>
        </is>
      </c>
      <c r="V135" s="19" t="inlineStr">
        <is>
          <t>Aprobada</t>
        </is>
      </c>
      <c r="W135" s="19" t="inlineStr"/>
      <c r="X135" s="19" t="inlineStr">
        <is>
          <t>Aldair González (validación del responsable de BD)</t>
        </is>
      </c>
      <c r="Y135" s="20" t="n">
        <v>46321</v>
      </c>
      <c r="Z135" s="19" t="inlineStr">
        <is>
          <t>Nivel 3: validada por decisión del responsable de la base de datos. Pregunta registrada para desarrollo: ¿Qué tabla o catálogo identifica id_empresa?</t>
        </is>
      </c>
      <c r="AA135" s="18">
        <f>IF(OR(V135="Aprobada"),R135,IF(AND(OR(V135="Aprobada con ajuste",V135="Rechazada"),W135&lt;&gt;""),W135,""))</f>
        <v/>
      </c>
    </row>
    <row r="136">
      <c r="A136" s="18" t="inlineStr">
        <is>
          <t>C0135</t>
        </is>
      </c>
      <c r="B136" s="18" t="inlineStr">
        <is>
          <t>Identidad y acceso</t>
        </is>
      </c>
      <c r="C136" s="18" t="inlineStr">
        <is>
          <t>auth</t>
        </is>
      </c>
      <c r="D136" s="18" t="inlineStr">
        <is>
          <t>seccionales</t>
        </is>
      </c>
      <c r="E136" s="18" t="n">
        <v>38</v>
      </c>
      <c r="F136" s="18" t="inlineStr">
        <is>
          <t>nit_seccional</t>
        </is>
      </c>
      <c r="G136" s="18" t="inlineStr">
        <is>
          <t>character varying(15)</t>
        </is>
      </c>
      <c r="H136" s="18" t="inlineStr">
        <is>
          <t>Sí</t>
        </is>
      </c>
      <c r="I136" s="18" t="inlineStr"/>
      <c r="J136" s="18" t="inlineStr"/>
      <c r="K136" s="18" t="inlineStr"/>
      <c r="L136" s="18" t="inlineStr">
        <is>
          <t>No</t>
        </is>
      </c>
      <c r="M136" s="18" t="inlineStr">
        <is>
          <t>No</t>
        </is>
      </c>
      <c r="N136" s="18" t="inlineStr"/>
      <c r="O136" s="18" t="inlineStr"/>
      <c r="P136" s="18" t="inlineStr">
        <is>
          <t>Mapeada en auth-service/src/users/seccional.entity.ts:46 (Seccional.nitSeccional)</t>
        </is>
      </c>
      <c r="Q136" s="18" t="inlineStr">
        <is>
          <t>Propuesta semántica</t>
        </is>
      </c>
      <c r="R136" s="18" t="inlineStr">
        <is>
          <t>Número de identificación tributaria (NIT) de la seccional.</t>
        </is>
      </c>
      <c r="S136" s="18" t="inlineStr">
        <is>
          <t>Alta</t>
        </is>
      </c>
      <c r="T136" s="18" t="inlineStr">
        <is>
          <t>nombre + tipo + columnas vecinas</t>
        </is>
      </c>
      <c r="U136" s="18" t="inlineStr"/>
      <c r="V136" s="19" t="inlineStr">
        <is>
          <t>Aprobada</t>
        </is>
      </c>
      <c r="W136" s="19" t="inlineStr"/>
      <c r="X136" s="19" t="inlineStr">
        <is>
          <t>Aldair González (aprobación en bloque)</t>
        </is>
      </c>
      <c r="Y136" s="20" t="n">
        <v>46321</v>
      </c>
      <c r="Z136" s="19" t="inlineStr">
        <is>
          <t>Nivel 1: propuesta del comentario del desarrollador o de confianza alta, o regla de fecha/responsable/motivo.</t>
        </is>
      </c>
      <c r="AA136" s="18">
        <f>IF(OR(V136="Aprobada"),R136,IF(AND(OR(V136="Aprobada con ajuste",V136="Rechazada"),W136&lt;&gt;""),W136,""))</f>
        <v/>
      </c>
    </row>
    <row r="137">
      <c r="A137" s="18" t="inlineStr">
        <is>
          <t>C0136</t>
        </is>
      </c>
      <c r="B137" s="18" t="inlineStr">
        <is>
          <t>Identidad y acceso</t>
        </is>
      </c>
      <c r="C137" s="18" t="inlineStr">
        <is>
          <t>auth</t>
        </is>
      </c>
      <c r="D137" s="18" t="inlineStr">
        <is>
          <t>seccionales</t>
        </is>
      </c>
      <c r="E137" s="18" t="n">
        <v>38</v>
      </c>
      <c r="F137" s="18" t="inlineStr">
        <is>
          <t>fir_seccional1</t>
        </is>
      </c>
      <c r="G137" s="18" t="inlineStr">
        <is>
          <t>bigint</t>
        </is>
      </c>
      <c r="H137" s="18" t="inlineStr">
        <is>
          <t>Sí</t>
        </is>
      </c>
      <c r="I137" s="18" t="inlineStr"/>
      <c r="J137" s="18" t="inlineStr"/>
      <c r="K137" s="18" t="inlineStr"/>
      <c r="L137" s="18" t="inlineStr">
        <is>
          <t>No</t>
        </is>
      </c>
      <c r="M137" s="18" t="inlineStr">
        <is>
          <t>No</t>
        </is>
      </c>
      <c r="N137" s="18" t="inlineStr"/>
      <c r="O137" s="18" t="inlineStr"/>
      <c r="P137" s="18" t="inlineStr"/>
      <c r="Q137" s="18" t="inlineStr">
        <is>
          <t>Código fuente (verificado)</t>
        </is>
      </c>
      <c r="R137" s="18" t="inlineStr">
        <is>
          <t>Identificador del firmante 1 asociado a la seccional para la expedición de documentos.</t>
        </is>
      </c>
      <c r="S137" s="18" t="inlineStr">
        <is>
          <t>Media</t>
        </is>
      </c>
      <c r="T137" s="18" t="inlineStr">
        <is>
          <t>backend/auth-service/schema.sql:379: FIR_SECCIONAL1 NUMERIC(11,0) sin FK en la tabla de origen | backend/auth-service/src/users/seccional.entity.ts: la columna no está mapeada y ningún servicio la usa</t>
        </is>
      </c>
      <c r="U137" s="18" t="inlineStr">
        <is>
          <t>¿fir_seccional1 referencia a una persona, un usuario o un cargo, y en qué documentos se usa esta firma?</t>
        </is>
      </c>
      <c r="V137" s="19" t="inlineStr">
        <is>
          <t>Aprobada</t>
        </is>
      </c>
      <c r="W137" s="19" t="inlineStr"/>
      <c r="X137" s="19" t="inlineStr">
        <is>
          <t>Aldair González (validación del responsable de BD)</t>
        </is>
      </c>
      <c r="Y137" s="20" t="n">
        <v>46321</v>
      </c>
      <c r="Z137" s="19" t="inlineStr">
        <is>
          <t>Nivel 3: validada por decisión del responsable de la base de datos. Pregunta registrada para desarrollo: ¿fir_seccional1 referencia a una persona, un usuario o un cargo, y en qué documentos se usa esta firma?</t>
        </is>
      </c>
      <c r="AA137" s="18">
        <f>IF(OR(V137="Aprobada"),R137,IF(AND(OR(V137="Aprobada con ajuste",V137="Rechazada"),W137&lt;&gt;""),W137,""))</f>
        <v/>
      </c>
    </row>
    <row r="138">
      <c r="A138" s="18" t="inlineStr">
        <is>
          <t>C0137</t>
        </is>
      </c>
      <c r="B138" s="18" t="inlineStr">
        <is>
          <t>Identidad y acceso</t>
        </is>
      </c>
      <c r="C138" s="18" t="inlineStr">
        <is>
          <t>auth</t>
        </is>
      </c>
      <c r="D138" s="18" t="inlineStr">
        <is>
          <t>seccionales</t>
        </is>
      </c>
      <c r="E138" s="18" t="n">
        <v>38</v>
      </c>
      <c r="F138" s="18" t="inlineStr">
        <is>
          <t>fir_seccional2</t>
        </is>
      </c>
      <c r="G138" s="18" t="inlineStr">
        <is>
          <t>bigint</t>
        </is>
      </c>
      <c r="H138" s="18" t="inlineStr">
        <is>
          <t>Sí</t>
        </is>
      </c>
      <c r="I138" s="18" t="inlineStr"/>
      <c r="J138" s="18" t="inlineStr"/>
      <c r="K138" s="18" t="inlineStr"/>
      <c r="L138" s="18" t="inlineStr">
        <is>
          <t>No</t>
        </is>
      </c>
      <c r="M138" s="18" t="inlineStr">
        <is>
          <t>No</t>
        </is>
      </c>
      <c r="N138" s="18" t="inlineStr"/>
      <c r="O138" s="18" t="inlineStr"/>
      <c r="P138" s="18" t="inlineStr"/>
      <c r="Q138" s="18" t="inlineStr">
        <is>
          <t>Código fuente (verificado)</t>
        </is>
      </c>
      <c r="R138" s="18" t="inlineStr">
        <is>
          <t>Identificador del firmante 2 asociado a la seccional para la expedición de documentos.</t>
        </is>
      </c>
      <c r="S138" s="18" t="inlineStr">
        <is>
          <t>Media</t>
        </is>
      </c>
      <c r="T138" s="18" t="inlineStr">
        <is>
          <t>backend/auth-service/schema.sql:380: FIR_SECCIONAL2 NUMERIC(11,0) sin FK en la tabla de origen | backend/auth-service/src/users/seccional.entity.ts: la columna no está mapeada y ningún servicio la usa</t>
        </is>
      </c>
      <c r="U138" s="18" t="inlineStr">
        <is>
          <t>¿fir_seccional2 referencia a una persona, un usuario o un cargo, y en qué documentos se usa esta firma?</t>
        </is>
      </c>
      <c r="V138" s="19" t="inlineStr">
        <is>
          <t>Aprobada</t>
        </is>
      </c>
      <c r="W138" s="19" t="inlineStr"/>
      <c r="X138" s="19" t="inlineStr">
        <is>
          <t>Aldair González (validación del responsable de BD)</t>
        </is>
      </c>
      <c r="Y138" s="20" t="n">
        <v>46321</v>
      </c>
      <c r="Z138" s="19" t="inlineStr">
        <is>
          <t>Nivel 3: validada por decisión del responsable de la base de datos. Pregunta registrada para desarrollo: ¿fir_seccional2 referencia a una persona, un usuario o un cargo, y en qué documentos se usa esta firma?</t>
        </is>
      </c>
      <c r="AA138" s="18">
        <f>IF(OR(V138="Aprobada"),R138,IF(AND(OR(V138="Aprobada con ajuste",V138="Rechazada"),W138&lt;&gt;""),W138,""))</f>
        <v/>
      </c>
    </row>
    <row r="139">
      <c r="A139" s="18" t="inlineStr">
        <is>
          <t>C0138</t>
        </is>
      </c>
      <c r="B139" s="18" t="inlineStr">
        <is>
          <t>Identidad y acceso</t>
        </is>
      </c>
      <c r="C139" s="18" t="inlineStr">
        <is>
          <t>auth</t>
        </is>
      </c>
      <c r="D139" s="18" t="inlineStr">
        <is>
          <t>seccionales</t>
        </is>
      </c>
      <c r="E139" s="18" t="n">
        <v>38</v>
      </c>
      <c r="F139" s="18" t="inlineStr">
        <is>
          <t>fir_seccional3</t>
        </is>
      </c>
      <c r="G139" s="18" t="inlineStr">
        <is>
          <t>bigint</t>
        </is>
      </c>
      <c r="H139" s="18" t="inlineStr">
        <is>
          <t>Sí</t>
        </is>
      </c>
      <c r="I139" s="18" t="inlineStr"/>
      <c r="J139" s="18" t="inlineStr"/>
      <c r="K139" s="18" t="inlineStr"/>
      <c r="L139" s="18" t="inlineStr">
        <is>
          <t>No</t>
        </is>
      </c>
      <c r="M139" s="18" t="inlineStr">
        <is>
          <t>No</t>
        </is>
      </c>
      <c r="N139" s="18" t="inlineStr"/>
      <c r="O139" s="18" t="inlineStr"/>
      <c r="P139" s="18" t="inlineStr"/>
      <c r="Q139" s="18" t="inlineStr">
        <is>
          <t>Código fuente (verificado)</t>
        </is>
      </c>
      <c r="R139" s="18" t="inlineStr">
        <is>
          <t>Identificador del firmante 3 asociado a la seccional para la expedición de documentos.</t>
        </is>
      </c>
      <c r="S139" s="18" t="inlineStr">
        <is>
          <t>Media</t>
        </is>
      </c>
      <c r="T139" s="18" t="inlineStr">
        <is>
          <t>backend/auth-service/schema.sql:381: FIR_SECCIONAL3 NUMERIC(11,0) sin FK en la tabla de origen | backend/auth-service/src/users/seccional.entity.ts: la columna no está mapeada y ningún servicio la usa</t>
        </is>
      </c>
      <c r="U139" s="18" t="inlineStr">
        <is>
          <t>¿fir_seccional3 referencia a una persona, un usuario o un cargo, y en qué documentos se usa esta firma?</t>
        </is>
      </c>
      <c r="V139" s="19" t="inlineStr">
        <is>
          <t>Aprobada</t>
        </is>
      </c>
      <c r="W139" s="19" t="inlineStr"/>
      <c r="X139" s="19" t="inlineStr">
        <is>
          <t>Aldair González (validación del responsable de BD)</t>
        </is>
      </c>
      <c r="Y139" s="20" t="n">
        <v>46321</v>
      </c>
      <c r="Z139" s="19" t="inlineStr">
        <is>
          <t>Nivel 3: validada por decisión del responsable de la base de datos. Pregunta registrada para desarrollo: ¿fir_seccional3 referencia a una persona, un usuario o un cargo, y en qué documentos se usa esta firma?</t>
        </is>
      </c>
      <c r="AA139" s="18">
        <f>IF(OR(V139="Aprobada"),R139,IF(AND(OR(V139="Aprobada con ajuste",V139="Rechazada"),W139&lt;&gt;""),W139,""))</f>
        <v/>
      </c>
    </row>
    <row r="140">
      <c r="A140" s="18" t="inlineStr">
        <is>
          <t>C0139</t>
        </is>
      </c>
      <c r="B140" s="18" t="inlineStr">
        <is>
          <t>Identidad y acceso</t>
        </is>
      </c>
      <c r="C140" s="18" t="inlineStr">
        <is>
          <t>auth</t>
        </is>
      </c>
      <c r="D140" s="18" t="inlineStr">
        <is>
          <t>seccionales</t>
        </is>
      </c>
      <c r="E140" s="18" t="n">
        <v>38</v>
      </c>
      <c r="F140" s="18" t="inlineStr">
        <is>
          <t>fir_seccional4</t>
        </is>
      </c>
      <c r="G140" s="18" t="inlineStr">
        <is>
          <t>bigint</t>
        </is>
      </c>
      <c r="H140" s="18" t="inlineStr">
        <is>
          <t>Sí</t>
        </is>
      </c>
      <c r="I140" s="18" t="inlineStr"/>
      <c r="J140" s="18" t="inlineStr"/>
      <c r="K140" s="18" t="inlineStr"/>
      <c r="L140" s="18" t="inlineStr">
        <is>
          <t>No</t>
        </is>
      </c>
      <c r="M140" s="18" t="inlineStr">
        <is>
          <t>No</t>
        </is>
      </c>
      <c r="N140" s="18" t="inlineStr"/>
      <c r="O140" s="18" t="inlineStr"/>
      <c r="P140" s="18" t="inlineStr"/>
      <c r="Q140" s="18" t="inlineStr">
        <is>
          <t>Código fuente (verificado)</t>
        </is>
      </c>
      <c r="R140" s="18" t="inlineStr">
        <is>
          <t>Identificador del firmante 4 asociado a la seccional para la expedición de documentos.</t>
        </is>
      </c>
      <c r="S140" s="18" t="inlineStr">
        <is>
          <t>Media</t>
        </is>
      </c>
      <c r="T140" s="18" t="inlineStr">
        <is>
          <t>backend/auth-service/schema.sql:382: FIR_SECCIONAL4 NUMERIC(11,0) sin FK en la tabla de origen | backend/auth-service/src/users/seccional.entity.ts: la columna no está mapeada y ningún servicio la usa</t>
        </is>
      </c>
      <c r="U140" s="18" t="inlineStr">
        <is>
          <t>¿fir_seccional4 referencia a una persona, un usuario o un cargo, y en qué documentos se usa esta firma?</t>
        </is>
      </c>
      <c r="V140" s="19" t="inlineStr">
        <is>
          <t>Aprobada</t>
        </is>
      </c>
      <c r="W140" s="19" t="inlineStr"/>
      <c r="X140" s="19" t="inlineStr">
        <is>
          <t>Aldair González (validación del responsable de BD)</t>
        </is>
      </c>
      <c r="Y140" s="20" t="n">
        <v>46321</v>
      </c>
      <c r="Z140" s="19" t="inlineStr">
        <is>
          <t>Nivel 3: validada por decisión del responsable de la base de datos. Pregunta registrada para desarrollo: ¿fir_seccional4 referencia a una persona, un usuario o un cargo, y en qué documentos se usa esta firma?</t>
        </is>
      </c>
      <c r="AA140" s="18">
        <f>IF(OR(V140="Aprobada"),R140,IF(AND(OR(V140="Aprobada con ajuste",V140="Rechazada"),W140&lt;&gt;""),W140,""))</f>
        <v/>
      </c>
    </row>
    <row r="141">
      <c r="A141" s="18" t="inlineStr">
        <is>
          <t>C0140</t>
        </is>
      </c>
      <c r="B141" s="18" t="inlineStr">
        <is>
          <t>Identidad y acceso</t>
        </is>
      </c>
      <c r="C141" s="18" t="inlineStr">
        <is>
          <t>auth</t>
        </is>
      </c>
      <c r="D141" s="18" t="inlineStr">
        <is>
          <t>seccionales</t>
        </is>
      </c>
      <c r="E141" s="18" t="n">
        <v>38</v>
      </c>
      <c r="F141" s="18" t="inlineStr">
        <is>
          <t>id_dep_fir_cer1</t>
        </is>
      </c>
      <c r="G141" s="18" t="inlineStr">
        <is>
          <t>bigint</t>
        </is>
      </c>
      <c r="H141" s="18" t="inlineStr">
        <is>
          <t>Sí</t>
        </is>
      </c>
      <c r="I141" s="18" t="inlineStr"/>
      <c r="J141" s="18" t="inlineStr"/>
      <c r="K141" s="18" t="inlineStr"/>
      <c r="L141" s="18" t="inlineStr">
        <is>
          <t>No</t>
        </is>
      </c>
      <c r="M141" s="18" t="inlineStr">
        <is>
          <t>No</t>
        </is>
      </c>
      <c r="N141" s="18" t="inlineStr"/>
      <c r="O141" s="18" t="inlineStr"/>
      <c r="P141" s="18" t="inlineStr"/>
      <c r="Q141" s="18" t="inlineStr">
        <is>
          <t>Código fuente (verificado)</t>
        </is>
      </c>
      <c r="R141" s="18" t="inlineStr">
        <is>
          <t>Identificador de la dependencia del firmante 1 de certificados de la seccional.</t>
        </is>
      </c>
      <c r="S141" s="18" t="inlineStr">
        <is>
          <t>Media</t>
        </is>
      </c>
      <c r="T141" s="18" t="inlineStr">
        <is>
          <t>backend/auth-service/schema.sql:383: ID_DEP_FIR_CER1 NUMERIC(11,0) sin FK en la tabla de origen | backend/auth-service/src/users/seccional.entity.ts: la columna no está mapeada y ningún servicio la usa | db/migrations/001_scleanup_auth_persona_tables.sql:108: la misma columna se elimina de auth.sedes, no de seccionales</t>
        </is>
      </c>
      <c r="U141" s="18" t="inlineStr">
        <is>
          <t>¿id_dep_fir_cer1 referencia a auth.dependencias.id_dependencia y qué certificados firma?</t>
        </is>
      </c>
      <c r="V141" s="19" t="inlineStr">
        <is>
          <t>Aprobada</t>
        </is>
      </c>
      <c r="W141" s="19" t="inlineStr"/>
      <c r="X141" s="19" t="inlineStr">
        <is>
          <t>Aldair González (validación del responsable de BD)</t>
        </is>
      </c>
      <c r="Y141" s="20" t="n">
        <v>46321</v>
      </c>
      <c r="Z141" s="19" t="inlineStr">
        <is>
          <t>Nivel 3: validada por decisión del responsable de la base de datos. Pregunta registrada para desarrollo: ¿id_dep_fir_cer1 referencia a auth.dependencias.id_dependencia y qué certificados firma?</t>
        </is>
      </c>
      <c r="AA141" s="18">
        <f>IF(OR(V141="Aprobada"),R141,IF(AND(OR(V141="Aprobada con ajuste",V141="Rechazada"),W141&lt;&gt;""),W141,""))</f>
        <v/>
      </c>
    </row>
    <row r="142">
      <c r="A142" s="18" t="inlineStr">
        <is>
          <t>C0141</t>
        </is>
      </c>
      <c r="B142" s="18" t="inlineStr">
        <is>
          <t>Identidad y acceso</t>
        </is>
      </c>
      <c r="C142" s="18" t="inlineStr">
        <is>
          <t>auth</t>
        </is>
      </c>
      <c r="D142" s="18" t="inlineStr">
        <is>
          <t>seccionales</t>
        </is>
      </c>
      <c r="E142" s="18" t="n">
        <v>38</v>
      </c>
      <c r="F142" s="18" t="inlineStr">
        <is>
          <t>id_dep_fir_cer2</t>
        </is>
      </c>
      <c r="G142" s="18" t="inlineStr">
        <is>
          <t>bigint</t>
        </is>
      </c>
      <c r="H142" s="18" t="inlineStr">
        <is>
          <t>Sí</t>
        </is>
      </c>
      <c r="I142" s="18" t="inlineStr"/>
      <c r="J142" s="18" t="inlineStr"/>
      <c r="K142" s="18" t="inlineStr"/>
      <c r="L142" s="18" t="inlineStr">
        <is>
          <t>No</t>
        </is>
      </c>
      <c r="M142" s="18" t="inlineStr">
        <is>
          <t>No</t>
        </is>
      </c>
      <c r="N142" s="18" t="inlineStr"/>
      <c r="O142" s="18" t="inlineStr"/>
      <c r="P142" s="18" t="inlineStr"/>
      <c r="Q142" s="18" t="inlineStr">
        <is>
          <t>Código fuente (verificado)</t>
        </is>
      </c>
      <c r="R142" s="18" t="inlineStr">
        <is>
          <t>Identificador de la dependencia del firmante 2 de certificados de la seccional.</t>
        </is>
      </c>
      <c r="S142" s="18" t="inlineStr">
        <is>
          <t>Media</t>
        </is>
      </c>
      <c r="T142" s="18" t="inlineStr">
        <is>
          <t>backend/auth-service/schema.sql:384: ID_DEP_FIR_CER2 NUMERIC(11,0) sin FK en la tabla de origen | backend/auth-service/src/users/seccional.entity.ts: la columna no está mapeada y ningún servicio la usa | db/migrations/001_scleanup_auth_persona_tables.sql:109: la misma columna se elimina de auth.sedes, no de seccionales</t>
        </is>
      </c>
      <c r="U142" s="18" t="inlineStr">
        <is>
          <t>¿id_dep_fir_cer2 referencia a auth.dependencias.id_dependencia y qué certificados firma?</t>
        </is>
      </c>
      <c r="V142" s="19" t="inlineStr">
        <is>
          <t>Aprobada</t>
        </is>
      </c>
      <c r="W142" s="19" t="inlineStr"/>
      <c r="X142" s="19" t="inlineStr">
        <is>
          <t>Aldair González (validación del responsable de BD)</t>
        </is>
      </c>
      <c r="Y142" s="20" t="n">
        <v>46321</v>
      </c>
      <c r="Z142" s="19" t="inlineStr">
        <is>
          <t>Nivel 3: validada por decisión del responsable de la base de datos. Pregunta registrada para desarrollo: ¿id_dep_fir_cer2 referencia a auth.dependencias.id_dependencia y qué certificados firma?</t>
        </is>
      </c>
      <c r="AA142" s="18">
        <f>IF(OR(V142="Aprobada"),R142,IF(AND(OR(V142="Aprobada con ajuste",V142="Rechazada"),W142&lt;&gt;""),W142,""))</f>
        <v/>
      </c>
    </row>
    <row r="143">
      <c r="A143" s="18" t="inlineStr">
        <is>
          <t>C0142</t>
        </is>
      </c>
      <c r="B143" s="18" t="inlineStr">
        <is>
          <t>Identidad y acceso</t>
        </is>
      </c>
      <c r="C143" s="18" t="inlineStr">
        <is>
          <t>auth</t>
        </is>
      </c>
      <c r="D143" s="18" t="inlineStr">
        <is>
          <t>seccionales</t>
        </is>
      </c>
      <c r="E143" s="18" t="n">
        <v>38</v>
      </c>
      <c r="F143" s="18" t="inlineStr">
        <is>
          <t>id_dep_fir_cer3</t>
        </is>
      </c>
      <c r="G143" s="18" t="inlineStr">
        <is>
          <t>bigint</t>
        </is>
      </c>
      <c r="H143" s="18" t="inlineStr">
        <is>
          <t>Sí</t>
        </is>
      </c>
      <c r="I143" s="18" t="inlineStr"/>
      <c r="J143" s="18" t="inlineStr"/>
      <c r="K143" s="18" t="inlineStr"/>
      <c r="L143" s="18" t="inlineStr">
        <is>
          <t>No</t>
        </is>
      </c>
      <c r="M143" s="18" t="inlineStr">
        <is>
          <t>No</t>
        </is>
      </c>
      <c r="N143" s="18" t="inlineStr"/>
      <c r="O143" s="18" t="inlineStr"/>
      <c r="P143" s="18" t="inlineStr"/>
      <c r="Q143" s="18" t="inlineStr">
        <is>
          <t>Código fuente (verificado)</t>
        </is>
      </c>
      <c r="R143" s="18" t="inlineStr">
        <is>
          <t>Identificador de la dependencia del firmante 3 de certificados de la seccional.</t>
        </is>
      </c>
      <c r="S143" s="18" t="inlineStr">
        <is>
          <t>Media</t>
        </is>
      </c>
      <c r="T143" s="18" t="inlineStr">
        <is>
          <t>backend/auth-service/schema.sql:385: ID_DEP_FIR_CER3 NUMERIC(11,0) sin FK en la tabla de origen | backend/auth-service/src/users/seccional.entity.ts: la columna no está mapeada y ningún servicio la usa | db/migrations/001_scleanup_auth_persona_tables.sql:110: la misma columna se elimina de auth.sedes, no de seccionales</t>
        </is>
      </c>
      <c r="U143" s="18" t="inlineStr">
        <is>
          <t>¿id_dep_fir_cer3 referencia a auth.dependencias.id_dependencia y qué certificados firma?</t>
        </is>
      </c>
      <c r="V143" s="19" t="inlineStr">
        <is>
          <t>Aprobada</t>
        </is>
      </c>
      <c r="W143" s="19" t="inlineStr"/>
      <c r="X143" s="19" t="inlineStr">
        <is>
          <t>Aldair González (validación del responsable de BD)</t>
        </is>
      </c>
      <c r="Y143" s="20" t="n">
        <v>46321</v>
      </c>
      <c r="Z143" s="19" t="inlineStr">
        <is>
          <t>Nivel 3: validada por decisión del responsable de la base de datos. Pregunta registrada para desarrollo: ¿id_dep_fir_cer3 referencia a auth.dependencias.id_dependencia y qué certificados firma?</t>
        </is>
      </c>
      <c r="AA143" s="18">
        <f>IF(OR(V143="Aprobada"),R143,IF(AND(OR(V143="Aprobada con ajuste",V143="Rechazada"),W143&lt;&gt;""),W143,""))</f>
        <v/>
      </c>
    </row>
    <row r="144">
      <c r="A144" s="18" t="inlineStr">
        <is>
          <t>C0143</t>
        </is>
      </c>
      <c r="B144" s="18" t="inlineStr">
        <is>
          <t>Identidad y acceso</t>
        </is>
      </c>
      <c r="C144" s="18" t="inlineStr">
        <is>
          <t>auth</t>
        </is>
      </c>
      <c r="D144" s="18" t="inlineStr">
        <is>
          <t>seccionales</t>
        </is>
      </c>
      <c r="E144" s="18" t="n">
        <v>38</v>
      </c>
      <c r="F144" s="18" t="inlineStr">
        <is>
          <t>id_dep_fir_cer4</t>
        </is>
      </c>
      <c r="G144" s="18" t="inlineStr">
        <is>
          <t>bigint</t>
        </is>
      </c>
      <c r="H144" s="18" t="inlineStr">
        <is>
          <t>Sí</t>
        </is>
      </c>
      <c r="I144" s="18" t="inlineStr"/>
      <c r="J144" s="18" t="inlineStr"/>
      <c r="K144" s="18" t="inlineStr"/>
      <c r="L144" s="18" t="inlineStr">
        <is>
          <t>No</t>
        </is>
      </c>
      <c r="M144" s="18" t="inlineStr">
        <is>
          <t>No</t>
        </is>
      </c>
      <c r="N144" s="18" t="inlineStr"/>
      <c r="O144" s="18" t="inlineStr"/>
      <c r="P144" s="18" t="inlineStr"/>
      <c r="Q144" s="18" t="inlineStr">
        <is>
          <t>Código fuente (verificado)</t>
        </is>
      </c>
      <c r="R144" s="18" t="inlineStr">
        <is>
          <t>Identificador de la dependencia del firmante 4 de certificados de la seccional.</t>
        </is>
      </c>
      <c r="S144" s="18" t="inlineStr">
        <is>
          <t>Media</t>
        </is>
      </c>
      <c r="T144" s="18" t="inlineStr">
        <is>
          <t>backend/auth-service/schema.sql:386: ID_DEP_FIR_CER4 NUMERIC(11,0) sin FK en la tabla de origen | backend/auth-service/src/users/seccional.entity.ts: la columna no está mapeada y ningún servicio la usa | db/migrations/001_scleanup_auth_persona_tables.sql:111: la misma columna se elimina de auth.sedes, no de seccionales</t>
        </is>
      </c>
      <c r="U144" s="18" t="inlineStr">
        <is>
          <t>¿id_dep_fir_cer4 referencia a auth.dependencias.id_dependencia y qué certificados firma?</t>
        </is>
      </c>
      <c r="V144" s="19" t="inlineStr">
        <is>
          <t>Aprobada</t>
        </is>
      </c>
      <c r="W144" s="19" t="inlineStr"/>
      <c r="X144" s="19" t="inlineStr">
        <is>
          <t>Aldair González (validación del responsable de BD)</t>
        </is>
      </c>
      <c r="Y144" s="20" t="n">
        <v>46321</v>
      </c>
      <c r="Z144" s="19" t="inlineStr">
        <is>
          <t>Nivel 3: validada por decisión del responsable de la base de datos. Pregunta registrada para desarrollo: ¿id_dep_fir_cer4 referencia a auth.dependencias.id_dependencia y qué certificados firma?</t>
        </is>
      </c>
      <c r="AA144" s="18">
        <f>IF(OR(V144="Aprobada"),R144,IF(AND(OR(V144="Aprobada con ajuste",V144="Rechazada"),W144&lt;&gt;""),W144,""))</f>
        <v/>
      </c>
    </row>
    <row r="145">
      <c r="A145" s="18" t="inlineStr">
        <is>
          <t>C0144</t>
        </is>
      </c>
      <c r="B145" s="18" t="inlineStr">
        <is>
          <t>Identidad y acceso</t>
        </is>
      </c>
      <c r="C145" s="18" t="inlineStr">
        <is>
          <t>auth</t>
        </is>
      </c>
      <c r="D145" s="18" t="inlineStr">
        <is>
          <t>sede_cetap_mapping</t>
        </is>
      </c>
      <c r="E145" s="18" t="n">
        <v>290</v>
      </c>
      <c r="F145" s="18" t="inlineStr">
        <is>
          <t>origen</t>
        </is>
      </c>
      <c r="G145" s="18" t="inlineStr">
        <is>
          <t>character varying(20)</t>
        </is>
      </c>
      <c r="H145" s="18" t="inlineStr">
        <is>
          <t>No</t>
        </is>
      </c>
      <c r="I145" s="18" t="inlineStr">
        <is>
          <t>CHECK</t>
        </is>
      </c>
      <c r="J145" s="18" t="inlineStr">
        <is>
          <t>legacy, official</t>
        </is>
      </c>
      <c r="K145" s="18" t="inlineStr"/>
      <c r="L145" s="18" t="inlineStr">
        <is>
          <t>Sí</t>
        </is>
      </c>
      <c r="M145" s="18" t="inlineStr">
        <is>
          <t>No</t>
        </is>
      </c>
      <c r="N145" s="18" t="inlineStr"/>
      <c r="O145" s="18" t="inlineStr"/>
      <c r="P145" s="18" t="inlineStr"/>
      <c r="Q145" s="18" t="inlineStr">
        <is>
          <t>Propuesta semántica</t>
        </is>
      </c>
      <c r="R145" s="18" t="inlineStr">
        <is>
          <t>Origen de la relación entre la sede y el CETAP. Valores permitidos: legacy, official. Por defecto, official.</t>
        </is>
      </c>
      <c r="S145" s="18" t="inlineStr">
        <is>
          <t>Alta</t>
        </is>
      </c>
      <c r="T145" s="18" t="inlineStr">
        <is>
          <t>valores permitidos del CHECK</t>
        </is>
      </c>
      <c r="U145" s="18" t="inlineStr"/>
      <c r="V145" s="19" t="inlineStr">
        <is>
          <t>Aprobada</t>
        </is>
      </c>
      <c r="W145" s="19" t="inlineStr"/>
      <c r="X145" s="19" t="inlineStr">
        <is>
          <t>Aldair González (aprobación en bloque)</t>
        </is>
      </c>
      <c r="Y145" s="20" t="n">
        <v>46321</v>
      </c>
      <c r="Z145" s="19" t="inlineStr">
        <is>
          <t>Nivel 1: propuesta del comentario del desarrollador o de confianza alta, o regla de fecha/responsable/motivo.</t>
        </is>
      </c>
      <c r="AA145" s="18">
        <f>IF(OR(V145="Aprobada"),R145,IF(AND(OR(V145="Aprobada con ajuste",V145="Rechazada"),W145&lt;&gt;""),W145,""))</f>
        <v/>
      </c>
    </row>
    <row r="146">
      <c r="A146" s="18" t="inlineStr">
        <is>
          <t>C0145</t>
        </is>
      </c>
      <c r="B146" s="18" t="inlineStr">
        <is>
          <t>Identidad y acceso</t>
        </is>
      </c>
      <c r="C146" s="18" t="inlineStr">
        <is>
          <t>auth</t>
        </is>
      </c>
      <c r="D146" s="18" t="inlineStr">
        <is>
          <t>sedes</t>
        </is>
      </c>
      <c r="E146" s="18" t="n">
        <v>615</v>
      </c>
      <c r="F146" s="18" t="inlineStr">
        <is>
          <t>id_empresa</t>
        </is>
      </c>
      <c r="G146" s="18" t="inlineStr">
        <is>
          <t>bigint</t>
        </is>
      </c>
      <c r="H146" s="18" t="inlineStr">
        <is>
          <t>No</t>
        </is>
      </c>
      <c r="I146" s="18" t="inlineStr"/>
      <c r="J146" s="18" t="inlineStr"/>
      <c r="K146" s="18" t="inlineStr"/>
      <c r="L146" s="18" t="inlineStr">
        <is>
          <t>No</t>
        </is>
      </c>
      <c r="M146" s="18" t="inlineStr">
        <is>
          <t>No</t>
        </is>
      </c>
      <c r="N146" s="18" t="inlineStr"/>
      <c r="O146" s="18" t="inlineStr"/>
      <c r="P146" s="18" t="inlineStr">
        <is>
          <t>Mapeada en auth-service/src/users/sede.entity.ts:16 (Sede.idEmpresa)</t>
        </is>
      </c>
      <c r="Q146" s="18" t="inlineStr">
        <is>
          <t>Código fuente (verificado)</t>
        </is>
      </c>
      <c r="R146" s="18" t="inlineStr">
        <is>
          <t>Identificador de la empresa o entidad a la que pertenece la sede. Los servicios siempre asignan 1.</t>
        </is>
      </c>
      <c r="S146" s="18" t="inlineStr">
        <is>
          <t>Media</t>
        </is>
      </c>
      <c r="T146" s="18" t="inlineStr">
        <is>
          <t>backend/auth-service/src/users/estructura-organizacional.service.ts:424: idEmpresa: 1 al crear la sede | backend/auth-service/src/estructura-import/estructura-import.service.ts:679: INSERT con id_empresa = 1 | backend/auth-service/src/users/sede.entity.ts:16: default 1; no existe tabla de empresas en el código</t>
        </is>
      </c>
      <c r="U146" s="18" t="inlineStr">
        <is>
          <t>¿Qué tabla o catálogo identifica id_empresa y qué entidad representa el valor 1?</t>
        </is>
      </c>
      <c r="V146" s="19" t="inlineStr">
        <is>
          <t>Aprobada</t>
        </is>
      </c>
      <c r="W146" s="19" t="inlineStr"/>
      <c r="X146" s="19" t="inlineStr">
        <is>
          <t>Aldair González (validación del responsable de BD)</t>
        </is>
      </c>
      <c r="Y146" s="20" t="n">
        <v>46321</v>
      </c>
      <c r="Z146" s="19" t="inlineStr">
        <is>
          <t>Nivel 3: validada por decisión del responsable de la base de datos. Pregunta registrada para desarrollo: ¿Qué tabla o catálogo identifica id_empresa y qué entidad representa el valor 1?</t>
        </is>
      </c>
      <c r="AA146" s="18">
        <f>IF(OR(V146="Aprobada"),R146,IF(AND(OR(V146="Aprobada con ajuste",V146="Rechazada"),W146&lt;&gt;""),W146,""))</f>
        <v/>
      </c>
    </row>
    <row r="147">
      <c r="A147" s="18" t="inlineStr">
        <is>
          <t>C0146</t>
        </is>
      </c>
      <c r="B147" s="18" t="inlineStr">
        <is>
          <t>Identidad y acceso</t>
        </is>
      </c>
      <c r="C147" s="18" t="inlineStr">
        <is>
          <t>auth</t>
        </is>
      </c>
      <c r="D147" s="18" t="inlineStr">
        <is>
          <t>sedes</t>
        </is>
      </c>
      <c r="E147" s="18" t="n">
        <v>615</v>
      </c>
      <c r="F147" s="18" t="inlineStr">
        <is>
          <t>cod_sede</t>
        </is>
      </c>
      <c r="G147" s="18" t="inlineStr">
        <is>
          <t>character varying(20)</t>
        </is>
      </c>
      <c r="H147" s="18" t="inlineStr">
        <is>
          <t>No</t>
        </is>
      </c>
      <c r="I147" s="18" t="inlineStr"/>
      <c r="J147" s="18" t="inlineStr"/>
      <c r="K147" s="18" t="inlineStr"/>
      <c r="L147" s="18" t="inlineStr">
        <is>
          <t>No</t>
        </is>
      </c>
      <c r="M147" s="18" t="inlineStr">
        <is>
          <t>No</t>
        </is>
      </c>
      <c r="N147" s="18" t="inlineStr"/>
      <c r="O147" s="18" t="inlineStr"/>
      <c r="P147" s="18" t="inlineStr">
        <is>
          <t>Mapeada en auth-service/src/users/sede.entity.ts:19 (Sede.codSede) | Validación: IsOptional, IsString, MaxLength(20, { message: 'El código de sede no puede exceder 20 caracteres' })</t>
        </is>
      </c>
      <c r="Q147" s="18" t="inlineStr">
        <is>
          <t>Propuesta semántica</t>
        </is>
      </c>
      <c r="R147" s="18" t="inlineStr">
        <is>
          <t>Código de la sede (máximo 20 caracteres).</t>
        </is>
      </c>
      <c r="S147" s="18" t="inlineStr">
        <is>
          <t>Alta</t>
        </is>
      </c>
      <c r="T147" s="18" t="inlineStr">
        <is>
          <t>nombre + tipo + columnas vecinas + validaciones</t>
        </is>
      </c>
      <c r="U147" s="18" t="inlineStr"/>
      <c r="V147" s="19" t="inlineStr">
        <is>
          <t>Aprobada</t>
        </is>
      </c>
      <c r="W147" s="19" t="inlineStr"/>
      <c r="X147" s="19" t="inlineStr">
        <is>
          <t>Aldair González (aprobación en bloque)</t>
        </is>
      </c>
      <c r="Y147" s="20" t="n">
        <v>46321</v>
      </c>
      <c r="Z147" s="19" t="inlineStr">
        <is>
          <t>Nivel 1: propuesta del comentario del desarrollador o de confianza alta, o regla de fecha/responsable/motivo.</t>
        </is>
      </c>
      <c r="AA147" s="18">
        <f>IF(OR(V147="Aprobada"),R147,IF(AND(OR(V147="Aprobada con ajuste",V147="Rechazada"),W147&lt;&gt;""),W147,""))</f>
        <v/>
      </c>
    </row>
    <row r="148">
      <c r="A148" s="18" t="inlineStr">
        <is>
          <t>C0147</t>
        </is>
      </c>
      <c r="B148" s="18" t="inlineStr">
        <is>
          <t>Identidad y acceso</t>
        </is>
      </c>
      <c r="C148" s="18" t="inlineStr">
        <is>
          <t>auth</t>
        </is>
      </c>
      <c r="D148" s="18" t="inlineStr">
        <is>
          <t>sedes</t>
        </is>
      </c>
      <c r="E148" s="18" t="n">
        <v>615</v>
      </c>
      <c r="F148" s="18" t="inlineStr">
        <is>
          <t>nom_sede</t>
        </is>
      </c>
      <c r="G148" s="18" t="inlineStr">
        <is>
          <t>character varying(50)</t>
        </is>
      </c>
      <c r="H148" s="18" t="inlineStr">
        <is>
          <t>No</t>
        </is>
      </c>
      <c r="I148" s="18" t="inlineStr"/>
      <c r="J148" s="18" t="inlineStr"/>
      <c r="K148" s="18" t="inlineStr"/>
      <c r="L148" s="18" t="inlineStr">
        <is>
          <t>No</t>
        </is>
      </c>
      <c r="M148" s="18" t="inlineStr">
        <is>
          <t>No</t>
        </is>
      </c>
      <c r="N148" s="18" t="inlineStr"/>
      <c r="O148" s="18" t="inlineStr"/>
      <c r="P148" s="18" t="inlineStr">
        <is>
          <t>Mapeada en auth-service/src/users/sede.entity.ts:22 (Sede.nomSede) | Validación: IsOptional, IsString, MaxLength(50, { message: 'El nombre de sede no puede exceder 50 caracteres' })</t>
        </is>
      </c>
      <c r="Q148" s="18" t="inlineStr">
        <is>
          <t>Propuesta semántica</t>
        </is>
      </c>
      <c r="R148" s="18" t="inlineStr">
        <is>
          <t>Nombre de la sede (máximo 50 caracteres).</t>
        </is>
      </c>
      <c r="S148" s="18" t="inlineStr">
        <is>
          <t>Alta</t>
        </is>
      </c>
      <c r="T148" s="18" t="inlineStr">
        <is>
          <t>nombre + tipo + columnas vecinas + validaciones</t>
        </is>
      </c>
      <c r="U148" s="18" t="inlineStr"/>
      <c r="V148" s="19" t="inlineStr">
        <is>
          <t>Aprobada</t>
        </is>
      </c>
      <c r="W148" s="19" t="inlineStr"/>
      <c r="X148" s="19" t="inlineStr">
        <is>
          <t>Aldair González (aprobación en bloque)</t>
        </is>
      </c>
      <c r="Y148" s="20" t="n">
        <v>46321</v>
      </c>
      <c r="Z148" s="19" t="inlineStr">
        <is>
          <t>Nivel 1: propuesta del comentario del desarrollador o de confianza alta, o regla de fecha/responsable/motivo.</t>
        </is>
      </c>
      <c r="AA148" s="18">
        <f>IF(OR(V148="Aprobada"),R148,IF(AND(OR(V148="Aprobada con ajuste",V148="Rechazada"),W148&lt;&gt;""),W148,""))</f>
        <v/>
      </c>
    </row>
    <row r="149">
      <c r="A149" s="18" t="inlineStr">
        <is>
          <t>C0148</t>
        </is>
      </c>
      <c r="B149" s="18" t="inlineStr">
        <is>
          <t>Identidad y acceso</t>
        </is>
      </c>
      <c r="C149" s="18" t="inlineStr">
        <is>
          <t>auth</t>
        </is>
      </c>
      <c r="D149" s="18" t="inlineStr">
        <is>
          <t>sedes</t>
        </is>
      </c>
      <c r="E149" s="18" t="n">
        <v>615</v>
      </c>
      <c r="F149" s="18" t="inlineStr">
        <is>
          <t>dir_sede</t>
        </is>
      </c>
      <c r="G149" s="18" t="inlineStr">
        <is>
          <t>character varying(250)</t>
        </is>
      </c>
      <c r="H149" s="18" t="inlineStr">
        <is>
          <t>Sí</t>
        </is>
      </c>
      <c r="I149" s="18" t="inlineStr"/>
      <c r="J149" s="18" t="inlineStr"/>
      <c r="K149" s="18" t="inlineStr"/>
      <c r="L149" s="18" t="inlineStr">
        <is>
          <t>No</t>
        </is>
      </c>
      <c r="M149" s="18" t="inlineStr">
        <is>
          <t>No</t>
        </is>
      </c>
      <c r="N149" s="18" t="inlineStr"/>
      <c r="O149" s="18" t="inlineStr"/>
      <c r="P149" s="18" t="inlineStr">
        <is>
          <t>Mapeada en auth-service/src/users/sede.entity.ts:32 (Sede.dirSede)</t>
        </is>
      </c>
      <c r="Q149" s="18" t="inlineStr">
        <is>
          <t>Propuesta semántica</t>
        </is>
      </c>
      <c r="R149" s="18" t="inlineStr">
        <is>
          <t>Dirección física de la sede.</t>
        </is>
      </c>
      <c r="S149" s="18" t="inlineStr">
        <is>
          <t>Alta</t>
        </is>
      </c>
      <c r="T149" s="18" t="inlineStr">
        <is>
          <t>nombre + tipo + columnas vecinas</t>
        </is>
      </c>
      <c r="U149" s="18" t="inlineStr"/>
      <c r="V149" s="19" t="inlineStr">
        <is>
          <t>Aprobada</t>
        </is>
      </c>
      <c r="W149" s="19" t="inlineStr"/>
      <c r="X149" s="19" t="inlineStr">
        <is>
          <t>Aldair González (aprobación en bloque)</t>
        </is>
      </c>
      <c r="Y149" s="20" t="n">
        <v>46321</v>
      </c>
      <c r="Z149" s="19" t="inlineStr">
        <is>
          <t>Nivel 1: propuesta del comentario del desarrollador o de confianza alta, o regla de fecha/responsable/motivo.</t>
        </is>
      </c>
      <c r="AA149" s="18">
        <f>IF(OR(V149="Aprobada"),R149,IF(AND(OR(V149="Aprobada con ajuste",V149="Rechazada"),W149&lt;&gt;""),W149,""))</f>
        <v/>
      </c>
    </row>
    <row r="150">
      <c r="A150" s="18" t="inlineStr">
        <is>
          <t>C0149</t>
        </is>
      </c>
      <c r="B150" s="18" t="inlineStr">
        <is>
          <t>Identidad y acceso</t>
        </is>
      </c>
      <c r="C150" s="18" t="inlineStr">
        <is>
          <t>auth</t>
        </is>
      </c>
      <c r="D150" s="18" t="inlineStr">
        <is>
          <t>sedes</t>
        </is>
      </c>
      <c r="E150" s="18" t="n">
        <v>615</v>
      </c>
      <c r="F150" s="18" t="inlineStr">
        <is>
          <t>fec_ult_act</t>
        </is>
      </c>
      <c r="G150" s="18" t="inlineStr">
        <is>
          <t>date</t>
        </is>
      </c>
      <c r="H150" s="18" t="inlineStr">
        <is>
          <t>Sí</t>
        </is>
      </c>
      <c r="I150" s="18" t="inlineStr"/>
      <c r="J150" s="18" t="inlineStr"/>
      <c r="K150" s="18" t="inlineStr"/>
      <c r="L150" s="18" t="inlineStr">
        <is>
          <t>No</t>
        </is>
      </c>
      <c r="M150" s="18" t="inlineStr">
        <is>
          <t>No</t>
        </is>
      </c>
      <c r="N150" s="18" t="inlineStr"/>
      <c r="O150" s="18" t="inlineStr"/>
      <c r="P150" s="18" t="inlineStr">
        <is>
          <t>Mapeada en auth-service/src/users/sede.entity.ts:35 (Sede.fecUltAct)</t>
        </is>
      </c>
      <c r="Q150" s="18" t="inlineStr">
        <is>
          <t>Propuesta semántica</t>
        </is>
      </c>
      <c r="R150" s="18" t="inlineStr">
        <is>
          <t>Fecha de la última actualización del registro.</t>
        </is>
      </c>
      <c r="S150" s="18" t="inlineStr">
        <is>
          <t>Alta</t>
        </is>
      </c>
      <c r="T150" s="18" t="inlineStr">
        <is>
          <t>nombre + tipo + columnas vecinas</t>
        </is>
      </c>
      <c r="U150" s="18" t="inlineStr"/>
      <c r="V150" s="19" t="inlineStr">
        <is>
          <t>Aprobada</t>
        </is>
      </c>
      <c r="W150" s="19" t="inlineStr"/>
      <c r="X150" s="19" t="inlineStr">
        <is>
          <t>Aldair González (aprobación en bloque)</t>
        </is>
      </c>
      <c r="Y150" s="20" t="n">
        <v>46321</v>
      </c>
      <c r="Z150" s="19" t="inlineStr">
        <is>
          <t>Nivel 1: propuesta del comentario del desarrollador o de confianza alta, o regla de fecha/responsable/motivo.</t>
        </is>
      </c>
      <c r="AA150" s="18">
        <f>IF(OR(V150="Aprobada"),R150,IF(AND(OR(V150="Aprobada con ajuste",V150="Rechazada"),W150&lt;&gt;""),W150,""))</f>
        <v/>
      </c>
    </row>
    <row r="151">
      <c r="A151" s="18" t="inlineStr">
        <is>
          <t>C0150</t>
        </is>
      </c>
      <c r="B151" s="18" t="inlineStr">
        <is>
          <t>Identidad y acceso</t>
        </is>
      </c>
      <c r="C151" s="18" t="inlineStr">
        <is>
          <t>auth</t>
        </is>
      </c>
      <c r="D151" s="18" t="inlineStr">
        <is>
          <t>sedes</t>
        </is>
      </c>
      <c r="E151" s="18" t="n">
        <v>615</v>
      </c>
      <c r="F151" s="18" t="inlineStr">
        <is>
          <t>fec_creacion</t>
        </is>
      </c>
      <c r="G151" s="18" t="inlineStr">
        <is>
          <t>date</t>
        </is>
      </c>
      <c r="H151" s="18" t="inlineStr">
        <is>
          <t>Sí</t>
        </is>
      </c>
      <c r="I151" s="18" t="inlineStr"/>
      <c r="J151" s="18" t="inlineStr"/>
      <c r="K151" s="18" t="inlineStr"/>
      <c r="L151" s="18" t="inlineStr">
        <is>
          <t>No</t>
        </is>
      </c>
      <c r="M151" s="18" t="inlineStr">
        <is>
          <t>No</t>
        </is>
      </c>
      <c r="N151" s="18" t="inlineStr"/>
      <c r="O151" s="18" t="inlineStr"/>
      <c r="P151" s="18" t="inlineStr">
        <is>
          <t>Mapeada en auth-service/src/users/sede.entity.ts:38 (Sede.fecCreacion)</t>
        </is>
      </c>
      <c r="Q151" s="18" t="inlineStr">
        <is>
          <t>Propuesta semántica</t>
        </is>
      </c>
      <c r="R151" s="18" t="inlineStr">
        <is>
          <t>Fecha de creación del registro.</t>
        </is>
      </c>
      <c r="S151" s="18" t="inlineStr">
        <is>
          <t>Alta</t>
        </is>
      </c>
      <c r="T151" s="18" t="inlineStr">
        <is>
          <t>nombre + tipo + columnas vecinas</t>
        </is>
      </c>
      <c r="U151" s="18" t="inlineStr"/>
      <c r="V151" s="19" t="inlineStr">
        <is>
          <t>Aprobada</t>
        </is>
      </c>
      <c r="W151" s="19" t="inlineStr"/>
      <c r="X151" s="19" t="inlineStr">
        <is>
          <t>Aldair González (aprobación en bloque)</t>
        </is>
      </c>
      <c r="Y151" s="20" t="n">
        <v>46321</v>
      </c>
      <c r="Z151" s="19" t="inlineStr">
        <is>
          <t>Nivel 1: propuesta del comentario del desarrollador o de confianza alta, o regla de fecha/responsable/motivo.</t>
        </is>
      </c>
      <c r="AA151" s="18">
        <f>IF(OR(V151="Aprobada"),R151,IF(AND(OR(V151="Aprobada con ajuste",V151="Rechazada"),W151&lt;&gt;""),W151,""))</f>
        <v/>
      </c>
    </row>
    <row r="152">
      <c r="A152" s="18" t="inlineStr">
        <is>
          <t>C0151</t>
        </is>
      </c>
      <c r="B152" s="18" t="inlineStr">
        <is>
          <t>Identidad y acceso</t>
        </is>
      </c>
      <c r="C152" s="18" t="inlineStr">
        <is>
          <t>auth</t>
        </is>
      </c>
      <c r="D152" s="18" t="inlineStr">
        <is>
          <t>sedes</t>
        </is>
      </c>
      <c r="E152" s="18" t="n">
        <v>615</v>
      </c>
      <c r="F152" s="18" t="inlineStr">
        <is>
          <t>usu_creacion</t>
        </is>
      </c>
      <c r="G152" s="18" t="inlineStr">
        <is>
          <t>character varying(20)</t>
        </is>
      </c>
      <c r="H152" s="18" t="inlineStr">
        <is>
          <t>Sí</t>
        </is>
      </c>
      <c r="I152" s="18" t="inlineStr"/>
      <c r="J152" s="18" t="inlineStr"/>
      <c r="K152" s="18" t="inlineStr"/>
      <c r="L152" s="18" t="inlineStr">
        <is>
          <t>No</t>
        </is>
      </c>
      <c r="M152" s="18" t="inlineStr">
        <is>
          <t>No</t>
        </is>
      </c>
      <c r="N152" s="18" t="inlineStr"/>
      <c r="O152" s="18" t="inlineStr"/>
      <c r="P152" s="18" t="inlineStr">
        <is>
          <t>Mapeada en auth-service/src/users/sede.entity.ts:41 (Sede.usuCreacion)</t>
        </is>
      </c>
      <c r="Q152" s="18" t="inlineStr">
        <is>
          <t>Código fuente (verificado)</t>
        </is>
      </c>
      <c r="R152" s="18" t="inlineStr">
        <is>
          <t>Usuario que creó el registro. La carga de estructura organizacional escribe el valor sistema.</t>
        </is>
      </c>
      <c r="S152" s="18" t="inlineStr">
        <is>
          <t>Media</t>
        </is>
      </c>
      <c r="T152" s="18" t="inlineStr">
        <is>
          <t>backend/auth-service/src/estructura-import/estructura-import.service.ts:679: INSERT en auth.sedes con usu_creacion = 'sistema' | backend/auth-service/src/users/sede.entity.ts:41: varchar(20)</t>
        </is>
      </c>
      <c r="U152" s="18" t="inlineStr">
        <is>
          <t>¿Los registros que no crea la carga guardan el nombre de usuario del sistema de origen?</t>
        </is>
      </c>
      <c r="V152" s="19" t="inlineStr">
        <is>
          <t>Aprobada</t>
        </is>
      </c>
      <c r="W152" s="19" t="inlineStr"/>
      <c r="X152" s="19" t="inlineStr">
        <is>
          <t>Aldair González (validación del responsable de BD)</t>
        </is>
      </c>
      <c r="Y152" s="20" t="n">
        <v>46321</v>
      </c>
      <c r="Z152" s="19" t="inlineStr">
        <is>
          <t>Nivel 3: validada por decisión del responsable de la base de datos. Pregunta registrada para desarrollo: ¿Los registros que no crea la carga guardan el nombre de usuario del sistema de origen?</t>
        </is>
      </c>
      <c r="AA152" s="18">
        <f>IF(OR(V152="Aprobada"),R152,IF(AND(OR(V152="Aprobada con ajuste",V152="Rechazada"),W152&lt;&gt;""),W152,""))</f>
        <v/>
      </c>
    </row>
    <row r="153">
      <c r="A153" s="18" t="inlineStr">
        <is>
          <t>C0152</t>
        </is>
      </c>
      <c r="B153" s="18" t="inlineStr">
        <is>
          <t>Identidad y acceso</t>
        </is>
      </c>
      <c r="C153" s="18" t="inlineStr">
        <is>
          <t>auth</t>
        </is>
      </c>
      <c r="D153" s="18" t="inlineStr">
        <is>
          <t>sedes</t>
        </is>
      </c>
      <c r="E153" s="18" t="n">
        <v>615</v>
      </c>
      <c r="F153" s="18" t="inlineStr">
        <is>
          <t>usu_actualizacion</t>
        </is>
      </c>
      <c r="G153" s="18" t="inlineStr">
        <is>
          <t>character varying(20)</t>
        </is>
      </c>
      <c r="H153" s="18" t="inlineStr">
        <is>
          <t>Sí</t>
        </is>
      </c>
      <c r="I153" s="18" t="inlineStr"/>
      <c r="J153" s="18" t="inlineStr"/>
      <c r="K153" s="18" t="inlineStr"/>
      <c r="L153" s="18" t="inlineStr">
        <is>
          <t>No</t>
        </is>
      </c>
      <c r="M153" s="18" t="inlineStr">
        <is>
          <t>No</t>
        </is>
      </c>
      <c r="N153" s="18" t="inlineStr"/>
      <c r="O153" s="18" t="inlineStr"/>
      <c r="P153" s="18" t="inlineStr">
        <is>
          <t>Mapeada en auth-service/src/users/sede.entity.ts:44 (Sede.usuActualizacion)</t>
        </is>
      </c>
      <c r="Q153" s="18" t="inlineStr">
        <is>
          <t>Código fuente (verificado)</t>
        </is>
      </c>
      <c r="R153" s="18" t="inlineStr">
        <is>
          <t>Usuario que hizo la última actualización del registro. La carga de estructura organizacional escribe el valor sistema.</t>
        </is>
      </c>
      <c r="S153" s="18" t="inlineStr">
        <is>
          <t>Media</t>
        </is>
      </c>
      <c r="T153" s="18" t="inlineStr">
        <is>
          <t>backend/auth-service/src/estructura-import/estructura-import.service.ts:656: UPDATE de auth.sedes con usu_actualizacion = 'sistema' | backend/auth-service/src/users/sede.entity.ts:44: varchar(20)</t>
        </is>
      </c>
      <c r="U153" s="18" t="inlineStr">
        <is>
          <t>¿Los registros que no actualiza la carga guardan el nombre de usuario del sistema de origen?</t>
        </is>
      </c>
      <c r="V153" s="19" t="inlineStr">
        <is>
          <t>Aprobada</t>
        </is>
      </c>
      <c r="W153" s="19" t="inlineStr"/>
      <c r="X153" s="19" t="inlineStr">
        <is>
          <t>Aldair González (validación del responsable de BD)</t>
        </is>
      </c>
      <c r="Y153" s="20" t="n">
        <v>46321</v>
      </c>
      <c r="Z153" s="19" t="inlineStr">
        <is>
          <t>Nivel 3: validada por decisión del responsable de la base de datos. Pregunta registrada para desarrollo: ¿Los registros que no actualiza la carga guardan el nombre de usuario del sistema de origen?</t>
        </is>
      </c>
      <c r="AA153" s="18">
        <f>IF(OR(V153="Aprobada"),R153,IF(AND(OR(V153="Aprobada con ajuste",V153="Rechazada"),W153&lt;&gt;""),W153,""))</f>
        <v/>
      </c>
    </row>
    <row r="154">
      <c r="A154" s="18" t="inlineStr">
        <is>
          <t>C0153</t>
        </is>
      </c>
      <c r="B154" s="18" t="inlineStr">
        <is>
          <t>Identidad y acceso</t>
        </is>
      </c>
      <c r="C154" s="18" t="inlineStr">
        <is>
          <t>auth</t>
        </is>
      </c>
      <c r="D154" s="18" t="inlineStr">
        <is>
          <t>sedes</t>
        </is>
      </c>
      <c r="E154" s="18" t="n">
        <v>615</v>
      </c>
      <c r="F154" s="18" t="inlineStr">
        <is>
          <t>cod_atributo</t>
        </is>
      </c>
      <c r="G154" s="18" t="inlineStr">
        <is>
          <t>character varying(10)</t>
        </is>
      </c>
      <c r="H154" s="18" t="inlineStr">
        <is>
          <t>Sí</t>
        </is>
      </c>
      <c r="I154" s="18" t="inlineStr"/>
      <c r="J154" s="18" t="inlineStr"/>
      <c r="K154" s="18" t="inlineStr"/>
      <c r="L154" s="18" t="inlineStr">
        <is>
          <t>No</t>
        </is>
      </c>
      <c r="M154" s="18" t="inlineStr">
        <is>
          <t>No</t>
        </is>
      </c>
      <c r="N154" s="18" t="inlineStr"/>
      <c r="O154" s="18" t="inlineStr"/>
      <c r="P154" s="18" t="inlineStr">
        <is>
          <t>Mapeada en auth-service/src/users/sede.entity.ts:47 (Sede.codAtributo)</t>
        </is>
      </c>
      <c r="Q154" s="18" t="inlineStr">
        <is>
          <t>Código fuente (verificado)</t>
        </is>
      </c>
      <c r="R154" s="18" t="inlineStr">
        <is>
          <t>Código de atributo de la sede, de hasta 10 caracteres. Cuando la carga de estructura reemplaza el código de la sede por el del CETAP, guarda aquí el código anterior si el campo está vacío.</t>
        </is>
      </c>
      <c r="S154" s="18" t="inlineStr">
        <is>
          <t>Media</t>
        </is>
      </c>
      <c r="T154" s="18" t="inlineStr">
        <is>
          <t>backend/auth-service/src/estructura-import/estructura-import.service.ts:643: oldCode = cod_sede anterior | backend/auth-service/src/estructura-import/estructura-import.service.ts:652: cod_atributo = COALESCE(cod_atributo actual, código anterior) | backend/auth-service/src/estructura-import/estructura-import.service.ts:666: el código anterior se recorta a 10 caracteres</t>
        </is>
      </c>
      <c r="U154" s="18" t="inlineStr">
        <is>
          <t>¿Qué representa cod_atributo en el sistema de origen y qué valores toma?</t>
        </is>
      </c>
      <c r="V154" s="19" t="inlineStr">
        <is>
          <t>Aprobada</t>
        </is>
      </c>
      <c r="W154" s="19" t="inlineStr"/>
      <c r="X154" s="19" t="inlineStr">
        <is>
          <t>Aldair González (validación del responsable de BD)</t>
        </is>
      </c>
      <c r="Y154" s="20" t="n">
        <v>46321</v>
      </c>
      <c r="Z154" s="19" t="inlineStr">
        <is>
          <t>Nivel 3: validada por decisión del responsable de la base de datos. Pregunta registrada para desarrollo: ¿Qué representa cod_atributo en el sistema de origen y qué valores toma?</t>
        </is>
      </c>
      <c r="AA154" s="18">
        <f>IF(OR(V154="Aprobada"),R154,IF(AND(OR(V154="Aprobada con ajuste",V154="Rechazada"),W154&lt;&gt;""),W154,""))</f>
        <v/>
      </c>
    </row>
    <row r="155">
      <c r="A155" s="18" t="inlineStr">
        <is>
          <t>C0154</t>
        </is>
      </c>
      <c r="B155" s="18" t="inlineStr">
        <is>
          <t>Identidad y acceso</t>
        </is>
      </c>
      <c r="C155" s="18" t="inlineStr">
        <is>
          <t>auth</t>
        </is>
      </c>
      <c r="D155" s="18" t="inlineStr">
        <is>
          <t>sedes</t>
        </is>
      </c>
      <c r="E155" s="18" t="n">
        <v>615</v>
      </c>
      <c r="F155" s="18" t="inlineStr">
        <is>
          <t>sede_act</t>
        </is>
      </c>
      <c r="G155" s="18" t="inlineStr">
        <is>
          <t>character varying(30)</t>
        </is>
      </c>
      <c r="H155" s="18" t="inlineStr">
        <is>
          <t>Sí</t>
        </is>
      </c>
      <c r="I155" s="18" t="inlineStr"/>
      <c r="J155" s="18" t="inlineStr"/>
      <c r="K155" s="18" t="inlineStr"/>
      <c r="L155" s="18" t="inlineStr">
        <is>
          <t>No</t>
        </is>
      </c>
      <c r="M155" s="18" t="inlineStr">
        <is>
          <t>No</t>
        </is>
      </c>
      <c r="N155" s="18" t="inlineStr"/>
      <c r="O155" s="18" t="inlineStr"/>
      <c r="P155" s="18" t="inlineStr">
        <is>
          <t>Mapeada en auth-service/src/users/sede.entity.ts:57 (Sede.sedeAct) | Validación: IsOptional, IsString, MaxLength(30, { message: 'El estado no puede exceder 30 caracteres' })</t>
        </is>
      </c>
      <c r="Q155" s="18" t="inlineStr">
        <is>
          <t>Código fuente (verificado)</t>
        </is>
      </c>
      <c r="R155" s="18" t="inlineStr">
        <is>
          <t>Estado de la sede: ACTIVO o INACTIVO (también se reconocen ACTIVA e INACTIVA).</t>
        </is>
      </c>
      <c r="S155" s="18" t="inlineStr">
        <is>
          <t>Alta</t>
        </is>
      </c>
      <c r="T155" s="18" t="inlineStr">
        <is>
          <t>backend/auth-service/src/estructura-import/estructura-import.service.ts:630: sedeAct = activo ? 'ACTIVO' : 'INACTIVO' | backend/auth-service/src/estructura-import/estructura-import.service.ts:1327: sameLegacyStatus acepta ACTIVO/ACTIVA e INACTIVO/INACTIVA | backend/auth-service/src/users/estructura-organizacional.service.ts:448: isActive si sedeAct es ACTIVA o ACTIVO</t>
        </is>
      </c>
      <c r="U155" s="18" t="inlineStr"/>
      <c r="V155" s="19" t="inlineStr">
        <is>
          <t>Aprobada</t>
        </is>
      </c>
      <c r="W155" s="19" t="inlineStr"/>
      <c r="X155" s="19" t="inlineStr">
        <is>
          <t>Aldair González (aprobación en bloque)</t>
        </is>
      </c>
      <c r="Y155" s="20" t="n">
        <v>46321</v>
      </c>
      <c r="Z155" s="19" t="inlineStr">
        <is>
          <t>Nivel 3: verificada con el código de la aplicación.</t>
        </is>
      </c>
      <c r="AA155" s="18">
        <f>IF(OR(V155="Aprobada"),R155,IF(AND(OR(V155="Aprobada con ajuste",V155="Rechazada"),W155&lt;&gt;""),W155,""))</f>
        <v/>
      </c>
    </row>
    <row r="156">
      <c r="A156" s="18" t="inlineStr">
        <is>
          <t>C0155</t>
        </is>
      </c>
      <c r="B156" s="18" t="inlineStr">
        <is>
          <t>Identidad y acceso</t>
        </is>
      </c>
      <c r="C156" s="18" t="inlineStr">
        <is>
          <t>auth</t>
        </is>
      </c>
      <c r="D156" s="18" t="inlineStr">
        <is>
          <t>sedes</t>
        </is>
      </c>
      <c r="E156" s="18" t="n">
        <v>615</v>
      </c>
      <c r="F156" s="18" t="inlineStr">
        <is>
          <t>num_latitud</t>
        </is>
      </c>
      <c r="G156" s="18" t="inlineStr">
        <is>
          <t>numeric(32,29)</t>
        </is>
      </c>
      <c r="H156" s="18" t="inlineStr">
        <is>
          <t>Sí</t>
        </is>
      </c>
      <c r="I156" s="18" t="inlineStr"/>
      <c r="J156" s="18" t="inlineStr"/>
      <c r="K156" s="18" t="inlineStr"/>
      <c r="L156" s="18" t="inlineStr">
        <is>
          <t>No</t>
        </is>
      </c>
      <c r="M156" s="18" t="inlineStr">
        <is>
          <t>No</t>
        </is>
      </c>
      <c r="N156" s="18" t="inlineStr"/>
      <c r="O156" s="18" t="inlineStr"/>
      <c r="P156" s="18" t="inlineStr">
        <is>
          <t>Mapeada en auth-service/src/users/sede.entity.ts:60 (Sede.numLatitud)</t>
        </is>
      </c>
      <c r="Q156" s="18" t="inlineStr">
        <is>
          <t>Propuesta semántica</t>
        </is>
      </c>
      <c r="R156" s="18" t="inlineStr">
        <is>
          <t>Latitud geográfica de la sede, en grados decimales.</t>
        </is>
      </c>
      <c r="S156" s="18" t="inlineStr">
        <is>
          <t>Alta</t>
        </is>
      </c>
      <c r="T156" s="18" t="inlineStr">
        <is>
          <t>nombre + tipo + columnas vecinas (num_longitud)</t>
        </is>
      </c>
      <c r="U156" s="18" t="inlineStr"/>
      <c r="V156" s="19" t="inlineStr">
        <is>
          <t>Aprobada</t>
        </is>
      </c>
      <c r="W156" s="19" t="inlineStr"/>
      <c r="X156" s="19" t="inlineStr">
        <is>
          <t>Aldair González (aprobación en bloque)</t>
        </is>
      </c>
      <c r="Y156" s="20" t="n">
        <v>46321</v>
      </c>
      <c r="Z156" s="19" t="inlineStr">
        <is>
          <t>Nivel 1: propuesta del comentario del desarrollador o de confianza alta, o regla de fecha/responsable/motivo.</t>
        </is>
      </c>
      <c r="AA156" s="18">
        <f>IF(OR(V156="Aprobada"),R156,IF(AND(OR(V156="Aprobada con ajuste",V156="Rechazada"),W156&lt;&gt;""),W156,""))</f>
        <v/>
      </c>
    </row>
    <row r="157">
      <c r="A157" s="18" t="inlineStr">
        <is>
          <t>C0156</t>
        </is>
      </c>
      <c r="B157" s="18" t="inlineStr">
        <is>
          <t>Identidad y acceso</t>
        </is>
      </c>
      <c r="C157" s="18" t="inlineStr">
        <is>
          <t>auth</t>
        </is>
      </c>
      <c r="D157" s="18" t="inlineStr">
        <is>
          <t>sedes</t>
        </is>
      </c>
      <c r="E157" s="18" t="n">
        <v>615</v>
      </c>
      <c r="F157" s="18" t="inlineStr">
        <is>
          <t>num_longitud</t>
        </is>
      </c>
      <c r="G157" s="18" t="inlineStr">
        <is>
          <t>numeric(32,29)</t>
        </is>
      </c>
      <c r="H157" s="18" t="inlineStr">
        <is>
          <t>Sí</t>
        </is>
      </c>
      <c r="I157" s="18" t="inlineStr"/>
      <c r="J157" s="18" t="inlineStr"/>
      <c r="K157" s="18" t="inlineStr"/>
      <c r="L157" s="18" t="inlineStr">
        <is>
          <t>No</t>
        </is>
      </c>
      <c r="M157" s="18" t="inlineStr">
        <is>
          <t>No</t>
        </is>
      </c>
      <c r="N157" s="18" t="inlineStr"/>
      <c r="O157" s="18" t="inlineStr"/>
      <c r="P157" s="18" t="inlineStr">
        <is>
          <t>Mapeada en auth-service/src/users/sede.entity.ts:63 (Sede.numLongitud)</t>
        </is>
      </c>
      <c r="Q157" s="18" t="inlineStr">
        <is>
          <t>Propuesta semántica</t>
        </is>
      </c>
      <c r="R157" s="18" t="inlineStr">
        <is>
          <t>Longitud geográfica de la sede, en grados decimales.</t>
        </is>
      </c>
      <c r="S157" s="18" t="inlineStr">
        <is>
          <t>Alta</t>
        </is>
      </c>
      <c r="T157" s="18" t="inlineStr">
        <is>
          <t>nombre + tipo + columnas vecinas (num_latitud)</t>
        </is>
      </c>
      <c r="U157" s="18" t="inlineStr"/>
      <c r="V157" s="19" t="inlineStr">
        <is>
          <t>Aprobada</t>
        </is>
      </c>
      <c r="W157" s="19" t="inlineStr"/>
      <c r="X157" s="19" t="inlineStr">
        <is>
          <t>Aldair González (aprobación en bloque)</t>
        </is>
      </c>
      <c r="Y157" s="20" t="n">
        <v>46321</v>
      </c>
      <c r="Z157" s="19" t="inlineStr">
        <is>
          <t>Nivel 1: propuesta del comentario del desarrollador o de confianza alta, o regla de fecha/responsable/motivo.</t>
        </is>
      </c>
      <c r="AA157" s="18">
        <f>IF(OR(V157="Aprobada"),R157,IF(AND(OR(V157="Aprobada con ajuste",V157="Rechazada"),W157&lt;&gt;""),W157,""))</f>
        <v/>
      </c>
    </row>
    <row r="158">
      <c r="A158" s="18" t="inlineStr">
        <is>
          <t>C0157</t>
        </is>
      </c>
      <c r="B158" s="18" t="inlineStr">
        <is>
          <t>Identidad y acceso</t>
        </is>
      </c>
      <c r="C158" s="18" t="inlineStr">
        <is>
          <t>auth</t>
        </is>
      </c>
      <c r="D158" s="18" t="inlineStr">
        <is>
          <t>sedes</t>
        </is>
      </c>
      <c r="E158" s="18" t="n">
        <v>615</v>
      </c>
      <c r="F158" s="18" t="inlineStr">
        <is>
          <t>tel_sede</t>
        </is>
      </c>
      <c r="G158" s="18" t="inlineStr">
        <is>
          <t>character varying(50)</t>
        </is>
      </c>
      <c r="H158" s="18" t="inlineStr">
        <is>
          <t>Sí</t>
        </is>
      </c>
      <c r="I158" s="18" t="inlineStr"/>
      <c r="J158" s="18" t="inlineStr"/>
      <c r="K158" s="18" t="inlineStr"/>
      <c r="L158" s="18" t="inlineStr">
        <is>
          <t>No</t>
        </is>
      </c>
      <c r="M158" s="18" t="inlineStr">
        <is>
          <t>No</t>
        </is>
      </c>
      <c r="N158" s="18" t="inlineStr"/>
      <c r="O158" s="18" t="inlineStr"/>
      <c r="P158" s="18" t="inlineStr">
        <is>
          <t>auth-service/src/users/sede.entity.ts:76: @Column({ name: 'cod_iac_inscripciones', length: 250, nullable: true }) codIacInscripciones: string; | db/init/old/001_schema_auth.sql:370: Campos adicionales de contacto y configuración</t>
        </is>
      </c>
      <c r="Q158" s="18" t="inlineStr">
        <is>
          <t>Código fuente</t>
        </is>
      </c>
      <c r="R158" s="18" t="inlineStr">
        <is>
          <t>Número de teléfono de contacto de la sede.</t>
        </is>
      </c>
      <c r="S158" s="18" t="inlineStr">
        <is>
          <t>Alta</t>
        </is>
      </c>
      <c r="T158" s="18" t="inlineStr">
        <is>
          <t>nombre + tipo; comentario SQL db/init/old/001_schema_auth.sql:370 (campos de contacto)</t>
        </is>
      </c>
      <c r="U158" s="18" t="inlineStr"/>
      <c r="V158" s="19" t="inlineStr">
        <is>
          <t>Aprobada</t>
        </is>
      </c>
      <c r="W158" s="19" t="inlineStr"/>
      <c r="X158" s="19" t="inlineStr">
        <is>
          <t>Aldair González (aprobación en bloque)</t>
        </is>
      </c>
      <c r="Y158" s="20" t="n">
        <v>46321</v>
      </c>
      <c r="Z158" s="19" t="inlineStr">
        <is>
          <t>Nivel 1: propuesta del comentario del desarrollador o de confianza alta, o regla de fecha/responsable/motivo.</t>
        </is>
      </c>
      <c r="AA158" s="18">
        <f>IF(OR(V158="Aprobada"),R158,IF(AND(OR(V158="Aprobada con ajuste",V158="Rechazada"),W158&lt;&gt;""),W158,""))</f>
        <v/>
      </c>
    </row>
    <row r="159">
      <c r="A159" s="18" t="inlineStr">
        <is>
          <t>C0158</t>
        </is>
      </c>
      <c r="B159" s="18" t="inlineStr">
        <is>
          <t>Identidad y acceso</t>
        </is>
      </c>
      <c r="C159" s="18" t="inlineStr">
        <is>
          <t>auth</t>
        </is>
      </c>
      <c r="D159" s="18" t="inlineStr">
        <is>
          <t>sedes</t>
        </is>
      </c>
      <c r="E159" s="18" t="n">
        <v>615</v>
      </c>
      <c r="F159" s="18" t="inlineStr">
        <is>
          <t>email_sede</t>
        </is>
      </c>
      <c r="G159" s="18" t="inlineStr">
        <is>
          <t>character varying(100)</t>
        </is>
      </c>
      <c r="H159" s="18" t="inlineStr">
        <is>
          <t>Sí</t>
        </is>
      </c>
      <c r="I159" s="18" t="inlineStr"/>
      <c r="J159" s="18" t="inlineStr"/>
      <c r="K159" s="18" t="inlineStr"/>
      <c r="L159" s="18" t="inlineStr">
        <is>
          <t>No</t>
        </is>
      </c>
      <c r="M159" s="18" t="inlineStr">
        <is>
          <t>No</t>
        </is>
      </c>
      <c r="N159" s="18" t="inlineStr"/>
      <c r="O159" s="18" t="inlineStr"/>
      <c r="P159" s="18" t="inlineStr">
        <is>
          <t>auth-service/src/users/sede.entity.ts:79: @Column({ name: 'cod_iac_inscripciones', length: 250, nullable: true }) codIacInscripciones: string;</t>
        </is>
      </c>
      <c r="Q159" s="18" t="inlineStr">
        <is>
          <t>Código fuente</t>
        </is>
      </c>
      <c r="R159" s="18" t="inlineStr">
        <is>
          <t>Correo electrónico de contacto de la sede.</t>
        </is>
      </c>
      <c r="S159" s="18" t="inlineStr">
        <is>
          <t>Alta</t>
        </is>
      </c>
      <c r="T159" s="18" t="inlineStr">
        <is>
          <t>nombre + tipo</t>
        </is>
      </c>
      <c r="U159" s="18" t="inlineStr"/>
      <c r="V159" s="19" t="inlineStr">
        <is>
          <t>Aprobada</t>
        </is>
      </c>
      <c r="W159" s="19" t="inlineStr"/>
      <c r="X159" s="19" t="inlineStr">
        <is>
          <t>Aldair González (aprobación en bloque)</t>
        </is>
      </c>
      <c r="Y159" s="20" t="n">
        <v>46321</v>
      </c>
      <c r="Z159" s="19" t="inlineStr">
        <is>
          <t>Nivel 1: propuesta del comentario del desarrollador o de confianza alta, o regla de fecha/responsable/motivo.</t>
        </is>
      </c>
      <c r="AA159" s="18">
        <f>IF(OR(V159="Aprobada"),R159,IF(AND(OR(V159="Aprobada con ajuste",V159="Rechazada"),W159&lt;&gt;""),W159,""))</f>
        <v/>
      </c>
    </row>
    <row r="160">
      <c r="A160" s="18" t="inlineStr">
        <is>
          <t>C0159</t>
        </is>
      </c>
      <c r="B160" s="18" t="inlineStr">
        <is>
          <t>Identidad y acceso</t>
        </is>
      </c>
      <c r="C160" s="18" t="inlineStr">
        <is>
          <t>auth</t>
        </is>
      </c>
      <c r="D160" s="18" t="inlineStr">
        <is>
          <t>sedes</t>
        </is>
      </c>
      <c r="E160" s="18" t="n">
        <v>615</v>
      </c>
      <c r="F160" s="18" t="inlineStr">
        <is>
          <t>capacidad_estudiantes</t>
        </is>
      </c>
      <c r="G160" s="18" t="inlineStr">
        <is>
          <t>integer</t>
        </is>
      </c>
      <c r="H160" s="18" t="inlineStr">
        <is>
          <t>Sí</t>
        </is>
      </c>
      <c r="I160" s="18" t="inlineStr"/>
      <c r="J160" s="18" t="inlineStr"/>
      <c r="K160" s="18" t="inlineStr"/>
      <c r="L160" s="18" t="inlineStr">
        <is>
          <t>No</t>
        </is>
      </c>
      <c r="M160" s="18" t="inlineStr">
        <is>
          <t>No</t>
        </is>
      </c>
      <c r="N160" s="18" t="inlineStr"/>
      <c r="O160" s="18" t="inlineStr"/>
      <c r="P160" s="18" t="inlineStr">
        <is>
          <t>auth-service/src/users/sede.entity.ts:82: @Column({ name: 'cod_iac_inscripciones', length: 250, nullable: true }) codIacInscripciones: string;</t>
        </is>
      </c>
      <c r="Q160" s="18" t="inlineStr">
        <is>
          <t>Código fuente (verificado)</t>
        </is>
      </c>
      <c r="R160" s="18" t="inlineStr">
        <is>
          <t>Número de estudiantes que puede atender la sede. Se suma en los totales de capacidad de la estructura organizacional.</t>
        </is>
      </c>
      <c r="S160" s="18" t="inlineStr">
        <is>
          <t>Media</t>
        </is>
      </c>
      <c r="T160" s="18" t="inlineStr">
        <is>
          <t>backend/auth-service/src/users/estructura-organizacional.service.ts:1096: valor de la columna capacidad_estudiantes del archivo de carga | backend/auth-service/src/users/estructura-organizacional.service.ts:1167: si no viene, 5000 para la sede central y 150 para las demás | backend/auth-service/src/users/estructura-organizacional.service.ts:715: SUM(capacidad_estudiantes) para los totales</t>
        </is>
      </c>
      <c r="U160" s="18" t="inlineStr">
        <is>
          <t>¿La capacidad es simultánea (aforo) o total por periodo académico?</t>
        </is>
      </c>
      <c r="V160" s="19" t="inlineStr">
        <is>
          <t>Aprobada</t>
        </is>
      </c>
      <c r="W160" s="19" t="inlineStr"/>
      <c r="X160" s="19" t="inlineStr">
        <is>
          <t>Aldair González (validación del responsable de BD)</t>
        </is>
      </c>
      <c r="Y160" s="20" t="n">
        <v>46321</v>
      </c>
      <c r="Z160" s="19" t="inlineStr">
        <is>
          <t>Nivel 3: validada por decisión del responsable de la base de datos. Pregunta registrada para desarrollo: ¿La capacidad es simultánea (aforo) o total por periodo académico?</t>
        </is>
      </c>
      <c r="AA160" s="18">
        <f>IF(OR(V160="Aprobada"),R160,IF(AND(OR(V160="Aprobada con ajuste",V160="Rechazada"),W160&lt;&gt;""),W160,""))</f>
        <v/>
      </c>
    </row>
    <row r="161">
      <c r="A161" s="18" t="inlineStr">
        <is>
          <t>C0160</t>
        </is>
      </c>
      <c r="B161" s="18" t="inlineStr">
        <is>
          <t>Identidad y acceso</t>
        </is>
      </c>
      <c r="C161" s="18" t="inlineStr">
        <is>
          <t>auth</t>
        </is>
      </c>
      <c r="D161" s="18" t="inlineStr">
        <is>
          <t>sedes</t>
        </is>
      </c>
      <c r="E161" s="18" t="n">
        <v>615</v>
      </c>
      <c r="F161" s="18" t="inlineStr">
        <is>
          <t>capacidad_docentes</t>
        </is>
      </c>
      <c r="G161" s="18" t="inlineStr">
        <is>
          <t>integer</t>
        </is>
      </c>
      <c r="H161" s="18" t="inlineStr">
        <is>
          <t>Sí</t>
        </is>
      </c>
      <c r="I161" s="18" t="inlineStr"/>
      <c r="J161" s="18" t="inlineStr"/>
      <c r="K161" s="18" t="inlineStr"/>
      <c r="L161" s="18" t="inlineStr">
        <is>
          <t>No</t>
        </is>
      </c>
      <c r="M161" s="18" t="inlineStr">
        <is>
          <t>No</t>
        </is>
      </c>
      <c r="N161" s="18" t="inlineStr"/>
      <c r="O161" s="18" t="inlineStr"/>
      <c r="P161" s="18" t="inlineStr">
        <is>
          <t>auth-service/src/users/sede.entity.ts:85: @Column({ name: 'cod_iac_inscripciones', length: 250, nullable: true }) codIacInscripciones: string;</t>
        </is>
      </c>
      <c r="Q161" s="18" t="inlineStr">
        <is>
          <t>Código fuente (verificado)</t>
        </is>
      </c>
      <c r="R161" s="18" t="inlineStr">
        <is>
          <t>Número de docentes que puede atender la sede. Se suma en los totales de capacidad de la estructura organizacional.</t>
        </is>
      </c>
      <c r="S161" s="18" t="inlineStr">
        <is>
          <t>Media</t>
        </is>
      </c>
      <c r="T161" s="18" t="inlineStr">
        <is>
          <t>backend/auth-service/src/users/estructura-organizacional.service.ts:1097: valor de la columna capacidad_docentes del archivo de carga | backend/auth-service/src/users/estructura-organizacional.service.ts:1168: si no viene, 500 para la sede central y 15 para las demás | backend/auth-service/src/users/estructura-organizacional.service.ts:727: SUM(capacidad_docentes) para los totales</t>
        </is>
      </c>
      <c r="U161" s="18" t="inlineStr">
        <is>
          <t>¿La capacidad es simultánea o total por periodo académico?</t>
        </is>
      </c>
      <c r="V161" s="19" t="inlineStr">
        <is>
          <t>Aprobada</t>
        </is>
      </c>
      <c r="W161" s="19" t="inlineStr"/>
      <c r="X161" s="19" t="inlineStr">
        <is>
          <t>Aldair González (validación del responsable de BD)</t>
        </is>
      </c>
      <c r="Y161" s="20" t="n">
        <v>46321</v>
      </c>
      <c r="Z161" s="19" t="inlineStr">
        <is>
          <t>Nivel 3: validada por decisión del responsable de la base de datos. Pregunta registrada para desarrollo: ¿La capacidad es simultánea o total por periodo académico?</t>
        </is>
      </c>
      <c r="AA161" s="18">
        <f>IF(OR(V161="Aprobada"),R161,IF(AND(OR(V161="Aprobada con ajuste",V161="Rechazada"),W161&lt;&gt;""),W161,""))</f>
        <v/>
      </c>
    </row>
    <row r="162">
      <c r="A162" s="18" t="inlineStr">
        <is>
          <t>C0161</t>
        </is>
      </c>
      <c r="B162" s="18" t="inlineStr">
        <is>
          <t>Identidad y acceso</t>
        </is>
      </c>
      <c r="C162" s="18" t="inlineStr">
        <is>
          <t>auth</t>
        </is>
      </c>
      <c r="D162" s="18" t="inlineStr">
        <is>
          <t>sedes</t>
        </is>
      </c>
      <c r="E162" s="18" t="n">
        <v>615</v>
      </c>
      <c r="F162" s="18" t="inlineStr">
        <is>
          <t>permite_inscripciones</t>
        </is>
      </c>
      <c r="G162" s="18" t="inlineStr">
        <is>
          <t>boolean</t>
        </is>
      </c>
      <c r="H162" s="18" t="inlineStr">
        <is>
          <t>Sí</t>
        </is>
      </c>
      <c r="I162" s="18" t="inlineStr"/>
      <c r="J162" s="18" t="inlineStr"/>
      <c r="K162" s="18" t="inlineStr"/>
      <c r="L162" s="18" t="inlineStr">
        <is>
          <t>No</t>
        </is>
      </c>
      <c r="M162" s="18" t="inlineStr">
        <is>
          <t>No</t>
        </is>
      </c>
      <c r="N162" s="18" t="inlineStr"/>
      <c r="O162" s="18" t="inlineStr"/>
      <c r="P162" s="18" t="inlineStr">
        <is>
          <t>auth-service/src/users/sede.entity.ts:88: @Column({ name: 'cod_iac_inscripciones', length: 250, nullable: true }) codIacInscripciones: string;</t>
        </is>
      </c>
      <c r="Q162" s="18" t="inlineStr">
        <is>
          <t>Código fuente (verificado)</t>
        </is>
      </c>
      <c r="R162" s="18" t="inlineStr">
        <is>
          <t>Indica si la sede permite inscripciones. Por defecto, verdadero.</t>
        </is>
      </c>
      <c r="S162" s="18" t="inlineStr">
        <is>
          <t>Media</t>
        </is>
      </c>
      <c r="T162" s="18" t="inlineStr">
        <is>
          <t>backend/auth-service/src/users/sede.entity.ts:89: boolean, default true | db/migrations/old/029_add_sede_contact_fields.sql:9: BOOLEAN DEFAULT true | ningún servicio del backend lee la columna</t>
        </is>
      </c>
      <c r="U162" s="18" t="inlineStr">
        <is>
          <t>¿Este indicador controla si la sede aparece como opción en el proceso de inscripción? Ningún servicio lo consulta.</t>
        </is>
      </c>
      <c r="V162" s="19" t="inlineStr">
        <is>
          <t>Aprobada</t>
        </is>
      </c>
      <c r="W162" s="19" t="inlineStr"/>
      <c r="X162" s="19" t="inlineStr">
        <is>
          <t>Aldair González (validación del responsable de BD)</t>
        </is>
      </c>
      <c r="Y162" s="20" t="n">
        <v>46321</v>
      </c>
      <c r="Z162" s="19" t="inlineStr">
        <is>
          <t>Nivel 3: validada por decisión del responsable de la base de datos. Pregunta registrada para desarrollo: ¿Este indicador controla si la sede aparece como opción en el proceso de inscripción? Ningún servicio lo consulta.</t>
        </is>
      </c>
      <c r="AA162" s="18">
        <f>IF(OR(V162="Aprobada"),R162,IF(AND(OR(V162="Aprobada con ajuste",V162="Rechazada"),W162&lt;&gt;""),W162,""))</f>
        <v/>
      </c>
    </row>
    <row r="163">
      <c r="A163" s="18" t="inlineStr">
        <is>
          <t>C0162</t>
        </is>
      </c>
      <c r="B163" s="18" t="inlineStr">
        <is>
          <t>Identidad y acceso</t>
        </is>
      </c>
      <c r="C163" s="18" t="inlineStr">
        <is>
          <t>auth</t>
        </is>
      </c>
      <c r="D163" s="18" t="inlineStr">
        <is>
          <t>sedes</t>
        </is>
      </c>
      <c r="E163" s="18" t="n">
        <v>615</v>
      </c>
      <c r="F163" s="18" t="inlineStr">
        <is>
          <t>permite_matriculas</t>
        </is>
      </c>
      <c r="G163" s="18" t="inlineStr">
        <is>
          <t>boolean</t>
        </is>
      </c>
      <c r="H163" s="18" t="inlineStr">
        <is>
          <t>Sí</t>
        </is>
      </c>
      <c r="I163" s="18" t="inlineStr"/>
      <c r="J163" s="18" t="inlineStr"/>
      <c r="K163" s="18" t="inlineStr"/>
      <c r="L163" s="18" t="inlineStr">
        <is>
          <t>No</t>
        </is>
      </c>
      <c r="M163" s="18" t="inlineStr">
        <is>
          <t>No</t>
        </is>
      </c>
      <c r="N163" s="18" t="inlineStr"/>
      <c r="O163" s="18" t="inlineStr"/>
      <c r="P163" s="18" t="inlineStr">
        <is>
          <t>auth-service/src/users/sede.entity.ts:91: @Column({ name: 'cod_iac_inscripciones', length: 250, nullable: true }) codIacInscripciones: string;</t>
        </is>
      </c>
      <c r="Q163" s="18" t="inlineStr">
        <is>
          <t>Código fuente (verificado)</t>
        </is>
      </c>
      <c r="R163" s="18" t="inlineStr">
        <is>
          <t>Indica si la sede permite matrículas. Por defecto, verdadero.</t>
        </is>
      </c>
      <c r="S163" s="18" t="inlineStr">
        <is>
          <t>Media</t>
        </is>
      </c>
      <c r="T163" s="18" t="inlineStr">
        <is>
          <t>backend/auth-service/src/users/sede.entity.ts:92: boolean, default true | db/migrations/old/029_add_sede_contact_fields.sql:10: BOOLEAN DEFAULT true | ningún servicio del backend lee la columna</t>
        </is>
      </c>
      <c r="U163" s="18" t="inlineStr">
        <is>
          <t>¿Este indicador controla si la sede aparece como opción en el proceso de matrícula? Ningún servicio lo consulta.</t>
        </is>
      </c>
      <c r="V163" s="19" t="inlineStr">
        <is>
          <t>Aprobada</t>
        </is>
      </c>
      <c r="W163" s="19" t="inlineStr"/>
      <c r="X163" s="19" t="inlineStr">
        <is>
          <t>Aldair González (validación del responsable de BD)</t>
        </is>
      </c>
      <c r="Y163" s="20" t="n">
        <v>46321</v>
      </c>
      <c r="Z163" s="19" t="inlineStr">
        <is>
          <t>Nivel 3: validada por decisión del responsable de la base de datos. Pregunta registrada para desarrollo: ¿Este indicador controla si la sede aparece como opción en el proceso de matrícula? Ningún servicio lo consulta.</t>
        </is>
      </c>
      <c r="AA163" s="18">
        <f>IF(OR(V163="Aprobada"),R163,IF(AND(OR(V163="Aprobada con ajuste",V163="Rechazada"),W163&lt;&gt;""),W163,""))</f>
        <v/>
      </c>
    </row>
    <row r="164">
      <c r="A164" s="18" t="inlineStr">
        <is>
          <t>C0163</t>
        </is>
      </c>
      <c r="B164" s="18" t="inlineStr">
        <is>
          <t>Identidad y acceso</t>
        </is>
      </c>
      <c r="C164" s="18" t="inlineStr">
        <is>
          <t>auth</t>
        </is>
      </c>
      <c r="D164" s="18" t="inlineStr">
        <is>
          <t>sedes</t>
        </is>
      </c>
      <c r="E164" s="18" t="n">
        <v>615</v>
      </c>
      <c r="F164" s="18" t="inlineStr">
        <is>
          <t>visible_portal</t>
        </is>
      </c>
      <c r="G164" s="18" t="inlineStr">
        <is>
          <t>boolean</t>
        </is>
      </c>
      <c r="H164" s="18" t="inlineStr">
        <is>
          <t>Sí</t>
        </is>
      </c>
      <c r="I164" s="18" t="inlineStr"/>
      <c r="J164" s="18" t="inlineStr"/>
      <c r="K164" s="18" t="inlineStr"/>
      <c r="L164" s="18" t="inlineStr">
        <is>
          <t>No</t>
        </is>
      </c>
      <c r="M164" s="18" t="inlineStr">
        <is>
          <t>No</t>
        </is>
      </c>
      <c r="N164" s="18" t="inlineStr"/>
      <c r="O164" s="18" t="inlineStr"/>
      <c r="P164" s="18" t="inlineStr">
        <is>
          <t>auth-service/src/users/sede.entity.ts:94: @Column({ name: 'cod_iac_inscripciones', length: 250, nullable: true }) codIacInscripciones: string;</t>
        </is>
      </c>
      <c r="Q164" s="18" t="inlineStr">
        <is>
          <t>Código fuente (verificado)</t>
        </is>
      </c>
      <c r="R164" s="18" t="inlineStr">
        <is>
          <t>Indica si la sede se muestra en el portal. Por defecto, verdadero.</t>
        </is>
      </c>
      <c r="S164" s="18" t="inlineStr">
        <is>
          <t>Media</t>
        </is>
      </c>
      <c r="T164" s="18" t="inlineStr">
        <is>
          <t>backend/auth-service/src/users/sede.entity.ts:95: boolean, default true | db/migrations/old/029_add_sede_contact_fields.sql:11: BOOLEAN DEFAULT true | ningún servicio del backend lee la columna</t>
        </is>
      </c>
      <c r="U164" s="18" t="inlineStr">
        <is>
          <t>¿A qué portal se refiere (portal institucional público o SuperApp)? Ningún servicio lo consulta.</t>
        </is>
      </c>
      <c r="V164" s="19" t="inlineStr">
        <is>
          <t>Aprobada</t>
        </is>
      </c>
      <c r="W164" s="19" t="inlineStr"/>
      <c r="X164" s="19" t="inlineStr">
        <is>
          <t>Aldair González (validación del responsable de BD)</t>
        </is>
      </c>
      <c r="Y164" s="20" t="n">
        <v>46321</v>
      </c>
      <c r="Z164" s="19" t="inlineStr">
        <is>
          <t>Nivel 3: validada por decisión del responsable de la base de datos. Pregunta registrada para desarrollo: ¿A qué portal se refiere (portal institucional público o SuperApp)? Ningún servicio lo consulta.</t>
        </is>
      </c>
      <c r="AA164" s="18">
        <f>IF(OR(V164="Aprobada"),R164,IF(AND(OR(V164="Aprobada con ajuste",V164="Rechazada"),W164&lt;&gt;""),W164,""))</f>
        <v/>
      </c>
    </row>
    <row r="165">
      <c r="A165" s="18" t="inlineStr">
        <is>
          <t>C0164</t>
        </is>
      </c>
      <c r="B165" s="18" t="inlineStr">
        <is>
          <t>Identidad y acceso</t>
        </is>
      </c>
      <c r="C165" s="18" t="inlineStr">
        <is>
          <t>auth</t>
        </is>
      </c>
      <c r="D165" s="18" t="inlineStr">
        <is>
          <t>sedes</t>
        </is>
      </c>
      <c r="E165" s="18" t="n">
        <v>615</v>
      </c>
      <c r="F165" s="18" t="inlineStr">
        <is>
          <t>observaciones</t>
        </is>
      </c>
      <c r="G165" s="18" t="inlineStr">
        <is>
          <t>text</t>
        </is>
      </c>
      <c r="H165" s="18" t="inlineStr">
        <is>
          <t>Sí</t>
        </is>
      </c>
      <c r="I165" s="18" t="inlineStr"/>
      <c r="J165" s="18" t="inlineStr"/>
      <c r="K165" s="18" t="inlineStr"/>
      <c r="L165" s="18" t="inlineStr">
        <is>
          <t>No</t>
        </is>
      </c>
      <c r="M165" s="18" t="inlineStr">
        <is>
          <t>No</t>
        </is>
      </c>
      <c r="N165" s="18" t="inlineStr"/>
      <c r="O165" s="18" t="inlineStr"/>
      <c r="P165" s="18" t="inlineStr">
        <is>
          <t>auth-service/src/users/sede.entity.ts:97: @Column({ name: 'cod_iac_inscripciones', length: 250, nullable: true }) codIacInscripciones: string;</t>
        </is>
      </c>
      <c r="Q165" s="18" t="inlineStr">
        <is>
          <t>Código fuente</t>
        </is>
      </c>
      <c r="R165" s="18" t="inlineStr">
        <is>
          <t>Observaciones registradas sobre la sede.</t>
        </is>
      </c>
      <c r="S165" s="18" t="inlineStr">
        <is>
          <t>Alta</t>
        </is>
      </c>
      <c r="T165" s="18" t="inlineStr">
        <is>
          <t>nombre + tipo + propuesta por regla</t>
        </is>
      </c>
      <c r="U165" s="18" t="inlineStr"/>
      <c r="V165" s="19" t="inlineStr">
        <is>
          <t>Aprobada</t>
        </is>
      </c>
      <c r="W165" s="19" t="inlineStr"/>
      <c r="X165" s="19" t="inlineStr">
        <is>
          <t>Aldair González (aprobación en bloque)</t>
        </is>
      </c>
      <c r="Y165" s="20" t="n">
        <v>46321</v>
      </c>
      <c r="Z165" s="19" t="inlineStr">
        <is>
          <t>Nivel 1: propuesta del comentario del desarrollador o de confianza alta, o regla de fecha/responsable/motivo.</t>
        </is>
      </c>
      <c r="AA165" s="18">
        <f>IF(OR(V165="Aprobada"),R165,IF(AND(OR(V165="Aprobada con ajuste",V165="Rechazada"),W165&lt;&gt;""),W165,""))</f>
        <v/>
      </c>
    </row>
    <row r="166">
      <c r="A166" s="18" t="inlineStr">
        <is>
          <t>C0165</t>
        </is>
      </c>
      <c r="B166" s="18" t="inlineStr">
        <is>
          <t>Identidad y acceso</t>
        </is>
      </c>
      <c r="C166" s="18" t="inlineStr">
        <is>
          <t>auth</t>
        </is>
      </c>
      <c r="D166" s="18" t="inlineStr">
        <is>
          <t>system_settings</t>
        </is>
      </c>
      <c r="E166" s="18" t="n">
        <v>1</v>
      </c>
      <c r="F166" s="18" t="inlineStr">
        <is>
          <t>value</t>
        </is>
      </c>
      <c r="G166" s="18" t="inlineStr">
        <is>
          <t>text</t>
        </is>
      </c>
      <c r="H166" s="18" t="inlineStr">
        <is>
          <t>Sí</t>
        </is>
      </c>
      <c r="I166" s="18" t="inlineStr"/>
      <c r="J166" s="18" t="inlineStr"/>
      <c r="K166" s="18" t="inlineStr"/>
      <c r="L166" s="18" t="inlineStr">
        <is>
          <t>Sí</t>
        </is>
      </c>
      <c r="M166" s="18" t="inlineStr">
        <is>
          <t>No</t>
        </is>
      </c>
      <c r="N166" s="18" t="inlineStr"/>
      <c r="O166" s="18" t="inlineStr"/>
      <c r="P166" s="18" t="inlineStr">
        <is>
          <t>Mapeada en travel-expenses-service/src/entities/auth-system-setting.entity.ts:12 (AuthSystemSettingEntity.value) | Validación: IsString, Length(1, 100)</t>
        </is>
      </c>
      <c r="Q166" s="18" t="inlineStr">
        <is>
          <t>Propuesta semántica</t>
        </is>
      </c>
      <c r="R166" s="18" t="inlineStr">
        <is>
          <t>Valor del parámetro global identificado por key (por ejemplo, el SMMLV), en texto de 1 a 100 caracteres.</t>
        </is>
      </c>
      <c r="S166" s="18" t="inlineStr">
        <is>
          <t>Alta</t>
        </is>
      </c>
      <c r="T166" s="18" t="inlineStr">
        <is>
          <t>documentación de la entidad + validaciones</t>
        </is>
      </c>
      <c r="U166" s="18" t="inlineStr"/>
      <c r="V166" s="19" t="inlineStr">
        <is>
          <t>Aprobada</t>
        </is>
      </c>
      <c r="W166" s="19" t="inlineStr"/>
      <c r="X166" s="19" t="inlineStr">
        <is>
          <t>Aldair González (aprobación en bloque)</t>
        </is>
      </c>
      <c r="Y166" s="20" t="n">
        <v>46321</v>
      </c>
      <c r="Z166" s="19" t="inlineStr">
        <is>
          <t>Nivel 1: propuesta del comentario del desarrollador o de confianza alta, o regla de fecha/responsable/motivo.</t>
        </is>
      </c>
      <c r="AA166" s="18">
        <f>IF(OR(V166="Aprobada"),R166,IF(AND(OR(V166="Aprobada con ajuste",V166="Rechazada"),W166&lt;&gt;""),W166,""))</f>
        <v/>
      </c>
    </row>
    <row r="167">
      <c r="A167" s="18" t="inlineStr">
        <is>
          <t>C0166</t>
        </is>
      </c>
      <c r="B167" s="18" t="inlineStr">
        <is>
          <t>Identidad y acceso</t>
        </is>
      </c>
      <c r="C167" s="18" t="inlineStr">
        <is>
          <t>auth</t>
        </is>
      </c>
      <c r="D167" s="18" t="inlineStr">
        <is>
          <t>tipo_documento</t>
        </is>
      </c>
      <c r="E167" s="18" t="n">
        <v>4</v>
      </c>
      <c r="F167" s="18" t="inlineStr">
        <is>
          <t>descripcion</t>
        </is>
      </c>
      <c r="G167" s="18" t="inlineStr">
        <is>
          <t>text</t>
        </is>
      </c>
      <c r="H167" s="18" t="inlineStr">
        <is>
          <t>Sí</t>
        </is>
      </c>
      <c r="I167" s="18" t="inlineStr"/>
      <c r="J167" s="18" t="inlineStr"/>
      <c r="K167" s="18" t="inlineStr"/>
      <c r="L167" s="18" t="inlineStr">
        <is>
          <t>Sí</t>
        </is>
      </c>
      <c r="M167" s="18" t="inlineStr">
        <is>
          <t>No</t>
        </is>
      </c>
      <c r="N167" s="18" t="inlineStr"/>
      <c r="O167" s="18" t="inlineStr"/>
      <c r="P167" s="18" t="inlineStr">
        <is>
          <t>Mapeada en auth-service/src/carpeta-digital/tipo-documento.entity.ts:27 (TipoDocumento.descripcion) | Validación: IsOptional, IsString, MaxLength(150), MaxLength(150, { message: 'La descripción no puede superar 150 caracteres' }), MaxLength(500)</t>
        </is>
      </c>
      <c r="Q167" s="18" t="inlineStr">
        <is>
          <t>Regla estructural (redacción revisada)</t>
        </is>
      </c>
      <c r="R167" s="18" t="inlineStr">
        <is>
          <t>Descripción del tipo de documento.</t>
        </is>
      </c>
      <c r="S167" s="18" t="inlineStr">
        <is>
          <t>Alta</t>
        </is>
      </c>
      <c r="T167" s="18" t="inlineStr">
        <is>
          <t>Convención de nombre, redactada con el contexto de la tabla y el código.</t>
        </is>
      </c>
      <c r="U167" s="18" t="inlineStr"/>
      <c r="V167" s="19" t="inlineStr">
        <is>
          <t>Aprobada</t>
        </is>
      </c>
      <c r="W167" s="19" t="inlineStr"/>
      <c r="X167" s="19" t="inlineStr">
        <is>
          <t>Aldair González (aprobación en bloque)</t>
        </is>
      </c>
      <c r="Y167" s="20" t="n">
        <v>46321</v>
      </c>
      <c r="Z167" s="19" t="inlineStr">
        <is>
          <t>Nivel 2: regla estructural con redacción revisada.</t>
        </is>
      </c>
      <c r="AA167" s="18">
        <f>IF(OR(V167="Aprobada"),R167,IF(AND(OR(V167="Aprobada con ajuste",V167="Rechazada"),W167&lt;&gt;""),W167,""))</f>
        <v/>
      </c>
    </row>
    <row r="168">
      <c r="A168" s="18" t="inlineStr">
        <is>
          <t>C0167</t>
        </is>
      </c>
      <c r="B168" s="18" t="inlineStr">
        <is>
          <t>Identidad y acceso</t>
        </is>
      </c>
      <c r="C168" s="18" t="inlineStr">
        <is>
          <t>auth</t>
        </is>
      </c>
      <c r="D168" s="18" t="inlineStr">
        <is>
          <t>tipo_documento</t>
        </is>
      </c>
      <c r="E168" s="18" t="n">
        <v>4</v>
      </c>
      <c r="F168" s="18" t="inlineStr">
        <is>
          <t>icono</t>
        </is>
      </c>
      <c r="G168" s="18" t="inlineStr">
        <is>
          <t>character varying(80)</t>
        </is>
      </c>
      <c r="H168" s="18" t="inlineStr">
        <is>
          <t>No</t>
        </is>
      </c>
      <c r="I168" s="18" t="inlineStr"/>
      <c r="J168" s="18" t="inlineStr"/>
      <c r="K168" s="18" t="inlineStr"/>
      <c r="L168" s="18" t="inlineStr">
        <is>
          <t>Sí</t>
        </is>
      </c>
      <c r="M168" s="18" t="inlineStr">
        <is>
          <t>No</t>
        </is>
      </c>
      <c r="N168" s="18" t="inlineStr"/>
      <c r="O168" s="18" t="inlineStr"/>
      <c r="P168" s="18" t="inlineStr">
        <is>
          <t>Mapeada en auth-service/src/carpeta-digital/tipo-documento.entity.ts:33 (TipoDocumento.icono)</t>
        </is>
      </c>
      <c r="Q168" s="18" t="inlineStr">
        <is>
          <t>Propuesta semántica</t>
        </is>
      </c>
      <c r="R168" s="18" t="inlineStr">
        <is>
          <t>Nombre del ícono con que se muestra el tipo de documento en la interfaz. Por defecto, file-text.</t>
        </is>
      </c>
      <c r="S168" s="18" t="inlineStr">
        <is>
          <t>Alta</t>
        </is>
      </c>
      <c r="T168" s="18" t="inlineStr">
        <is>
          <t>nombre + tipo + columnas vecinas + defecto</t>
        </is>
      </c>
      <c r="U168" s="18" t="inlineStr"/>
      <c r="V168" s="19" t="inlineStr">
        <is>
          <t>Aprobada</t>
        </is>
      </c>
      <c r="W168" s="19" t="inlineStr"/>
      <c r="X168" s="19" t="inlineStr">
        <is>
          <t>Aldair González (aprobación en bloque)</t>
        </is>
      </c>
      <c r="Y168" s="20" t="n">
        <v>46321</v>
      </c>
      <c r="Z168" s="19" t="inlineStr">
        <is>
          <t>Nivel 1: propuesta del comentario del desarrollador o de confianza alta, o regla de fecha/responsable/motivo.</t>
        </is>
      </c>
      <c r="AA168" s="18">
        <f>IF(OR(V168="Aprobada"),R168,IF(AND(OR(V168="Aprobada con ajuste",V168="Rechazada"),W168&lt;&gt;""),W168,""))</f>
        <v/>
      </c>
    </row>
    <row r="169">
      <c r="A169" s="18" t="inlineStr">
        <is>
          <t>C0168</t>
        </is>
      </c>
      <c r="B169" s="18" t="inlineStr">
        <is>
          <t>Identidad y acceso</t>
        </is>
      </c>
      <c r="C169" s="18" t="inlineStr">
        <is>
          <t>auth</t>
        </is>
      </c>
      <c r="D169" s="18" t="inlineStr">
        <is>
          <t>tipo_documento</t>
        </is>
      </c>
      <c r="E169" s="18" t="n">
        <v>4</v>
      </c>
      <c r="F169" s="18" t="inlineStr">
        <is>
          <t>color</t>
        </is>
      </c>
      <c r="G169" s="18" t="inlineStr">
        <is>
          <t>character varying(20)</t>
        </is>
      </c>
      <c r="H169" s="18" t="inlineStr">
        <is>
          <t>No</t>
        </is>
      </c>
      <c r="I169" s="18" t="inlineStr"/>
      <c r="J169" s="18" t="inlineStr"/>
      <c r="K169" s="18" t="inlineStr"/>
      <c r="L169" s="18" t="inlineStr">
        <is>
          <t>Sí</t>
        </is>
      </c>
      <c r="M169" s="18" t="inlineStr">
        <is>
          <t>No</t>
        </is>
      </c>
      <c r="N169" s="18" t="inlineStr"/>
      <c r="O169" s="18" t="inlineStr"/>
      <c r="P169" s="18" t="inlineStr">
        <is>
          <t>Mapeada en auth-service/src/carpeta-digital/tipo-documento.entity.ts:36 (TipoDocumento.color) | Validación: IsOptional, IsString</t>
        </is>
      </c>
      <c r="Q169" s="18" t="inlineStr">
        <is>
          <t>Propuesta semántica</t>
        </is>
      </c>
      <c r="R169" s="18" t="inlineStr">
        <is>
          <t>Color del tipo de documento en la interfaz, en formato hexadecimal. Por defecto, #2962FF.</t>
        </is>
      </c>
      <c r="S169" s="18" t="inlineStr">
        <is>
          <t>Alta</t>
        </is>
      </c>
      <c r="T169" s="18" t="inlineStr">
        <is>
          <t>nombre + tipo + columnas vecinas + defecto</t>
        </is>
      </c>
      <c r="U169" s="18" t="inlineStr"/>
      <c r="V169" s="19" t="inlineStr">
        <is>
          <t>Aprobada</t>
        </is>
      </c>
      <c r="W169" s="19" t="inlineStr"/>
      <c r="X169" s="19" t="inlineStr">
        <is>
          <t>Aldair González (aprobación en bloque)</t>
        </is>
      </c>
      <c r="Y169" s="20" t="n">
        <v>46321</v>
      </c>
      <c r="Z169" s="19" t="inlineStr">
        <is>
          <t>Nivel 1: propuesta del comentario del desarrollador o de confianza alta, o regla de fecha/responsable/motivo.</t>
        </is>
      </c>
      <c r="AA169" s="18">
        <f>IF(OR(V169="Aprobada"),R169,IF(AND(OR(V169="Aprobada con ajuste",V169="Rechazada"),W169&lt;&gt;""),W169,""))</f>
        <v/>
      </c>
    </row>
    <row r="170">
      <c r="A170" s="18" t="inlineStr">
        <is>
          <t>C0169</t>
        </is>
      </c>
      <c r="B170" s="18" t="inlineStr">
        <is>
          <t>Identidad y acceso</t>
        </is>
      </c>
      <c r="C170" s="18" t="inlineStr">
        <is>
          <t>auth</t>
        </is>
      </c>
      <c r="D170" s="18" t="inlineStr">
        <is>
          <t>tipo_documento</t>
        </is>
      </c>
      <c r="E170" s="18" t="n">
        <v>4</v>
      </c>
      <c r="F170" s="18" t="inlineStr">
        <is>
          <t>obligatorio</t>
        </is>
      </c>
      <c r="G170" s="18" t="inlineStr">
        <is>
          <t>boolean</t>
        </is>
      </c>
      <c r="H170" s="18" t="inlineStr">
        <is>
          <t>No</t>
        </is>
      </c>
      <c r="I170" s="18" t="inlineStr"/>
      <c r="J170" s="18" t="inlineStr"/>
      <c r="K170" s="18" t="inlineStr"/>
      <c r="L170" s="18" t="inlineStr">
        <is>
          <t>Sí</t>
        </is>
      </c>
      <c r="M170" s="18" t="inlineStr">
        <is>
          <t>No</t>
        </is>
      </c>
      <c r="N170" s="18" t="inlineStr"/>
      <c r="O170" s="18" t="inlineStr"/>
      <c r="P170" s="18" t="inlineStr">
        <is>
          <t>Mapeada en auth-service/src/carpeta-digital/tipo-documento.entity.ts:39 (TipoDocumento.obligatorio)</t>
        </is>
      </c>
      <c r="Q170" s="18" t="inlineStr">
        <is>
          <t>Regla estructural (redacción revisada)</t>
        </is>
      </c>
      <c r="R170" s="18" t="inlineStr">
        <is>
          <t>Indica si el tipo de documento es obligatorio en la carpeta digital.</t>
        </is>
      </c>
      <c r="S170" s="18" t="inlineStr">
        <is>
          <t>Alta</t>
        </is>
      </c>
      <c r="T170" s="18" t="inlineStr">
        <is>
          <t>Convención de nombre, redactada con el contexto de la tabla y el código.</t>
        </is>
      </c>
      <c r="U170" s="18" t="inlineStr"/>
      <c r="V170" s="19" t="inlineStr">
        <is>
          <t>Aprobada</t>
        </is>
      </c>
      <c r="W170" s="19" t="inlineStr"/>
      <c r="X170" s="19" t="inlineStr">
        <is>
          <t>Aldair González (aprobación en bloque)</t>
        </is>
      </c>
      <c r="Y170" s="20" t="n">
        <v>46321</v>
      </c>
      <c r="Z170" s="19" t="inlineStr">
        <is>
          <t>Nivel 2: regla estructural con redacción revisada.</t>
        </is>
      </c>
      <c r="AA170" s="18">
        <f>IF(OR(V170="Aprobada"),R170,IF(AND(OR(V170="Aprobada con ajuste",V170="Rechazada"),W170&lt;&gt;""),W170,""))</f>
        <v/>
      </c>
    </row>
    <row r="171">
      <c r="A171" s="18" t="inlineStr">
        <is>
          <t>C0170</t>
        </is>
      </c>
      <c r="B171" s="18" t="inlineStr">
        <is>
          <t>Identidad y acceso</t>
        </is>
      </c>
      <c r="C171" s="18" t="inlineStr">
        <is>
          <t>auth</t>
        </is>
      </c>
      <c r="D171" s="18" t="inlineStr">
        <is>
          <t>tipo_documento</t>
        </is>
      </c>
      <c r="E171" s="18" t="n">
        <v>4</v>
      </c>
      <c r="F171" s="18" t="inlineStr">
        <is>
          <t>requiere_validacion</t>
        </is>
      </c>
      <c r="G171" s="18" t="inlineStr">
        <is>
          <t>boolean</t>
        </is>
      </c>
      <c r="H171" s="18" t="inlineStr">
        <is>
          <t>No</t>
        </is>
      </c>
      <c r="I171" s="18" t="inlineStr"/>
      <c r="J171" s="18" t="inlineStr"/>
      <c r="K171" s="18" t="inlineStr"/>
      <c r="L171" s="18" t="inlineStr">
        <is>
          <t>Sí</t>
        </is>
      </c>
      <c r="M171" s="18" t="inlineStr">
        <is>
          <t>No</t>
        </is>
      </c>
      <c r="N171" s="18" t="inlineStr"/>
      <c r="O171" s="18" t="inlineStr"/>
      <c r="P171" s="18" t="inlineStr">
        <is>
          <t>Mapeada en auth-service/src/carpeta-digital/tipo-documento.entity.ts:42 (TipoDocumento.requiereValidacion)</t>
        </is>
      </c>
      <c r="Q171" s="18" t="inlineStr">
        <is>
          <t>Regla estructural (redacción revisada)</t>
        </is>
      </c>
      <c r="R171" s="18" t="inlineStr">
        <is>
          <t>Indica si los documentos de este tipo requieren validación.</t>
        </is>
      </c>
      <c r="S171" s="18" t="inlineStr">
        <is>
          <t>Alta</t>
        </is>
      </c>
      <c r="T171" s="18" t="inlineStr">
        <is>
          <t>Convención de nombre, redactada con el contexto de la tabla y el código.</t>
        </is>
      </c>
      <c r="U171" s="18" t="inlineStr"/>
      <c r="V171" s="19" t="inlineStr">
        <is>
          <t>Aprobada</t>
        </is>
      </c>
      <c r="W171" s="19" t="inlineStr"/>
      <c r="X171" s="19" t="inlineStr">
        <is>
          <t>Aldair González (aprobación en bloque)</t>
        </is>
      </c>
      <c r="Y171" s="20" t="n">
        <v>46321</v>
      </c>
      <c r="Z171" s="19" t="inlineStr">
        <is>
          <t>Nivel 2: regla estructural con redacción revisada.</t>
        </is>
      </c>
      <c r="AA171" s="18">
        <f>IF(OR(V171="Aprobada"),R171,IF(AND(OR(V171="Aprobada con ajuste",V171="Rechazada"),W171&lt;&gt;""),W171,""))</f>
        <v/>
      </c>
    </row>
    <row r="172">
      <c r="A172" s="18" t="inlineStr">
        <is>
          <t>C0171</t>
        </is>
      </c>
      <c r="B172" s="18" t="inlineStr">
        <is>
          <t>Identidad y acceso</t>
        </is>
      </c>
      <c r="C172" s="18" t="inlineStr">
        <is>
          <t>auth</t>
        </is>
      </c>
      <c r="D172" s="18" t="inlineStr">
        <is>
          <t>tipo_documento</t>
        </is>
      </c>
      <c r="E172" s="18" t="n">
        <v>4</v>
      </c>
      <c r="F172" s="18" t="inlineStr">
        <is>
          <t>formatos_permitidos</t>
        </is>
      </c>
      <c r="G172" s="18" t="inlineStr">
        <is>
          <t>text[]</t>
        </is>
      </c>
      <c r="H172" s="18" t="inlineStr">
        <is>
          <t>No</t>
        </is>
      </c>
      <c r="I172" s="18" t="inlineStr"/>
      <c r="J172" s="18" t="inlineStr"/>
      <c r="K172" s="18" t="inlineStr"/>
      <c r="L172" s="18" t="inlineStr">
        <is>
          <t>Sí</t>
        </is>
      </c>
      <c r="M172" s="18" t="inlineStr">
        <is>
          <t>No</t>
        </is>
      </c>
      <c r="N172" s="18" t="inlineStr"/>
      <c r="O172" s="18" t="inlineStr"/>
      <c r="P172" s="18" t="inlineStr">
        <is>
          <t>Mapeada en auth-service/src/carpeta-digital/tipo-documento.entity.ts:45 (TipoDocumento.formatosPermitidos)</t>
        </is>
      </c>
      <c r="Q172" s="18" t="inlineStr">
        <is>
          <t>Propuesta semántica</t>
        </is>
      </c>
      <c r="R172" s="18" t="inlineStr">
        <is>
          <t>Lista de formatos de archivo permitidos para el tipo de documento. Por defecto, pdf.</t>
        </is>
      </c>
      <c r="S172" s="18" t="inlineStr">
        <is>
          <t>Alta</t>
        </is>
      </c>
      <c r="T172" s="18" t="inlineStr">
        <is>
          <t>nombre + tipo + columnas vecinas + defecto</t>
        </is>
      </c>
      <c r="U172" s="18" t="inlineStr"/>
      <c r="V172" s="19" t="inlineStr">
        <is>
          <t>Aprobada</t>
        </is>
      </c>
      <c r="W172" s="19" t="inlineStr"/>
      <c r="X172" s="19" t="inlineStr">
        <is>
          <t>Aldair González (aprobación en bloque)</t>
        </is>
      </c>
      <c r="Y172" s="20" t="n">
        <v>46321</v>
      </c>
      <c r="Z172" s="19" t="inlineStr">
        <is>
          <t>Nivel 1: propuesta del comentario del desarrollador o de confianza alta, o regla de fecha/responsable/motivo.</t>
        </is>
      </c>
      <c r="AA172" s="18">
        <f>IF(OR(V172="Aprobada"),R172,IF(AND(OR(V172="Aprobada con ajuste",V172="Rechazada"),W172&lt;&gt;""),W172,""))</f>
        <v/>
      </c>
    </row>
    <row r="173">
      <c r="A173" s="18" t="inlineStr">
        <is>
          <t>C0172</t>
        </is>
      </c>
      <c r="B173" s="18" t="inlineStr">
        <is>
          <t>Identidad y acceso</t>
        </is>
      </c>
      <c r="C173" s="18" t="inlineStr">
        <is>
          <t>auth</t>
        </is>
      </c>
      <c r="D173" s="18" t="inlineStr">
        <is>
          <t>tipo_documento</t>
        </is>
      </c>
      <c r="E173" s="18" t="n">
        <v>4</v>
      </c>
      <c r="F173" s="18" t="inlineStr">
        <is>
          <t>tamano_max_mb</t>
        </is>
      </c>
      <c r="G173" s="18" t="inlineStr">
        <is>
          <t>integer</t>
        </is>
      </c>
      <c r="H173" s="18" t="inlineStr">
        <is>
          <t>No</t>
        </is>
      </c>
      <c r="I173" s="18" t="inlineStr"/>
      <c r="J173" s="18" t="inlineStr"/>
      <c r="K173" s="18" t="inlineStr"/>
      <c r="L173" s="18" t="inlineStr">
        <is>
          <t>Sí</t>
        </is>
      </c>
      <c r="M173" s="18" t="inlineStr">
        <is>
          <t>No</t>
        </is>
      </c>
      <c r="N173" s="18" t="inlineStr"/>
      <c r="O173" s="18" t="inlineStr"/>
      <c r="P173" s="18" t="inlineStr">
        <is>
          <t>Mapeada en auth-service/src/carpeta-digital/tipo-documento.entity.ts:48 (TipoDocumento.tamanoMaxMb)</t>
        </is>
      </c>
      <c r="Q173" s="18" t="inlineStr">
        <is>
          <t>Propuesta semántica</t>
        </is>
      </c>
      <c r="R173" s="18" t="inlineStr">
        <is>
          <t>Tamaño máximo del archivo permitido para el tipo de documento, en megabytes. Por defecto, 10.</t>
        </is>
      </c>
      <c r="S173" s="18" t="inlineStr">
        <is>
          <t>Alta</t>
        </is>
      </c>
      <c r="T173" s="18" t="inlineStr">
        <is>
          <t>nombre + tipo + columnas vecinas + defecto</t>
        </is>
      </c>
      <c r="U173" s="18" t="inlineStr"/>
      <c r="V173" s="19" t="inlineStr">
        <is>
          <t>Aprobada</t>
        </is>
      </c>
      <c r="W173" s="19" t="inlineStr"/>
      <c r="X173" s="19" t="inlineStr">
        <is>
          <t>Aldair González (aprobación en bloque)</t>
        </is>
      </c>
      <c r="Y173" s="20" t="n">
        <v>46321</v>
      </c>
      <c r="Z173" s="19" t="inlineStr">
        <is>
          <t>Nivel 1: propuesta del comentario del desarrollador o de confianza alta, o regla de fecha/responsable/motivo.</t>
        </is>
      </c>
      <c r="AA173" s="18">
        <f>IF(OR(V173="Aprobada"),R173,IF(AND(OR(V173="Aprobada con ajuste",V173="Rechazada"),W173&lt;&gt;""),W173,""))</f>
        <v/>
      </c>
    </row>
    <row r="174">
      <c r="A174" s="18" t="inlineStr">
        <is>
          <t>C0173</t>
        </is>
      </c>
      <c r="B174" s="18" t="inlineStr">
        <is>
          <t>Identidad y acceso</t>
        </is>
      </c>
      <c r="C174" s="18" t="inlineStr">
        <is>
          <t>auth</t>
        </is>
      </c>
      <c r="D174" s="18" t="inlineStr">
        <is>
          <t>tipo_documento</t>
        </is>
      </c>
      <c r="E174" s="18" t="n">
        <v>4</v>
      </c>
      <c r="F174" s="18" t="inlineStr">
        <is>
          <t>activo</t>
        </is>
      </c>
      <c r="G174" s="18" t="inlineStr">
        <is>
          <t>boolean</t>
        </is>
      </c>
      <c r="H174" s="18" t="inlineStr">
        <is>
          <t>No</t>
        </is>
      </c>
      <c r="I174" s="18" t="inlineStr"/>
      <c r="J174" s="18" t="inlineStr"/>
      <c r="K174" s="18" t="inlineStr"/>
      <c r="L174" s="18" t="inlineStr">
        <is>
          <t>Sí</t>
        </is>
      </c>
      <c r="M174" s="18" t="inlineStr">
        <is>
          <t>No</t>
        </is>
      </c>
      <c r="N174" s="18" t="inlineStr"/>
      <c r="O174" s="18" t="inlineStr">
        <is>
          <t>idx_tipo_documento_activo</t>
        </is>
      </c>
      <c r="P174" s="18" t="inlineStr">
        <is>
          <t>Mapeada en auth-service/src/carpeta-digital/tipo-documento.entity.ts:51 (TipoDocumento.activo) | Validación: IsBoolean, IsOptional</t>
        </is>
      </c>
      <c r="Q174" s="18" t="inlineStr">
        <is>
          <t>Regla estructural (redacción revisada)</t>
        </is>
      </c>
      <c r="R174" s="18" t="inlineStr">
        <is>
          <t>Indica si el tipo de documento está activo.</t>
        </is>
      </c>
      <c r="S174" s="18" t="inlineStr">
        <is>
          <t>Alta</t>
        </is>
      </c>
      <c r="T174" s="18" t="inlineStr">
        <is>
          <t>Convención de nombre, redactada con el contexto de la tabla y el código.</t>
        </is>
      </c>
      <c r="U174" s="18" t="inlineStr"/>
      <c r="V174" s="19" t="inlineStr">
        <is>
          <t>Aprobada</t>
        </is>
      </c>
      <c r="W174" s="19" t="inlineStr"/>
      <c r="X174" s="19" t="inlineStr">
        <is>
          <t>Aldair González (aprobación en bloque)</t>
        </is>
      </c>
      <c r="Y174" s="20" t="n">
        <v>46321</v>
      </c>
      <c r="Z174" s="19" t="inlineStr">
        <is>
          <t>Nivel 2: regla estructural con redacción revisada.</t>
        </is>
      </c>
      <c r="AA174" s="18">
        <f>IF(OR(V174="Aprobada"),R174,IF(AND(OR(V174="Aprobada con ajuste",V174="Rechazada"),W174&lt;&gt;""),W174,""))</f>
        <v/>
      </c>
    </row>
    <row r="175">
      <c r="A175" s="18" t="inlineStr">
        <is>
          <t>C0174</t>
        </is>
      </c>
      <c r="B175" s="18" t="inlineStr">
        <is>
          <t>Identidad y acceso</t>
        </is>
      </c>
      <c r="C175" s="18" t="inlineStr">
        <is>
          <t>auth</t>
        </is>
      </c>
      <c r="D175" s="18" t="inlineStr">
        <is>
          <t>tipo_documento</t>
        </is>
      </c>
      <c r="E175" s="18" t="n">
        <v>4</v>
      </c>
      <c r="F175" s="18" t="inlineStr">
        <is>
          <t>es_sistema</t>
        </is>
      </c>
      <c r="G175" s="18" t="inlineStr">
        <is>
          <t>boolean</t>
        </is>
      </c>
      <c r="H175" s="18" t="inlineStr">
        <is>
          <t>No</t>
        </is>
      </c>
      <c r="I175" s="18" t="inlineStr"/>
      <c r="J175" s="18" t="inlineStr"/>
      <c r="K175" s="18" t="inlineStr"/>
      <c r="L175" s="18" t="inlineStr">
        <is>
          <t>Sí</t>
        </is>
      </c>
      <c r="M175" s="18" t="inlineStr">
        <is>
          <t>No</t>
        </is>
      </c>
      <c r="N175" s="18" t="inlineStr"/>
      <c r="O175" s="18" t="inlineStr"/>
      <c r="P175" s="18" t="inlineStr">
        <is>
          <t>Mapeada en auth-service/src/carpeta-digital/tipo-documento.entity.ts:54 (TipoDocumento.esSistema)</t>
        </is>
      </c>
      <c r="Q175" s="18" t="inlineStr">
        <is>
          <t>Regla estructural (redacción revisada)</t>
        </is>
      </c>
      <c r="R175" s="18" t="inlineStr">
        <is>
          <t>Indica si el tipo de documento es del sistema.</t>
        </is>
      </c>
      <c r="S175" s="18" t="inlineStr">
        <is>
          <t>Alta</t>
        </is>
      </c>
      <c r="T175" s="18" t="inlineStr">
        <is>
          <t>Convención de nombre, redactada con el contexto de la tabla y el código.</t>
        </is>
      </c>
      <c r="U175" s="18" t="inlineStr"/>
      <c r="V175" s="19" t="inlineStr">
        <is>
          <t>Aprobada</t>
        </is>
      </c>
      <c r="W175" s="19" t="inlineStr"/>
      <c r="X175" s="19" t="inlineStr">
        <is>
          <t>Aldair González (aprobación en bloque)</t>
        </is>
      </c>
      <c r="Y175" s="20" t="n">
        <v>46321</v>
      </c>
      <c r="Z175" s="19" t="inlineStr">
        <is>
          <t>Nivel 2: regla estructural con redacción revisada.</t>
        </is>
      </c>
      <c r="AA175" s="18">
        <f>IF(OR(V175="Aprobada"),R175,IF(AND(OR(V175="Aprobada con ajuste",V175="Rechazada"),W175&lt;&gt;""),W175,""))</f>
        <v/>
      </c>
    </row>
    <row r="176">
      <c r="A176" s="18" t="inlineStr">
        <is>
          <t>C0175</t>
        </is>
      </c>
      <c r="B176" s="18" t="inlineStr">
        <is>
          <t>Identidad y acceso</t>
        </is>
      </c>
      <c r="C176" s="18" t="inlineStr">
        <is>
          <t>auth</t>
        </is>
      </c>
      <c r="D176" s="18" t="inlineStr">
        <is>
          <t>tipo_documento</t>
        </is>
      </c>
      <c r="E176" s="18" t="n">
        <v>4</v>
      </c>
      <c r="F176" s="18" t="inlineStr">
        <is>
          <t>rol_validador</t>
        </is>
      </c>
      <c r="G176" s="18" t="inlineStr">
        <is>
          <t>character varying(120)</t>
        </is>
      </c>
      <c r="H176" s="18" t="inlineStr">
        <is>
          <t>Sí</t>
        </is>
      </c>
      <c r="I176" s="18" t="inlineStr"/>
      <c r="J176" s="18" t="inlineStr"/>
      <c r="K176" s="18" t="inlineStr"/>
      <c r="L176" s="18" t="inlineStr">
        <is>
          <t>Sí</t>
        </is>
      </c>
      <c r="M176" s="18" t="inlineStr">
        <is>
          <t>No</t>
        </is>
      </c>
      <c r="N176" s="18" t="inlineStr"/>
      <c r="O176" s="18" t="inlineStr"/>
      <c r="P176" s="18" t="inlineStr">
        <is>
          <t>Mapeada en auth-service/src/carpeta-digital/tipo-documento.entity.ts:57 (TipoDocumento.rolValidador)</t>
        </is>
      </c>
      <c r="Q176" s="18" t="inlineStr">
        <is>
          <t>Código fuente (verificado)</t>
        </is>
      </c>
      <c r="R176" s="18" t="inlineStr">
        <is>
          <t>Rol encargado de validar los documentos de este tipo, registrado como texto.</t>
        </is>
      </c>
      <c r="S176" s="18" t="inlineStr">
        <is>
          <t>Media</t>
        </is>
      </c>
      <c r="T176" s="18" t="inlineStr">
        <is>
          <t>backend/auth-service/src/carpeta-digital/tipo-documento.entity.ts:57: varchar(120) sin relación con auth.role | backend/auth-service/src/carpeta-digital/carpeta-digital.service.ts:401: se guarda el texto recibido o nulo; no se usa en ninguna validación</t>
        </is>
      </c>
      <c r="U176" s="18" t="inlineStr">
        <is>
          <t>¿rol_validador guarda el código del rol de auth.role, su nombre u otro texto? El servicio no lo valida ni lo usa al validar documentos.</t>
        </is>
      </c>
      <c r="V176" s="19" t="inlineStr">
        <is>
          <t>Aprobada</t>
        </is>
      </c>
      <c r="W176" s="19" t="inlineStr"/>
      <c r="X176" s="19" t="inlineStr">
        <is>
          <t>Aldair González (validación del responsable de BD)</t>
        </is>
      </c>
      <c r="Y176" s="20" t="n">
        <v>46321</v>
      </c>
      <c r="Z176" s="19" t="inlineStr">
        <is>
          <t>Nivel 3: validada por decisión del responsable de la base de datos. Pregunta registrada para desarrollo: ¿rol_validador guarda el código del rol de auth.role, su nombre u otro texto? El servicio no lo valida ni lo usa al validar documentos.</t>
        </is>
      </c>
      <c r="AA176" s="18">
        <f>IF(OR(V176="Aprobada"),R176,IF(AND(OR(V176="Aprobada con ajuste",V176="Rechazada"),W176&lt;&gt;""),W176,""))</f>
        <v/>
      </c>
    </row>
    <row r="177">
      <c r="A177" s="18" t="inlineStr">
        <is>
          <t>C0176</t>
        </is>
      </c>
      <c r="B177" s="18" t="inlineStr">
        <is>
          <t>Identidad y acceso</t>
        </is>
      </c>
      <c r="C177" s="18" t="inlineStr">
        <is>
          <t>auth</t>
        </is>
      </c>
      <c r="D177" s="18" t="inlineStr">
        <is>
          <t>tipo_documento</t>
        </is>
      </c>
      <c r="E177" s="18" t="n">
        <v>4</v>
      </c>
      <c r="F177" s="18" t="inlineStr">
        <is>
          <t>orden</t>
        </is>
      </c>
      <c r="G177" s="18" t="inlineStr">
        <is>
          <t>integer</t>
        </is>
      </c>
      <c r="H177" s="18" t="inlineStr">
        <is>
          <t>No</t>
        </is>
      </c>
      <c r="I177" s="18" t="inlineStr"/>
      <c r="J177" s="18" t="inlineStr"/>
      <c r="K177" s="18" t="inlineStr"/>
      <c r="L177" s="18" t="inlineStr">
        <is>
          <t>Sí</t>
        </is>
      </c>
      <c r="M177" s="18" t="inlineStr">
        <is>
          <t>No</t>
        </is>
      </c>
      <c r="N177" s="18" t="inlineStr"/>
      <c r="O177" s="18" t="inlineStr"/>
      <c r="P177" s="18" t="inlineStr">
        <is>
          <t>Mapeada en auth-service/src/carpeta-digital/tipo-documento.entity.ts:60 (TipoDocumento.orden)</t>
        </is>
      </c>
      <c r="Q177" s="18" t="inlineStr">
        <is>
          <t>Regla estructural (redacción revisada)</t>
        </is>
      </c>
      <c r="R177" s="18" t="inlineStr">
        <is>
          <t>Posición del tipo de documento en el ordenamiento de la lista.</t>
        </is>
      </c>
      <c r="S177" s="18" t="inlineStr">
        <is>
          <t>Alta</t>
        </is>
      </c>
      <c r="T177" s="18" t="inlineStr">
        <is>
          <t>Convención de nombre, redactada con el contexto de la tabla y el código.</t>
        </is>
      </c>
      <c r="U177" s="18" t="inlineStr"/>
      <c r="V177" s="19" t="inlineStr">
        <is>
          <t>Aprobada</t>
        </is>
      </c>
      <c r="W177" s="19" t="inlineStr"/>
      <c r="X177" s="19" t="inlineStr">
        <is>
          <t>Aldair González (aprobación en bloque)</t>
        </is>
      </c>
      <c r="Y177" s="20" t="n">
        <v>46321</v>
      </c>
      <c r="Z177" s="19" t="inlineStr">
        <is>
          <t>Nivel 2: regla estructural con redacción revisada.</t>
        </is>
      </c>
      <c r="AA177" s="18">
        <f>IF(OR(V177="Aprobada"),R177,IF(AND(OR(V177="Aprobada con ajuste",V177="Rechazada"),W177&lt;&gt;""),W177,""))</f>
        <v/>
      </c>
    </row>
    <row r="178">
      <c r="A178" s="18" t="inlineStr">
        <is>
          <t>C0177</t>
        </is>
      </c>
      <c r="B178" s="18" t="inlineStr">
        <is>
          <t>Identidad y acceso</t>
        </is>
      </c>
      <c r="C178" s="18" t="inlineStr">
        <is>
          <t>auth</t>
        </is>
      </c>
      <c r="D178" s="18" t="inlineStr">
        <is>
          <t>tipo_documento</t>
        </is>
      </c>
      <c r="E178" s="18" t="n">
        <v>4</v>
      </c>
      <c r="F178" s="18" t="inlineStr">
        <is>
          <t>asignacion_tipo</t>
        </is>
      </c>
      <c r="G178" s="18" t="inlineStr">
        <is>
          <t>character varying(40)</t>
        </is>
      </c>
      <c r="H178" s="18" t="inlineStr">
        <is>
          <t>No</t>
        </is>
      </c>
      <c r="I178" s="18" t="inlineStr"/>
      <c r="J178" s="18" t="inlineStr"/>
      <c r="K178" s="18" t="inlineStr"/>
      <c r="L178" s="18" t="inlineStr">
        <is>
          <t>Sí</t>
        </is>
      </c>
      <c r="M178" s="18" t="inlineStr">
        <is>
          <t>No</t>
        </is>
      </c>
      <c r="N178" s="18" t="inlineStr"/>
      <c r="O178" s="18" t="inlineStr"/>
      <c r="P178" s="18" t="inlineStr">
        <is>
          <t>Mapeada en auth-service/src/carpeta-digital/tipo-documento.entity.ts:63 (TipoDocumento.asignacionTipo)</t>
        </is>
      </c>
      <c r="Q178" s="18" t="inlineStr">
        <is>
          <t>Código fuente (verificado)</t>
        </is>
      </c>
      <c r="R178" s="18" t="inlineStr">
        <is>
          <t>Criterio con que se asigna el tipo de documento a las personas: todos, territorial, seccional, sede o persona. Por defecto, todos.</t>
        </is>
      </c>
      <c r="S178" s="18" t="inlineStr">
        <is>
          <t>Alta</t>
        </is>
      </c>
      <c r="T178" s="18" t="inlineStr">
        <is>
          <t>backend/auth-service/src/carpeta-digital/tipo-documento.entity.ts:63: default 'todos' | backend/auth-service/src/carpeta-digital/carpeta-digital.service.ts:409-445: tipoAplicaAlaPersona evalúa todos, territorial/seccional, sede y persona; otro valor no aplica</t>
        </is>
      </c>
      <c r="U178" s="18" t="inlineStr"/>
      <c r="V178" s="19" t="inlineStr">
        <is>
          <t>Aprobada</t>
        </is>
      </c>
      <c r="W178" s="19" t="inlineStr"/>
      <c r="X178" s="19" t="inlineStr">
        <is>
          <t>Aldair González (aprobación en bloque)</t>
        </is>
      </c>
      <c r="Y178" s="20" t="n">
        <v>46321</v>
      </c>
      <c r="Z178" s="19" t="inlineStr">
        <is>
          <t>Nivel 3: verificada con el código de la aplicación.</t>
        </is>
      </c>
      <c r="AA178" s="18">
        <f>IF(OR(V178="Aprobada"),R178,IF(AND(OR(V178="Aprobada con ajuste",V178="Rechazada"),W178&lt;&gt;""),W178,""))</f>
        <v/>
      </c>
    </row>
    <row r="179">
      <c r="A179" s="18" t="inlineStr">
        <is>
          <t>C0178</t>
        </is>
      </c>
      <c r="B179" s="18" t="inlineStr">
        <is>
          <t>Identidad y acceso</t>
        </is>
      </c>
      <c r="C179" s="18" t="inlineStr">
        <is>
          <t>auth</t>
        </is>
      </c>
      <c r="D179" s="18" t="inlineStr">
        <is>
          <t>tipo_documento</t>
        </is>
      </c>
      <c r="E179" s="18" t="n">
        <v>4</v>
      </c>
      <c r="F179" s="18" t="inlineStr">
        <is>
          <t>asignacion_valor</t>
        </is>
      </c>
      <c r="G179" s="18" t="inlineStr">
        <is>
          <t>character varying(255)</t>
        </is>
      </c>
      <c r="H179" s="18" t="inlineStr">
        <is>
          <t>Sí</t>
        </is>
      </c>
      <c r="I179" s="18" t="inlineStr"/>
      <c r="J179" s="18" t="inlineStr"/>
      <c r="K179" s="18" t="inlineStr"/>
      <c r="L179" s="18" t="inlineStr">
        <is>
          <t>Sí</t>
        </is>
      </c>
      <c r="M179" s="18" t="inlineStr">
        <is>
          <t>No</t>
        </is>
      </c>
      <c r="N179" s="18" t="inlineStr"/>
      <c r="O179" s="18" t="inlineStr"/>
      <c r="P179" s="18" t="inlineStr">
        <is>
          <t>Mapeada en auth-service/src/carpeta-digital/tipo-documento.entity.ts:66 (TipoDocumento.asignacionValor)</t>
        </is>
      </c>
      <c r="Q179" s="18" t="inlineStr">
        <is>
          <t>Código fuente (verificado)</t>
        </is>
      </c>
      <c r="R179" s="18" t="inlineStr">
        <is>
          <t>Valor del criterio de asignación del tipo de documento: identificador, nombre o código de la seccional (territorial o seccional) o de la sede (sede), o identificador, número de identificación o correo de la persona (persona). Se compara sin distinguir mayúsculas; vacío aplica a todos.</t>
        </is>
      </c>
      <c r="S179" s="18" t="inlineStr">
        <is>
          <t>Alta</t>
        </is>
      </c>
      <c r="T179" s="18" t="inlineStr">
        <is>
          <t>backend/auth-service/src/carpeta-digital/carpeta-digital.service.ts:410-412: comparación en minúsculas; vacío aplica a todos | backend/auth-service/src/carpeta-digital/carpeta-digital.service.ts:422-445: campos comparados por cada asignacion_tipo</t>
        </is>
      </c>
      <c r="U179" s="18" t="inlineStr"/>
      <c r="V179" s="19" t="inlineStr">
        <is>
          <t>Aprobada</t>
        </is>
      </c>
      <c r="W179" s="19" t="inlineStr"/>
      <c r="X179" s="19" t="inlineStr">
        <is>
          <t>Aldair González (aprobación en bloque)</t>
        </is>
      </c>
      <c r="Y179" s="20" t="n">
        <v>46321</v>
      </c>
      <c r="Z179" s="19" t="inlineStr">
        <is>
          <t>Nivel 3: verificada con el código de la aplicación.</t>
        </is>
      </c>
      <c r="AA179" s="18">
        <f>IF(OR(V179="Aprobada"),R179,IF(AND(OR(V179="Aprobada con ajuste",V179="Rechazada"),W179&lt;&gt;""),W179,""))</f>
        <v/>
      </c>
    </row>
    <row r="180">
      <c r="A180" s="18" t="inlineStr">
        <is>
          <t>C0179</t>
        </is>
      </c>
      <c r="B180" s="18" t="inlineStr">
        <is>
          <t>Identidad y acceso</t>
        </is>
      </c>
      <c r="C180" s="18" t="inlineStr">
        <is>
          <t>auth</t>
        </is>
      </c>
      <c r="D180" s="18" t="inlineStr">
        <is>
          <t>user</t>
        </is>
      </c>
      <c r="E180" s="18" t="n">
        <v>390</v>
      </c>
      <c r="F180" s="18" t="inlineStr">
        <is>
          <t>username</t>
        </is>
      </c>
      <c r="G180" s="18" t="inlineStr">
        <is>
          <t>character varying(100)</t>
        </is>
      </c>
      <c r="H180" s="18" t="inlineStr">
        <is>
          <t>No</t>
        </is>
      </c>
      <c r="I180" s="18" t="inlineStr"/>
      <c r="J180" s="18" t="inlineStr"/>
      <c r="K180" s="18" t="inlineStr"/>
      <c r="L180" s="18" t="inlineStr">
        <is>
          <t>No</t>
        </is>
      </c>
      <c r="M180" s="18" t="inlineStr">
        <is>
          <t>No</t>
        </is>
      </c>
      <c r="N180" s="18" t="inlineStr"/>
      <c r="O180" s="18" t="inlineStr"/>
      <c r="P180" s="18" t="inlineStr">
        <is>
          <t>Mapeada en travel-expenses-service/src/entities/usuario.entity.ts:21 (UsuarioEntity.username)</t>
        </is>
      </c>
      <c r="Q180" s="18" t="inlineStr">
        <is>
          <t>Propuesta semántica</t>
        </is>
      </c>
      <c r="R180" s="18" t="inlineStr">
        <is>
          <t>Nombre de usuario con el que la persona inicia sesión.</t>
        </is>
      </c>
      <c r="S180" s="18" t="inlineStr">
        <is>
          <t>Alta</t>
        </is>
      </c>
      <c r="T180" s="18" t="inlineStr">
        <is>
          <t>nombre + tipo + columnas vecinas</t>
        </is>
      </c>
      <c r="U180" s="18" t="inlineStr"/>
      <c r="V180" s="19" t="inlineStr">
        <is>
          <t>Aprobada</t>
        </is>
      </c>
      <c r="W180" s="19" t="inlineStr"/>
      <c r="X180" s="19" t="inlineStr">
        <is>
          <t>Aldair González (aprobación en bloque)</t>
        </is>
      </c>
      <c r="Y180" s="20" t="n">
        <v>46321</v>
      </c>
      <c r="Z180" s="19" t="inlineStr">
        <is>
          <t>Nivel 1: propuesta del comentario del desarrollador o de confianza alta, o regla de fecha/responsable/motivo.</t>
        </is>
      </c>
      <c r="AA180" s="18">
        <f>IF(OR(V180="Aprobada"),R180,IF(AND(OR(V180="Aprobada con ajuste",V180="Rechazada"),W180&lt;&gt;""),W180,""))</f>
        <v/>
      </c>
    </row>
    <row r="181">
      <c r="A181" s="18" t="inlineStr">
        <is>
          <t>C0180</t>
        </is>
      </c>
      <c r="B181" s="18" t="inlineStr">
        <is>
          <t>Identidad y acceso</t>
        </is>
      </c>
      <c r="C181" s="18" t="inlineStr">
        <is>
          <t>auth</t>
        </is>
      </c>
      <c r="D181" s="18" t="inlineStr">
        <is>
          <t>user</t>
        </is>
      </c>
      <c r="E181" s="18" t="n">
        <v>390</v>
      </c>
      <c r="F181" s="18" t="inlineStr">
        <is>
          <t>password_hash</t>
        </is>
      </c>
      <c r="G181" s="18" t="inlineStr">
        <is>
          <t>character varying(255)</t>
        </is>
      </c>
      <c r="H181" s="18" t="inlineStr">
        <is>
          <t>No</t>
        </is>
      </c>
      <c r="I181" s="18" t="inlineStr"/>
      <c r="J181" s="18" t="inlineStr"/>
      <c r="K181" s="18" t="inlineStr"/>
      <c r="L181" s="18" t="inlineStr">
        <is>
          <t>No</t>
        </is>
      </c>
      <c r="M181" s="18" t="inlineStr">
        <is>
          <t>No</t>
        </is>
      </c>
      <c r="N181" s="18" t="inlineStr"/>
      <c r="O181" s="18" t="inlineStr"/>
      <c r="P181" s="18" t="inlineStr">
        <is>
          <t>Mapeada en auth-service/src/users/user.entity.ts:20 (User.password_hash)</t>
        </is>
      </c>
      <c r="Q181" s="18" t="inlineStr">
        <is>
          <t>Propuesta semántica</t>
        </is>
      </c>
      <c r="R181" s="18" t="inlineStr">
        <is>
          <t>Contraseña del usuario cifrada con una función de hash.</t>
        </is>
      </c>
      <c r="S181" s="18" t="inlineStr">
        <is>
          <t>Alta</t>
        </is>
      </c>
      <c r="T181" s="18" t="inlineStr">
        <is>
          <t>nombre + tipo + columnas vecinas</t>
        </is>
      </c>
      <c r="U181" s="18" t="inlineStr"/>
      <c r="V181" s="19" t="inlineStr">
        <is>
          <t>Aprobada</t>
        </is>
      </c>
      <c r="W181" s="19" t="inlineStr"/>
      <c r="X181" s="19" t="inlineStr">
        <is>
          <t>Aldair González (aprobación en bloque)</t>
        </is>
      </c>
      <c r="Y181" s="20" t="n">
        <v>46321</v>
      </c>
      <c r="Z181" s="19" t="inlineStr">
        <is>
          <t>Nivel 1: propuesta del comentario del desarrollador o de confianza alta, o regla de fecha/responsable/motivo.</t>
        </is>
      </c>
      <c r="AA181" s="18">
        <f>IF(OR(V181="Aprobada"),R181,IF(AND(OR(V181="Aprobada con ajuste",V181="Rechazada"),W181&lt;&gt;""),W181,""))</f>
        <v/>
      </c>
    </row>
    <row r="182">
      <c r="A182" s="18" t="inlineStr">
        <is>
          <t>C0181</t>
        </is>
      </c>
      <c r="B182" s="18" t="inlineStr">
        <is>
          <t>Identidad y acceso</t>
        </is>
      </c>
      <c r="C182" s="18" t="inlineStr">
        <is>
          <t>auth</t>
        </is>
      </c>
      <c r="D182" s="18" t="inlineStr">
        <is>
          <t>user</t>
        </is>
      </c>
      <c r="E182" s="18" t="n">
        <v>390</v>
      </c>
      <c r="F182" s="18" t="inlineStr">
        <is>
          <t>is_active</t>
        </is>
      </c>
      <c r="G182" s="18" t="inlineStr">
        <is>
          <t>boolean</t>
        </is>
      </c>
      <c r="H182" s="18" t="inlineStr">
        <is>
          <t>Sí</t>
        </is>
      </c>
      <c r="I182" s="18" t="inlineStr"/>
      <c r="J182" s="18" t="inlineStr"/>
      <c r="K182" s="18" t="inlineStr"/>
      <c r="L182" s="18" t="inlineStr">
        <is>
          <t>No</t>
        </is>
      </c>
      <c r="M182" s="18" t="inlineStr">
        <is>
          <t>No</t>
        </is>
      </c>
      <c r="N182" s="18" t="inlineStr"/>
      <c r="O182" s="18" t="inlineStr"/>
      <c r="P182" s="18" t="inlineStr">
        <is>
          <t>Mapeada en travel-expenses-service/src/entities/usuario.entity.ts:27 (UsuarioEntity.isActive)</t>
        </is>
      </c>
      <c r="Q182" s="18" t="inlineStr">
        <is>
          <t>Regla estructural (redacción revisada)</t>
        </is>
      </c>
      <c r="R182" s="18" t="inlineStr">
        <is>
          <t>Indica si el usuario está activo.</t>
        </is>
      </c>
      <c r="S182" s="18" t="inlineStr">
        <is>
          <t>Alta</t>
        </is>
      </c>
      <c r="T182" s="18" t="inlineStr">
        <is>
          <t>Convención de nombre, redactada con el contexto de la tabla y el código.</t>
        </is>
      </c>
      <c r="U182" s="18" t="inlineStr"/>
      <c r="V182" s="19" t="inlineStr">
        <is>
          <t>Aprobada</t>
        </is>
      </c>
      <c r="W182" s="19" t="inlineStr"/>
      <c r="X182" s="19" t="inlineStr">
        <is>
          <t>Aldair González (aprobación en bloque)</t>
        </is>
      </c>
      <c r="Y182" s="20" t="n">
        <v>46321</v>
      </c>
      <c r="Z182" s="19" t="inlineStr">
        <is>
          <t>Nivel 2: regla estructural con redacción revisada.</t>
        </is>
      </c>
      <c r="AA182" s="18">
        <f>IF(OR(V182="Aprobada"),R182,IF(AND(OR(V182="Aprobada con ajuste",V182="Rechazada"),W182&lt;&gt;""),W182,""))</f>
        <v/>
      </c>
    </row>
    <row r="183">
      <c r="A183" s="18" t="inlineStr">
        <is>
          <t>C0182</t>
        </is>
      </c>
      <c r="B183" s="18" t="inlineStr">
        <is>
          <t>Identidad y acceso</t>
        </is>
      </c>
      <c r="C183" s="18" t="inlineStr">
        <is>
          <t>auth</t>
        </is>
      </c>
      <c r="D183" s="18" t="inlineStr">
        <is>
          <t>user</t>
        </is>
      </c>
      <c r="E183" s="18" t="n">
        <v>390</v>
      </c>
      <c r="F183" s="18" t="inlineStr">
        <is>
          <t>token</t>
        </is>
      </c>
      <c r="G183" s="18" t="inlineStr">
        <is>
          <t>integer</t>
        </is>
      </c>
      <c r="H183" s="18" t="inlineStr">
        <is>
          <t>Sí</t>
        </is>
      </c>
      <c r="I183" s="18" t="inlineStr"/>
      <c r="J183" s="18" t="inlineStr"/>
      <c r="K183" s="18" t="inlineStr"/>
      <c r="L183" s="18" t="inlineStr">
        <is>
          <t>No</t>
        </is>
      </c>
      <c r="M183" s="18" t="inlineStr">
        <is>
          <t>No</t>
        </is>
      </c>
      <c r="N183" s="18" t="inlineStr"/>
      <c r="O183" s="18" t="inlineStr"/>
      <c r="P183" s="18" t="inlineStr">
        <is>
          <t>Mapeada en auth-service/src/users/user.entity.ts:32 (User.token)</t>
        </is>
      </c>
      <c r="Q183" s="18" t="inlineStr">
        <is>
          <t>Código fuente (verificado)</t>
        </is>
      </c>
      <c r="R183" s="18" t="inlineStr">
        <is>
          <t>Código numérico de seis dígitos de un solo uso que se envía al correo del usuario para recuperar la contraseña o firmar un documento. Vence a los 10 minutos (recuperación) o 5 minutos (firma) desde la última actualización del usuario y se borra al usarse.</t>
        </is>
      </c>
      <c r="S183" s="18" t="inlineStr">
        <is>
          <t>Alta</t>
        </is>
      </c>
      <c r="T183" s="18" t="inlineStr">
        <is>
          <t>backend/auth-service/src/auth/auth.service.ts:114-115: genera código de 6 dígitos en forgotPassword | backend/auth-service/src/auth/auth.service.ts:39-40: vigencias de 10 y 5 minutos | backend/auth-service/src/auth/auth.service.ts:579-590: vencimiento contra updated_at | backend/auth-service/src/users/users.service.ts:809-826: setResetToken y consumo del OTP lo dejan en nulo</t>
        </is>
      </c>
      <c r="U183" s="18" t="inlineStr"/>
      <c r="V183" s="19" t="inlineStr">
        <is>
          <t>Aprobada</t>
        </is>
      </c>
      <c r="W183" s="19" t="inlineStr"/>
      <c r="X183" s="19" t="inlineStr">
        <is>
          <t>Aldair González (aprobación en bloque)</t>
        </is>
      </c>
      <c r="Y183" s="20" t="n">
        <v>46321</v>
      </c>
      <c r="Z183" s="19" t="inlineStr">
        <is>
          <t>Nivel 3: verificada con el código de la aplicación.</t>
        </is>
      </c>
      <c r="AA183" s="18">
        <f>IF(OR(V183="Aprobada"),R183,IF(AND(OR(V183="Aprobada con ajuste",V183="Rechazada"),W183&lt;&gt;""),W183,""))</f>
        <v/>
      </c>
    </row>
    <row r="184">
      <c r="A184" s="18" t="inlineStr">
        <is>
          <t>C0183</t>
        </is>
      </c>
      <c r="B184" s="18" t="inlineStr">
        <is>
          <t>Identidad y acceso</t>
        </is>
      </c>
      <c r="C184" s="18" t="inlineStr">
        <is>
          <t>auth</t>
        </is>
      </c>
      <c r="D184" s="18" t="inlineStr">
        <is>
          <t>user</t>
        </is>
      </c>
      <c r="E184" s="18" t="n">
        <v>390</v>
      </c>
      <c r="F184" s="18" t="inlineStr">
        <is>
          <t>password_temp</t>
        </is>
      </c>
      <c r="G184" s="18" t="inlineStr">
        <is>
          <t>boolean</t>
        </is>
      </c>
      <c r="H184" s="18" t="inlineStr">
        <is>
          <t>Sí</t>
        </is>
      </c>
      <c r="I184" s="18" t="inlineStr"/>
      <c r="J184" s="18" t="inlineStr"/>
      <c r="K184" s="18" t="inlineStr"/>
      <c r="L184" s="18" t="inlineStr">
        <is>
          <t>No</t>
        </is>
      </c>
      <c r="M184" s="18" t="inlineStr">
        <is>
          <t>No</t>
        </is>
      </c>
      <c r="N184" s="18" t="inlineStr"/>
      <c r="O184" s="18" t="inlineStr"/>
      <c r="P184" s="18" t="inlineStr">
        <is>
          <t>Mapeada en auth-service/src/users/user.entity.ts:29 (User.password_temp)</t>
        </is>
      </c>
      <c r="Q184" s="18" t="inlineStr">
        <is>
          <t>Regla estructural (redacción revisada)</t>
        </is>
      </c>
      <c r="R184" s="18" t="inlineStr">
        <is>
          <t>Indica si la contraseña del usuario es temporal.</t>
        </is>
      </c>
      <c r="S184" s="18" t="inlineStr">
        <is>
          <t>Alta</t>
        </is>
      </c>
      <c r="T184" s="18" t="inlineStr">
        <is>
          <t>Convención de nombre, redactada con el contexto de la tabla y el código.</t>
        </is>
      </c>
      <c r="U184" s="18" t="inlineStr"/>
      <c r="V184" s="19" t="inlineStr">
        <is>
          <t>Aprobada</t>
        </is>
      </c>
      <c r="W184" s="19" t="inlineStr"/>
      <c r="X184" s="19" t="inlineStr">
        <is>
          <t>Aldair González (aprobación en bloque)</t>
        </is>
      </c>
      <c r="Y184" s="20" t="n">
        <v>46321</v>
      </c>
      <c r="Z184" s="19" t="inlineStr">
        <is>
          <t>Nivel 2: regla estructural con redacción revisada.</t>
        </is>
      </c>
      <c r="AA184" s="18">
        <f>IF(OR(V184="Aprobada"),R184,IF(AND(OR(V184="Aprobada con ajuste",V184="Rechazada"),W184&lt;&gt;""),W184,""))</f>
        <v/>
      </c>
    </row>
    <row r="185">
      <c r="A185" s="18" t="inlineStr">
        <is>
          <t>C0184</t>
        </is>
      </c>
      <c r="B185" s="18" t="inlineStr">
        <is>
          <t>Identidad y acceso</t>
        </is>
      </c>
      <c r="C185" s="18" t="inlineStr">
        <is>
          <t>auth</t>
        </is>
      </c>
      <c r="D185" s="18" t="inlineStr">
        <is>
          <t>user</t>
        </is>
      </c>
      <c r="E185" s="18" t="n">
        <v>390</v>
      </c>
      <c r="F185" s="18" t="inlineStr">
        <is>
          <t>token_microsoft</t>
        </is>
      </c>
      <c r="G185" s="18" t="inlineStr">
        <is>
          <t>character varying(255)</t>
        </is>
      </c>
      <c r="H185" s="18" t="inlineStr">
        <is>
          <t>Sí</t>
        </is>
      </c>
      <c r="I185" s="18" t="inlineStr"/>
      <c r="J185" s="18" t="inlineStr"/>
      <c r="K185" s="18" t="inlineStr"/>
      <c r="L185" s="18" t="inlineStr">
        <is>
          <t>No</t>
        </is>
      </c>
      <c r="M185" s="18" t="inlineStr">
        <is>
          <t>No</t>
        </is>
      </c>
      <c r="N185" s="18" t="inlineStr"/>
      <c r="O185" s="18" t="inlineStr"/>
      <c r="P185" s="18" t="inlineStr">
        <is>
          <t>Mapeada en auth-service/src/users/user.entity.ts:38 (User.tokenMicrosoft)</t>
        </is>
      </c>
      <c r="Q185" s="18" t="inlineStr">
        <is>
          <t>Código fuente (verificado)</t>
        </is>
      </c>
      <c r="R185" s="18" t="inlineStr">
        <is>
          <t>Identificador de objeto (oid) de la cuenta Microsoft del usuario, registrado al iniciar sesión con Microsoft. No guarda el token de acceso ni el de actualización.</t>
        </is>
      </c>
      <c r="S185" s="18" t="inlineStr">
        <is>
          <t>Alta</t>
        </is>
      </c>
      <c r="T185" s="18" t="inlineStr">
        <is>
          <t>backend/auth-service/src/auth/auth.service.ts:83: setMicrosoftToken(user.id_user, claims.oid) | backend/auth-service/src/users/users.service.ts:829-833: guarda microsoftOid en tokenMicrosoft</t>
        </is>
      </c>
      <c r="U185" s="18" t="inlineStr"/>
      <c r="V185" s="19" t="inlineStr">
        <is>
          <t>Aprobada</t>
        </is>
      </c>
      <c r="W185" s="19" t="inlineStr"/>
      <c r="X185" s="19" t="inlineStr">
        <is>
          <t>Aldair González (aprobación en bloque)</t>
        </is>
      </c>
      <c r="Y185" s="20" t="n">
        <v>46321</v>
      </c>
      <c r="Z185" s="19" t="inlineStr">
        <is>
          <t>Nivel 3: verificada con el código de la aplicación.</t>
        </is>
      </c>
      <c r="AA185" s="18">
        <f>IF(OR(V185="Aprobada"),R185,IF(AND(OR(V185="Aprobada con ajuste",V185="Rechazada"),W185&lt;&gt;""),W185,""))</f>
        <v/>
      </c>
    </row>
    <row r="186">
      <c r="A186" s="18" t="inlineStr">
        <is>
          <t>C0185</t>
        </is>
      </c>
      <c r="B186" s="18" t="inlineStr">
        <is>
          <t>Identidad y acceso</t>
        </is>
      </c>
      <c r="C186" s="18" t="inlineStr">
        <is>
          <t>auth</t>
        </is>
      </c>
      <c r="D186" s="18" t="inlineStr">
        <is>
          <t>user</t>
        </is>
      </c>
      <c r="E186" s="18" t="n">
        <v>390</v>
      </c>
      <c r="F186" s="18" t="inlineStr">
        <is>
          <t>2fa</t>
        </is>
      </c>
      <c r="G186" s="18" t="inlineStr">
        <is>
          <t>boolean</t>
        </is>
      </c>
      <c r="H186" s="18" t="inlineStr">
        <is>
          <t>Sí</t>
        </is>
      </c>
      <c r="I186" s="18" t="inlineStr"/>
      <c r="J186" s="18" t="inlineStr"/>
      <c r="K186" s="18" t="inlineStr"/>
      <c r="L186" s="18" t="inlineStr">
        <is>
          <t>No</t>
        </is>
      </c>
      <c r="M186" s="18" t="inlineStr">
        <is>
          <t>No</t>
        </is>
      </c>
      <c r="N186" s="18" t="inlineStr"/>
      <c r="O186" s="18" t="inlineStr"/>
      <c r="P186" s="18" t="inlineStr"/>
      <c r="Q186" s="18" t="inlineStr">
        <is>
          <t>Regla estructural (redacción revisada)</t>
        </is>
      </c>
      <c r="R186" s="18" t="inlineStr">
        <is>
          <t>Indica si el usuario tiene habilitada la autenticación de dos factores.</t>
        </is>
      </c>
      <c r="S186" s="18" t="inlineStr">
        <is>
          <t>Alta</t>
        </is>
      </c>
      <c r="T186" s="18" t="inlineStr">
        <is>
          <t>Convención de nombre, redactada con el contexto de la tabla y el código.</t>
        </is>
      </c>
      <c r="U186" s="18" t="inlineStr"/>
      <c r="V186" s="19" t="inlineStr">
        <is>
          <t>Aprobada</t>
        </is>
      </c>
      <c r="W186" s="19" t="inlineStr"/>
      <c r="X186" s="19" t="inlineStr">
        <is>
          <t>Aldair González (aprobación en bloque)</t>
        </is>
      </c>
      <c r="Y186" s="20" t="n">
        <v>46321</v>
      </c>
      <c r="Z186" s="19" t="inlineStr">
        <is>
          <t>Nivel 2: regla estructural con redacción revisada.</t>
        </is>
      </c>
      <c r="AA186" s="18">
        <f>IF(OR(V186="Aprobada"),R186,IF(AND(OR(V186="Aprobada con ajuste",V186="Rechazada"),W186&lt;&gt;""),W186,""))</f>
        <v/>
      </c>
    </row>
    <row r="187">
      <c r="A187" s="18" t="inlineStr">
        <is>
          <t>C0186</t>
        </is>
      </c>
      <c r="B187" s="18" t="inlineStr">
        <is>
          <t>Identidad y acceso</t>
        </is>
      </c>
      <c r="C187" s="18" t="inlineStr">
        <is>
          <t>auth</t>
        </is>
      </c>
      <c r="D187" s="18" t="inlineStr">
        <is>
          <t>user</t>
        </is>
      </c>
      <c r="E187" s="18" t="n">
        <v>390</v>
      </c>
      <c r="F187" s="18" t="inlineStr">
        <is>
          <t>public_id</t>
        </is>
      </c>
      <c r="G187" s="18" t="inlineStr">
        <is>
          <t>uuid</t>
        </is>
      </c>
      <c r="H187" s="18" t="inlineStr">
        <is>
          <t>No</t>
        </is>
      </c>
      <c r="I187" s="18" t="inlineStr">
        <is>
          <t>Única</t>
        </is>
      </c>
      <c r="J187" s="18" t="inlineStr"/>
      <c r="K187" s="18" t="inlineStr"/>
      <c r="L187" s="18" t="inlineStr">
        <is>
          <t>No</t>
        </is>
      </c>
      <c r="M187" s="18" t="inlineStr">
        <is>
          <t>No</t>
        </is>
      </c>
      <c r="N187" s="18" t="inlineStr"/>
      <c r="O187" s="18" t="inlineStr">
        <is>
          <t>user_public_id_key</t>
        </is>
      </c>
      <c r="P187" s="18" t="inlineStr">
        <is>
          <t>Mapeada en auth-service/src/users/user.entity.ts:10 (User.public_id)</t>
        </is>
      </c>
      <c r="Q187" s="18" t="inlineStr">
        <is>
          <t>Código fuente (verificado)</t>
        </is>
      </c>
      <c r="R187" s="18" t="inlineStr">
        <is>
          <t>Identificador público (UUID) del usuario, único y generado automáticamente; la API lo expone en lugar de id_user, salvo para servicios internos, y lo usa para buscar al usuario.</t>
        </is>
      </c>
      <c r="S187" s="18" t="inlineStr">
        <is>
          <t>Alta</t>
        </is>
      </c>
      <c r="T187" s="18" t="inlineStr">
        <is>
          <t>backend/auth-service/src/users/user.entity.ts:10-15: uuid único con gen_random_uuid() | backend/auth-service/src/users/users.controller.ts:52: responde public_id salvo servicio interno | backend/auth-service/src/users/users.service.ts:607: búsqueda por public_id | db/migrations/117_add_public_id_to_auth_user.sql: NOT NULL, default y UNIQUE</t>
        </is>
      </c>
      <c r="U187" s="18" t="inlineStr"/>
      <c r="V187" s="19" t="inlineStr">
        <is>
          <t>Aprobada</t>
        </is>
      </c>
      <c r="W187" s="19" t="inlineStr"/>
      <c r="X187" s="19" t="inlineStr">
        <is>
          <t>Aldair González (aprobación en bloque)</t>
        </is>
      </c>
      <c r="Y187" s="20" t="n">
        <v>46321</v>
      </c>
      <c r="Z187" s="19" t="inlineStr">
        <is>
          <t>Nivel 3: verificada con el código de la aplicación.</t>
        </is>
      </c>
      <c r="AA187" s="18">
        <f>IF(OR(V187="Aprobada"),R187,IF(AND(OR(V187="Aprobada con ajuste",V187="Rechazada"),W187&lt;&gt;""),W187,""))</f>
        <v/>
      </c>
    </row>
    <row r="188">
      <c r="A188" s="18" t="inlineStr">
        <is>
          <t>C0187</t>
        </is>
      </c>
      <c r="B188" s="18" t="inlineStr">
        <is>
          <t>Identidad y acceso</t>
        </is>
      </c>
      <c r="C188" s="18" t="inlineStr">
        <is>
          <t>auth</t>
        </is>
      </c>
      <c r="D188" s="18" t="inlineStr">
        <is>
          <t>user</t>
        </is>
      </c>
      <c r="E188" s="18" t="n">
        <v>390</v>
      </c>
      <c r="F188" s="18" t="inlineStr">
        <is>
          <t>signature_otp_context</t>
        </is>
      </c>
      <c r="G188" s="18" t="inlineStr">
        <is>
          <t>character varying(128)</t>
        </is>
      </c>
      <c r="H188" s="18" t="inlineStr">
        <is>
          <t>Sí</t>
        </is>
      </c>
      <c r="I188" s="18" t="inlineStr"/>
      <c r="J188" s="18" t="inlineStr"/>
      <c r="K188" s="18" t="inlineStr"/>
      <c r="L188" s="18" t="inlineStr">
        <is>
          <t>No</t>
        </is>
      </c>
      <c r="M188" s="18" t="inlineStr">
        <is>
          <t>No</t>
        </is>
      </c>
      <c r="N188" s="18" t="inlineStr"/>
      <c r="O188" s="18" t="inlineStr"/>
      <c r="P188" s="18" t="inlineStr">
        <is>
          <t>Mapeada en auth-service/src/users/user.entity.ts:35 (User.signatureOtpContext)</t>
        </is>
      </c>
      <c r="Q188" s="18" t="inlineStr">
        <is>
          <t>Código fuente (verificado)</t>
        </is>
      </c>
      <c r="R188" s="18" t="inlineStr">
        <is>
          <t>Contexto del código de un solo uso (OTP) de firma de documento, con formato paz-y-salvo:&lt;identificador del paz y salvo&gt;:&lt;hash SHA-256 del contenido&gt;. Vacío cuando el código es de recuperación de contraseña; se borra al usar el código.</t>
        </is>
      </c>
      <c r="S188" s="18" t="inlineStr">
        <is>
          <t>Alta</t>
        </is>
      </c>
      <c r="T188" s="18" t="inlineStr">
        <is>
          <t>backend/auth-service/src/auth/dto/request-signature-otp.dto.ts:6: patrón ^paz-y-salvo:[uuid]:[64 hex]$ | backend/travel-expenses-service/src/modules/paz-y-salvo/paz-y-salvo.service.ts:147: contexto = paz-y-salvo:id:contenido_sha256 | backend/auth-service/src/users/users.service.ts:816: se anula si no hay token | backend/auth-service/src/auth/auth.service.ts:143: un código con contexto no sirve para recuperar contraseña</t>
        </is>
      </c>
      <c r="U188" s="18" t="inlineStr"/>
      <c r="V188" s="19" t="inlineStr">
        <is>
          <t>Aprobada</t>
        </is>
      </c>
      <c r="W188" s="19" t="inlineStr"/>
      <c r="X188" s="19" t="inlineStr">
        <is>
          <t>Aldair González (aprobación en bloque)</t>
        </is>
      </c>
      <c r="Y188" s="20" t="n">
        <v>46321</v>
      </c>
      <c r="Z188" s="19" t="inlineStr">
        <is>
          <t>Nivel 3: verificada con el código de la aplicación.</t>
        </is>
      </c>
      <c r="AA188" s="18">
        <f>IF(OR(V188="Aprobada"),R188,IF(AND(OR(V188="Aprobada con ajuste",V188="Rechazada"),W188&lt;&gt;""),W188,""))</f>
        <v/>
      </c>
    </row>
    <row r="189">
      <c r="A189" s="18" t="inlineStr">
        <is>
          <t>C0188</t>
        </is>
      </c>
      <c r="B189" s="18" t="inlineStr">
        <is>
          <t>Identidad y acceso</t>
        </is>
      </c>
      <c r="C189" s="18" t="inlineStr">
        <is>
          <t>auth</t>
        </is>
      </c>
      <c r="D189" s="18" t="inlineStr">
        <is>
          <t>user_roles</t>
        </is>
      </c>
      <c r="E189" s="18" t="n">
        <v>408</v>
      </c>
      <c r="F189" s="18" t="inlineStr">
        <is>
          <t>is_active</t>
        </is>
      </c>
      <c r="G189" s="18" t="inlineStr">
        <is>
          <t>boolean</t>
        </is>
      </c>
      <c r="H189" s="18" t="inlineStr">
        <is>
          <t>Sí</t>
        </is>
      </c>
      <c r="I189" s="18" t="inlineStr"/>
      <c r="J189" s="18" t="inlineStr"/>
      <c r="K189" s="18" t="inlineStr"/>
      <c r="L189" s="18" t="inlineStr">
        <is>
          <t>No</t>
        </is>
      </c>
      <c r="M189" s="18" t="inlineStr">
        <is>
          <t>No</t>
        </is>
      </c>
      <c r="N189" s="18" t="inlineStr"/>
      <c r="O189" s="18" t="inlineStr"/>
      <c r="P189" s="18" t="inlineStr">
        <is>
          <t>Mapeada en auth-service/src/users/user-role.entity.ts:17 (UserRole.is_active) | Validación: IsBoolean, IsOptional</t>
        </is>
      </c>
      <c r="Q189" s="18" t="inlineStr">
        <is>
          <t>Regla estructural (redacción revisada)</t>
        </is>
      </c>
      <c r="R189" s="18" t="inlineStr">
        <is>
          <t>Indica si la asignación del rol al usuario está activa.</t>
        </is>
      </c>
      <c r="S189" s="18" t="inlineStr">
        <is>
          <t>Alta</t>
        </is>
      </c>
      <c r="T189" s="18" t="inlineStr">
        <is>
          <t>Convención de nombre, redactada con el contexto de la tabla y el código.</t>
        </is>
      </c>
      <c r="U189" s="18" t="inlineStr"/>
      <c r="V189" s="19" t="inlineStr">
        <is>
          <t>Aprobada</t>
        </is>
      </c>
      <c r="W189" s="19" t="inlineStr"/>
      <c r="X189" s="19" t="inlineStr">
        <is>
          <t>Aldair González (aprobación en bloque)</t>
        </is>
      </c>
      <c r="Y189" s="20" t="n">
        <v>46321</v>
      </c>
      <c r="Z189" s="19" t="inlineStr">
        <is>
          <t>Nivel 2: regla estructural con redacción revisada.</t>
        </is>
      </c>
      <c r="AA189" s="18">
        <f>IF(OR(V189="Aprobada"),R189,IF(AND(OR(V189="Aprobada con ajuste",V189="Rechazada"),W189&lt;&gt;""),W189,""))</f>
        <v/>
      </c>
    </row>
    <row r="190">
      <c r="A190" s="18" t="inlineStr">
        <is>
          <t>C0189</t>
        </is>
      </c>
      <c r="B190" s="18" t="inlineStr">
        <is>
          <t>Registro académico</t>
        </is>
      </c>
      <c r="C190" s="18" t="inlineStr">
        <is>
          <t>academic_registration</t>
        </is>
      </c>
      <c r="D190" s="18" t="inlineStr">
        <is>
          <t>certificate_template_config</t>
        </is>
      </c>
      <c r="E190" s="18" t="n">
        <v>1</v>
      </c>
      <c r="F190" s="18" t="inlineStr">
        <is>
          <t>institution_logo_url</t>
        </is>
      </c>
      <c r="G190" s="18" t="inlineStr">
        <is>
          <t>text</t>
        </is>
      </c>
      <c r="H190" s="18" t="inlineStr">
        <is>
          <t>Sí</t>
        </is>
      </c>
      <c r="I190" s="18" t="inlineStr"/>
      <c r="J190" s="18" t="inlineStr"/>
      <c r="K190" s="18" t="inlineStr"/>
      <c r="L190" s="18" t="inlineStr">
        <is>
          <t>No</t>
        </is>
      </c>
      <c r="M190" s="18" t="inlineStr">
        <is>
          <t>No</t>
        </is>
      </c>
      <c r="N190" s="18" t="inlineStr"/>
      <c r="O190" s="18" t="inlineStr"/>
      <c r="P190" s="18" t="inlineStr">
        <is>
          <t>academic-registration-service/src/graduation-certificates/template-config.entity.ts:27: Logo institucional | db/migrations/old/042_create_graduation_tables.sql:264: Logo institucional</t>
        </is>
      </c>
      <c r="Q190" s="18" t="inlineStr">
        <is>
          <t>Código fuente</t>
        </is>
      </c>
      <c r="R190" s="18" t="inlineStr">
        <is>
          <t>URL del logo institucional que se muestra en la plantilla del certificado de grado.</t>
        </is>
      </c>
      <c r="S190" s="18" t="inlineStr">
        <is>
          <t>Alta</t>
        </is>
      </c>
      <c r="T190" s="18" t="inlineStr">
        <is>
          <t>código: academic-registration-service/src/graduation-certificates/template-config.entity.ts:27</t>
        </is>
      </c>
      <c r="U190" s="18" t="inlineStr"/>
      <c r="V190" s="19" t="inlineStr">
        <is>
          <t>Aprobada</t>
        </is>
      </c>
      <c r="W190" s="19" t="inlineStr"/>
      <c r="X190" s="19" t="inlineStr">
        <is>
          <t>Aldair González (aprobación en bloque)</t>
        </is>
      </c>
      <c r="Y190" s="20" t="n">
        <v>46321</v>
      </c>
      <c r="Z190" s="19" t="inlineStr">
        <is>
          <t>Nivel 1: propuesta del comentario del desarrollador o de confianza alta, o regla de fecha/responsable/motivo.</t>
        </is>
      </c>
      <c r="AA190" s="18">
        <f>IF(OR(V190="Aprobada"),R190,IF(AND(OR(V190="Aprobada con ajuste",V190="Rechazada"),W190&lt;&gt;""),W190,""))</f>
        <v/>
      </c>
    </row>
    <row r="191">
      <c r="A191" s="18" t="inlineStr">
        <is>
          <t>C0190</t>
        </is>
      </c>
      <c r="B191" s="18" t="inlineStr">
        <is>
          <t>Registro académico</t>
        </is>
      </c>
      <c r="C191" s="18" t="inlineStr">
        <is>
          <t>academic_registration</t>
        </is>
      </c>
      <c r="D191" s="18" t="inlineStr">
        <is>
          <t>certificate_template_config</t>
        </is>
      </c>
      <c r="E191" s="18" t="n">
        <v>1</v>
      </c>
      <c r="F191" s="18" t="inlineStr">
        <is>
          <t>institution_logo_filename</t>
        </is>
      </c>
      <c r="G191" s="18" t="inlineStr">
        <is>
          <t>character varying(255)</t>
        </is>
      </c>
      <c r="H191" s="18" t="inlineStr">
        <is>
          <t>Sí</t>
        </is>
      </c>
      <c r="I191" s="18" t="inlineStr"/>
      <c r="J191" s="18" t="inlineStr"/>
      <c r="K191" s="18" t="inlineStr"/>
      <c r="L191" s="18" t="inlineStr">
        <is>
          <t>No</t>
        </is>
      </c>
      <c r="M191" s="18" t="inlineStr">
        <is>
          <t>No</t>
        </is>
      </c>
      <c r="N191" s="18" t="inlineStr"/>
      <c r="O191" s="18" t="inlineStr"/>
      <c r="P191" s="18" t="inlineStr">
        <is>
          <t>Mapeada en academic-registration-service/src/graduation-certificates/template-config.entity.ts:30 (TemplateConfig.institutionLogoFilename)</t>
        </is>
      </c>
      <c r="Q191" s="18" t="inlineStr">
        <is>
          <t>Propuesta semántica</t>
        </is>
      </c>
      <c r="R191" s="18" t="inlineStr">
        <is>
          <t>Nombre del archivo del logo institucional usado en la plantilla de certificado; acompaña a institution_logo_url.</t>
        </is>
      </c>
      <c r="S191" s="18" t="inlineStr">
        <is>
          <t>Alta</t>
        </is>
      </c>
      <c r="T191" s="18" t="inlineStr">
        <is>
          <t>nombre + tipo + columnas vecinas</t>
        </is>
      </c>
      <c r="U191" s="18" t="inlineStr"/>
      <c r="V191" s="19" t="inlineStr">
        <is>
          <t>Aprobada</t>
        </is>
      </c>
      <c r="W191" s="19" t="inlineStr"/>
      <c r="X191" s="19" t="inlineStr">
        <is>
          <t>Aldair González (aprobación en bloque)</t>
        </is>
      </c>
      <c r="Y191" s="20" t="n">
        <v>46321</v>
      </c>
      <c r="Z191" s="19" t="inlineStr">
        <is>
          <t>Nivel 1: propuesta del comentario del desarrollador o de confianza alta, o regla de fecha/responsable/motivo.</t>
        </is>
      </c>
      <c r="AA191" s="18">
        <f>IF(OR(V191="Aprobada"),R191,IF(AND(OR(V191="Aprobada con ajuste",V191="Rechazada"),W191&lt;&gt;""),W191,""))</f>
        <v/>
      </c>
    </row>
    <row r="192">
      <c r="A192" s="18" t="inlineStr">
        <is>
          <t>C0191</t>
        </is>
      </c>
      <c r="B192" s="18" t="inlineStr">
        <is>
          <t>Registro académico</t>
        </is>
      </c>
      <c r="C192" s="18" t="inlineStr">
        <is>
          <t>academic_registration</t>
        </is>
      </c>
      <c r="D192" s="18" t="inlineStr">
        <is>
          <t>certificate_template_config</t>
        </is>
      </c>
      <c r="E192" s="18" t="n">
        <v>1</v>
      </c>
      <c r="F192" s="18" t="inlineStr">
        <is>
          <t>typography_font</t>
        </is>
      </c>
      <c r="G192" s="18" t="inlineStr">
        <is>
          <t>character varying(100)</t>
        </is>
      </c>
      <c r="H192" s="18" t="inlineStr">
        <is>
          <t>Sí</t>
        </is>
      </c>
      <c r="I192" s="18" t="inlineStr"/>
      <c r="J192" s="18" t="inlineStr"/>
      <c r="K192" s="18" t="inlineStr"/>
      <c r="L192" s="18" t="inlineStr">
        <is>
          <t>No</t>
        </is>
      </c>
      <c r="M192" s="18" t="inlineStr">
        <is>
          <t>No</t>
        </is>
      </c>
      <c r="N192" s="18" t="inlineStr"/>
      <c r="O192" s="18" t="inlineStr"/>
      <c r="P192" s="18" t="inlineStr">
        <is>
          <t>academic-registration-service/src/graduation-certificates/template-config.entity.ts:39: Tipografía | db/migrations/old/042_create_graduation_tables.sql:268: Tipografía</t>
        </is>
      </c>
      <c r="Q192" s="18" t="inlineStr">
        <is>
          <t>Código fuente</t>
        </is>
      </c>
      <c r="R192" s="18" t="inlineStr">
        <is>
          <t>Tipografía (familia de fuentes CSS) del certificado de grado. Valor por defecto: Arial Narrow, Arial, sans-serif.</t>
        </is>
      </c>
      <c r="S192" s="18" t="inlineStr">
        <is>
          <t>Alta</t>
        </is>
      </c>
      <c r="T192" s="18" t="inlineStr">
        <is>
          <t>código: academic-registration-service/src/graduation-certificates/template-config.entity.ts:39</t>
        </is>
      </c>
      <c r="U192" s="18" t="inlineStr"/>
      <c r="V192" s="19" t="inlineStr">
        <is>
          <t>Aprobada</t>
        </is>
      </c>
      <c r="W192" s="19" t="inlineStr"/>
      <c r="X192" s="19" t="inlineStr">
        <is>
          <t>Aldair González (aprobación en bloque)</t>
        </is>
      </c>
      <c r="Y192" s="20" t="n">
        <v>46321</v>
      </c>
      <c r="Z192" s="19" t="inlineStr">
        <is>
          <t>Nivel 1: propuesta del comentario del desarrollador o de confianza alta, o regla de fecha/responsable/motivo.</t>
        </is>
      </c>
      <c r="AA192" s="18">
        <f>IF(OR(V192="Aprobada"),R192,IF(AND(OR(V192="Aprobada con ajuste",V192="Rechazada"),W192&lt;&gt;""),W192,""))</f>
        <v/>
      </c>
    </row>
    <row r="193">
      <c r="A193" s="18" t="inlineStr">
        <is>
          <t>C0192</t>
        </is>
      </c>
      <c r="B193" s="18" t="inlineStr">
        <is>
          <t>Registro académico</t>
        </is>
      </c>
      <c r="C193" s="18" t="inlineStr">
        <is>
          <t>academic_registration</t>
        </is>
      </c>
      <c r="D193" s="18" t="inlineStr">
        <is>
          <t>certificate_template_config</t>
        </is>
      </c>
      <c r="E193" s="18" t="n">
        <v>1</v>
      </c>
      <c r="F193" s="18" t="inlineStr">
        <is>
          <t>certificate_content_html</t>
        </is>
      </c>
      <c r="G193" s="18" t="inlineStr">
        <is>
          <t>text</t>
        </is>
      </c>
      <c r="H193" s="18" t="inlineStr">
        <is>
          <t>No</t>
        </is>
      </c>
      <c r="I193" s="18" t="inlineStr"/>
      <c r="J193" s="18" t="inlineStr"/>
      <c r="K193" s="18" t="inlineStr"/>
      <c r="L193" s="18" t="inlineStr">
        <is>
          <t>No</t>
        </is>
      </c>
      <c r="M193" s="18" t="inlineStr">
        <is>
          <t>No</t>
        </is>
      </c>
      <c r="N193" s="18" t="inlineStr"/>
      <c r="O193" s="18" t="inlineStr"/>
      <c r="P193" s="18" t="inlineStr">
        <is>
          <t>academic-registration-service/src/graduation-certificates/template-config.entity.ts:51: Contenido HTML del certificado | db/migrations/old/042_create_graduation_tables.sql:274: Contenido HTML del certificado</t>
        </is>
      </c>
      <c r="Q193" s="18" t="inlineStr">
        <is>
          <t>Código fuente</t>
        </is>
      </c>
      <c r="R193" s="18" t="inlineStr">
        <is>
          <t>Contenido HTML del certificado de grado.</t>
        </is>
      </c>
      <c r="S193" s="18" t="inlineStr">
        <is>
          <t>Alta</t>
        </is>
      </c>
      <c r="T193" s="18" t="inlineStr">
        <is>
          <t>código: academic-registration-service/src/graduation-certificates/template-config.entity.ts:51</t>
        </is>
      </c>
      <c r="U193" s="18" t="inlineStr"/>
      <c r="V193" s="19" t="inlineStr">
        <is>
          <t>Aprobada</t>
        </is>
      </c>
      <c r="W193" s="19" t="inlineStr"/>
      <c r="X193" s="19" t="inlineStr">
        <is>
          <t>Aldair González (aprobación en bloque)</t>
        </is>
      </c>
      <c r="Y193" s="20" t="n">
        <v>46321</v>
      </c>
      <c r="Z193" s="19" t="inlineStr">
        <is>
          <t>Nivel 1: propuesta del comentario del desarrollador o de confianza alta, o regla de fecha/responsable/motivo.</t>
        </is>
      </c>
      <c r="AA193" s="18">
        <f>IF(OR(V193="Aprobada"),R193,IF(AND(OR(V193="Aprobada con ajuste",V193="Rechazada"),W193&lt;&gt;""),W193,""))</f>
        <v/>
      </c>
    </row>
    <row r="194">
      <c r="A194" s="18" t="inlineStr">
        <is>
          <t>C0193</t>
        </is>
      </c>
      <c r="B194" s="18" t="inlineStr">
        <is>
          <t>Registro académico</t>
        </is>
      </c>
      <c r="C194" s="18" t="inlineStr">
        <is>
          <t>academic_registration</t>
        </is>
      </c>
      <c r="D194" s="18" t="inlineStr">
        <is>
          <t>certificate_template_config</t>
        </is>
      </c>
      <c r="E194" s="18" t="n">
        <v>1</v>
      </c>
      <c r="F194" s="18" t="inlineStr">
        <is>
          <t>version</t>
        </is>
      </c>
      <c r="G194" s="18" t="inlineStr">
        <is>
          <t>character varying(50)</t>
        </is>
      </c>
      <c r="H194" s="18" t="inlineStr">
        <is>
          <t>Sí</t>
        </is>
      </c>
      <c r="I194" s="18" t="inlineStr"/>
      <c r="J194" s="18" t="inlineStr"/>
      <c r="K194" s="18" t="inlineStr"/>
      <c r="L194" s="18" t="inlineStr">
        <is>
          <t>No</t>
        </is>
      </c>
      <c r="M194" s="18" t="inlineStr">
        <is>
          <t>No</t>
        </is>
      </c>
      <c r="N194" s="18" t="inlineStr"/>
      <c r="O194" s="18" t="inlineStr"/>
      <c r="P194" s="18" t="inlineStr">
        <is>
          <t>academic-registration-service/src/graduation-certificates/template-config.entity.ts:55: Versión y estado | db/migrations/old/042_create_graduation_tables.sql:277: Versión y estado</t>
        </is>
      </c>
      <c r="Q194" s="18" t="inlineStr">
        <is>
          <t>Código fuente</t>
        </is>
      </c>
      <c r="R194" s="18" t="inlineStr">
        <is>
          <t>Número de versión de la configuración de la plantilla, en formato semántico; por defecto 1.0.0.</t>
        </is>
      </c>
      <c r="S194" s="18" t="inlineStr">
        <is>
          <t>Alta</t>
        </is>
      </c>
      <c r="T194" s="18" t="inlineStr">
        <is>
          <t>código: academic-registration-service/src/graduation-certificates/template-config.entity.ts:55</t>
        </is>
      </c>
      <c r="U194" s="18" t="inlineStr"/>
      <c r="V194" s="19" t="inlineStr">
        <is>
          <t>Aprobada</t>
        </is>
      </c>
      <c r="W194" s="19" t="inlineStr"/>
      <c r="X194" s="19" t="inlineStr">
        <is>
          <t>Aldair González (aprobación en bloque)</t>
        </is>
      </c>
      <c r="Y194" s="20" t="n">
        <v>46321</v>
      </c>
      <c r="Z194" s="19" t="inlineStr">
        <is>
          <t>Nivel 1: propuesta del comentario del desarrollador o de confianza alta, o regla de fecha/responsable/motivo.</t>
        </is>
      </c>
      <c r="AA194" s="18">
        <f>IF(OR(V194="Aprobada"),R194,IF(AND(OR(V194="Aprobada con ajuste",V194="Rechazada"),W194&lt;&gt;""),W194,""))</f>
        <v/>
      </c>
    </row>
    <row r="195">
      <c r="A195" s="18" t="inlineStr">
        <is>
          <t>C0194</t>
        </is>
      </c>
      <c r="B195" s="18" t="inlineStr">
        <is>
          <t>Registro académico</t>
        </is>
      </c>
      <c r="C195" s="18" t="inlineStr">
        <is>
          <t>academic_registration</t>
        </is>
      </c>
      <c r="D195" s="18" t="inlineStr">
        <is>
          <t>certificate_template_config</t>
        </is>
      </c>
      <c r="E195" s="18" t="n">
        <v>1</v>
      </c>
      <c r="F195" s="18" t="inlineStr">
        <is>
          <t>status</t>
        </is>
      </c>
      <c r="G195" s="18" t="inlineStr">
        <is>
          <t>character varying(50)</t>
        </is>
      </c>
      <c r="H195" s="18" t="inlineStr">
        <is>
          <t>Sí</t>
        </is>
      </c>
      <c r="I195" s="18" t="inlineStr">
        <is>
          <t>CHECK</t>
        </is>
      </c>
      <c r="J195" s="18" t="inlineStr">
        <is>
          <t>draft, published</t>
        </is>
      </c>
      <c r="K195" s="18" t="inlineStr"/>
      <c r="L195" s="18" t="inlineStr">
        <is>
          <t>Sí</t>
        </is>
      </c>
      <c r="M195" s="18" t="inlineStr">
        <is>
          <t>No</t>
        </is>
      </c>
      <c r="N195" s="18" t="inlineStr"/>
      <c r="O195" s="18" t="inlineStr">
        <is>
          <t>idx_template_config_status</t>
        </is>
      </c>
      <c r="P195" s="18" t="inlineStr">
        <is>
          <t>academic-registration-service/src/graduation-certificates/template-config.entity.ts:58: draft, published | db/migrations/old/042_create_graduation_tables.sql:278: draft, published</t>
        </is>
      </c>
      <c r="Q195" s="18" t="inlineStr">
        <is>
          <t>Código fuente</t>
        </is>
      </c>
      <c r="R195" s="18" t="inlineStr">
        <is>
          <t>Estado de publicación de la configuración de la plantilla de certificado. Valores permitidos: draft (borrador), published (publicada); por defecto draft.</t>
        </is>
      </c>
      <c r="S195" s="18" t="inlineStr">
        <is>
          <t>Alta</t>
        </is>
      </c>
      <c r="T195" s="18" t="inlineStr">
        <is>
          <t>código: academic-registration-service/src/graduation-certificates/template-config.entity.ts:58</t>
        </is>
      </c>
      <c r="U195" s="18" t="inlineStr"/>
      <c r="V195" s="19" t="inlineStr">
        <is>
          <t>Aprobada</t>
        </is>
      </c>
      <c r="W195" s="19" t="inlineStr"/>
      <c r="X195" s="19" t="inlineStr">
        <is>
          <t>Aldair González (aprobación en bloque)</t>
        </is>
      </c>
      <c r="Y195" s="20" t="n">
        <v>46321</v>
      </c>
      <c r="Z195" s="19" t="inlineStr">
        <is>
          <t>Nivel 1: propuesta del comentario del desarrollador o de confianza alta, o regla de fecha/responsable/motivo.</t>
        </is>
      </c>
      <c r="AA195" s="18">
        <f>IF(OR(V195="Aprobada"),R195,IF(AND(OR(V195="Aprobada con ajuste",V195="Rechazada"),W195&lt;&gt;""),W195,""))</f>
        <v/>
      </c>
    </row>
    <row r="196">
      <c r="A196" s="18" t="inlineStr">
        <is>
          <t>C0195</t>
        </is>
      </c>
      <c r="B196" s="18" t="inlineStr">
        <is>
          <t>Registro académico</t>
        </is>
      </c>
      <c r="C196" s="18" t="inlineStr">
        <is>
          <t>academic_registration</t>
        </is>
      </c>
      <c r="D196" s="18" t="inlineStr">
        <is>
          <t>certificate_template_config</t>
        </is>
      </c>
      <c r="E196" s="18" t="n">
        <v>1</v>
      </c>
      <c r="F196" s="18" t="inlineStr">
        <is>
          <t>is_active</t>
        </is>
      </c>
      <c r="G196" s="18" t="inlineStr">
        <is>
          <t>boolean</t>
        </is>
      </c>
      <c r="H196" s="18" t="inlineStr">
        <is>
          <t>Sí</t>
        </is>
      </c>
      <c r="I196" s="18" t="inlineStr"/>
      <c r="J196" s="18" t="inlineStr"/>
      <c r="K196" s="18" t="inlineStr"/>
      <c r="L196" s="18" t="inlineStr">
        <is>
          <t>No</t>
        </is>
      </c>
      <c r="M196" s="18" t="inlineStr">
        <is>
          <t>No</t>
        </is>
      </c>
      <c r="N196" s="18" t="inlineStr"/>
      <c r="O196" s="18" t="inlineStr">
        <is>
          <t>idx_template_config_active</t>
        </is>
      </c>
      <c r="P196" s="18" t="inlineStr">
        <is>
          <t>Mapeada en academic-registration-service/src/graduation-certificates/template-config.entity.ts:101 (TemplateConfig.isActive)</t>
        </is>
      </c>
      <c r="Q196" s="18" t="inlineStr">
        <is>
          <t>Regla estructural (redacción revisada)</t>
        </is>
      </c>
      <c r="R196" s="18" t="inlineStr">
        <is>
          <t>Indica si la configuración de la plantilla de certificado está activa.</t>
        </is>
      </c>
      <c r="S196" s="18" t="inlineStr">
        <is>
          <t>Alta</t>
        </is>
      </c>
      <c r="T196" s="18" t="inlineStr">
        <is>
          <t>Convención de nombre, redactada con el contexto de la tabla y el código.</t>
        </is>
      </c>
      <c r="U196" s="18" t="inlineStr"/>
      <c r="V196" s="19" t="inlineStr">
        <is>
          <t>Aprobada</t>
        </is>
      </c>
      <c r="W196" s="19" t="inlineStr"/>
      <c r="X196" s="19" t="inlineStr">
        <is>
          <t>Aldair González (aprobación en bloque)</t>
        </is>
      </c>
      <c r="Y196" s="20" t="n">
        <v>46321</v>
      </c>
      <c r="Z196" s="19" t="inlineStr">
        <is>
          <t>Nivel 2: regla estructural con redacción revisada.</t>
        </is>
      </c>
      <c r="AA196" s="18">
        <f>IF(OR(V196="Aprobada"),R196,IF(AND(OR(V196="Aprobada con ajuste",V196="Rechazada"),W196&lt;&gt;""),W196,""))</f>
        <v/>
      </c>
    </row>
    <row r="197">
      <c r="A197" s="18" t="inlineStr">
        <is>
          <t>C0196</t>
        </is>
      </c>
      <c r="B197" s="18" t="inlineStr">
        <is>
          <t>Registro académico</t>
        </is>
      </c>
      <c r="C197" s="18" t="inlineStr">
        <is>
          <t>academic_registration</t>
        </is>
      </c>
      <c r="D197" s="18" t="inlineStr">
        <is>
          <t>certificate_template_config</t>
        </is>
      </c>
      <c r="E197" s="18" t="n">
        <v>1</v>
      </c>
      <c r="F197" s="18" t="inlineStr">
        <is>
          <t>footer_logo_url</t>
        </is>
      </c>
      <c r="G197" s="18" t="inlineStr">
        <is>
          <t>text</t>
        </is>
      </c>
      <c r="H197" s="18" t="inlineStr">
        <is>
          <t>Sí</t>
        </is>
      </c>
      <c r="I197" s="18" t="inlineStr"/>
      <c r="J197" s="18" t="inlineStr"/>
      <c r="K197" s="18" t="inlineStr"/>
      <c r="L197" s="18" t="inlineStr">
        <is>
          <t>No</t>
        </is>
      </c>
      <c r="M197" s="18" t="inlineStr">
        <is>
          <t>No</t>
        </is>
      </c>
      <c r="N197" s="18" t="inlineStr"/>
      <c r="O197" s="18" t="inlineStr"/>
      <c r="P197" s="18" t="inlineStr">
        <is>
          <t>academic-registration-service/src/graduation-certificates/template-config.entity.ts:62: Logo pie de página (ESAP)</t>
        </is>
      </c>
      <c r="Q197" s="18" t="inlineStr">
        <is>
          <t>Código fuente</t>
        </is>
      </c>
      <c r="R197" s="18" t="inlineStr">
        <is>
          <t>URL del logo del pie de página del certificado (logo de la ESAP).</t>
        </is>
      </c>
      <c r="S197" s="18" t="inlineStr">
        <is>
          <t>Alta</t>
        </is>
      </c>
      <c r="T197" s="18" t="inlineStr">
        <is>
          <t>código: academic-registration-service/src/graduation-certificates/template-config.entity.ts:62</t>
        </is>
      </c>
      <c r="U197" s="18" t="inlineStr"/>
      <c r="V197" s="19" t="inlineStr">
        <is>
          <t>Aprobada</t>
        </is>
      </c>
      <c r="W197" s="19" t="inlineStr"/>
      <c r="X197" s="19" t="inlineStr">
        <is>
          <t>Aldair González (aprobación en bloque)</t>
        </is>
      </c>
      <c r="Y197" s="20" t="n">
        <v>46321</v>
      </c>
      <c r="Z197" s="19" t="inlineStr">
        <is>
          <t>Nivel 1: propuesta del comentario del desarrollador o de confianza alta, o regla de fecha/responsable/motivo.</t>
        </is>
      </c>
      <c r="AA197" s="18">
        <f>IF(OR(V197="Aprobada"),R197,IF(AND(OR(V197="Aprobada con ajuste",V197="Rechazada"),W197&lt;&gt;""),W197,""))</f>
        <v/>
      </c>
    </row>
    <row r="198">
      <c r="A198" s="18" t="inlineStr">
        <is>
          <t>C0197</t>
        </is>
      </c>
      <c r="B198" s="18" t="inlineStr">
        <is>
          <t>Registro académico</t>
        </is>
      </c>
      <c r="C198" s="18" t="inlineStr">
        <is>
          <t>academic_registration</t>
        </is>
      </c>
      <c r="D198" s="18" t="inlineStr">
        <is>
          <t>certificate_template_config</t>
        </is>
      </c>
      <c r="E198" s="18" t="n">
        <v>1</v>
      </c>
      <c r="F198" s="18" t="inlineStr">
        <is>
          <t>footer_logo_filename</t>
        </is>
      </c>
      <c r="G198" s="18" t="inlineStr">
        <is>
          <t>character varying(255)</t>
        </is>
      </c>
      <c r="H198" s="18" t="inlineStr">
        <is>
          <t>Sí</t>
        </is>
      </c>
      <c r="I198" s="18" t="inlineStr"/>
      <c r="J198" s="18" t="inlineStr"/>
      <c r="K198" s="18" t="inlineStr"/>
      <c r="L198" s="18" t="inlineStr">
        <is>
          <t>No</t>
        </is>
      </c>
      <c r="M198" s="18" t="inlineStr">
        <is>
          <t>No</t>
        </is>
      </c>
      <c r="N198" s="18" t="inlineStr"/>
      <c r="O198" s="18" t="inlineStr"/>
      <c r="P198" s="18" t="inlineStr">
        <is>
          <t>Mapeada en academic-registration-service/src/graduation-certificates/template-config.entity.ts:65 (TemplateConfig.footerLogoFilename)</t>
        </is>
      </c>
      <c r="Q198" s="18" t="inlineStr">
        <is>
          <t>Propuesta semántica</t>
        </is>
      </c>
      <c r="R198" s="18" t="inlineStr">
        <is>
          <t>Nombre del archivo del logo del pie de página de la plantilla de certificado; acompaña a footer_logo_url.</t>
        </is>
      </c>
      <c r="S198" s="18" t="inlineStr">
        <is>
          <t>Alta</t>
        </is>
      </c>
      <c r="T198" s="18" t="inlineStr">
        <is>
          <t>nombre + tipo + columnas vecinas</t>
        </is>
      </c>
      <c r="U198" s="18" t="inlineStr"/>
      <c r="V198" s="19" t="inlineStr">
        <is>
          <t>Aprobada</t>
        </is>
      </c>
      <c r="W198" s="19" t="inlineStr"/>
      <c r="X198" s="19" t="inlineStr">
        <is>
          <t>Aldair González (aprobación en bloque)</t>
        </is>
      </c>
      <c r="Y198" s="20" t="n">
        <v>46321</v>
      </c>
      <c r="Z198" s="19" t="inlineStr">
        <is>
          <t>Nivel 1: propuesta del comentario del desarrollador o de confianza alta, o regla de fecha/responsable/motivo.</t>
        </is>
      </c>
      <c r="AA198" s="18">
        <f>IF(OR(V198="Aprobada"),R198,IF(AND(OR(V198="Aprobada con ajuste",V198="Rechazada"),W198&lt;&gt;""),W198,""))</f>
        <v/>
      </c>
    </row>
    <row r="199">
      <c r="A199" s="18" t="inlineStr">
        <is>
          <t>C0198</t>
        </is>
      </c>
      <c r="B199" s="18" t="inlineStr">
        <is>
          <t>Registro académico</t>
        </is>
      </c>
      <c r="C199" s="18" t="inlineStr">
        <is>
          <t>academic_registration</t>
        </is>
      </c>
      <c r="D199" s="18" t="inlineStr">
        <is>
          <t>certificate_validations</t>
        </is>
      </c>
      <c r="E199" s="18" t="n">
        <v>153</v>
      </c>
      <c r="F199" s="18" t="inlineStr">
        <is>
          <t>validation_date</t>
        </is>
      </c>
      <c r="G199" s="18" t="inlineStr">
        <is>
          <t>timestamp without time zone</t>
        </is>
      </c>
      <c r="H199" s="18" t="inlineStr">
        <is>
          <t>Sí</t>
        </is>
      </c>
      <c r="I199" s="18" t="inlineStr"/>
      <c r="J199" s="18" t="inlineStr"/>
      <c r="K199" s="18" t="inlineStr"/>
      <c r="L199" s="18" t="inlineStr">
        <is>
          <t>No</t>
        </is>
      </c>
      <c r="M199" s="18" t="inlineStr">
        <is>
          <t>No</t>
        </is>
      </c>
      <c r="N199" s="18" t="inlineStr"/>
      <c r="O199" s="18" t="inlineStr">
        <is>
          <t>idx_validations_date</t>
        </is>
      </c>
      <c r="P199" s="18" t="inlineStr">
        <is>
          <t>academic-registration-service/src/graduation-certificates/certificate-validation.entity.ts:21: Información de la validación | db/migrations/old/042_create_graduation_tables.sql:203: Información de la validación</t>
        </is>
      </c>
      <c r="Q199" s="18" t="inlineStr">
        <is>
          <t>Código fuente</t>
        </is>
      </c>
      <c r="R199" s="18" t="inlineStr">
        <is>
          <t>Fecha y hora en que se realizó la validación pública del certificado de grado.</t>
        </is>
      </c>
      <c r="S199" s="18" t="inlineStr">
        <is>
          <t>Alta</t>
        </is>
      </c>
      <c r="T199" s="18" t="inlineStr">
        <is>
          <t>código: academic-registration-service/src/graduation-certificates/certificate-validation.entity.ts:21</t>
        </is>
      </c>
      <c r="U199" s="18" t="inlineStr"/>
      <c r="V199" s="19" t="inlineStr">
        <is>
          <t>Aprobada</t>
        </is>
      </c>
      <c r="W199" s="19" t="inlineStr"/>
      <c r="X199" s="19" t="inlineStr">
        <is>
          <t>Aldair González (aprobación en bloque)</t>
        </is>
      </c>
      <c r="Y199" s="20" t="n">
        <v>46321</v>
      </c>
      <c r="Z199" s="19" t="inlineStr">
        <is>
          <t>Nivel 1: propuesta del comentario del desarrollador o de confianza alta, o regla de fecha/responsable/motivo.</t>
        </is>
      </c>
      <c r="AA199" s="18">
        <f>IF(OR(V199="Aprobada"),R199,IF(AND(OR(V199="Aprobada con ajuste",V199="Rechazada"),W199&lt;&gt;""),W199,""))</f>
        <v/>
      </c>
    </row>
    <row r="200">
      <c r="A200" s="18" t="inlineStr">
        <is>
          <t>C0199</t>
        </is>
      </c>
      <c r="B200" s="18" t="inlineStr">
        <is>
          <t>Registro académico</t>
        </is>
      </c>
      <c r="C200" s="18" t="inlineStr">
        <is>
          <t>academic_registration</t>
        </is>
      </c>
      <c r="D200" s="18" t="inlineStr">
        <is>
          <t>certificate_validations</t>
        </is>
      </c>
      <c r="E200" s="18" t="n">
        <v>153</v>
      </c>
      <c r="F200" s="18" t="inlineStr">
        <is>
          <t>ip_address</t>
        </is>
      </c>
      <c r="G200" s="18" t="inlineStr">
        <is>
          <t>character varying(50)</t>
        </is>
      </c>
      <c r="H200" s="18" t="inlineStr">
        <is>
          <t>Sí</t>
        </is>
      </c>
      <c r="I200" s="18" t="inlineStr"/>
      <c r="J200" s="18" t="inlineStr"/>
      <c r="K200" s="18" t="inlineStr"/>
      <c r="L200" s="18" t="inlineStr">
        <is>
          <t>No</t>
        </is>
      </c>
      <c r="M200" s="18" t="inlineStr">
        <is>
          <t>No</t>
        </is>
      </c>
      <c r="N200" s="18" t="inlineStr"/>
      <c r="O200" s="18" t="inlineStr"/>
      <c r="P200" s="18" t="inlineStr">
        <is>
          <t>academic-registration-service/src/graduation-certificates/certificate-validation.entity.ts:25: Datos del validador | db/migrations/old/042_create_graduation_tables.sql:206: Datos del validador</t>
        </is>
      </c>
      <c r="Q200" s="18" t="inlineStr">
        <is>
          <t>Código fuente</t>
        </is>
      </c>
      <c r="R200" s="18" t="inlineStr">
        <is>
          <t>Dirección IP desde la que se realizó la validación del certificado.</t>
        </is>
      </c>
      <c r="S200" s="18" t="inlineStr">
        <is>
          <t>Alta</t>
        </is>
      </c>
      <c r="T200" s="18" t="inlineStr">
        <is>
          <t>código: academic-registration-service/src/graduation-certificates/certificate-validation.entity.ts:25</t>
        </is>
      </c>
      <c r="U200" s="18" t="inlineStr"/>
      <c r="V200" s="19" t="inlineStr">
        <is>
          <t>Aprobada</t>
        </is>
      </c>
      <c r="W200" s="19" t="inlineStr"/>
      <c r="X200" s="19" t="inlineStr">
        <is>
          <t>Aldair González (aprobación en bloque)</t>
        </is>
      </c>
      <c r="Y200" s="20" t="n">
        <v>46321</v>
      </c>
      <c r="Z200" s="19" t="inlineStr">
        <is>
          <t>Nivel 1: propuesta del comentario del desarrollador o de confianza alta, o regla de fecha/responsable/motivo.</t>
        </is>
      </c>
      <c r="AA200" s="18">
        <f>IF(OR(V200="Aprobada"),R200,IF(AND(OR(V200="Aprobada con ajuste",V200="Rechazada"),W200&lt;&gt;""),W200,""))</f>
        <v/>
      </c>
    </row>
    <row r="201">
      <c r="A201" s="18" t="inlineStr">
        <is>
          <t>C0200</t>
        </is>
      </c>
      <c r="B201" s="18" t="inlineStr">
        <is>
          <t>Registro académico</t>
        </is>
      </c>
      <c r="C201" s="18" t="inlineStr">
        <is>
          <t>academic_registration</t>
        </is>
      </c>
      <c r="D201" s="18" t="inlineStr">
        <is>
          <t>certificate_validations</t>
        </is>
      </c>
      <c r="E201" s="18" t="n">
        <v>153</v>
      </c>
      <c r="F201" s="18" t="inlineStr">
        <is>
          <t>user_agent</t>
        </is>
      </c>
      <c r="G201" s="18" t="inlineStr">
        <is>
          <t>text</t>
        </is>
      </c>
      <c r="H201" s="18" t="inlineStr">
        <is>
          <t>Sí</t>
        </is>
      </c>
      <c r="I201" s="18" t="inlineStr"/>
      <c r="J201" s="18" t="inlineStr"/>
      <c r="K201" s="18" t="inlineStr"/>
      <c r="L201" s="18" t="inlineStr">
        <is>
          <t>No</t>
        </is>
      </c>
      <c r="M201" s="18" t="inlineStr">
        <is>
          <t>No</t>
        </is>
      </c>
      <c r="N201" s="18" t="inlineStr"/>
      <c r="O201" s="18" t="inlineStr"/>
      <c r="P201" s="18" t="inlineStr">
        <is>
          <t>Mapeada en academic-registration-service/src/graduation-certificates/certificate-validation.entity.ts:28 (CertificateValidation.userAgent)</t>
        </is>
      </c>
      <c r="Q201" s="18" t="inlineStr">
        <is>
          <t>Regla estructural (redacción revisada)</t>
        </is>
      </c>
      <c r="R201" s="18" t="inlineStr">
        <is>
          <t>Agente de usuario (navegador) desde el que se consultó la validación pública del certificado.</t>
        </is>
      </c>
      <c r="S201" s="18" t="inlineStr">
        <is>
          <t>Alta</t>
        </is>
      </c>
      <c r="T201" s="18" t="inlineStr">
        <is>
          <t>Convención de nombre, redactada con el contexto de la tabla y el código.</t>
        </is>
      </c>
      <c r="U201" s="18" t="inlineStr"/>
      <c r="V201" s="19" t="inlineStr">
        <is>
          <t>Aprobada</t>
        </is>
      </c>
      <c r="W201" s="19" t="inlineStr"/>
      <c r="X201" s="19" t="inlineStr">
        <is>
          <t>Aldair González (aprobación en bloque)</t>
        </is>
      </c>
      <c r="Y201" s="20" t="n">
        <v>46321</v>
      </c>
      <c r="Z201" s="19" t="inlineStr">
        <is>
          <t>Nivel 2: regla estructural con redacción revisada.</t>
        </is>
      </c>
      <c r="AA201" s="18">
        <f>IF(OR(V201="Aprobada"),R201,IF(AND(OR(V201="Aprobada con ajuste",V201="Rechazada"),W201&lt;&gt;""),W201,""))</f>
        <v/>
      </c>
    </row>
    <row r="202">
      <c r="A202" s="18" t="inlineStr">
        <is>
          <t>C0201</t>
        </is>
      </c>
      <c r="B202" s="18" t="inlineStr">
        <is>
          <t>Registro académico</t>
        </is>
      </c>
      <c r="C202" s="18" t="inlineStr">
        <is>
          <t>academic_registration</t>
        </is>
      </c>
      <c r="D202" s="18" t="inlineStr">
        <is>
          <t>certificate_validations</t>
        </is>
      </c>
      <c r="E202" s="18" t="n">
        <v>153</v>
      </c>
      <c r="F202" s="18" t="inlineStr">
        <is>
          <t>location</t>
        </is>
      </c>
      <c r="G202" s="18" t="inlineStr">
        <is>
          <t>character varying(255)</t>
        </is>
      </c>
      <c r="H202" s="18" t="inlineStr">
        <is>
          <t>Sí</t>
        </is>
      </c>
      <c r="I202" s="18" t="inlineStr"/>
      <c r="J202" s="18" t="inlineStr"/>
      <c r="K202" s="18" t="inlineStr"/>
      <c r="L202" s="18" t="inlineStr">
        <is>
          <t>No</t>
        </is>
      </c>
      <c r="M202" s="18" t="inlineStr">
        <is>
          <t>No</t>
        </is>
      </c>
      <c r="N202" s="18" t="inlineStr"/>
      <c r="O202" s="18" t="inlineStr"/>
      <c r="P202" s="18" t="inlineStr">
        <is>
          <t>db/migrations/old/042_create_graduation_tables.sql:208: Ciudad/País si está disponible</t>
        </is>
      </c>
      <c r="Q202" s="18" t="inlineStr">
        <is>
          <t>Código fuente</t>
        </is>
      </c>
      <c r="R202" s="18" t="inlineStr">
        <is>
          <t>Ciudad y país desde donde se realizó la validación, cuando está disponible.</t>
        </is>
      </c>
      <c r="S202" s="18" t="inlineStr">
        <is>
          <t>Alta</t>
        </is>
      </c>
      <c r="T202" s="18" t="inlineStr">
        <is>
          <t>código: db/migrations/old/042_create_graduation_tables.sql:208</t>
        </is>
      </c>
      <c r="U202" s="18" t="inlineStr"/>
      <c r="V202" s="19" t="inlineStr">
        <is>
          <t>Aprobada</t>
        </is>
      </c>
      <c r="W202" s="19" t="inlineStr"/>
      <c r="X202" s="19" t="inlineStr">
        <is>
          <t>Aldair González (aprobación en bloque)</t>
        </is>
      </c>
      <c r="Y202" s="20" t="n">
        <v>46321</v>
      </c>
      <c r="Z202" s="19" t="inlineStr">
        <is>
          <t>Nivel 1: propuesta del comentario del desarrollador o de confianza alta, o regla de fecha/responsable/motivo.</t>
        </is>
      </c>
      <c r="AA202" s="18">
        <f>IF(OR(V202="Aprobada"),R202,IF(AND(OR(V202="Aprobada con ajuste",V202="Rechazada"),W202&lt;&gt;""),W202,""))</f>
        <v/>
      </c>
    </row>
    <row r="203">
      <c r="A203" s="18" t="inlineStr">
        <is>
          <t>C0202</t>
        </is>
      </c>
      <c r="B203" s="18" t="inlineStr">
        <is>
          <t>Registro académico</t>
        </is>
      </c>
      <c r="C203" s="18" t="inlineStr">
        <is>
          <t>academic_registration</t>
        </is>
      </c>
      <c r="D203" s="18" t="inlineStr">
        <is>
          <t>certificate_validations</t>
        </is>
      </c>
      <c r="E203" s="18" t="n">
        <v>153</v>
      </c>
      <c r="F203" s="18" t="inlineStr">
        <is>
          <t>result</t>
        </is>
      </c>
      <c r="G203" s="18" t="inlineStr">
        <is>
          <t>character varying(50)</t>
        </is>
      </c>
      <c r="H203" s="18" t="inlineStr">
        <is>
          <t>No</t>
        </is>
      </c>
      <c r="I203" s="18" t="inlineStr">
        <is>
          <t>CHECK</t>
        </is>
      </c>
      <c r="J203" s="18" t="inlineStr">
        <is>
          <t>EXPIRED, NOT_FOUND, REVOKED, VALID</t>
        </is>
      </c>
      <c r="K203" s="18" t="inlineStr"/>
      <c r="L203" s="18" t="inlineStr">
        <is>
          <t>Sí</t>
        </is>
      </c>
      <c r="M203" s="18" t="inlineStr">
        <is>
          <t>No</t>
        </is>
      </c>
      <c r="N203" s="18" t="inlineStr"/>
      <c r="O203" s="18" t="inlineStr"/>
      <c r="P203" s="18" t="inlineStr">
        <is>
          <t>academic-registration-service/src/graduation-certificates/certificate-validation.entity.ts:35: Resultado de la validación VALID, REVOKED, EXPIRED, NOT_FOUND | db/migrations/old/042_create_graduation_tables.sql:211: Resultado de la validación VALID, REVOKED, EXPIRED, NOT_FOUND</t>
        </is>
      </c>
      <c r="Q203" s="18" t="inlineStr">
        <is>
          <t>Código fuente</t>
        </is>
      </c>
      <c r="R203" s="18" t="inlineStr">
        <is>
          <t>Resultado de la validación pública del certificado. Valores permitidos: VALID, REVOKED, EXPIRED, NOT_FOUND.</t>
        </is>
      </c>
      <c r="S203" s="18" t="inlineStr">
        <is>
          <t>Alta</t>
        </is>
      </c>
      <c r="T203" s="18" t="inlineStr">
        <is>
          <t>código: academic-registration-service/src/graduation-certificates/certificate-validation.entity.ts:35</t>
        </is>
      </c>
      <c r="U203" s="18" t="inlineStr"/>
      <c r="V203" s="19" t="inlineStr">
        <is>
          <t>Aprobada</t>
        </is>
      </c>
      <c r="W203" s="19" t="inlineStr"/>
      <c r="X203" s="19" t="inlineStr">
        <is>
          <t>Aldair González (aprobación en bloque)</t>
        </is>
      </c>
      <c r="Y203" s="20" t="n">
        <v>46321</v>
      </c>
      <c r="Z203" s="19" t="inlineStr">
        <is>
          <t>Nivel 1: propuesta del comentario del desarrollador o de confianza alta, o regla de fecha/responsable/motivo.</t>
        </is>
      </c>
      <c r="AA203" s="18">
        <f>IF(OR(V203="Aprobada"),R203,IF(AND(OR(V203="Aprobada con ajuste",V203="Rechazada"),W203&lt;&gt;""),W203,""))</f>
        <v/>
      </c>
    </row>
    <row r="204">
      <c r="A204" s="18" t="inlineStr">
        <is>
          <t>C0203</t>
        </is>
      </c>
      <c r="B204" s="18" t="inlineStr">
        <is>
          <t>Registro académico</t>
        </is>
      </c>
      <c r="C204" s="18" t="inlineStr">
        <is>
          <t>academic_registration</t>
        </is>
      </c>
      <c r="D204" s="18" t="inlineStr">
        <is>
          <t>graduate_files</t>
        </is>
      </c>
      <c r="E204" s="18" t="n">
        <v>41</v>
      </c>
      <c r="F204" s="18" t="inlineStr">
        <is>
          <t>original_name</t>
        </is>
      </c>
      <c r="G204" s="18" t="inlineStr">
        <is>
          <t>character varying(255)</t>
        </is>
      </c>
      <c r="H204" s="18" t="inlineStr">
        <is>
          <t>No</t>
        </is>
      </c>
      <c r="I204" s="18" t="inlineStr"/>
      <c r="J204" s="18" t="inlineStr"/>
      <c r="K204" s="18" t="inlineStr"/>
      <c r="L204" s="18" t="inlineStr">
        <is>
          <t>No</t>
        </is>
      </c>
      <c r="M204" s="18" t="inlineStr">
        <is>
          <t>No</t>
        </is>
      </c>
      <c r="N204" s="18" t="inlineStr"/>
      <c r="O204" s="18" t="inlineStr"/>
      <c r="P204" s="18" t="inlineStr">
        <is>
          <t>Mapeada en academic-registration-service/src/graduation-certificates/graduate-file.entity.ts:25 (GraduateFile.originalName)</t>
        </is>
      </c>
      <c r="Q204" s="18" t="inlineStr">
        <is>
          <t>Propuesta semántica</t>
        </is>
      </c>
      <c r="R204" s="18" t="inlineStr">
        <is>
          <t>Nombre original del archivo cargado para el graduado, tal como lo subió el usuario.</t>
        </is>
      </c>
      <c r="S204" s="18" t="inlineStr">
        <is>
          <t>Alta</t>
        </is>
      </c>
      <c r="T204" s="18" t="inlineStr">
        <is>
          <t>nombre + tipo + columnas vecinas (stored_name, mime_type)</t>
        </is>
      </c>
      <c r="U204" s="18" t="inlineStr"/>
      <c r="V204" s="19" t="inlineStr">
        <is>
          <t>Aprobada</t>
        </is>
      </c>
      <c r="W204" s="19" t="inlineStr"/>
      <c r="X204" s="19" t="inlineStr">
        <is>
          <t>Aldair González (aprobación en bloque)</t>
        </is>
      </c>
      <c r="Y204" s="20" t="n">
        <v>46321</v>
      </c>
      <c r="Z204" s="19" t="inlineStr">
        <is>
          <t>Nivel 1: propuesta del comentario del desarrollador o de confianza alta, o regla de fecha/responsable/motivo.</t>
        </is>
      </c>
      <c r="AA204" s="18">
        <f>IF(OR(V204="Aprobada"),R204,IF(AND(OR(V204="Aprobada con ajuste",V204="Rechazada"),W204&lt;&gt;""),W204,""))</f>
        <v/>
      </c>
    </row>
    <row r="205">
      <c r="A205" s="18" t="inlineStr">
        <is>
          <t>C0204</t>
        </is>
      </c>
      <c r="B205" s="18" t="inlineStr">
        <is>
          <t>Registro académico</t>
        </is>
      </c>
      <c r="C205" s="18" t="inlineStr">
        <is>
          <t>academic_registration</t>
        </is>
      </c>
      <c r="D205" s="18" t="inlineStr">
        <is>
          <t>graduate_files</t>
        </is>
      </c>
      <c r="E205" s="18" t="n">
        <v>41</v>
      </c>
      <c r="F205" s="18" t="inlineStr">
        <is>
          <t>stored_name</t>
        </is>
      </c>
      <c r="G205" s="18" t="inlineStr">
        <is>
          <t>character varying(255)</t>
        </is>
      </c>
      <c r="H205" s="18" t="inlineStr">
        <is>
          <t>No</t>
        </is>
      </c>
      <c r="I205" s="18" t="inlineStr"/>
      <c r="J205" s="18" t="inlineStr"/>
      <c r="K205" s="18" t="inlineStr"/>
      <c r="L205" s="18" t="inlineStr">
        <is>
          <t>No</t>
        </is>
      </c>
      <c r="M205" s="18" t="inlineStr">
        <is>
          <t>No</t>
        </is>
      </c>
      <c r="N205" s="18" t="inlineStr"/>
      <c r="O205" s="18" t="inlineStr"/>
      <c r="P205" s="18" t="inlineStr">
        <is>
          <t>Mapeada en academic-registration-service/src/graduation-certificates/graduate-file.entity.ts:28 (GraduateFile.storedName)</t>
        </is>
      </c>
      <c r="Q205" s="18" t="inlineStr">
        <is>
          <t>Propuesta semántica</t>
        </is>
      </c>
      <c r="R205" s="18" t="inlineStr">
        <is>
          <t>Nombre con el que se guarda el archivo en el almacenamiento del sistema.</t>
        </is>
      </c>
      <c r="S205" s="18" t="inlineStr">
        <is>
          <t>Alta</t>
        </is>
      </c>
      <c r="T205" s="18" t="inlineStr">
        <is>
          <t>nombre + tipo + columnas vecinas (original_name)</t>
        </is>
      </c>
      <c r="U205" s="18" t="inlineStr"/>
      <c r="V205" s="19" t="inlineStr">
        <is>
          <t>Aprobada</t>
        </is>
      </c>
      <c r="W205" s="19" t="inlineStr"/>
      <c r="X205" s="19" t="inlineStr">
        <is>
          <t>Aldair González (aprobación en bloque)</t>
        </is>
      </c>
      <c r="Y205" s="20" t="n">
        <v>46321</v>
      </c>
      <c r="Z205" s="19" t="inlineStr">
        <is>
          <t>Nivel 1: propuesta del comentario del desarrollador o de confianza alta, o regla de fecha/responsable/motivo.</t>
        </is>
      </c>
      <c r="AA205" s="18">
        <f>IF(OR(V205="Aprobada"),R205,IF(AND(OR(V205="Aprobada con ajuste",V205="Rechazada"),W205&lt;&gt;""),W205,""))</f>
        <v/>
      </c>
    </row>
    <row r="206">
      <c r="A206" s="18" t="inlineStr">
        <is>
          <t>C0205</t>
        </is>
      </c>
      <c r="B206" s="18" t="inlineStr">
        <is>
          <t>Registro académico</t>
        </is>
      </c>
      <c r="C206" s="18" t="inlineStr">
        <is>
          <t>academic_registration</t>
        </is>
      </c>
      <c r="D206" s="18" t="inlineStr">
        <is>
          <t>graduate_files</t>
        </is>
      </c>
      <c r="E206" s="18" t="n">
        <v>41</v>
      </c>
      <c r="F206" s="18" t="inlineStr">
        <is>
          <t>mime_type</t>
        </is>
      </c>
      <c r="G206" s="18" t="inlineStr">
        <is>
          <t>character varying(150)</t>
        </is>
      </c>
      <c r="H206" s="18" t="inlineStr">
        <is>
          <t>No</t>
        </is>
      </c>
      <c r="I206" s="18" t="inlineStr"/>
      <c r="J206" s="18" t="inlineStr"/>
      <c r="K206" s="18" t="inlineStr"/>
      <c r="L206" s="18" t="inlineStr">
        <is>
          <t>No</t>
        </is>
      </c>
      <c r="M206" s="18" t="inlineStr">
        <is>
          <t>No</t>
        </is>
      </c>
      <c r="N206" s="18" t="inlineStr"/>
      <c r="O206" s="18" t="inlineStr"/>
      <c r="P206" s="18" t="inlineStr">
        <is>
          <t>Mapeada en academic-registration-service/src/graduation-certificates/graduate-file.entity.ts:31 (GraduateFile.mimeType)</t>
        </is>
      </c>
      <c r="Q206" s="18" t="inlineStr">
        <is>
          <t>Regla estructural (redacción revisada)</t>
        </is>
      </c>
      <c r="R206" s="18" t="inlineStr">
        <is>
          <t>Tipo MIME del archivo adjunto del graduado.</t>
        </is>
      </c>
      <c r="S206" s="18" t="inlineStr">
        <is>
          <t>Alta</t>
        </is>
      </c>
      <c r="T206" s="18" t="inlineStr">
        <is>
          <t>Convención de nombre, redactada con el contexto de la tabla y el código.</t>
        </is>
      </c>
      <c r="U206" s="18" t="inlineStr"/>
      <c r="V206" s="19" t="inlineStr">
        <is>
          <t>Aprobada</t>
        </is>
      </c>
      <c r="W206" s="19" t="inlineStr"/>
      <c r="X206" s="19" t="inlineStr">
        <is>
          <t>Aldair González (aprobación en bloque)</t>
        </is>
      </c>
      <c r="Y206" s="20" t="n">
        <v>46321</v>
      </c>
      <c r="Z206" s="19" t="inlineStr">
        <is>
          <t>Nivel 2: regla estructural con redacción revisada.</t>
        </is>
      </c>
      <c r="AA206" s="18">
        <f>IF(OR(V206="Aprobada"),R206,IF(AND(OR(V206="Aprobada con ajuste",V206="Rechazada"),W206&lt;&gt;""),W206,""))</f>
        <v/>
      </c>
    </row>
    <row r="207">
      <c r="A207" s="18" t="inlineStr">
        <is>
          <t>C0206</t>
        </is>
      </c>
      <c r="B207" s="18" t="inlineStr">
        <is>
          <t>Registro académico</t>
        </is>
      </c>
      <c r="C207" s="18" t="inlineStr">
        <is>
          <t>academic_registration</t>
        </is>
      </c>
      <c r="D207" s="18" t="inlineStr">
        <is>
          <t>graduate_files</t>
        </is>
      </c>
      <c r="E207" s="18" t="n">
        <v>41</v>
      </c>
      <c r="F207" s="18" t="inlineStr">
        <is>
          <t>size_bytes</t>
        </is>
      </c>
      <c r="G207" s="18" t="inlineStr">
        <is>
          <t>integer</t>
        </is>
      </c>
      <c r="H207" s="18" t="inlineStr">
        <is>
          <t>No</t>
        </is>
      </c>
      <c r="I207" s="18" t="inlineStr"/>
      <c r="J207" s="18" t="inlineStr"/>
      <c r="K207" s="18" t="inlineStr"/>
      <c r="L207" s="18" t="inlineStr">
        <is>
          <t>No</t>
        </is>
      </c>
      <c r="M207" s="18" t="inlineStr">
        <is>
          <t>No</t>
        </is>
      </c>
      <c r="N207" s="18" t="inlineStr"/>
      <c r="O207" s="18" t="inlineStr"/>
      <c r="P207" s="18" t="inlineStr">
        <is>
          <t>Mapeada en academic-registration-service/src/graduation-certificates/graduate-file.entity.ts:34 (GraduateFile.sizeBytes)</t>
        </is>
      </c>
      <c r="Q207" s="18" t="inlineStr">
        <is>
          <t>Regla estructural (redacción revisada)</t>
        </is>
      </c>
      <c r="R207" s="18" t="inlineStr">
        <is>
          <t>Tamaño en bytes del archivo adjunto del graduado.</t>
        </is>
      </c>
      <c r="S207" s="18" t="inlineStr">
        <is>
          <t>Alta</t>
        </is>
      </c>
      <c r="T207" s="18" t="inlineStr">
        <is>
          <t>Convención de nombre, redactada con el contexto de la tabla y el código.</t>
        </is>
      </c>
      <c r="U207" s="18" t="inlineStr"/>
      <c r="V207" s="19" t="inlineStr">
        <is>
          <t>Aprobada</t>
        </is>
      </c>
      <c r="W207" s="19" t="inlineStr"/>
      <c r="X207" s="19" t="inlineStr">
        <is>
          <t>Aldair González (aprobación en bloque)</t>
        </is>
      </c>
      <c r="Y207" s="20" t="n">
        <v>46321</v>
      </c>
      <c r="Z207" s="19" t="inlineStr">
        <is>
          <t>Nivel 2: regla estructural con redacción revisada.</t>
        </is>
      </c>
      <c r="AA207" s="18">
        <f>IF(OR(V207="Aprobada"),R207,IF(AND(OR(V207="Aprobada con ajuste",V207="Rechazada"),W207&lt;&gt;""),W207,""))</f>
        <v/>
      </c>
    </row>
    <row r="208">
      <c r="A208" s="18" t="inlineStr">
        <is>
          <t>C0207</t>
        </is>
      </c>
      <c r="B208" s="18" t="inlineStr">
        <is>
          <t>Registro académico</t>
        </is>
      </c>
      <c r="C208" s="18" t="inlineStr">
        <is>
          <t>academic_registration</t>
        </is>
      </c>
      <c r="D208" s="18" t="inlineStr">
        <is>
          <t>graduate_files</t>
        </is>
      </c>
      <c r="E208" s="18" t="n">
        <v>41</v>
      </c>
      <c r="F208" s="18" t="inlineStr">
        <is>
          <t>uploaded_by</t>
        </is>
      </c>
      <c r="G208" s="18" t="inlineStr">
        <is>
          <t>character varying(255)</t>
        </is>
      </c>
      <c r="H208" s="18" t="inlineStr">
        <is>
          <t>Sí</t>
        </is>
      </c>
      <c r="I208" s="18" t="inlineStr"/>
      <c r="J208" s="18" t="inlineStr"/>
      <c r="K208" s="18" t="inlineStr"/>
      <c r="L208" s="18" t="inlineStr">
        <is>
          <t>No</t>
        </is>
      </c>
      <c r="M208" s="18" t="inlineStr">
        <is>
          <t>No</t>
        </is>
      </c>
      <c r="N208" s="18" t="inlineStr"/>
      <c r="O208" s="18" t="inlineStr"/>
      <c r="P208" s="18" t="inlineStr">
        <is>
          <t>Mapeada en academic-registration-service/src/graduation-certificates/graduate-file.entity.ts:37 (GraduateFile.uploadedBy)</t>
        </is>
      </c>
      <c r="Q208" s="18" t="inlineStr">
        <is>
          <t>Código fuente (verificado)</t>
        </is>
      </c>
      <c r="R208" s="18" t="inlineStr">
        <is>
          <t>Nombre de la persona que cargó el archivo del graduado; en los archivos copiados desde la revisión de una solicitud, nombre del aprobador o del revisor que la envió.</t>
        </is>
      </c>
      <c r="S208" s="18" t="inlineStr">
        <is>
          <t>Alta</t>
        </is>
      </c>
      <c r="T208" s="18" t="inlineStr">
        <is>
          <t>academic-registration-service/src/graduation-certificates/graduates.controller.ts:175: uploadedBy llega en el cuerpo de la carga | academic-registration-service/src/graduation-certificates/graduation-certificates.service.ts:4315: se guarda tal como llega | academic-registration-service/src/graduation-certificates/graduation-certificates.service.ts:5987: al copiar archivos de revisión se pasa approverName o reviewSubmittedByName</t>
        </is>
      </c>
      <c r="U208" s="18" t="inlineStr"/>
      <c r="V208" s="19" t="inlineStr">
        <is>
          <t>Aprobada</t>
        </is>
      </c>
      <c r="W208" s="19" t="inlineStr"/>
      <c r="X208" s="19" t="inlineStr">
        <is>
          <t>Aldair González (aprobación en bloque)</t>
        </is>
      </c>
      <c r="Y208" s="20" t="n">
        <v>46321</v>
      </c>
      <c r="Z208" s="19" t="inlineStr">
        <is>
          <t>Nivel 3: verificada con el código de la aplicación.</t>
        </is>
      </c>
      <c r="AA208" s="18">
        <f>IF(OR(V208="Aprobada"),R208,IF(AND(OR(V208="Aprobada con ajuste",V208="Rechazada"),W208&lt;&gt;""),W208,""))</f>
        <v/>
      </c>
    </row>
    <row r="209">
      <c r="A209" s="18" t="inlineStr">
        <is>
          <t>C0208</t>
        </is>
      </c>
      <c r="B209" s="18" t="inlineStr">
        <is>
          <t>Registro académico</t>
        </is>
      </c>
      <c r="C209" s="18" t="inlineStr">
        <is>
          <t>academic_registration</t>
        </is>
      </c>
      <c r="D209" s="18" t="inlineStr">
        <is>
          <t>graduate_files</t>
        </is>
      </c>
      <c r="E209" s="18" t="n">
        <v>41</v>
      </c>
      <c r="F209" s="18" t="inlineStr">
        <is>
          <t>uploaded_at</t>
        </is>
      </c>
      <c r="G209" s="18" t="inlineStr">
        <is>
          <t>timestamp without time zone</t>
        </is>
      </c>
      <c r="H209" s="18" t="inlineStr">
        <is>
          <t>Sí</t>
        </is>
      </c>
      <c r="I209" s="18" t="inlineStr"/>
      <c r="J209" s="18" t="inlineStr"/>
      <c r="K209" s="18" t="inlineStr"/>
      <c r="L209" s="18" t="inlineStr">
        <is>
          <t>No</t>
        </is>
      </c>
      <c r="M209" s="18" t="inlineStr">
        <is>
          <t>No</t>
        </is>
      </c>
      <c r="N209" s="18" t="inlineStr"/>
      <c r="O209" s="18" t="inlineStr"/>
      <c r="P209" s="18" t="inlineStr">
        <is>
          <t>Mapeada en academic-registration-service/src/graduation-certificates/graduate-file.entity.ts:40 (GraduateFile.uploadedAt)</t>
        </is>
      </c>
      <c r="Q209" s="18" t="inlineStr">
        <is>
          <t>Regla estructural</t>
        </is>
      </c>
      <c r="R209" s="18" t="inlineStr">
        <is>
          <t>Fecha y hora de la carga.</t>
        </is>
      </c>
      <c r="S209" s="18" t="inlineStr">
        <is>
          <t>Media</t>
        </is>
      </c>
      <c r="T209" s="18" t="inlineStr">
        <is>
          <t>Convención de nombre de la columna.</t>
        </is>
      </c>
      <c r="U209" s="18" t="inlineStr"/>
      <c r="V209" s="19" t="inlineStr">
        <is>
          <t>Aprobada</t>
        </is>
      </c>
      <c r="W209" s="19" t="inlineStr"/>
      <c r="X209" s="19" t="inlineStr">
        <is>
          <t>Aldair González (aprobación en bloque)</t>
        </is>
      </c>
      <c r="Y209" s="20" t="n">
        <v>46321</v>
      </c>
      <c r="Z209" s="19" t="inlineStr">
        <is>
          <t>Nivel 1: propuesta del comentario del desarrollador o de confianza alta, o regla de fecha/responsable/motivo.</t>
        </is>
      </c>
      <c r="AA209" s="18">
        <f>IF(OR(V209="Aprobada"),R209,IF(AND(OR(V209="Aprobada con ajuste",V209="Rechazada"),W209&lt;&gt;""),W209,""))</f>
        <v/>
      </c>
    </row>
    <row r="210">
      <c r="A210" s="18" t="inlineStr">
        <is>
          <t>C0209</t>
        </is>
      </c>
      <c r="B210" s="18" t="inlineStr">
        <is>
          <t>Registro académico</t>
        </is>
      </c>
      <c r="C210" s="18" t="inlineStr">
        <is>
          <t>academic_registration</t>
        </is>
      </c>
      <c r="D210" s="18" t="inlineStr">
        <is>
          <t>graduate_program_catalog</t>
        </is>
      </c>
      <c r="E210" s="18" t="n">
        <v>1</v>
      </c>
      <c r="F210" s="18" t="inlineStr">
        <is>
          <t>name</t>
        </is>
      </c>
      <c r="G210" s="18" t="inlineStr">
        <is>
          <t>character varying(255)</t>
        </is>
      </c>
      <c r="H210" s="18" t="inlineStr">
        <is>
          <t>No</t>
        </is>
      </c>
      <c r="I210" s="18" t="inlineStr">
        <is>
          <t>CHECK</t>
        </is>
      </c>
      <c r="J210" s="18" t="inlineStr"/>
      <c r="K210" s="18" t="inlineStr"/>
      <c r="L210" s="18" t="inlineStr">
        <is>
          <t>Sí</t>
        </is>
      </c>
      <c r="M210" s="18" t="inlineStr">
        <is>
          <t>No</t>
        </is>
      </c>
      <c r="N210" s="18" t="inlineStr"/>
      <c r="O210" s="18" t="inlineStr"/>
      <c r="P210" s="18" t="inlineStr">
        <is>
          <t>Mapeada en academic-registration-service/src/graduation-certificates/graduate-program.entity.ts:13 (GraduateProgram.name)</t>
        </is>
      </c>
      <c r="Q210" s="18" t="inlineStr">
        <is>
          <t>Regla estructural (redacción revisada)</t>
        </is>
      </c>
      <c r="R210" s="18" t="inlineStr">
        <is>
          <t>Nombre del programa en el catálogo de programas de graduados.</t>
        </is>
      </c>
      <c r="S210" s="18" t="inlineStr">
        <is>
          <t>Alta</t>
        </is>
      </c>
      <c r="T210" s="18" t="inlineStr">
        <is>
          <t>Convención de nombre, redactada con el contexto de la tabla y el código.</t>
        </is>
      </c>
      <c r="U210" s="18" t="inlineStr"/>
      <c r="V210" s="19" t="inlineStr">
        <is>
          <t>Aprobada</t>
        </is>
      </c>
      <c r="W210" s="19" t="inlineStr"/>
      <c r="X210" s="19" t="inlineStr">
        <is>
          <t>Aldair González (aprobación en bloque)</t>
        </is>
      </c>
      <c r="Y210" s="20" t="n">
        <v>46321</v>
      </c>
      <c r="Z210" s="19" t="inlineStr">
        <is>
          <t>Nivel 2: regla estructural con redacción revisada.</t>
        </is>
      </c>
      <c r="AA210" s="18">
        <f>IF(OR(V210="Aprobada"),R210,IF(AND(OR(V210="Aprobada con ajuste",V210="Rechazada"),W210&lt;&gt;""),W210,""))</f>
        <v/>
      </c>
    </row>
    <row r="211">
      <c r="A211" s="18" t="inlineStr">
        <is>
          <t>C0210</t>
        </is>
      </c>
      <c r="B211" s="18" t="inlineStr">
        <is>
          <t>Registro académico</t>
        </is>
      </c>
      <c r="C211" s="18" t="inlineStr">
        <is>
          <t>academic_registration</t>
        </is>
      </c>
      <c r="D211" s="18" t="inlineStr">
        <is>
          <t>graduate_program_catalog</t>
        </is>
      </c>
      <c r="E211" s="18" t="n">
        <v>1</v>
      </c>
      <c r="F211" s="18" t="inlineStr">
        <is>
          <t>normalized_name</t>
        </is>
      </c>
      <c r="G211" s="18" t="inlineStr">
        <is>
          <t>character varying(255)</t>
        </is>
      </c>
      <c r="H211" s="18" t="inlineStr">
        <is>
          <t>No</t>
        </is>
      </c>
      <c r="I211" s="18" t="inlineStr">
        <is>
          <t>Única, CHECK</t>
        </is>
      </c>
      <c r="J211" s="18" t="inlineStr"/>
      <c r="K211" s="18" t="inlineStr"/>
      <c r="L211" s="18" t="inlineStr">
        <is>
          <t>Sí</t>
        </is>
      </c>
      <c r="M211" s="18" t="inlineStr">
        <is>
          <t>No</t>
        </is>
      </c>
      <c r="N211" s="18" t="inlineStr"/>
      <c r="O211" s="18" t="inlineStr">
        <is>
          <t>graduate_program_catalog_normalized_name_key</t>
        </is>
      </c>
      <c r="P211" s="18" t="inlineStr">
        <is>
          <t>Mapeada en academic-registration-service/src/graduation-certificates/graduate-program.entity.ts:16 (GraduateProgram.normalizedName)</t>
        </is>
      </c>
      <c r="Q211" s="18" t="inlineStr">
        <is>
          <t>Código fuente (verificado)</t>
        </is>
      </c>
      <c r="R211" s="18" t="inlineStr">
        <is>
          <t>Clave normalizada del nombre del programa, única en el catálogo: mayúsculas en español, sin caracteres de control, sin tildes, en minúsculas, con todo carácter no alfanumérico convertido en espacio y espacios repetidos reducidos a uno.</t>
        </is>
      </c>
      <c r="S211" s="18" t="inlineStr">
        <is>
          <t>Alta</t>
        </is>
      </c>
      <c r="T211" s="18" t="inlineStr">
        <is>
          <t>academic-registration-service/src/graduation-certificates/graduate-programs.service.ts:35: normalizeDisplayName (NFC, quita control, colapsa espacios, mayúsculas es-CO) | academic-registration-service/src/graduation-certificates/graduate-programs.service.ts:44: normalizeKey (quita tildes, minúsculas, [^a-z0-9] a espacio) | academic-registration-service/src/graduation-certificates/graduate-programs.service.ts:59: normalizedName = normalizeKey(name) | academic-registration-service/src/graduation-certificates/graduate-program.entity.ts:16: unique</t>
        </is>
      </c>
      <c r="U211" s="18" t="inlineStr"/>
      <c r="V211" s="19" t="inlineStr">
        <is>
          <t>Aprobada</t>
        </is>
      </c>
      <c r="W211" s="19" t="inlineStr"/>
      <c r="X211" s="19" t="inlineStr">
        <is>
          <t>Aldair González (aprobación en bloque)</t>
        </is>
      </c>
      <c r="Y211" s="20" t="n">
        <v>46321</v>
      </c>
      <c r="Z211" s="19" t="inlineStr">
        <is>
          <t>Nivel 3: verificada con el código de la aplicación.</t>
        </is>
      </c>
      <c r="AA211" s="18">
        <f>IF(OR(V211="Aprobada"),R211,IF(AND(OR(V211="Aprobada con ajuste",V211="Rechazada"),W211&lt;&gt;""),W211,""))</f>
        <v/>
      </c>
    </row>
    <row r="212">
      <c r="A212" s="18" t="inlineStr">
        <is>
          <t>C0211</t>
        </is>
      </c>
      <c r="B212" s="18" t="inlineStr">
        <is>
          <t>Registro académico</t>
        </is>
      </c>
      <c r="C212" s="18" t="inlineStr">
        <is>
          <t>academic_registration</t>
        </is>
      </c>
      <c r="D212" s="18" t="inlineStr">
        <is>
          <t>graduates</t>
        </is>
      </c>
      <c r="E212" s="18" t="n">
        <v>10429</v>
      </c>
      <c r="F212" s="18" t="inlineStr">
        <is>
          <t>person_id</t>
        </is>
      </c>
      <c r="G212" s="18" t="inlineStr">
        <is>
          <t>uuid</t>
        </is>
      </c>
      <c r="H212" s="18" t="inlineStr">
        <is>
          <t>No</t>
        </is>
      </c>
      <c r="I212" s="18" t="inlineStr"/>
      <c r="J212" s="18" t="inlineStr"/>
      <c r="K212" s="18" t="inlineStr"/>
      <c r="L212" s="18" t="inlineStr">
        <is>
          <t>No</t>
        </is>
      </c>
      <c r="M212" s="18" t="inlineStr">
        <is>
          <t>No</t>
        </is>
      </c>
      <c r="N212" s="18" t="inlineStr"/>
      <c r="O212" s="18" t="inlineStr">
        <is>
          <t>idx_graduates_person_id</t>
        </is>
      </c>
      <c r="P212" s="18" t="inlineStr">
        <is>
          <t>academic-registration-service/src/graduation-certificates/graduate.entity.ts:19: Información personal | db/migrations/old/042_create_graduation_tables.sql:20: Información personal FK a auth_service.persons</t>
        </is>
      </c>
      <c r="Q212" s="18" t="inlineStr">
        <is>
          <t>Código fuente (verificado)</t>
        </is>
      </c>
      <c r="R212" s="18" t="inlineStr">
        <is>
          <t>Identificador UUID de la persona graduada; el servicio lo genera al azar al crear el graduado y no lo enlaza con la tabla de personas de autenticación.</t>
        </is>
      </c>
      <c r="S212" s="18" t="inlineStr">
        <is>
          <t>Alta</t>
        </is>
      </c>
      <c r="T212" s="18" t="inlineStr">
        <is>
          <t>academic-registration-service/src/graduation-certificates/graduation-certificates.service.ts:633: payload.personId = randomUUID() en la sincronización | academic-registration-service/src/graduation-certificates/graduation-certificates.service.ts:2282: randomUUID() en la creación manual o masiva | academic-registration-service/src/graduation-certificates/graduation-certificates.service.ts:6230: randomUUID() al aprobar una revisión manual</t>
        </is>
      </c>
      <c r="U212" s="18" t="inlineStr"/>
      <c r="V212" s="19" t="inlineStr">
        <is>
          <t>Aprobada</t>
        </is>
      </c>
      <c r="W212" s="19" t="inlineStr"/>
      <c r="X212" s="19" t="inlineStr">
        <is>
          <t>Aldair González (aprobación en bloque)</t>
        </is>
      </c>
      <c r="Y212" s="20" t="n">
        <v>46321</v>
      </c>
      <c r="Z212" s="19" t="inlineStr">
        <is>
          <t>Nivel 3: verificada con el código de la aplicación.</t>
        </is>
      </c>
      <c r="AA212" s="18">
        <f>IF(OR(V212="Aprobada"),R212,IF(AND(OR(V212="Aprobada con ajuste",V212="Rechazada"),W212&lt;&gt;""),W212,""))</f>
        <v/>
      </c>
    </row>
    <row r="213">
      <c r="A213" s="18" t="inlineStr">
        <is>
          <t>C0212</t>
        </is>
      </c>
      <c r="B213" s="18" t="inlineStr">
        <is>
          <t>Registro académico</t>
        </is>
      </c>
      <c r="C213" s="18" t="inlineStr">
        <is>
          <t>academic_registration</t>
        </is>
      </c>
      <c r="D213" s="18" t="inlineStr">
        <is>
          <t>graduates</t>
        </is>
      </c>
      <c r="E213" s="18" t="n">
        <v>10429</v>
      </c>
      <c r="F213" s="18" t="inlineStr">
        <is>
          <t>full_name</t>
        </is>
      </c>
      <c r="G213" s="18" t="inlineStr">
        <is>
          <t>character varying(255)</t>
        </is>
      </c>
      <c r="H213" s="18" t="inlineStr">
        <is>
          <t>No</t>
        </is>
      </c>
      <c r="I213" s="18" t="inlineStr">
        <is>
          <t>CHECK</t>
        </is>
      </c>
      <c r="J213" s="18" t="inlineStr"/>
      <c r="K213" s="18" t="inlineStr"/>
      <c r="L213" s="18" t="inlineStr">
        <is>
          <t>No</t>
        </is>
      </c>
      <c r="M213" s="18" t="inlineStr">
        <is>
          <t>Sí</t>
        </is>
      </c>
      <c r="N213" s="18" t="inlineStr">
        <is>
          <t>Trigger trg_validate_graduate_management_update</t>
        </is>
      </c>
      <c r="O213" s="18" t="inlineStr"/>
      <c r="P213" s="18" t="inlineStr">
        <is>
          <t>Mapeada en academic-registration-service/src/graduation-certificates/graduate.entity.ts:22 (Graduate.fullName)</t>
        </is>
      </c>
      <c r="Q213" s="18" t="inlineStr">
        <is>
          <t>Propuesta semántica</t>
        </is>
      </c>
      <c r="R213" s="18" t="inlineStr">
        <is>
          <t>Nombre completo del graduado.</t>
        </is>
      </c>
      <c r="S213" s="18" t="inlineStr">
        <is>
          <t>Alta</t>
        </is>
      </c>
      <c r="T213" s="18" t="inlineStr">
        <is>
          <t>nombre + tipo + columnas vecinas</t>
        </is>
      </c>
      <c r="U213" s="18" t="inlineStr"/>
      <c r="V213" s="19" t="inlineStr">
        <is>
          <t>Aprobada</t>
        </is>
      </c>
      <c r="W213" s="19" t="inlineStr"/>
      <c r="X213" s="19" t="inlineStr">
        <is>
          <t>Aldair González (aprobación en bloque)</t>
        </is>
      </c>
      <c r="Y213" s="20" t="n">
        <v>46321</v>
      </c>
      <c r="Z213" s="19" t="inlineStr">
        <is>
          <t>Nivel 1: propuesta del comentario del desarrollador o de confianza alta, o regla de fecha/responsable/motivo.</t>
        </is>
      </c>
      <c r="AA213" s="18">
        <f>IF(OR(V213="Aprobada"),R213,IF(AND(OR(V213="Aprobada con ajuste",V213="Rechazada"),W213&lt;&gt;""),W213,""))</f>
        <v/>
      </c>
    </row>
    <row r="214">
      <c r="A214" s="18" t="inlineStr">
        <is>
          <t>C0213</t>
        </is>
      </c>
      <c r="B214" s="18" t="inlineStr">
        <is>
          <t>Registro académico</t>
        </is>
      </c>
      <c r="C214" s="18" t="inlineStr">
        <is>
          <t>academic_registration</t>
        </is>
      </c>
      <c r="D214" s="18" t="inlineStr">
        <is>
          <t>graduates</t>
        </is>
      </c>
      <c r="E214" s="18" t="n">
        <v>10429</v>
      </c>
      <c r="F214" s="18" t="inlineStr">
        <is>
          <t>id_number</t>
        </is>
      </c>
      <c r="G214" s="18" t="inlineStr">
        <is>
          <t>character varying(50)</t>
        </is>
      </c>
      <c r="H214" s="18" t="inlineStr">
        <is>
          <t>No</t>
        </is>
      </c>
      <c r="I214" s="18" t="inlineStr">
        <is>
          <t>CHECK</t>
        </is>
      </c>
      <c r="J214" s="18" t="inlineStr"/>
      <c r="K214" s="18" t="inlineStr"/>
      <c r="L214" s="18" t="inlineStr">
        <is>
          <t>No</t>
        </is>
      </c>
      <c r="M214" s="18" t="inlineStr">
        <is>
          <t>Sí</t>
        </is>
      </c>
      <c r="N214" s="18" t="inlineStr">
        <is>
          <t>Trigger trg_validate_graduate_management_update</t>
        </is>
      </c>
      <c r="O214" s="18" t="inlineStr">
        <is>
          <t>graduates_id_number_program_name_key, idx_graduates_id_number</t>
        </is>
      </c>
      <c r="P214" s="18" t="inlineStr">
        <is>
          <t>Mapeada en academic-registration-service/src/graduation-certificates/graduate.entity.ts:31 (Graduate.idNumber)</t>
        </is>
      </c>
      <c r="Q214" s="18" t="inlineStr">
        <is>
          <t>Propuesta semántica</t>
        </is>
      </c>
      <c r="R214" s="18" t="inlineStr">
        <is>
          <t>Número del documento de identidad del graduado; junto con program_name identifica de forma única el registro.</t>
        </is>
      </c>
      <c r="S214" s="18" t="inlineStr">
        <is>
          <t>Alta</t>
        </is>
      </c>
      <c r="T214" s="18" t="inlineStr">
        <is>
          <t>nombre + tipo + columnas vecinas + índice único (id_number, program_name)</t>
        </is>
      </c>
      <c r="U214" s="18" t="inlineStr"/>
      <c r="V214" s="19" t="inlineStr">
        <is>
          <t>Aprobada</t>
        </is>
      </c>
      <c r="W214" s="19" t="inlineStr"/>
      <c r="X214" s="19" t="inlineStr">
        <is>
          <t>Aldair González (aprobación en bloque)</t>
        </is>
      </c>
      <c r="Y214" s="20" t="n">
        <v>46321</v>
      </c>
      <c r="Z214" s="19" t="inlineStr">
        <is>
          <t>Nivel 1: propuesta del comentario del desarrollador o de confianza alta, o regla de fecha/responsable/motivo.</t>
        </is>
      </c>
      <c r="AA214" s="18">
        <f>IF(OR(V214="Aprobada"),R214,IF(AND(OR(V214="Aprobada con ajuste",V214="Rechazada"),W214&lt;&gt;""),W214,""))</f>
        <v/>
      </c>
    </row>
    <row r="215">
      <c r="A215" s="18" t="inlineStr">
        <is>
          <t>C0214</t>
        </is>
      </c>
      <c r="B215" s="18" t="inlineStr">
        <is>
          <t>Registro académico</t>
        </is>
      </c>
      <c r="C215" s="18" t="inlineStr">
        <is>
          <t>academic_registration</t>
        </is>
      </c>
      <c r="D215" s="18" t="inlineStr">
        <is>
          <t>graduates</t>
        </is>
      </c>
      <c r="E215" s="18" t="n">
        <v>10429</v>
      </c>
      <c r="F215" s="18" t="inlineStr">
        <is>
          <t>email</t>
        </is>
      </c>
      <c r="G215" s="18" t="inlineStr">
        <is>
          <t>character varying(255)</t>
        </is>
      </c>
      <c r="H215" s="18" t="inlineStr">
        <is>
          <t>Sí</t>
        </is>
      </c>
      <c r="I215" s="18" t="inlineStr">
        <is>
          <t>CHECK</t>
        </is>
      </c>
      <c r="J215" s="18" t="inlineStr"/>
      <c r="K215" s="18" t="inlineStr"/>
      <c r="L215" s="18" t="inlineStr">
        <is>
          <t>No</t>
        </is>
      </c>
      <c r="M215" s="18" t="inlineStr">
        <is>
          <t>Sí</t>
        </is>
      </c>
      <c r="N215" s="18" t="inlineStr">
        <is>
          <t>Trigger trg_validate_graduate_management_update</t>
        </is>
      </c>
      <c r="O215" s="18" t="inlineStr"/>
      <c r="P215" s="18" t="inlineStr">
        <is>
          <t>Mapeada en academic-registration-service/src/graduation-certificates/graduate.entity.ts:37 (Graduate.email)</t>
        </is>
      </c>
      <c r="Q215" s="18" t="inlineStr">
        <is>
          <t>Regla estructural (redacción revisada)</t>
        </is>
      </c>
      <c r="R215" s="18" t="inlineStr">
        <is>
          <t>Correo electrónico del graduado.</t>
        </is>
      </c>
      <c r="S215" s="18" t="inlineStr">
        <is>
          <t>Alta</t>
        </is>
      </c>
      <c r="T215" s="18" t="inlineStr">
        <is>
          <t>Convención de nombre, redactada con el contexto de la tabla y el código.</t>
        </is>
      </c>
      <c r="U215" s="18" t="inlineStr"/>
      <c r="V215" s="19" t="inlineStr">
        <is>
          <t>Aprobada</t>
        </is>
      </c>
      <c r="W215" s="19" t="inlineStr"/>
      <c r="X215" s="19" t="inlineStr">
        <is>
          <t>Aldair González (aprobación en bloque)</t>
        </is>
      </c>
      <c r="Y215" s="20" t="n">
        <v>46321</v>
      </c>
      <c r="Z215" s="19" t="inlineStr">
        <is>
          <t>Nivel 2: regla estructural con redacción revisada.</t>
        </is>
      </c>
      <c r="AA215" s="18">
        <f>IF(OR(V215="Aprobada"),R215,IF(AND(OR(V215="Aprobada con ajuste",V215="Rechazada"),W215&lt;&gt;""),W215,""))</f>
        <v/>
      </c>
    </row>
    <row r="216">
      <c r="A216" s="18" t="inlineStr">
        <is>
          <t>C0215</t>
        </is>
      </c>
      <c r="B216" s="18" t="inlineStr">
        <is>
          <t>Registro académico</t>
        </is>
      </c>
      <c r="C216" s="18" t="inlineStr">
        <is>
          <t>academic_registration</t>
        </is>
      </c>
      <c r="D216" s="18" t="inlineStr">
        <is>
          <t>graduates</t>
        </is>
      </c>
      <c r="E216" s="18" t="n">
        <v>10429</v>
      </c>
      <c r="F216" s="18" t="inlineStr">
        <is>
          <t>phone</t>
        </is>
      </c>
      <c r="G216" s="18" t="inlineStr">
        <is>
          <t>character varying(50)</t>
        </is>
      </c>
      <c r="H216" s="18" t="inlineStr">
        <is>
          <t>Sí</t>
        </is>
      </c>
      <c r="I216" s="18" t="inlineStr"/>
      <c r="J216" s="18" t="inlineStr"/>
      <c r="K216" s="18" t="inlineStr"/>
      <c r="L216" s="18" t="inlineStr">
        <is>
          <t>No</t>
        </is>
      </c>
      <c r="M216" s="18" t="inlineStr">
        <is>
          <t>No</t>
        </is>
      </c>
      <c r="N216" s="18" t="inlineStr"/>
      <c r="O216" s="18" t="inlineStr"/>
      <c r="P216" s="18" t="inlineStr">
        <is>
          <t>Mapeada en academic-registration-service/src/graduation-certificates/graduate.entity.ts:40 (Graduate.phone)</t>
        </is>
      </c>
      <c r="Q216" s="18" t="inlineStr">
        <is>
          <t>Propuesta semántica</t>
        </is>
      </c>
      <c r="R216" s="18" t="inlineStr">
        <is>
          <t>Número de teléfono de contacto del graduado.</t>
        </is>
      </c>
      <c r="S216" s="18" t="inlineStr">
        <is>
          <t>Alta</t>
        </is>
      </c>
      <c r="T216" s="18" t="inlineStr">
        <is>
          <t>nombre + tipo + columnas vecinas</t>
        </is>
      </c>
      <c r="U216" s="18" t="inlineStr"/>
      <c r="V216" s="19" t="inlineStr">
        <is>
          <t>Aprobada</t>
        </is>
      </c>
      <c r="W216" s="19" t="inlineStr"/>
      <c r="X216" s="19" t="inlineStr">
        <is>
          <t>Aldair González (aprobación en bloque)</t>
        </is>
      </c>
      <c r="Y216" s="20" t="n">
        <v>46321</v>
      </c>
      <c r="Z216" s="19" t="inlineStr">
        <is>
          <t>Nivel 1: propuesta del comentario del desarrollador o de confianza alta, o regla de fecha/responsable/motivo.</t>
        </is>
      </c>
      <c r="AA216" s="18">
        <f>IF(OR(V216="Aprobada"),R216,IF(AND(OR(V216="Aprobada con ajuste",V216="Rechazada"),W216&lt;&gt;""),W216,""))</f>
        <v/>
      </c>
    </row>
    <row r="217">
      <c r="A217" s="18" t="inlineStr">
        <is>
          <t>C0216</t>
        </is>
      </c>
      <c r="B217" s="18" t="inlineStr">
        <is>
          <t>Registro académico</t>
        </is>
      </c>
      <c r="C217" s="18" t="inlineStr">
        <is>
          <t>academic_registration</t>
        </is>
      </c>
      <c r="D217" s="18" t="inlineStr">
        <is>
          <t>graduates</t>
        </is>
      </c>
      <c r="E217" s="18" t="n">
        <v>10429</v>
      </c>
      <c r="F217" s="18" t="inlineStr">
        <is>
          <t>program_id</t>
        </is>
      </c>
      <c r="G217" s="18" t="inlineStr">
        <is>
          <t>uuid</t>
        </is>
      </c>
      <c r="H217" s="18" t="inlineStr">
        <is>
          <t>No</t>
        </is>
      </c>
      <c r="I217" s="18" t="inlineStr"/>
      <c r="J217" s="18" t="inlineStr"/>
      <c r="K217" s="18" t="inlineStr"/>
      <c r="L217" s="18" t="inlineStr">
        <is>
          <t>No</t>
        </is>
      </c>
      <c r="M217" s="18" t="inlineStr">
        <is>
          <t>No</t>
        </is>
      </c>
      <c r="N217" s="18" t="inlineStr"/>
      <c r="O217" s="18" t="inlineStr">
        <is>
          <t>idx_graduates_program_id</t>
        </is>
      </c>
      <c r="P217" s="18" t="inlineStr">
        <is>
          <t>academic-registration-service/src/graduation-certificates/graduate.entity.ts:44: Información académica | db/migrations/old/042_create_graduation_tables.sql:27: Información académica FK a auth_service.programas_academicos</t>
        </is>
      </c>
      <c r="Q217" s="18" t="inlineStr">
        <is>
          <t>Código fuente</t>
        </is>
      </c>
      <c r="R217" s="18" t="inlineStr">
        <is>
          <t>Identificador del programa académico cursado por el graduado; según el código, referencia a auth.programas_academicos.</t>
        </is>
      </c>
      <c r="S217" s="18" t="inlineStr">
        <is>
          <t>Alta</t>
        </is>
      </c>
      <c r="T217" s="18" t="inlineStr">
        <is>
          <t>código: db/migrations/old/042_create_graduation_tables.sql:27</t>
        </is>
      </c>
      <c r="U217" s="18" t="inlineStr"/>
      <c r="V217" s="19" t="inlineStr">
        <is>
          <t>Aprobada</t>
        </is>
      </c>
      <c r="W217" s="19" t="inlineStr"/>
      <c r="X217" s="19" t="inlineStr">
        <is>
          <t>Aldair González (aprobación en bloque)</t>
        </is>
      </c>
      <c r="Y217" s="20" t="n">
        <v>46321</v>
      </c>
      <c r="Z217" s="19" t="inlineStr">
        <is>
          <t>Nivel 1: propuesta del comentario del desarrollador o de confianza alta, o regla de fecha/responsable/motivo.</t>
        </is>
      </c>
      <c r="AA217" s="18">
        <f>IF(OR(V217="Aprobada"),R217,IF(AND(OR(V217="Aprobada con ajuste",V217="Rechazada"),W217&lt;&gt;""),W217,""))</f>
        <v/>
      </c>
    </row>
    <row r="218">
      <c r="A218" s="18" t="inlineStr">
        <is>
          <t>C0217</t>
        </is>
      </c>
      <c r="B218" s="18" t="inlineStr">
        <is>
          <t>Registro académico</t>
        </is>
      </c>
      <c r="C218" s="18" t="inlineStr">
        <is>
          <t>academic_registration</t>
        </is>
      </c>
      <c r="D218" s="18" t="inlineStr">
        <is>
          <t>graduates</t>
        </is>
      </c>
      <c r="E218" s="18" t="n">
        <v>10429</v>
      </c>
      <c r="F218" s="18" t="inlineStr">
        <is>
          <t>program_name</t>
        </is>
      </c>
      <c r="G218" s="18" t="inlineStr">
        <is>
          <t>character varying(255)</t>
        </is>
      </c>
      <c r="H218" s="18" t="inlineStr">
        <is>
          <t>No</t>
        </is>
      </c>
      <c r="I218" s="18" t="inlineStr"/>
      <c r="J218" s="18" t="inlineStr"/>
      <c r="K218" s="18" t="inlineStr"/>
      <c r="L218" s="18" t="inlineStr">
        <is>
          <t>No</t>
        </is>
      </c>
      <c r="M218" s="18" t="inlineStr">
        <is>
          <t>No</t>
        </is>
      </c>
      <c r="N218" s="18" t="inlineStr"/>
      <c r="O218" s="18" t="inlineStr">
        <is>
          <t>graduates_id_number_program_name_key</t>
        </is>
      </c>
      <c r="P218" s="18" t="inlineStr">
        <is>
          <t>Mapeada en academic-registration-service/src/graduation-certificates/graduate.entity.ts:47 (Graduate.programName)</t>
        </is>
      </c>
      <c r="Q218" s="18" t="inlineStr">
        <is>
          <t>Propuesta semántica</t>
        </is>
      </c>
      <c r="R218" s="18" t="inlineStr">
        <is>
          <t>Nombre del programa académico del que se graduó la persona.</t>
        </is>
      </c>
      <c r="S218" s="18" t="inlineStr">
        <is>
          <t>Alta</t>
        </is>
      </c>
      <c r="T218" s="18" t="inlineStr">
        <is>
          <t>nombre + tipo + columnas vecinas + índice único (id_number, program_name)</t>
        </is>
      </c>
      <c r="U218" s="18" t="inlineStr"/>
      <c r="V218" s="19" t="inlineStr">
        <is>
          <t>Aprobada</t>
        </is>
      </c>
      <c r="W218" s="19" t="inlineStr"/>
      <c r="X218" s="19" t="inlineStr">
        <is>
          <t>Aldair González (aprobación en bloque)</t>
        </is>
      </c>
      <c r="Y218" s="20" t="n">
        <v>46321</v>
      </c>
      <c r="Z218" s="19" t="inlineStr">
        <is>
          <t>Nivel 1: propuesta del comentario del desarrollador o de confianza alta, o regla de fecha/responsable/motivo.</t>
        </is>
      </c>
      <c r="AA218" s="18">
        <f>IF(OR(V218="Aprobada"),R218,IF(AND(OR(V218="Aprobada con ajuste",V218="Rechazada"),W218&lt;&gt;""),W218,""))</f>
        <v/>
      </c>
    </row>
    <row r="219">
      <c r="A219" s="18" t="inlineStr">
        <is>
          <t>C0218</t>
        </is>
      </c>
      <c r="B219" s="18" t="inlineStr">
        <is>
          <t>Registro académico</t>
        </is>
      </c>
      <c r="C219" s="18" t="inlineStr">
        <is>
          <t>academic_registration</t>
        </is>
      </c>
      <c r="D219" s="18" t="inlineStr">
        <is>
          <t>graduates</t>
        </is>
      </c>
      <c r="E219" s="18" t="n">
        <v>10429</v>
      </c>
      <c r="F219" s="18" t="inlineStr">
        <is>
          <t>program_type</t>
        </is>
      </c>
      <c r="G219" s="18" t="inlineStr">
        <is>
          <t>character varying(50)</t>
        </is>
      </c>
      <c r="H219" s="18" t="inlineStr">
        <is>
          <t>No</t>
        </is>
      </c>
      <c r="I219" s="18" t="inlineStr"/>
      <c r="J219" s="18" t="inlineStr"/>
      <c r="K219" s="18" t="inlineStr"/>
      <c r="L219" s="18" t="inlineStr">
        <is>
          <t>No</t>
        </is>
      </c>
      <c r="M219" s="18" t="inlineStr">
        <is>
          <t>No</t>
        </is>
      </c>
      <c r="N219" s="18" t="inlineStr"/>
      <c r="O219" s="18" t="inlineStr"/>
      <c r="P219" s="18" t="inlineStr">
        <is>
          <t>academic-registration-service/src/graduation-certificates/graduate.entity.ts:50: 'Pregrado', 'Especialización', 'Maestría' | db/migrations/old/042_create_graduation_tables.sql:29: 'Pregrado', 'Especialización', 'Maestría'</t>
        </is>
      </c>
      <c r="Q219" s="18" t="inlineStr">
        <is>
          <t>Código fuente</t>
        </is>
      </c>
      <c r="R219" s="18" t="inlineStr">
        <is>
          <t>Tipo de programa académico del que se graduó la persona, por ejemplo Pregrado, Especialización o Maestría.</t>
        </is>
      </c>
      <c r="S219" s="18" t="inlineStr">
        <is>
          <t>Alta</t>
        </is>
      </c>
      <c r="T219" s="18" t="inlineStr">
        <is>
          <t>código: academic-registration-service/src/graduation-certificates/graduate.entity.ts:50</t>
        </is>
      </c>
      <c r="U219" s="18" t="inlineStr"/>
      <c r="V219" s="19" t="inlineStr">
        <is>
          <t>Aprobada</t>
        </is>
      </c>
      <c r="W219" s="19" t="inlineStr"/>
      <c r="X219" s="19" t="inlineStr">
        <is>
          <t>Aldair González (aprobación en bloque)</t>
        </is>
      </c>
      <c r="Y219" s="20" t="n">
        <v>46321</v>
      </c>
      <c r="Z219" s="19" t="inlineStr">
        <is>
          <t>Nivel 1: propuesta del comentario del desarrollador o de confianza alta, o regla de fecha/responsable/motivo.</t>
        </is>
      </c>
      <c r="AA219" s="18">
        <f>IF(OR(V219="Aprobada"),R219,IF(AND(OR(V219="Aprobada con ajuste",V219="Rechazada"),W219&lt;&gt;""),W219,""))</f>
        <v/>
      </c>
    </row>
    <row r="220">
      <c r="A220" s="18" t="inlineStr">
        <is>
          <t>C0219</t>
        </is>
      </c>
      <c r="B220" s="18" t="inlineStr">
        <is>
          <t>Registro académico</t>
        </is>
      </c>
      <c r="C220" s="18" t="inlineStr">
        <is>
          <t>academic_registration</t>
        </is>
      </c>
      <c r="D220" s="18" t="inlineStr">
        <is>
          <t>graduates</t>
        </is>
      </c>
      <c r="E220" s="18" t="n">
        <v>10429</v>
      </c>
      <c r="F220" s="18" t="inlineStr">
        <is>
          <t>enrollment_date</t>
        </is>
      </c>
      <c r="G220" s="18" t="inlineStr">
        <is>
          <t>date</t>
        </is>
      </c>
      <c r="H220" s="18" t="inlineStr">
        <is>
          <t>Sí</t>
        </is>
      </c>
      <c r="I220" s="18" t="inlineStr"/>
      <c r="J220" s="18" t="inlineStr"/>
      <c r="K220" s="18" t="inlineStr"/>
      <c r="L220" s="18" t="inlineStr">
        <is>
          <t>No</t>
        </is>
      </c>
      <c r="M220" s="18" t="inlineStr">
        <is>
          <t>No</t>
        </is>
      </c>
      <c r="N220" s="18" t="inlineStr"/>
      <c r="O220" s="18" t="inlineStr"/>
      <c r="P220" s="18" t="inlineStr">
        <is>
          <t>academic-registration-service/src/graduation-certificates/graduate.entity.ts:54: Fechas importantes | db/migrations/old/042_create_graduation_tables.sql:32: Fechas importantes</t>
        </is>
      </c>
      <c r="Q220" s="18" t="inlineStr">
        <is>
          <t>Código fuente (verificado)</t>
        </is>
      </c>
      <c r="R220" s="18" t="inlineStr">
        <is>
          <t>Fecha de ingreso registrada para el graduado; si no se digita, el servicio asigna la fecha de grado (sincronización) o la fecha de creación del registro.</t>
        </is>
      </c>
      <c r="S220" s="18" t="inlineStr">
        <is>
          <t>Media</t>
        </is>
      </c>
      <c r="T220" s="18" t="inlineStr">
        <is>
          <t>academic-registration-service/src/graduation-certificates/graduation-certificates.service.ts:635: enrollmentDate = graduationDate en la sincronización | academic-registration-service/src/graduation-certificates/graduation-certificates.service.ts:2192: valor digitado o fecha actual | academic-registration-service/src/graduation-certificates/graduation-certificates.service.ts:6225: fecha actual al aprobar una revisión manual</t>
        </is>
      </c>
      <c r="U220" s="18" t="inlineStr">
        <is>
          <t>¿enrollment_date debe ser la fecha de inscripción, de admisión o de primera matrícula? Hoy el código la llena con la fecha de grado o con la fecha de creación cuando no se digita.</t>
        </is>
      </c>
      <c r="V220" s="19" t="inlineStr">
        <is>
          <t>Aprobada</t>
        </is>
      </c>
      <c r="W220" s="19" t="inlineStr"/>
      <c r="X220" s="19" t="inlineStr">
        <is>
          <t>Aldair González (validación del responsable de BD)</t>
        </is>
      </c>
      <c r="Y220" s="20" t="n">
        <v>46321</v>
      </c>
      <c r="Z220" s="19" t="inlineStr">
        <is>
          <t>Nivel 3: validada por decisión del responsable de la base de datos. Pregunta registrada para desarrollo: ¿enrollment_date debe ser la fecha de inscripción, de admisión o de primera matrícula? Hoy el código la llena con la fecha de grado o con la fecha de creación cuando no se digita.</t>
        </is>
      </c>
      <c r="AA220" s="18">
        <f>IF(OR(V220="Aprobada"),R220,IF(AND(OR(V220="Aprobada con ajuste",V220="Rechazada"),W220&lt;&gt;""),W220,""))</f>
        <v/>
      </c>
    </row>
    <row r="221">
      <c r="A221" s="18" t="inlineStr">
        <is>
          <t>C0220</t>
        </is>
      </c>
      <c r="B221" s="18" t="inlineStr">
        <is>
          <t>Registro académico</t>
        </is>
      </c>
      <c r="C221" s="18" t="inlineStr">
        <is>
          <t>academic_registration</t>
        </is>
      </c>
      <c r="D221" s="18" t="inlineStr">
        <is>
          <t>graduates</t>
        </is>
      </c>
      <c r="E221" s="18" t="n">
        <v>10429</v>
      </c>
      <c r="F221" s="18" t="inlineStr">
        <is>
          <t>graduation_date</t>
        </is>
      </c>
      <c r="G221" s="18" t="inlineStr">
        <is>
          <t>date</t>
        </is>
      </c>
      <c r="H221" s="18" t="inlineStr">
        <is>
          <t>No</t>
        </is>
      </c>
      <c r="I221" s="18" t="inlineStr"/>
      <c r="J221" s="18" t="inlineStr"/>
      <c r="K221" s="18" t="inlineStr"/>
      <c r="L221" s="18" t="inlineStr">
        <is>
          <t>No</t>
        </is>
      </c>
      <c r="M221" s="18" t="inlineStr">
        <is>
          <t>No</t>
        </is>
      </c>
      <c r="N221" s="18" t="inlineStr"/>
      <c r="O221" s="18" t="inlineStr">
        <is>
          <t>idx_graduates_graduation_date</t>
        </is>
      </c>
      <c r="P221" s="18" t="inlineStr">
        <is>
          <t>Mapeada en academic-registration-service/src/graduation-certificates/graduate.entity.ts:57 (Graduate.graduationDate)</t>
        </is>
      </c>
      <c r="Q221" s="18" t="inlineStr">
        <is>
          <t>Propuesta semántica</t>
        </is>
      </c>
      <c r="R221" s="18" t="inlineStr">
        <is>
          <t>Fecha de graduación del estudiante.</t>
        </is>
      </c>
      <c r="S221" s="18" t="inlineStr">
        <is>
          <t>Alta</t>
        </is>
      </c>
      <c r="T221" s="18" t="inlineStr">
        <is>
          <t>nombre + tipo + columnas vecinas</t>
        </is>
      </c>
      <c r="U221" s="18" t="inlineStr"/>
      <c r="V221" s="19" t="inlineStr">
        <is>
          <t>Aprobada</t>
        </is>
      </c>
      <c r="W221" s="19" t="inlineStr"/>
      <c r="X221" s="19" t="inlineStr">
        <is>
          <t>Aldair González (aprobación en bloque)</t>
        </is>
      </c>
      <c r="Y221" s="20" t="n">
        <v>46321</v>
      </c>
      <c r="Z221" s="19" t="inlineStr">
        <is>
          <t>Nivel 1: propuesta del comentario del desarrollador o de confianza alta, o regla de fecha/responsable/motivo.</t>
        </is>
      </c>
      <c r="AA221" s="18">
        <f>IF(OR(V221="Aprobada"),R221,IF(AND(OR(V221="Aprobada con ajuste",V221="Rechazada"),W221&lt;&gt;""),W221,""))</f>
        <v/>
      </c>
    </row>
    <row r="222">
      <c r="A222" s="18" t="inlineStr">
        <is>
          <t>C0221</t>
        </is>
      </c>
      <c r="B222" s="18" t="inlineStr">
        <is>
          <t>Registro académico</t>
        </is>
      </c>
      <c r="C222" s="18" t="inlineStr">
        <is>
          <t>academic_registration</t>
        </is>
      </c>
      <c r="D222" s="18" t="inlineStr">
        <is>
          <t>graduates</t>
        </is>
      </c>
      <c r="E222" s="18" t="n">
        <v>10429</v>
      </c>
      <c r="F222" s="18" t="inlineStr">
        <is>
          <t>ceremony_date</t>
        </is>
      </c>
      <c r="G222" s="18" t="inlineStr">
        <is>
          <t>date</t>
        </is>
      </c>
      <c r="H222" s="18" t="inlineStr">
        <is>
          <t>Sí</t>
        </is>
      </c>
      <c r="I222" s="18" t="inlineStr"/>
      <c r="J222" s="18" t="inlineStr"/>
      <c r="K222" s="18" t="inlineStr"/>
      <c r="L222" s="18" t="inlineStr">
        <is>
          <t>No</t>
        </is>
      </c>
      <c r="M222" s="18" t="inlineStr">
        <is>
          <t>No</t>
        </is>
      </c>
      <c r="N222" s="18" t="inlineStr"/>
      <c r="O222" s="18" t="inlineStr"/>
      <c r="P222" s="18" t="inlineStr">
        <is>
          <t>Mapeada en academic-registration-service/src/graduation-certificates/graduate.entity.ts:60 (Graduate.ceremonyDate)</t>
        </is>
      </c>
      <c r="Q222" s="18" t="inlineStr">
        <is>
          <t>Propuesta semántica</t>
        </is>
      </c>
      <c r="R222" s="18" t="inlineStr">
        <is>
          <t>Fecha de la ceremonia de grado.</t>
        </is>
      </c>
      <c r="S222" s="18" t="inlineStr">
        <is>
          <t>Alta</t>
        </is>
      </c>
      <c r="T222" s="18" t="inlineStr">
        <is>
          <t>nombre + tipo + columnas vecinas (graduation_date)</t>
        </is>
      </c>
      <c r="U222" s="18" t="inlineStr"/>
      <c r="V222" s="19" t="inlineStr">
        <is>
          <t>Aprobada</t>
        </is>
      </c>
      <c r="W222" s="19" t="inlineStr"/>
      <c r="X222" s="19" t="inlineStr">
        <is>
          <t>Aldair González (aprobación en bloque)</t>
        </is>
      </c>
      <c r="Y222" s="20" t="n">
        <v>46321</v>
      </c>
      <c r="Z222" s="19" t="inlineStr">
        <is>
          <t>Nivel 1: propuesta del comentario del desarrollador o de confianza alta, o regla de fecha/responsable/motivo.</t>
        </is>
      </c>
      <c r="AA222" s="18">
        <f>IF(OR(V222="Aprobada"),R222,IF(AND(OR(V222="Aprobada con ajuste",V222="Rechazada"),W222&lt;&gt;""),W222,""))</f>
        <v/>
      </c>
    </row>
    <row r="223">
      <c r="A223" s="18" t="inlineStr">
        <is>
          <t>C0222</t>
        </is>
      </c>
      <c r="B223" s="18" t="inlineStr">
        <is>
          <t>Registro académico</t>
        </is>
      </c>
      <c r="C223" s="18" t="inlineStr">
        <is>
          <t>academic_registration</t>
        </is>
      </c>
      <c r="D223" s="18" t="inlineStr">
        <is>
          <t>graduates</t>
        </is>
      </c>
      <c r="E223" s="18" t="n">
        <v>10429</v>
      </c>
      <c r="F223" s="18" t="inlineStr">
        <is>
          <t>degree_title</t>
        </is>
      </c>
      <c r="G223" s="18" t="inlineStr">
        <is>
          <t>character varying(255)</t>
        </is>
      </c>
      <c r="H223" s="18" t="inlineStr">
        <is>
          <t>No</t>
        </is>
      </c>
      <c r="I223" s="18" t="inlineStr"/>
      <c r="J223" s="18" t="inlineStr"/>
      <c r="K223" s="18" t="inlineStr"/>
      <c r="L223" s="18" t="inlineStr">
        <is>
          <t>No</t>
        </is>
      </c>
      <c r="M223" s="18" t="inlineStr">
        <is>
          <t>No</t>
        </is>
      </c>
      <c r="N223" s="18" t="inlineStr"/>
      <c r="O223" s="18" t="inlineStr"/>
      <c r="P223" s="18" t="inlineStr">
        <is>
          <t>academic-registration-service/src/graduation-certificates/graduate.entity.ts:64: Información del título | db/migrations/old/042_create_graduation_tables.sql:37: Información del título ej: "Administrador Público"</t>
        </is>
      </c>
      <c r="Q223" s="18" t="inlineStr">
        <is>
          <t>Código fuente</t>
        </is>
      </c>
      <c r="R223" s="18" t="inlineStr">
        <is>
          <t>Título académico otorgado al graduado (por ejemplo, «Administrador Público»).</t>
        </is>
      </c>
      <c r="S223" s="18" t="inlineStr">
        <is>
          <t>Alta</t>
        </is>
      </c>
      <c r="T223" s="18" t="inlineStr">
        <is>
          <t>código: db/migrations/old/042_create_graduation_tables.sql:37</t>
        </is>
      </c>
      <c r="U223" s="18" t="inlineStr"/>
      <c r="V223" s="19" t="inlineStr">
        <is>
          <t>Aprobada</t>
        </is>
      </c>
      <c r="W223" s="19" t="inlineStr"/>
      <c r="X223" s="19" t="inlineStr">
        <is>
          <t>Aldair González (aprobación en bloque)</t>
        </is>
      </c>
      <c r="Y223" s="20" t="n">
        <v>46321</v>
      </c>
      <c r="Z223" s="19" t="inlineStr">
        <is>
          <t>Nivel 1: propuesta del comentario del desarrollador o de confianza alta, o regla de fecha/responsable/motivo.</t>
        </is>
      </c>
      <c r="AA223" s="18">
        <f>IF(OR(V223="Aprobada"),R223,IF(AND(OR(V223="Aprobada con ajuste",V223="Rechazada"),W223&lt;&gt;""),W223,""))</f>
        <v/>
      </c>
    </row>
    <row r="224">
      <c r="A224" s="18" t="inlineStr">
        <is>
          <t>C0223</t>
        </is>
      </c>
      <c r="B224" s="18" t="inlineStr">
        <is>
          <t>Registro académico</t>
        </is>
      </c>
      <c r="C224" s="18" t="inlineStr">
        <is>
          <t>academic_registration</t>
        </is>
      </c>
      <c r="D224" s="18" t="inlineStr">
        <is>
          <t>graduates</t>
        </is>
      </c>
      <c r="E224" s="18" t="n">
        <v>10429</v>
      </c>
      <c r="F224" s="18" t="inlineStr">
        <is>
          <t>diploma_number</t>
        </is>
      </c>
      <c r="G224" s="18" t="inlineStr">
        <is>
          <t>character varying(100)</t>
        </is>
      </c>
      <c r="H224" s="18" t="inlineStr">
        <is>
          <t>Sí</t>
        </is>
      </c>
      <c r="I224" s="18" t="inlineStr">
        <is>
          <t>Única</t>
        </is>
      </c>
      <c r="J224" s="18" t="inlineStr"/>
      <c r="K224" s="18" t="inlineStr"/>
      <c r="L224" s="18" t="inlineStr">
        <is>
          <t>No</t>
        </is>
      </c>
      <c r="M224" s="18" t="inlineStr">
        <is>
          <t>No</t>
        </is>
      </c>
      <c r="N224" s="18" t="inlineStr"/>
      <c r="O224" s="18" t="inlineStr">
        <is>
          <t>graduates_diploma_number_key, idx_graduates_diploma_number</t>
        </is>
      </c>
      <c r="P224" s="18" t="inlineStr">
        <is>
          <t>Mapeada en academic-registration-service/src/graduation-certificates/graduate.entity.ts:67 (Graduate.diplomaNumber)</t>
        </is>
      </c>
      <c r="Q224" s="18" t="inlineStr">
        <is>
          <t>Propuesta semántica</t>
        </is>
      </c>
      <c r="R224" s="18" t="inlineStr">
        <is>
          <t>Número del diploma otorgado al graduado; valor único.</t>
        </is>
      </c>
      <c r="S224" s="18" t="inlineStr">
        <is>
          <t>Alta</t>
        </is>
      </c>
      <c r="T224" s="18" t="inlineStr">
        <is>
          <t>nombre + tipo + columnas vecinas + restricción única</t>
        </is>
      </c>
      <c r="U224" s="18" t="inlineStr"/>
      <c r="V224" s="19" t="inlineStr">
        <is>
          <t>Aprobada</t>
        </is>
      </c>
      <c r="W224" s="19" t="inlineStr"/>
      <c r="X224" s="19" t="inlineStr">
        <is>
          <t>Aldair González (aprobación en bloque)</t>
        </is>
      </c>
      <c r="Y224" s="20" t="n">
        <v>46321</v>
      </c>
      <c r="Z224" s="19" t="inlineStr">
        <is>
          <t>Nivel 1: propuesta del comentario del desarrollador o de confianza alta, o regla de fecha/responsable/motivo.</t>
        </is>
      </c>
      <c r="AA224" s="18">
        <f>IF(OR(V224="Aprobada"),R224,IF(AND(OR(V224="Aprobada con ajuste",V224="Rechazada"),W224&lt;&gt;""),W224,""))</f>
        <v/>
      </c>
    </row>
    <row r="225">
      <c r="A225" s="18" t="inlineStr">
        <is>
          <t>C0224</t>
        </is>
      </c>
      <c r="B225" s="18" t="inlineStr">
        <is>
          <t>Registro académico</t>
        </is>
      </c>
      <c r="C225" s="18" t="inlineStr">
        <is>
          <t>academic_registration</t>
        </is>
      </c>
      <c r="D225" s="18" t="inlineStr">
        <is>
          <t>graduates</t>
        </is>
      </c>
      <c r="E225" s="18" t="n">
        <v>10429</v>
      </c>
      <c r="F225" s="18" t="inlineStr">
        <is>
          <t>resolution_number</t>
        </is>
      </c>
      <c r="G225" s="18" t="inlineStr">
        <is>
          <t>character varying(100)</t>
        </is>
      </c>
      <c r="H225" s="18" t="inlineStr">
        <is>
          <t>Sí</t>
        </is>
      </c>
      <c r="I225" s="18" t="inlineStr"/>
      <c r="J225" s="18" t="inlineStr"/>
      <c r="K225" s="18" t="inlineStr"/>
      <c r="L225" s="18" t="inlineStr">
        <is>
          <t>No</t>
        </is>
      </c>
      <c r="M225" s="18" t="inlineStr">
        <is>
          <t>No</t>
        </is>
      </c>
      <c r="N225" s="18" t="inlineStr"/>
      <c r="O225" s="18" t="inlineStr"/>
      <c r="P225" s="18" t="inlineStr">
        <is>
          <t>db/migrations/old/042_create_graduation_tables.sql:40: Resolución que otorga el título</t>
        </is>
      </c>
      <c r="Q225" s="18" t="inlineStr">
        <is>
          <t>Código fuente</t>
        </is>
      </c>
      <c r="R225" s="18" t="inlineStr">
        <is>
          <t>Número de la resolución que otorga el título.</t>
        </is>
      </c>
      <c r="S225" s="18" t="inlineStr">
        <is>
          <t>Alta</t>
        </is>
      </c>
      <c r="T225" s="18" t="inlineStr">
        <is>
          <t>código: db/migrations/old/042_create_graduation_tables.sql:40</t>
        </is>
      </c>
      <c r="U225" s="18" t="inlineStr"/>
      <c r="V225" s="19" t="inlineStr">
        <is>
          <t>Aprobada</t>
        </is>
      </c>
      <c r="W225" s="19" t="inlineStr"/>
      <c r="X225" s="19" t="inlineStr">
        <is>
          <t>Aldair González (aprobación en bloque)</t>
        </is>
      </c>
      <c r="Y225" s="20" t="n">
        <v>46321</v>
      </c>
      <c r="Z225" s="19" t="inlineStr">
        <is>
          <t>Nivel 1: propuesta del comentario del desarrollador o de confianza alta, o regla de fecha/responsable/motivo.</t>
        </is>
      </c>
      <c r="AA225" s="18">
        <f>IF(OR(V225="Aprobada"),R225,IF(AND(OR(V225="Aprobada con ajuste",V225="Rechazada"),W225&lt;&gt;""),W225,""))</f>
        <v/>
      </c>
    </row>
    <row r="226">
      <c r="A226" s="18" t="inlineStr">
        <is>
          <t>C0225</t>
        </is>
      </c>
      <c r="B226" s="18" t="inlineStr">
        <is>
          <t>Registro académico</t>
        </is>
      </c>
      <c r="C226" s="18" t="inlineStr">
        <is>
          <t>academic_registration</t>
        </is>
      </c>
      <c r="D226" s="18" t="inlineStr">
        <is>
          <t>graduates</t>
        </is>
      </c>
      <c r="E226" s="18" t="n">
        <v>10429</v>
      </c>
      <c r="F226" s="18" t="inlineStr">
        <is>
          <t>status</t>
        </is>
      </c>
      <c r="G226" s="18" t="inlineStr">
        <is>
          <t>character varying(50)</t>
        </is>
      </c>
      <c r="H226" s="18" t="inlineStr">
        <is>
          <t>Sí</t>
        </is>
      </c>
      <c r="I226" s="18" t="inlineStr">
        <is>
          <t>CHECK</t>
        </is>
      </c>
      <c r="J226" s="18" t="inlineStr">
        <is>
          <t>ACTIVE, REVOKED, SUSPENDED</t>
        </is>
      </c>
      <c r="K226" s="18" t="inlineStr"/>
      <c r="L226" s="18" t="inlineStr">
        <is>
          <t>Sí</t>
        </is>
      </c>
      <c r="M226" s="18" t="inlineStr">
        <is>
          <t>No</t>
        </is>
      </c>
      <c r="N226" s="18" t="inlineStr"/>
      <c r="O226" s="18" t="inlineStr"/>
      <c r="P226" s="18" t="inlineStr">
        <is>
          <t>academic-registration-service/src/graduation-certificates/graduate.entity.ts:118: Estado y validación ACTIVE, REVOKED, SUSPENDED | db/migrations/old/042_create_graduation_tables.sql:43: Estado y validación ACTIVE, REVOKED, SUSPENDED</t>
        </is>
      </c>
      <c r="Q226" s="18" t="inlineStr">
        <is>
          <t>Código fuente</t>
        </is>
      </c>
      <c r="R226" s="18" t="inlineStr">
        <is>
          <t>Estado del registro del graduado. Valores permitidos: ACTIVE, REVOKED, SUSPENDED; por defecto ACTIVE.</t>
        </is>
      </c>
      <c r="S226" s="18" t="inlineStr">
        <is>
          <t>Alta</t>
        </is>
      </c>
      <c r="T226" s="18" t="inlineStr">
        <is>
          <t>código: academic-registration-service/src/graduation-certificates/graduate.entity.ts:118</t>
        </is>
      </c>
      <c r="U226" s="18" t="inlineStr"/>
      <c r="V226" s="19" t="inlineStr">
        <is>
          <t>Aprobada</t>
        </is>
      </c>
      <c r="W226" s="19" t="inlineStr"/>
      <c r="X226" s="19" t="inlineStr">
        <is>
          <t>Aldair González (aprobación en bloque)</t>
        </is>
      </c>
      <c r="Y226" s="20" t="n">
        <v>46321</v>
      </c>
      <c r="Z226" s="19" t="inlineStr">
        <is>
          <t>Nivel 1: propuesta del comentario del desarrollador o de confianza alta, o regla de fecha/responsable/motivo.</t>
        </is>
      </c>
      <c r="AA226" s="18">
        <f>IF(OR(V226="Aprobada"),R226,IF(AND(OR(V226="Aprobada con ajuste",V226="Rechazada"),W226&lt;&gt;""),W226,""))</f>
        <v/>
      </c>
    </row>
    <row r="227">
      <c r="A227" s="18" t="inlineStr">
        <is>
          <t>C0226</t>
        </is>
      </c>
      <c r="B227" s="18" t="inlineStr">
        <is>
          <t>Registro académico</t>
        </is>
      </c>
      <c r="C227" s="18" t="inlineStr">
        <is>
          <t>academic_registration</t>
        </is>
      </c>
      <c r="D227" s="18" t="inlineStr">
        <is>
          <t>graduates</t>
        </is>
      </c>
      <c r="E227" s="18" t="n">
        <v>10429</v>
      </c>
      <c r="F227" s="18" t="inlineStr">
        <is>
          <t>is_verified</t>
        </is>
      </c>
      <c r="G227" s="18" t="inlineStr">
        <is>
          <t>boolean</t>
        </is>
      </c>
      <c r="H227" s="18" t="inlineStr">
        <is>
          <t>Sí</t>
        </is>
      </c>
      <c r="I227" s="18" t="inlineStr"/>
      <c r="J227" s="18" t="inlineStr"/>
      <c r="K227" s="18" t="inlineStr"/>
      <c r="L227" s="18" t="inlineStr">
        <is>
          <t>No</t>
        </is>
      </c>
      <c r="M227" s="18" t="inlineStr">
        <is>
          <t>No</t>
        </is>
      </c>
      <c r="N227" s="18" t="inlineStr"/>
      <c r="O227" s="18" t="inlineStr"/>
      <c r="P227" s="18" t="inlineStr">
        <is>
          <t>Mapeada en academic-registration-service/src/graduation-certificates/graduate.entity.ts:121 (Graduate.isVerified)</t>
        </is>
      </c>
      <c r="Q227" s="18" t="inlineStr">
        <is>
          <t>Regla estructural (redacción revisada)</t>
        </is>
      </c>
      <c r="R227" s="18" t="inlineStr">
        <is>
          <t>Indica si el registro del graduado fue verificado.</t>
        </is>
      </c>
      <c r="S227" s="18" t="inlineStr">
        <is>
          <t>Alta</t>
        </is>
      </c>
      <c r="T227" s="18" t="inlineStr">
        <is>
          <t>Convención de nombre, redactada con el contexto de la tabla y el código.</t>
        </is>
      </c>
      <c r="U227" s="18" t="inlineStr"/>
      <c r="V227" s="19" t="inlineStr">
        <is>
          <t>Aprobada</t>
        </is>
      </c>
      <c r="W227" s="19" t="inlineStr"/>
      <c r="X227" s="19" t="inlineStr">
        <is>
          <t>Aldair González (aprobación en bloque)</t>
        </is>
      </c>
      <c r="Y227" s="20" t="n">
        <v>46321</v>
      </c>
      <c r="Z227" s="19" t="inlineStr">
        <is>
          <t>Nivel 2: regla estructural con redacción revisada.</t>
        </is>
      </c>
      <c r="AA227" s="18">
        <f>IF(OR(V227="Aprobada"),R227,IF(AND(OR(V227="Aprobada con ajuste",V227="Rechazada"),W227&lt;&gt;""),W227,""))</f>
        <v/>
      </c>
    </row>
    <row r="228">
      <c r="A228" s="18" t="inlineStr">
        <is>
          <t>C0227</t>
        </is>
      </c>
      <c r="B228" s="18" t="inlineStr">
        <is>
          <t>Registro académico</t>
        </is>
      </c>
      <c r="C228" s="18" t="inlineStr">
        <is>
          <t>academic_registration</t>
        </is>
      </c>
      <c r="D228" s="18" t="inlineStr">
        <is>
          <t>graduates</t>
        </is>
      </c>
      <c r="E228" s="18" t="n">
        <v>10429</v>
      </c>
      <c r="F228" s="18" t="inlineStr">
        <is>
          <t>campus</t>
        </is>
      </c>
      <c r="G228" s="18" t="inlineStr">
        <is>
          <t>character varying(100)</t>
        </is>
      </c>
      <c r="H228" s="18" t="inlineStr">
        <is>
          <t>Sí</t>
        </is>
      </c>
      <c r="I228" s="18" t="inlineStr"/>
      <c r="J228" s="18" t="inlineStr"/>
      <c r="K228" s="18" t="inlineStr"/>
      <c r="L228" s="18" t="inlineStr">
        <is>
          <t>No</t>
        </is>
      </c>
      <c r="M228" s="18" t="inlineStr">
        <is>
          <t>No</t>
        </is>
      </c>
      <c r="N228" s="18" t="inlineStr"/>
      <c r="O228" s="18" t="inlineStr"/>
      <c r="P228" s="18" t="inlineStr">
        <is>
          <t>academic-registration-service/src/graduation-certificates/graduate.entity.ts:125: Ubicación | db/migrations/old/042_create_graduation_tables.sql:47: Ubicación Sede donde se graduó</t>
        </is>
      </c>
      <c r="Q228" s="18" t="inlineStr">
        <is>
          <t>Código fuente</t>
        </is>
      </c>
      <c r="R228" s="18" t="inlineStr">
        <is>
          <t>Sede donde se graduó la persona.</t>
        </is>
      </c>
      <c r="S228" s="18" t="inlineStr">
        <is>
          <t>Alta</t>
        </is>
      </c>
      <c r="T228" s="18" t="inlineStr">
        <is>
          <t>código: db/migrations/old/042_create_graduation_tables.sql:47</t>
        </is>
      </c>
      <c r="U228" s="18" t="inlineStr"/>
      <c r="V228" s="19" t="inlineStr">
        <is>
          <t>Aprobada</t>
        </is>
      </c>
      <c r="W228" s="19" t="inlineStr"/>
      <c r="X228" s="19" t="inlineStr">
        <is>
          <t>Aldair González (aprobación en bloque)</t>
        </is>
      </c>
      <c r="Y228" s="20" t="n">
        <v>46321</v>
      </c>
      <c r="Z228" s="19" t="inlineStr">
        <is>
          <t>Nivel 1: propuesta del comentario del desarrollador o de confianza alta, o regla de fecha/responsable/motivo.</t>
        </is>
      </c>
      <c r="AA228" s="18">
        <f>IF(OR(V228="Aprobada"),R228,IF(AND(OR(V228="Aprobada con ajuste",V228="Rechazada"),W228&lt;&gt;""),W228,""))</f>
        <v/>
      </c>
    </row>
    <row r="229">
      <c r="A229" s="18" t="inlineStr">
        <is>
          <t>C0228</t>
        </is>
      </c>
      <c r="B229" s="18" t="inlineStr">
        <is>
          <t>Registro académico</t>
        </is>
      </c>
      <c r="C229" s="18" t="inlineStr">
        <is>
          <t>academic_registration</t>
        </is>
      </c>
      <c r="D229" s="18" t="inlineStr">
        <is>
          <t>graduates</t>
        </is>
      </c>
      <c r="E229" s="18" t="n">
        <v>10429</v>
      </c>
      <c r="F229" s="18" t="inlineStr">
        <is>
          <t>first_name</t>
        </is>
      </c>
      <c r="G229" s="18" t="inlineStr">
        <is>
          <t>character varying(255)</t>
        </is>
      </c>
      <c r="H229" s="18" t="inlineStr">
        <is>
          <t>Sí</t>
        </is>
      </c>
      <c r="I229" s="18" t="inlineStr"/>
      <c r="J229" s="18" t="inlineStr"/>
      <c r="K229" s="18" t="inlineStr"/>
      <c r="L229" s="18" t="inlineStr">
        <is>
          <t>No</t>
        </is>
      </c>
      <c r="M229" s="18" t="inlineStr">
        <is>
          <t>Sí</t>
        </is>
      </c>
      <c r="N229" s="18" t="inlineStr">
        <is>
          <t>Trigger trg_validate_graduate_management_update</t>
        </is>
      </c>
      <c r="O229" s="18" t="inlineStr"/>
      <c r="P229" s="18" t="inlineStr">
        <is>
          <t>Mapeada en academic-registration-service/src/graduation-certificates/graduate.entity.ts:25 (Graduate.firstName)</t>
        </is>
      </c>
      <c r="Q229" s="18" t="inlineStr">
        <is>
          <t>Propuesta semántica</t>
        </is>
      </c>
      <c r="R229" s="18" t="inlineStr">
        <is>
          <t>Nombres del graduado.</t>
        </is>
      </c>
      <c r="S229" s="18" t="inlineStr">
        <is>
          <t>Alta</t>
        </is>
      </c>
      <c r="T229" s="18" t="inlineStr">
        <is>
          <t>nombre + tipo + columnas vecinas (last_name, full_name)</t>
        </is>
      </c>
      <c r="U229" s="18" t="inlineStr"/>
      <c r="V229" s="19" t="inlineStr">
        <is>
          <t>Aprobada</t>
        </is>
      </c>
      <c r="W229" s="19" t="inlineStr"/>
      <c r="X229" s="19" t="inlineStr">
        <is>
          <t>Aldair González (aprobación en bloque)</t>
        </is>
      </c>
      <c r="Y229" s="20" t="n">
        <v>46321</v>
      </c>
      <c r="Z229" s="19" t="inlineStr">
        <is>
          <t>Nivel 1: propuesta del comentario del desarrollador o de confianza alta, o regla de fecha/responsable/motivo.</t>
        </is>
      </c>
      <c r="AA229" s="18">
        <f>IF(OR(V229="Aprobada"),R229,IF(AND(OR(V229="Aprobada con ajuste",V229="Rechazada"),W229&lt;&gt;""),W229,""))</f>
        <v/>
      </c>
    </row>
    <row r="230">
      <c r="A230" s="18" t="inlineStr">
        <is>
          <t>C0229</t>
        </is>
      </c>
      <c r="B230" s="18" t="inlineStr">
        <is>
          <t>Registro académico</t>
        </is>
      </c>
      <c r="C230" s="18" t="inlineStr">
        <is>
          <t>academic_registration</t>
        </is>
      </c>
      <c r="D230" s="18" t="inlineStr">
        <is>
          <t>graduates</t>
        </is>
      </c>
      <c r="E230" s="18" t="n">
        <v>10429</v>
      </c>
      <c r="F230" s="18" t="inlineStr">
        <is>
          <t>last_name</t>
        </is>
      </c>
      <c r="G230" s="18" t="inlineStr">
        <is>
          <t>character varying(255)</t>
        </is>
      </c>
      <c r="H230" s="18" t="inlineStr">
        <is>
          <t>Sí</t>
        </is>
      </c>
      <c r="I230" s="18" t="inlineStr"/>
      <c r="J230" s="18" t="inlineStr"/>
      <c r="K230" s="18" t="inlineStr"/>
      <c r="L230" s="18" t="inlineStr">
        <is>
          <t>No</t>
        </is>
      </c>
      <c r="M230" s="18" t="inlineStr">
        <is>
          <t>Sí</t>
        </is>
      </c>
      <c r="N230" s="18" t="inlineStr">
        <is>
          <t>Trigger trg_validate_graduate_management_update</t>
        </is>
      </c>
      <c r="O230" s="18" t="inlineStr"/>
      <c r="P230" s="18" t="inlineStr">
        <is>
          <t>Mapeada en academic-registration-service/src/graduation-certificates/graduate.entity.ts:28 (Graduate.lastName)</t>
        </is>
      </c>
      <c r="Q230" s="18" t="inlineStr">
        <is>
          <t>Propuesta semántica</t>
        </is>
      </c>
      <c r="R230" s="18" t="inlineStr">
        <is>
          <t>Apellidos del graduado.</t>
        </is>
      </c>
      <c r="S230" s="18" t="inlineStr">
        <is>
          <t>Alta</t>
        </is>
      </c>
      <c r="T230" s="18" t="inlineStr">
        <is>
          <t>nombre + tipo + columnas vecinas (first_name, full_name)</t>
        </is>
      </c>
      <c r="U230" s="18" t="inlineStr"/>
      <c r="V230" s="19" t="inlineStr">
        <is>
          <t>Aprobada</t>
        </is>
      </c>
      <c r="W230" s="19" t="inlineStr"/>
      <c r="X230" s="19" t="inlineStr">
        <is>
          <t>Aldair González (aprobación en bloque)</t>
        </is>
      </c>
      <c r="Y230" s="20" t="n">
        <v>46321</v>
      </c>
      <c r="Z230" s="19" t="inlineStr">
        <is>
          <t>Nivel 1: propuesta del comentario del desarrollador o de confianza alta, o regla de fecha/responsable/motivo.</t>
        </is>
      </c>
      <c r="AA230" s="18">
        <f>IF(OR(V230="Aprobada"),R230,IF(AND(OR(V230="Aprobada con ajuste",V230="Rechazada"),W230&lt;&gt;""),W230,""))</f>
        <v/>
      </c>
    </row>
    <row r="231">
      <c r="A231" s="18" t="inlineStr">
        <is>
          <t>C0230</t>
        </is>
      </c>
      <c r="B231" s="18" t="inlineStr">
        <is>
          <t>Registro académico</t>
        </is>
      </c>
      <c r="C231" s="18" t="inlineStr">
        <is>
          <t>academic_registration</t>
        </is>
      </c>
      <c r="D231" s="18" t="inlineStr">
        <is>
          <t>graduation_certificate_requests</t>
        </is>
      </c>
      <c r="E231" s="18" t="n">
        <v>392</v>
      </c>
      <c r="F231" s="18" t="inlineStr">
        <is>
          <t>request_number</t>
        </is>
      </c>
      <c r="G231" s="18" t="inlineStr">
        <is>
          <t>character varying(100)</t>
        </is>
      </c>
      <c r="H231" s="18" t="inlineStr">
        <is>
          <t>No</t>
        </is>
      </c>
      <c r="I231" s="18" t="inlineStr">
        <is>
          <t>Única</t>
        </is>
      </c>
      <c r="J231" s="18" t="inlineStr"/>
      <c r="K231" s="18" t="inlineStr"/>
      <c r="L231" s="18" t="inlineStr">
        <is>
          <t>No</t>
        </is>
      </c>
      <c r="M231" s="18" t="inlineStr">
        <is>
          <t>No</t>
        </is>
      </c>
      <c r="N231" s="18" t="inlineStr"/>
      <c r="O231" s="18" t="inlineStr">
        <is>
          <t>graduation_certificate_requests_request_number_key, idx_cert_requests_number</t>
        </is>
      </c>
      <c r="P231" s="18" t="inlineStr">
        <is>
          <t>academic-registration-service/src/graduation-certificates/graduation-certificate-request.entity.ts:34: Número de solicitud | db/migrations/old/042_create_graduation_tables.sql:73: Número de solicitud Ej: GC-2025-0001</t>
        </is>
      </c>
      <c r="Q231" s="18" t="inlineStr">
        <is>
          <t>Código fuente</t>
        </is>
      </c>
      <c r="R231" s="18" t="inlineStr">
        <is>
          <t>Número único de la solicitud de certificado de grado, con formato GC-AAAA-NNNN (por ejemplo, GC-2025-0001).</t>
        </is>
      </c>
      <c r="S231" s="18" t="inlineStr">
        <is>
          <t>Alta</t>
        </is>
      </c>
      <c r="T231" s="18" t="inlineStr">
        <is>
          <t>código: db/migrations/old/042_create_graduation_tables.sql:73</t>
        </is>
      </c>
      <c r="U231" s="18" t="inlineStr"/>
      <c r="V231" s="19" t="inlineStr">
        <is>
          <t>Aprobada</t>
        </is>
      </c>
      <c r="W231" s="19" t="inlineStr"/>
      <c r="X231" s="19" t="inlineStr">
        <is>
          <t>Aldair González (aprobación en bloque)</t>
        </is>
      </c>
      <c r="Y231" s="20" t="n">
        <v>46321</v>
      </c>
      <c r="Z231" s="19" t="inlineStr">
        <is>
          <t>Nivel 1: propuesta del comentario del desarrollador o de confianza alta, o regla de fecha/responsable/motivo.</t>
        </is>
      </c>
      <c r="AA231" s="18">
        <f>IF(OR(V231="Aprobada"),R231,IF(AND(OR(V231="Aprobada con ajuste",V231="Rechazada"),W231&lt;&gt;""),W231,""))</f>
        <v/>
      </c>
    </row>
    <row r="232">
      <c r="A232" s="18" t="inlineStr">
        <is>
          <t>C0231</t>
        </is>
      </c>
      <c r="B232" s="18" t="inlineStr">
        <is>
          <t>Registro académico</t>
        </is>
      </c>
      <c r="C232" s="18" t="inlineStr">
        <is>
          <t>academic_registration</t>
        </is>
      </c>
      <c r="D232" s="18" t="inlineStr">
        <is>
          <t>graduation_certificate_requests</t>
        </is>
      </c>
      <c r="E232" s="18" t="n">
        <v>392</v>
      </c>
      <c r="F232" s="18" t="inlineStr">
        <is>
          <t>requester_type</t>
        </is>
      </c>
      <c r="G232" s="18" t="inlineStr">
        <is>
          <t>character varying(50)</t>
        </is>
      </c>
      <c r="H232" s="18" t="inlineStr">
        <is>
          <t>No</t>
        </is>
      </c>
      <c r="I232" s="18" t="inlineStr">
        <is>
          <t>CHECK</t>
        </is>
      </c>
      <c r="J232" s="18" t="inlineStr">
        <is>
          <t>COMPANY, GRADUATE</t>
        </is>
      </c>
      <c r="K232" s="18" t="inlineStr"/>
      <c r="L232" s="18" t="inlineStr">
        <is>
          <t>Sí</t>
        </is>
      </c>
      <c r="M232" s="18" t="inlineStr">
        <is>
          <t>No</t>
        </is>
      </c>
      <c r="N232" s="18" t="inlineStr"/>
      <c r="O232" s="18" t="inlineStr"/>
      <c r="P232" s="18" t="inlineStr">
        <is>
          <t>academic-registration-service/src/graduation-certificates/graduation-certificate-request.entity.ts:38: Tipo de solicitante 'GRADUATE', 'COMPANY' | db/migrations/old/042_create_graduation_tables.sql:76: Tipo de solicitante 'GRADUATE' (graduado), 'COMPANY' (empresa)</t>
        </is>
      </c>
      <c r="Q232" s="18" t="inlineStr">
        <is>
          <t>Código fuente</t>
        </is>
      </c>
      <c r="R232" s="18" t="inlineStr">
        <is>
          <t>Tipo de solicitante del certificado. Valores permitidos: GRADUATE (graduado), COMPANY (empresa).</t>
        </is>
      </c>
      <c r="S232" s="18" t="inlineStr">
        <is>
          <t>Alta</t>
        </is>
      </c>
      <c r="T232" s="18" t="inlineStr">
        <is>
          <t>código: academic-registration-service/src/graduation-certificates/graduation-certificate-request.entity.ts:38</t>
        </is>
      </c>
      <c r="U232" s="18" t="inlineStr"/>
      <c r="V232" s="19" t="inlineStr">
        <is>
          <t>Aprobada</t>
        </is>
      </c>
      <c r="W232" s="19" t="inlineStr"/>
      <c r="X232" s="19" t="inlineStr">
        <is>
          <t>Aldair González (aprobación en bloque)</t>
        </is>
      </c>
      <c r="Y232" s="20" t="n">
        <v>46321</v>
      </c>
      <c r="Z232" s="19" t="inlineStr">
        <is>
          <t>Nivel 1: propuesta del comentario del desarrollador o de confianza alta, o regla de fecha/responsable/motivo.</t>
        </is>
      </c>
      <c r="AA232" s="18">
        <f>IF(OR(V232="Aprobada"),R232,IF(AND(OR(V232="Aprobada con ajuste",V232="Rechazada"),W232&lt;&gt;""),W232,""))</f>
        <v/>
      </c>
    </row>
    <row r="233">
      <c r="A233" s="18" t="inlineStr">
        <is>
          <t>C0232</t>
        </is>
      </c>
      <c r="B233" s="18" t="inlineStr">
        <is>
          <t>Registro académico</t>
        </is>
      </c>
      <c r="C233" s="18" t="inlineStr">
        <is>
          <t>academic_registration</t>
        </is>
      </c>
      <c r="D233" s="18" t="inlineStr">
        <is>
          <t>graduation_certificate_requests</t>
        </is>
      </c>
      <c r="E233" s="18" t="n">
        <v>392</v>
      </c>
      <c r="F233" s="18" t="inlineStr">
        <is>
          <t>graduate_id</t>
        </is>
      </c>
      <c r="G233" s="18" t="inlineStr">
        <is>
          <t>uuid</t>
        </is>
      </c>
      <c r="H233" s="18" t="inlineStr">
        <is>
          <t>Sí</t>
        </is>
      </c>
      <c r="I233" s="18" t="inlineStr"/>
      <c r="J233" s="18" t="inlineStr"/>
      <c r="K233" s="18" t="inlineStr"/>
      <c r="L233" s="18" t="inlineStr">
        <is>
          <t>No</t>
        </is>
      </c>
      <c r="M233" s="18" t="inlineStr">
        <is>
          <t>No</t>
        </is>
      </c>
      <c r="N233" s="18" t="inlineStr"/>
      <c r="O233" s="18" t="inlineStr">
        <is>
          <t>idx_cert_requests_graduate_id</t>
        </is>
      </c>
      <c r="P233" s="18" t="inlineStr">
        <is>
          <t>academic-registration-service/src/graduation-certificates/graduation-certificate-request.entity.ts:42: Información del graduado | db/migrations/old/042_create_graduation_tables.sql:79: Información del graduado FK a graduates (nullable si es solicitud externa)</t>
        </is>
      </c>
      <c r="Q233" s="18" t="inlineStr">
        <is>
          <t>Código fuente</t>
        </is>
      </c>
      <c r="R233" s="18" t="inlineStr">
        <is>
          <t>Identificador del graduado (graduates) al que corresponde la solicitud; nulo cuando la solicitud es externa.</t>
        </is>
      </c>
      <c r="S233" s="18" t="inlineStr">
        <is>
          <t>Alta</t>
        </is>
      </c>
      <c r="T233" s="18" t="inlineStr">
        <is>
          <t>código: db/migrations/old/042_create_graduation_tables.sql:79</t>
        </is>
      </c>
      <c r="U233" s="18" t="inlineStr"/>
      <c r="V233" s="19" t="inlineStr">
        <is>
          <t>Aprobada</t>
        </is>
      </c>
      <c r="W233" s="19" t="inlineStr"/>
      <c r="X233" s="19" t="inlineStr">
        <is>
          <t>Aldair González (aprobación en bloque)</t>
        </is>
      </c>
      <c r="Y233" s="20" t="n">
        <v>46321</v>
      </c>
      <c r="Z233" s="19" t="inlineStr">
        <is>
          <t>Nivel 1: propuesta del comentario del desarrollador o de confianza alta, o regla de fecha/responsable/motivo.</t>
        </is>
      </c>
      <c r="AA233" s="18">
        <f>IF(OR(V233="Aprobada"),R233,IF(AND(OR(V233="Aprobada con ajuste",V233="Rechazada"),W233&lt;&gt;""),W233,""))</f>
        <v/>
      </c>
    </row>
    <row r="234">
      <c r="A234" s="18" t="inlineStr">
        <is>
          <t>C0233</t>
        </is>
      </c>
      <c r="B234" s="18" t="inlineStr">
        <is>
          <t>Registro académico</t>
        </is>
      </c>
      <c r="C234" s="18" t="inlineStr">
        <is>
          <t>academic_registration</t>
        </is>
      </c>
      <c r="D234" s="18" t="inlineStr">
        <is>
          <t>graduation_certificate_requests</t>
        </is>
      </c>
      <c r="E234" s="18" t="n">
        <v>392</v>
      </c>
      <c r="F234" s="18" t="inlineStr">
        <is>
          <t>id_number</t>
        </is>
      </c>
      <c r="G234" s="18" t="inlineStr">
        <is>
          <t>character varying(50)</t>
        </is>
      </c>
      <c r="H234" s="18" t="inlineStr">
        <is>
          <t>No</t>
        </is>
      </c>
      <c r="I234" s="18" t="inlineStr"/>
      <c r="J234" s="18" t="inlineStr"/>
      <c r="K234" s="18" t="inlineStr"/>
      <c r="L234" s="18" t="inlineStr">
        <is>
          <t>No</t>
        </is>
      </c>
      <c r="M234" s="18" t="inlineStr">
        <is>
          <t>No</t>
        </is>
      </c>
      <c r="N234" s="18" t="inlineStr"/>
      <c r="O234" s="18" t="inlineStr">
        <is>
          <t>idx_cert_requests_id_number</t>
        </is>
      </c>
      <c r="P234" s="18" t="inlineStr">
        <is>
          <t>db/migrations/old/042_create_graduation_tables.sql:80: Cédula del graduado</t>
        </is>
      </c>
      <c r="Q234" s="18" t="inlineStr">
        <is>
          <t>Código fuente</t>
        </is>
      </c>
      <c r="R234" s="18" t="inlineStr">
        <is>
          <t>Número de cédula del graduado.</t>
        </is>
      </c>
      <c r="S234" s="18" t="inlineStr">
        <is>
          <t>Alta</t>
        </is>
      </c>
      <c r="T234" s="18" t="inlineStr">
        <is>
          <t>código: db/migrations/old/042_create_graduation_tables.sql:80</t>
        </is>
      </c>
      <c r="U234" s="18" t="inlineStr"/>
      <c r="V234" s="19" t="inlineStr">
        <is>
          <t>Aprobada</t>
        </is>
      </c>
      <c r="W234" s="19" t="inlineStr"/>
      <c r="X234" s="19" t="inlineStr">
        <is>
          <t>Aldair González (aprobación en bloque)</t>
        </is>
      </c>
      <c r="Y234" s="20" t="n">
        <v>46321</v>
      </c>
      <c r="Z234" s="19" t="inlineStr">
        <is>
          <t>Nivel 1: propuesta del comentario del desarrollador o de confianza alta, o regla de fecha/responsable/motivo.</t>
        </is>
      </c>
      <c r="AA234" s="18">
        <f>IF(OR(V234="Aprobada"),R234,IF(AND(OR(V234="Aprobada con ajuste",V234="Rechazada"),W234&lt;&gt;""),W234,""))</f>
        <v/>
      </c>
    </row>
    <row r="235">
      <c r="A235" s="18" t="inlineStr">
        <is>
          <t>C0234</t>
        </is>
      </c>
      <c r="B235" s="18" t="inlineStr">
        <is>
          <t>Registro académico</t>
        </is>
      </c>
      <c r="C235" s="18" t="inlineStr">
        <is>
          <t>academic_registration</t>
        </is>
      </c>
      <c r="D235" s="18" t="inlineStr">
        <is>
          <t>graduation_certificate_requests</t>
        </is>
      </c>
      <c r="E235" s="18" t="n">
        <v>392</v>
      </c>
      <c r="F235" s="18" t="inlineStr">
        <is>
          <t>full_name</t>
        </is>
      </c>
      <c r="G235" s="18" t="inlineStr">
        <is>
          <t>character varying(255)</t>
        </is>
      </c>
      <c r="H235" s="18" t="inlineStr">
        <is>
          <t>No</t>
        </is>
      </c>
      <c r="I235" s="18" t="inlineStr"/>
      <c r="J235" s="18" t="inlineStr"/>
      <c r="K235" s="18" t="inlineStr"/>
      <c r="L235" s="18" t="inlineStr">
        <is>
          <t>No</t>
        </is>
      </c>
      <c r="M235" s="18" t="inlineStr">
        <is>
          <t>No</t>
        </is>
      </c>
      <c r="N235" s="18" t="inlineStr"/>
      <c r="O235" s="18" t="inlineStr"/>
      <c r="P235" s="18" t="inlineStr">
        <is>
          <t>Mapeada en academic-registration-service/src/graduation-certificates/graduation-certificate-request.entity.ts:51 (GraduationCertificateRequest.fullName)</t>
        </is>
      </c>
      <c r="Q235" s="18" t="inlineStr">
        <is>
          <t>Propuesta semántica</t>
        </is>
      </c>
      <c r="R235" s="18" t="inlineStr">
        <is>
          <t>Nombre completo del graduado sobre el que se solicita el certificado.</t>
        </is>
      </c>
      <c r="S235" s="18" t="inlineStr">
        <is>
          <t>Alta</t>
        </is>
      </c>
      <c r="T235" s="18" t="inlineStr">
        <is>
          <t>nombre + tipo + columnas vecinas</t>
        </is>
      </c>
      <c r="U235" s="18" t="inlineStr"/>
      <c r="V235" s="19" t="inlineStr">
        <is>
          <t>Aprobada</t>
        </is>
      </c>
      <c r="W235" s="19" t="inlineStr"/>
      <c r="X235" s="19" t="inlineStr">
        <is>
          <t>Aldair González (aprobación en bloque)</t>
        </is>
      </c>
      <c r="Y235" s="20" t="n">
        <v>46321</v>
      </c>
      <c r="Z235" s="19" t="inlineStr">
        <is>
          <t>Nivel 1: propuesta del comentario del desarrollador o de confianza alta, o regla de fecha/responsable/motivo.</t>
        </is>
      </c>
      <c r="AA235" s="18">
        <f>IF(OR(V235="Aprobada"),R235,IF(AND(OR(V235="Aprobada con ajuste",V235="Rechazada"),W235&lt;&gt;""),W235,""))</f>
        <v/>
      </c>
    </row>
    <row r="236">
      <c r="A236" s="18" t="inlineStr">
        <is>
          <t>C0235</t>
        </is>
      </c>
      <c r="B236" s="18" t="inlineStr">
        <is>
          <t>Registro académico</t>
        </is>
      </c>
      <c r="C236" s="18" t="inlineStr">
        <is>
          <t>academic_registration</t>
        </is>
      </c>
      <c r="D236" s="18" t="inlineStr">
        <is>
          <t>graduation_certificate_requests</t>
        </is>
      </c>
      <c r="E236" s="18" t="n">
        <v>392</v>
      </c>
      <c r="F236" s="18" t="inlineStr">
        <is>
          <t>program_name</t>
        </is>
      </c>
      <c r="G236" s="18" t="inlineStr">
        <is>
          <t>character varying(255)</t>
        </is>
      </c>
      <c r="H236" s="18" t="inlineStr">
        <is>
          <t>No</t>
        </is>
      </c>
      <c r="I236" s="18" t="inlineStr"/>
      <c r="J236" s="18" t="inlineStr"/>
      <c r="K236" s="18" t="inlineStr"/>
      <c r="L236" s="18" t="inlineStr">
        <is>
          <t>No</t>
        </is>
      </c>
      <c r="M236" s="18" t="inlineStr">
        <is>
          <t>No</t>
        </is>
      </c>
      <c r="N236" s="18" t="inlineStr"/>
      <c r="O236" s="18" t="inlineStr"/>
      <c r="P236" s="18" t="inlineStr">
        <is>
          <t>academic-registration-service/src/graduation-certificates/graduation-certificate-request.entity.ts:64: Información del programa | db/migrations/old/042_create_graduation_tables.sql:84: Información del programa</t>
        </is>
      </c>
      <c r="Q236" s="18" t="inlineStr">
        <is>
          <t>Código fuente</t>
        </is>
      </c>
      <c r="R236" s="18" t="inlineStr">
        <is>
          <t>Nombre del programa académico del graduado, registrado en la solicitud.</t>
        </is>
      </c>
      <c r="S236" s="18" t="inlineStr">
        <is>
          <t>Alta</t>
        </is>
      </c>
      <c r="T236" s="18" t="inlineStr">
        <is>
          <t>código: academic-registration-service/src/graduation-certificates/graduation-certificate-request.entity.ts:64</t>
        </is>
      </c>
      <c r="U236" s="18" t="inlineStr"/>
      <c r="V236" s="19" t="inlineStr">
        <is>
          <t>Aprobada</t>
        </is>
      </c>
      <c r="W236" s="19" t="inlineStr"/>
      <c r="X236" s="19" t="inlineStr">
        <is>
          <t>Aldair González (aprobación en bloque)</t>
        </is>
      </c>
      <c r="Y236" s="20" t="n">
        <v>46321</v>
      </c>
      <c r="Z236" s="19" t="inlineStr">
        <is>
          <t>Nivel 1: propuesta del comentario del desarrollador o de confianza alta, o regla de fecha/responsable/motivo.</t>
        </is>
      </c>
      <c r="AA236" s="18">
        <f>IF(OR(V236="Aprobada"),R236,IF(AND(OR(V236="Aprobada con ajuste",V236="Rechazada"),W236&lt;&gt;""),W236,""))</f>
        <v/>
      </c>
    </row>
    <row r="237">
      <c r="A237" s="18" t="inlineStr">
        <is>
          <t>C0236</t>
        </is>
      </c>
      <c r="B237" s="18" t="inlineStr">
        <is>
          <t>Registro académico</t>
        </is>
      </c>
      <c r="C237" s="18" t="inlineStr">
        <is>
          <t>academic_registration</t>
        </is>
      </c>
      <c r="D237" s="18" t="inlineStr">
        <is>
          <t>graduation_certificate_requests</t>
        </is>
      </c>
      <c r="E237" s="18" t="n">
        <v>392</v>
      </c>
      <c r="F237" s="18" t="inlineStr">
        <is>
          <t>graduation_date</t>
        </is>
      </c>
      <c r="G237" s="18" t="inlineStr">
        <is>
          <t>date</t>
        </is>
      </c>
      <c r="H237" s="18" t="inlineStr">
        <is>
          <t>Sí</t>
        </is>
      </c>
      <c r="I237" s="18" t="inlineStr"/>
      <c r="J237" s="18" t="inlineStr"/>
      <c r="K237" s="18" t="inlineStr"/>
      <c r="L237" s="18" t="inlineStr">
        <is>
          <t>No</t>
        </is>
      </c>
      <c r="M237" s="18" t="inlineStr">
        <is>
          <t>No</t>
        </is>
      </c>
      <c r="N237" s="18" t="inlineStr"/>
      <c r="O237" s="18" t="inlineStr"/>
      <c r="P237" s="18" t="inlineStr">
        <is>
          <t>Mapeada en academic-registration-service/src/graduation-certificates/graduation-certificate-request.entity.ts:67 (GraduationCertificateRequest.graduationDate)</t>
        </is>
      </c>
      <c r="Q237" s="18" t="inlineStr">
        <is>
          <t>Propuesta semántica</t>
        </is>
      </c>
      <c r="R237" s="18" t="inlineStr">
        <is>
          <t>Fecha de graduación del graduado registrada en la solicitud.</t>
        </is>
      </c>
      <c r="S237" s="18" t="inlineStr">
        <is>
          <t>Alta</t>
        </is>
      </c>
      <c r="T237" s="18" t="inlineStr">
        <is>
          <t>nombre + tipo + columnas vecinas</t>
        </is>
      </c>
      <c r="U237" s="18" t="inlineStr"/>
      <c r="V237" s="19" t="inlineStr">
        <is>
          <t>Aprobada</t>
        </is>
      </c>
      <c r="W237" s="19" t="inlineStr"/>
      <c r="X237" s="19" t="inlineStr">
        <is>
          <t>Aldair González (aprobación en bloque)</t>
        </is>
      </c>
      <c r="Y237" s="20" t="n">
        <v>46321</v>
      </c>
      <c r="Z237" s="19" t="inlineStr">
        <is>
          <t>Nivel 1: propuesta del comentario del desarrollador o de confianza alta, o regla de fecha/responsable/motivo.</t>
        </is>
      </c>
      <c r="AA237" s="18">
        <f>IF(OR(V237="Aprobada"),R237,IF(AND(OR(V237="Aprobada con ajuste",V237="Rechazada"),W237&lt;&gt;""),W237,""))</f>
        <v/>
      </c>
    </row>
    <row r="238">
      <c r="A238" s="18" t="inlineStr">
        <is>
          <t>C0237</t>
        </is>
      </c>
      <c r="B238" s="18" t="inlineStr">
        <is>
          <t>Registro académico</t>
        </is>
      </c>
      <c r="C238" s="18" t="inlineStr">
        <is>
          <t>academic_registration</t>
        </is>
      </c>
      <c r="D238" s="18" t="inlineStr">
        <is>
          <t>graduation_certificate_requests</t>
        </is>
      </c>
      <c r="E238" s="18" t="n">
        <v>392</v>
      </c>
      <c r="F238" s="18" t="inlineStr">
        <is>
          <t>requester_name</t>
        </is>
      </c>
      <c r="G238" s="18" t="inlineStr">
        <is>
          <t>character varying(255)</t>
        </is>
      </c>
      <c r="H238" s="18" t="inlineStr">
        <is>
          <t>Sí</t>
        </is>
      </c>
      <c r="I238" s="18" t="inlineStr"/>
      <c r="J238" s="18" t="inlineStr"/>
      <c r="K238" s="18" t="inlineStr"/>
      <c r="L238" s="18" t="inlineStr">
        <is>
          <t>No</t>
        </is>
      </c>
      <c r="M238" s="18" t="inlineStr">
        <is>
          <t>No</t>
        </is>
      </c>
      <c r="N238" s="18" t="inlineStr"/>
      <c r="O238" s="18" t="inlineStr"/>
      <c r="P238" s="18" t="inlineStr">
        <is>
          <t>academic-registration-service/src/graduation-certificates/graduation-certificate-request.entity.ts:71: Información del solicitante | db/migrations/old/042_create_graduation_tables.sql:88: Información del solicitante (si es empresa) Nombre de quien solicita</t>
        </is>
      </c>
      <c r="Q238" s="18" t="inlineStr">
        <is>
          <t>Código fuente</t>
        </is>
      </c>
      <c r="R238" s="18" t="inlineStr">
        <is>
          <t>Nombre de la persona que solicita el certificado cuando el solicitante es una empresa.</t>
        </is>
      </c>
      <c r="S238" s="18" t="inlineStr">
        <is>
          <t>Alta</t>
        </is>
      </c>
      <c r="T238" s="18" t="inlineStr">
        <is>
          <t>código: db/migrations/old/042_create_graduation_tables.sql:88</t>
        </is>
      </c>
      <c r="U238" s="18" t="inlineStr"/>
      <c r="V238" s="19" t="inlineStr">
        <is>
          <t>Aprobada</t>
        </is>
      </c>
      <c r="W238" s="19" t="inlineStr"/>
      <c r="X238" s="19" t="inlineStr">
        <is>
          <t>Aldair González (aprobación en bloque)</t>
        </is>
      </c>
      <c r="Y238" s="20" t="n">
        <v>46321</v>
      </c>
      <c r="Z238" s="19" t="inlineStr">
        <is>
          <t>Nivel 1: propuesta del comentario del desarrollador o de confianza alta, o regla de fecha/responsable/motivo.</t>
        </is>
      </c>
      <c r="AA238" s="18">
        <f>IF(OR(V238="Aprobada"),R238,IF(AND(OR(V238="Aprobada con ajuste",V238="Rechazada"),W238&lt;&gt;""),W238,""))</f>
        <v/>
      </c>
    </row>
    <row r="239">
      <c r="A239" s="18" t="inlineStr">
        <is>
          <t>C0238</t>
        </is>
      </c>
      <c r="B239" s="18" t="inlineStr">
        <is>
          <t>Registro académico</t>
        </is>
      </c>
      <c r="C239" s="18" t="inlineStr">
        <is>
          <t>academic_registration</t>
        </is>
      </c>
      <c r="D239" s="18" t="inlineStr">
        <is>
          <t>graduation_certificate_requests</t>
        </is>
      </c>
      <c r="E239" s="18" t="n">
        <v>392</v>
      </c>
      <c r="F239" s="18" t="inlineStr">
        <is>
          <t>requester_email</t>
        </is>
      </c>
      <c r="G239" s="18" t="inlineStr">
        <is>
          <t>character varying(255)</t>
        </is>
      </c>
      <c r="H239" s="18" t="inlineStr">
        <is>
          <t>No</t>
        </is>
      </c>
      <c r="I239" s="18" t="inlineStr"/>
      <c r="J239" s="18" t="inlineStr"/>
      <c r="K239" s="18" t="inlineStr"/>
      <c r="L239" s="18" t="inlineStr">
        <is>
          <t>No</t>
        </is>
      </c>
      <c r="M239" s="18" t="inlineStr">
        <is>
          <t>No</t>
        </is>
      </c>
      <c r="N239" s="18" t="inlineStr"/>
      <c r="O239" s="18" t="inlineStr"/>
      <c r="P239" s="18" t="inlineStr">
        <is>
          <t>Mapeada en academic-registration-service/src/graduation-certificates/graduation-certificate-request.entity.ts:74 (GraduationCertificateRequest.requesterEmail)</t>
        </is>
      </c>
      <c r="Q239" s="18" t="inlineStr">
        <is>
          <t>Propuesta semántica</t>
        </is>
      </c>
      <c r="R239" s="18" t="inlineStr">
        <is>
          <t>Correo electrónico del solicitante del certificado.</t>
        </is>
      </c>
      <c r="S239" s="18" t="inlineStr">
        <is>
          <t>Alta</t>
        </is>
      </c>
      <c r="T239" s="18" t="inlineStr">
        <is>
          <t>nombre + tipo + columnas vecinas</t>
        </is>
      </c>
      <c r="U239" s="18" t="inlineStr"/>
      <c r="V239" s="19" t="inlineStr">
        <is>
          <t>Aprobada</t>
        </is>
      </c>
      <c r="W239" s="19" t="inlineStr"/>
      <c r="X239" s="19" t="inlineStr">
        <is>
          <t>Aldair González (aprobación en bloque)</t>
        </is>
      </c>
      <c r="Y239" s="20" t="n">
        <v>46321</v>
      </c>
      <c r="Z239" s="19" t="inlineStr">
        <is>
          <t>Nivel 1: propuesta del comentario del desarrollador o de confianza alta, o regla de fecha/responsable/motivo.</t>
        </is>
      </c>
      <c r="AA239" s="18">
        <f>IF(OR(V239="Aprobada"),R239,IF(AND(OR(V239="Aprobada con ajuste",V239="Rechazada"),W239&lt;&gt;""),W239,""))</f>
        <v/>
      </c>
    </row>
    <row r="240">
      <c r="A240" s="18" t="inlineStr">
        <is>
          <t>C0239</t>
        </is>
      </c>
      <c r="B240" s="18" t="inlineStr">
        <is>
          <t>Registro académico</t>
        </is>
      </c>
      <c r="C240" s="18" t="inlineStr">
        <is>
          <t>academic_registration</t>
        </is>
      </c>
      <c r="D240" s="18" t="inlineStr">
        <is>
          <t>graduation_certificate_requests</t>
        </is>
      </c>
      <c r="E240" s="18" t="n">
        <v>392</v>
      </c>
      <c r="F240" s="18" t="inlineStr">
        <is>
          <t>requester_phone</t>
        </is>
      </c>
      <c r="G240" s="18" t="inlineStr">
        <is>
          <t>character varying(50)</t>
        </is>
      </c>
      <c r="H240" s="18" t="inlineStr">
        <is>
          <t>Sí</t>
        </is>
      </c>
      <c r="I240" s="18" t="inlineStr"/>
      <c r="J240" s="18" t="inlineStr"/>
      <c r="K240" s="18" t="inlineStr"/>
      <c r="L240" s="18" t="inlineStr">
        <is>
          <t>No</t>
        </is>
      </c>
      <c r="M240" s="18" t="inlineStr">
        <is>
          <t>No</t>
        </is>
      </c>
      <c r="N240" s="18" t="inlineStr"/>
      <c r="O240" s="18" t="inlineStr"/>
      <c r="P240" s="18" t="inlineStr">
        <is>
          <t>Mapeada en academic-registration-service/src/graduation-certificates/graduation-certificate-request.entity.ts:77 (GraduationCertificateRequest.requesterPhone)</t>
        </is>
      </c>
      <c r="Q240" s="18" t="inlineStr">
        <is>
          <t>Propuesta semántica</t>
        </is>
      </c>
      <c r="R240" s="18" t="inlineStr">
        <is>
          <t>Número de teléfono del solicitante del certificado.</t>
        </is>
      </c>
      <c r="S240" s="18" t="inlineStr">
        <is>
          <t>Alta</t>
        </is>
      </c>
      <c r="T240" s="18" t="inlineStr">
        <is>
          <t>nombre + tipo + columnas vecinas</t>
        </is>
      </c>
      <c r="U240" s="18" t="inlineStr"/>
      <c r="V240" s="19" t="inlineStr">
        <is>
          <t>Aprobada</t>
        </is>
      </c>
      <c r="W240" s="19" t="inlineStr"/>
      <c r="X240" s="19" t="inlineStr">
        <is>
          <t>Aldair González (aprobación en bloque)</t>
        </is>
      </c>
      <c r="Y240" s="20" t="n">
        <v>46321</v>
      </c>
      <c r="Z240" s="19" t="inlineStr">
        <is>
          <t>Nivel 1: propuesta del comentario del desarrollador o de confianza alta, o regla de fecha/responsable/motivo.</t>
        </is>
      </c>
      <c r="AA240" s="18">
        <f>IF(OR(V240="Aprobada"),R240,IF(AND(OR(V240="Aprobada con ajuste",V240="Rechazada"),W240&lt;&gt;""),W240,""))</f>
        <v/>
      </c>
    </row>
    <row r="241">
      <c r="A241" s="18" t="inlineStr">
        <is>
          <t>C0240</t>
        </is>
      </c>
      <c r="B241" s="18" t="inlineStr">
        <is>
          <t>Registro académico</t>
        </is>
      </c>
      <c r="C241" s="18" t="inlineStr">
        <is>
          <t>academic_registration</t>
        </is>
      </c>
      <c r="D241" s="18" t="inlineStr">
        <is>
          <t>graduation_certificate_requests</t>
        </is>
      </c>
      <c r="E241" s="18" t="n">
        <v>392</v>
      </c>
      <c r="F241" s="18" t="inlineStr">
        <is>
          <t>company_name</t>
        </is>
      </c>
      <c r="G241" s="18" t="inlineStr">
        <is>
          <t>character varying(255)</t>
        </is>
      </c>
      <c r="H241" s="18" t="inlineStr">
        <is>
          <t>Sí</t>
        </is>
      </c>
      <c r="I241" s="18" t="inlineStr"/>
      <c r="J241" s="18" t="inlineStr"/>
      <c r="K241" s="18" t="inlineStr"/>
      <c r="L241" s="18" t="inlineStr">
        <is>
          <t>No</t>
        </is>
      </c>
      <c r="M241" s="18" t="inlineStr">
        <is>
          <t>No</t>
        </is>
      </c>
      <c r="N241" s="18" t="inlineStr"/>
      <c r="O241" s="18" t="inlineStr"/>
      <c r="P241" s="18" t="inlineStr">
        <is>
          <t>db/migrations/old/042_create_graduation_tables.sql:91: Si lo solicita una empresa</t>
        </is>
      </c>
      <c r="Q241" s="18" t="inlineStr">
        <is>
          <t>Código fuente</t>
        </is>
      </c>
      <c r="R241" s="18" t="inlineStr">
        <is>
          <t>Nombre de la empresa solicitante, cuando la solicitud la hace una empresa.</t>
        </is>
      </c>
      <c r="S241" s="18" t="inlineStr">
        <is>
          <t>Alta</t>
        </is>
      </c>
      <c r="T241" s="18" t="inlineStr">
        <is>
          <t>código: db/migrations/old/042_create_graduation_tables.sql:91</t>
        </is>
      </c>
      <c r="U241" s="18" t="inlineStr"/>
      <c r="V241" s="19" t="inlineStr">
        <is>
          <t>Aprobada</t>
        </is>
      </c>
      <c r="W241" s="19" t="inlineStr"/>
      <c r="X241" s="19" t="inlineStr">
        <is>
          <t>Aldair González (aprobación en bloque)</t>
        </is>
      </c>
      <c r="Y241" s="20" t="n">
        <v>46321</v>
      </c>
      <c r="Z241" s="19" t="inlineStr">
        <is>
          <t>Nivel 1: propuesta del comentario del desarrollador o de confianza alta, o regla de fecha/responsable/motivo.</t>
        </is>
      </c>
      <c r="AA241" s="18">
        <f>IF(OR(V241="Aprobada"),R241,IF(AND(OR(V241="Aprobada con ajuste",V241="Rechazada"),W241&lt;&gt;""),W241,""))</f>
        <v/>
      </c>
    </row>
    <row r="242">
      <c r="A242" s="18" t="inlineStr">
        <is>
          <t>C0241</t>
        </is>
      </c>
      <c r="B242" s="18" t="inlineStr">
        <is>
          <t>Registro académico</t>
        </is>
      </c>
      <c r="C242" s="18" t="inlineStr">
        <is>
          <t>academic_registration</t>
        </is>
      </c>
      <c r="D242" s="18" t="inlineStr">
        <is>
          <t>graduation_certificate_requests</t>
        </is>
      </c>
      <c r="E242" s="18" t="n">
        <v>392</v>
      </c>
      <c r="F242" s="18" t="inlineStr">
        <is>
          <t>certificate_type</t>
        </is>
      </c>
      <c r="G242" s="18" t="inlineStr">
        <is>
          <t>character varying(50)</t>
        </is>
      </c>
      <c r="H242" s="18" t="inlineStr">
        <is>
          <t>Sí</t>
        </is>
      </c>
      <c r="I242" s="18" t="inlineStr">
        <is>
          <t>CHECK</t>
        </is>
      </c>
      <c r="J242" s="18" t="inlineStr">
        <is>
          <t>INTERNATIONAL, OFFICIAL, STANDARD</t>
        </is>
      </c>
      <c r="K242" s="18" t="inlineStr"/>
      <c r="L242" s="18" t="inlineStr">
        <is>
          <t>Sí</t>
        </is>
      </c>
      <c r="M242" s="18" t="inlineStr">
        <is>
          <t>No</t>
        </is>
      </c>
      <c r="N242" s="18" t="inlineStr"/>
      <c r="O242" s="18" t="inlineStr"/>
      <c r="P242" s="18" t="inlineStr">
        <is>
          <t>academic-registration-service/src/graduation-certificates/graduation-certificate-request.entity.ts:97: Tipo de certificado STANDARD, OFFICIAL, INTERNATIONAL | db/migrations/old/042_create_graduation_tables.sql:94: Tipo de certificado solicitado STANDARD, OFFICIAL, INTERNATIONAL</t>
        </is>
      </c>
      <c r="Q242" s="18" t="inlineStr">
        <is>
          <t>Código fuente</t>
        </is>
      </c>
      <c r="R242" s="18" t="inlineStr">
        <is>
          <t>Tipo de certificado solicitado. Valores permitidos: STANDARD, OFFICIAL, INTERNATIONAL; por defecto STANDARD.</t>
        </is>
      </c>
      <c r="S242" s="18" t="inlineStr">
        <is>
          <t>Alta</t>
        </is>
      </c>
      <c r="T242" s="18" t="inlineStr">
        <is>
          <t>código: academic-registration-service/src/graduation-certificates/graduation-certificate-request.entity.ts:97</t>
        </is>
      </c>
      <c r="U242" s="18" t="inlineStr"/>
      <c r="V242" s="19" t="inlineStr">
        <is>
          <t>Aprobada</t>
        </is>
      </c>
      <c r="W242" s="19" t="inlineStr"/>
      <c r="X242" s="19" t="inlineStr">
        <is>
          <t>Aldair González (aprobación en bloque)</t>
        </is>
      </c>
      <c r="Y242" s="20" t="n">
        <v>46321</v>
      </c>
      <c r="Z242" s="19" t="inlineStr">
        <is>
          <t>Nivel 1: propuesta del comentario del desarrollador o de confianza alta, o regla de fecha/responsable/motivo.</t>
        </is>
      </c>
      <c r="AA242" s="18">
        <f>IF(OR(V242="Aprobada"),R242,IF(AND(OR(V242="Aprobada con ajuste",V242="Rechazada"),W242&lt;&gt;""),W242,""))</f>
        <v/>
      </c>
    </row>
    <row r="243">
      <c r="A243" s="18" t="inlineStr">
        <is>
          <t>C0242</t>
        </is>
      </c>
      <c r="B243" s="18" t="inlineStr">
        <is>
          <t>Registro académico</t>
        </is>
      </c>
      <c r="C243" s="18" t="inlineStr">
        <is>
          <t>academic_registration</t>
        </is>
      </c>
      <c r="D243" s="18" t="inlineStr">
        <is>
          <t>graduation_certificate_requests</t>
        </is>
      </c>
      <c r="E243" s="18" t="n">
        <v>392</v>
      </c>
      <c r="F243" s="18" t="inlineStr">
        <is>
          <t>validation_code</t>
        </is>
      </c>
      <c r="G243" s="18" t="inlineStr">
        <is>
          <t>character varying(10)</t>
        </is>
      </c>
      <c r="H243" s="18" t="inlineStr">
        <is>
          <t>Sí</t>
        </is>
      </c>
      <c r="I243" s="18" t="inlineStr"/>
      <c r="J243" s="18" t="inlineStr"/>
      <c r="K243" s="18" t="inlineStr"/>
      <c r="L243" s="18" t="inlineStr">
        <is>
          <t>No</t>
        </is>
      </c>
      <c r="M243" s="18" t="inlineStr">
        <is>
          <t>No</t>
        </is>
      </c>
      <c r="N243" s="18" t="inlineStr"/>
      <c r="O243" s="18" t="inlineStr"/>
      <c r="P243" s="18" t="inlineStr">
        <is>
          <t>academic-registration-service/src/graduation-certificates/graduation-certificate-request.entity.ts:101: Validación | db/migrations/old/042_create_graduation_tables.sql:97: Validación (para graduados que solicitan por primera vez) Código enviado por email</t>
        </is>
      </c>
      <c r="Q243" s="18" t="inlineStr">
        <is>
          <t>Código fuente</t>
        </is>
      </c>
      <c r="R243" s="18" t="inlineStr">
        <is>
          <t>Código de validación enviado por correo electrónico al graduado que solicita el certificado por primera vez.</t>
        </is>
      </c>
      <c r="S243" s="18" t="inlineStr">
        <is>
          <t>Alta</t>
        </is>
      </c>
      <c r="T243" s="18" t="inlineStr">
        <is>
          <t>código: db/migrations/old/042_create_graduation_tables.sql:97</t>
        </is>
      </c>
      <c r="U243" s="18" t="inlineStr"/>
      <c r="V243" s="19" t="inlineStr">
        <is>
          <t>Aprobada</t>
        </is>
      </c>
      <c r="W243" s="19" t="inlineStr"/>
      <c r="X243" s="19" t="inlineStr">
        <is>
          <t>Aldair González (aprobación en bloque)</t>
        </is>
      </c>
      <c r="Y243" s="20" t="n">
        <v>46321</v>
      </c>
      <c r="Z243" s="19" t="inlineStr">
        <is>
          <t>Nivel 1: propuesta del comentario del desarrollador o de confianza alta, o regla de fecha/responsable/motivo.</t>
        </is>
      </c>
      <c r="AA243" s="18">
        <f>IF(OR(V243="Aprobada"),R243,IF(AND(OR(V243="Aprobada con ajuste",V243="Rechazada"),W243&lt;&gt;""),W243,""))</f>
        <v/>
      </c>
    </row>
    <row r="244">
      <c r="A244" s="18" t="inlineStr">
        <is>
          <t>C0243</t>
        </is>
      </c>
      <c r="B244" s="18" t="inlineStr">
        <is>
          <t>Registro académico</t>
        </is>
      </c>
      <c r="C244" s="18" t="inlineStr">
        <is>
          <t>academic_registration</t>
        </is>
      </c>
      <c r="D244" s="18" t="inlineStr">
        <is>
          <t>graduation_certificate_requests</t>
        </is>
      </c>
      <c r="E244" s="18" t="n">
        <v>392</v>
      </c>
      <c r="F244" s="18" t="inlineStr">
        <is>
          <t>validation_expires_at</t>
        </is>
      </c>
      <c r="G244" s="18" t="inlineStr">
        <is>
          <t>timestamp without time zone</t>
        </is>
      </c>
      <c r="H244" s="18" t="inlineStr">
        <is>
          <t>Sí</t>
        </is>
      </c>
      <c r="I244" s="18" t="inlineStr"/>
      <c r="J244" s="18" t="inlineStr"/>
      <c r="K244" s="18" t="inlineStr"/>
      <c r="L244" s="18" t="inlineStr">
        <is>
          <t>No</t>
        </is>
      </c>
      <c r="M244" s="18" t="inlineStr">
        <is>
          <t>No</t>
        </is>
      </c>
      <c r="N244" s="18" t="inlineStr"/>
      <c r="O244" s="18" t="inlineStr"/>
      <c r="P244" s="18" t="inlineStr">
        <is>
          <t>Mapeada en academic-registration-service/src/graduation-certificates/graduation-certificate-request.entity.ts:104 (GraduationCertificateRequest.validationExpiresAt)</t>
        </is>
      </c>
      <c r="Q244" s="18" t="inlineStr">
        <is>
          <t>Código fuente (verificado)</t>
        </is>
      </c>
      <c r="R244" s="18" t="inlineStr">
        <is>
          <t>Fecha y hora en que vence el código de validación de seis dígitos generado para la solicitud del graduado (cinco minutos después de crearlo).</t>
        </is>
      </c>
      <c r="S244" s="18" t="inlineStr">
        <is>
          <t>Alta</t>
        </is>
      </c>
      <c r="T244" s="18" t="inlineStr">
        <is>
          <t>academic-registration-service/src/graduation-certificates/graduation-certificates.service.ts:964: vencimiento = creación + 5 minutos | academic-registration-service/src/graduation-certificates/graduation-certificates.service.ts:993: el envío del código por correo está pendiente (TODO) | academic-registration-service/src/graduation-certificates/graduation-certificates.service.ts:1633: el código se rechaza si la hora actual supera el vencimiento</t>
        </is>
      </c>
      <c r="U244" s="18" t="inlineStr"/>
      <c r="V244" s="19" t="inlineStr">
        <is>
          <t>Aprobada</t>
        </is>
      </c>
      <c r="W244" s="19" t="inlineStr"/>
      <c r="X244" s="19" t="inlineStr">
        <is>
          <t>Aldair González (aprobación en bloque)</t>
        </is>
      </c>
      <c r="Y244" s="20" t="n">
        <v>46321</v>
      </c>
      <c r="Z244" s="19" t="inlineStr">
        <is>
          <t>Nivel 3: verificada con el código de la aplicación.</t>
        </is>
      </c>
      <c r="AA244" s="18">
        <f>IF(OR(V244="Aprobada"),R244,IF(AND(OR(V244="Aprobada con ajuste",V244="Rechazada"),W244&lt;&gt;""),W244,""))</f>
        <v/>
      </c>
    </row>
    <row r="245">
      <c r="A245" s="18" t="inlineStr">
        <is>
          <t>C0244</t>
        </is>
      </c>
      <c r="B245" s="18" t="inlineStr">
        <is>
          <t>Registro académico</t>
        </is>
      </c>
      <c r="C245" s="18" t="inlineStr">
        <is>
          <t>academic_registration</t>
        </is>
      </c>
      <c r="D245" s="18" t="inlineStr">
        <is>
          <t>graduation_certificate_requests</t>
        </is>
      </c>
      <c r="E245" s="18" t="n">
        <v>392</v>
      </c>
      <c r="F245" s="18" t="inlineStr">
        <is>
          <t>is_validated</t>
        </is>
      </c>
      <c r="G245" s="18" t="inlineStr">
        <is>
          <t>boolean</t>
        </is>
      </c>
      <c r="H245" s="18" t="inlineStr">
        <is>
          <t>Sí</t>
        </is>
      </c>
      <c r="I245" s="18" t="inlineStr"/>
      <c r="J245" s="18" t="inlineStr"/>
      <c r="K245" s="18" t="inlineStr"/>
      <c r="L245" s="18" t="inlineStr">
        <is>
          <t>No</t>
        </is>
      </c>
      <c r="M245" s="18" t="inlineStr">
        <is>
          <t>No</t>
        </is>
      </c>
      <c r="N245" s="18" t="inlineStr"/>
      <c r="O245" s="18" t="inlineStr"/>
      <c r="P245" s="18" t="inlineStr">
        <is>
          <t>Mapeada en academic-registration-service/src/graduation-certificates/graduation-certificate-request.entity.ts:107 (GraduationCertificateRequest.isValidated)</t>
        </is>
      </c>
      <c r="Q245" s="18" t="inlineStr">
        <is>
          <t>Regla estructural (redacción revisada)</t>
        </is>
      </c>
      <c r="R245" s="18" t="inlineStr">
        <is>
          <t>Indica si la solicitud de certificado de grado fue validada.</t>
        </is>
      </c>
      <c r="S245" s="18" t="inlineStr">
        <is>
          <t>Alta</t>
        </is>
      </c>
      <c r="T245" s="18" t="inlineStr">
        <is>
          <t>Convención de nombre, redactada con el contexto de la tabla y el código.</t>
        </is>
      </c>
      <c r="U245" s="18" t="inlineStr"/>
      <c r="V245" s="19" t="inlineStr">
        <is>
          <t>Aprobada</t>
        </is>
      </c>
      <c r="W245" s="19" t="inlineStr"/>
      <c r="X245" s="19" t="inlineStr">
        <is>
          <t>Aldair González (aprobación en bloque)</t>
        </is>
      </c>
      <c r="Y245" s="20" t="n">
        <v>46321</v>
      </c>
      <c r="Z245" s="19" t="inlineStr">
        <is>
          <t>Nivel 2: regla estructural con redacción revisada.</t>
        </is>
      </c>
      <c r="AA245" s="18">
        <f>IF(OR(V245="Aprobada"),R245,IF(AND(OR(V245="Aprobada con ajuste",V245="Rechazada"),W245&lt;&gt;""),W245,""))</f>
        <v/>
      </c>
    </row>
    <row r="246">
      <c r="A246" s="18" t="inlineStr">
        <is>
          <t>C0245</t>
        </is>
      </c>
      <c r="B246" s="18" t="inlineStr">
        <is>
          <t>Registro académico</t>
        </is>
      </c>
      <c r="C246" s="18" t="inlineStr">
        <is>
          <t>academic_registration</t>
        </is>
      </c>
      <c r="D246" s="18" t="inlineStr">
        <is>
          <t>graduation_certificate_requests</t>
        </is>
      </c>
      <c r="E246" s="18" t="n">
        <v>392</v>
      </c>
      <c r="F246" s="18" t="inlineStr">
        <is>
          <t>status</t>
        </is>
      </c>
      <c r="G246" s="18" t="inlineStr">
        <is>
          <t>character varying(50)</t>
        </is>
      </c>
      <c r="H246" s="18" t="inlineStr">
        <is>
          <t>Sí</t>
        </is>
      </c>
      <c r="I246" s="18" t="inlineStr">
        <is>
          <t>CHECK</t>
        </is>
      </c>
      <c r="J246" s="18" t="inlineStr">
        <is>
          <t>COMPLETED, EXPIRED, PENDING, PROCESSING, REJECTED, VALIDATED</t>
        </is>
      </c>
      <c r="K246" s="18" t="inlineStr"/>
      <c r="L246" s="18" t="inlineStr">
        <is>
          <t>Sí</t>
        </is>
      </c>
      <c r="M246" s="18" t="inlineStr">
        <is>
          <t>No</t>
        </is>
      </c>
      <c r="N246" s="18" t="inlineStr"/>
      <c r="O246" s="18" t="inlineStr">
        <is>
          <t>idx_cert_requests_status</t>
        </is>
      </c>
      <c r="P246" s="18" t="inlineStr">
        <is>
          <t>academic-registration-service/src/graduation-certificates/graduation-certificate-request.entity.ts:111: Estado PENDING, VALIDATED, PROCESSING, COMPLETED, REJECTED, EXPIRED | db/migrations/old/042_create_graduation_tables.sql:102: Estado de la solicitud PENDING, VALIDATED, PROCESSING, COMPLETED, REJECTED</t>
        </is>
      </c>
      <c r="Q246" s="18" t="inlineStr">
        <is>
          <t>Código fuente</t>
        </is>
      </c>
      <c r="R246" s="18" t="inlineStr">
        <is>
          <t>Estado de la solicitud de certificado. Valores permitidos: PENDING, VALIDATED, PROCESSING, COMPLETED, REJECTED, EXPIRED; por defecto PENDING.</t>
        </is>
      </c>
      <c r="S246" s="18" t="inlineStr">
        <is>
          <t>Alta</t>
        </is>
      </c>
      <c r="T246" s="18" t="inlineStr">
        <is>
          <t>código: academic-registration-service/src/graduation-certificates/graduation-certificate-request.entity.ts:111</t>
        </is>
      </c>
      <c r="U246" s="18" t="inlineStr"/>
      <c r="V246" s="19" t="inlineStr">
        <is>
          <t>Aprobada</t>
        </is>
      </c>
      <c r="W246" s="19" t="inlineStr"/>
      <c r="X246" s="19" t="inlineStr">
        <is>
          <t>Aldair González (aprobación en bloque)</t>
        </is>
      </c>
      <c r="Y246" s="20" t="n">
        <v>46321</v>
      </c>
      <c r="Z246" s="19" t="inlineStr">
        <is>
          <t>Nivel 1: propuesta del comentario del desarrollador o de confianza alta, o regla de fecha/responsable/motivo.</t>
        </is>
      </c>
      <c r="AA246" s="18">
        <f>IF(OR(V246="Aprobada"),R246,IF(AND(OR(V246="Aprobada con ajuste",V246="Rechazada"),W246&lt;&gt;""),W246,""))</f>
        <v/>
      </c>
    </row>
    <row r="247">
      <c r="A247" s="18" t="inlineStr">
        <is>
          <t>C0246</t>
        </is>
      </c>
      <c r="B247" s="18" t="inlineStr">
        <is>
          <t>Registro académico</t>
        </is>
      </c>
      <c r="C247" s="18" t="inlineStr">
        <is>
          <t>academic_registration</t>
        </is>
      </c>
      <c r="D247" s="18" t="inlineStr">
        <is>
          <t>graduation_certificate_requests</t>
        </is>
      </c>
      <c r="E247" s="18" t="n">
        <v>392</v>
      </c>
      <c r="F247" s="18" t="inlineStr">
        <is>
          <t>observations</t>
        </is>
      </c>
      <c r="G247" s="18" t="inlineStr">
        <is>
          <t>text</t>
        </is>
      </c>
      <c r="H247" s="18" t="inlineStr">
        <is>
          <t>Sí</t>
        </is>
      </c>
      <c r="I247" s="18" t="inlineStr"/>
      <c r="J247" s="18" t="inlineStr"/>
      <c r="K247" s="18" t="inlineStr"/>
      <c r="L247" s="18" t="inlineStr">
        <is>
          <t>No</t>
        </is>
      </c>
      <c r="M247" s="18" t="inlineStr">
        <is>
          <t>No</t>
        </is>
      </c>
      <c r="N247" s="18" t="inlineStr"/>
      <c r="O247" s="18" t="inlineStr"/>
      <c r="P247" s="18" t="inlineStr">
        <is>
          <t>academic-registration-service/src/graduation-certificates/graduation-certificate-request.entity.ts:115: Observaciones | db/migrations/old/042_create_graduation_tables.sql:105: Observaciones</t>
        </is>
      </c>
      <c r="Q247" s="18" t="inlineStr">
        <is>
          <t>Código fuente</t>
        </is>
      </c>
      <c r="R247" s="18" t="inlineStr">
        <is>
          <t>Observaciones sobre la solicitud de certificado.</t>
        </is>
      </c>
      <c r="S247" s="18" t="inlineStr">
        <is>
          <t>Alta</t>
        </is>
      </c>
      <c r="T247" s="18" t="inlineStr">
        <is>
          <t>código: academic-registration-service/src/graduation-certificates/graduation-certificate-request.entity.ts:115</t>
        </is>
      </c>
      <c r="U247" s="18" t="inlineStr"/>
      <c r="V247" s="19" t="inlineStr">
        <is>
          <t>Aprobada</t>
        </is>
      </c>
      <c r="W247" s="19" t="inlineStr"/>
      <c r="X247" s="19" t="inlineStr">
        <is>
          <t>Aldair González (aprobación en bloque)</t>
        </is>
      </c>
      <c r="Y247" s="20" t="n">
        <v>46321</v>
      </c>
      <c r="Z247" s="19" t="inlineStr">
        <is>
          <t>Nivel 1: propuesta del comentario del desarrollador o de confianza alta, o regla de fecha/responsable/motivo.</t>
        </is>
      </c>
      <c r="AA247" s="18">
        <f>IF(OR(V247="Aprobada"),R247,IF(AND(OR(V247="Aprobada con ajuste",V247="Rechazada"),W247&lt;&gt;""),W247,""))</f>
        <v/>
      </c>
    </row>
    <row r="248">
      <c r="A248" s="18" t="inlineStr">
        <is>
          <t>C0247</t>
        </is>
      </c>
      <c r="B248" s="18" t="inlineStr">
        <is>
          <t>Registro académico</t>
        </is>
      </c>
      <c r="C248" s="18" t="inlineStr">
        <is>
          <t>academic_registration</t>
        </is>
      </c>
      <c r="D248" s="18" t="inlineStr">
        <is>
          <t>graduation_certificate_requests</t>
        </is>
      </c>
      <c r="E248" s="18" t="n">
        <v>392</v>
      </c>
      <c r="F248" s="18" t="inlineStr">
        <is>
          <t>rejection_reason</t>
        </is>
      </c>
      <c r="G248" s="18" t="inlineStr">
        <is>
          <t>text</t>
        </is>
      </c>
      <c r="H248" s="18" t="inlineStr">
        <is>
          <t>Sí</t>
        </is>
      </c>
      <c r="I248" s="18" t="inlineStr"/>
      <c r="J248" s="18" t="inlineStr"/>
      <c r="K248" s="18" t="inlineStr"/>
      <c r="L248" s="18" t="inlineStr">
        <is>
          <t>No</t>
        </is>
      </c>
      <c r="M248" s="18" t="inlineStr">
        <is>
          <t>No</t>
        </is>
      </c>
      <c r="N248" s="18" t="inlineStr"/>
      <c r="O248" s="18" t="inlineStr"/>
      <c r="P248" s="18" t="inlineStr">
        <is>
          <t>Mapeada en academic-registration-service/src/graduation-certificates/graduation-certificate-request.entity.ts:118 (GraduationCertificateRequest.rejectionReason)</t>
        </is>
      </c>
      <c r="Q248" s="18" t="inlineStr">
        <is>
          <t>Propuesta semántica</t>
        </is>
      </c>
      <c r="R248" s="18" t="inlineStr">
        <is>
          <t>Motivo del rechazo de la solicitud.</t>
        </is>
      </c>
      <c r="S248" s="18" t="inlineStr">
        <is>
          <t>Alta</t>
        </is>
      </c>
      <c r="T248" s="18" t="inlineStr">
        <is>
          <t>nombre + tipo + columnas vecinas (status)</t>
        </is>
      </c>
      <c r="U248" s="18" t="inlineStr"/>
      <c r="V248" s="19" t="inlineStr">
        <is>
          <t>Aprobada</t>
        </is>
      </c>
      <c r="W248" s="19" t="inlineStr"/>
      <c r="X248" s="19" t="inlineStr">
        <is>
          <t>Aldair González (aprobación en bloque)</t>
        </is>
      </c>
      <c r="Y248" s="20" t="n">
        <v>46321</v>
      </c>
      <c r="Z248" s="19" t="inlineStr">
        <is>
          <t>Nivel 1: propuesta del comentario del desarrollador o de confianza alta, o regla de fecha/responsable/motivo.</t>
        </is>
      </c>
      <c r="AA248" s="18">
        <f>IF(OR(V248="Aprobada"),R248,IF(AND(OR(V248="Aprobada con ajuste",V248="Rechazada"),W248&lt;&gt;""),W248,""))</f>
        <v/>
      </c>
    </row>
    <row r="249">
      <c r="A249" s="18" t="inlineStr">
        <is>
          <t>C0248</t>
        </is>
      </c>
      <c r="B249" s="18" t="inlineStr">
        <is>
          <t>Registro académico</t>
        </is>
      </c>
      <c r="C249" s="18" t="inlineStr">
        <is>
          <t>academic_registration</t>
        </is>
      </c>
      <c r="D249" s="18" t="inlineStr">
        <is>
          <t>graduation_certificate_requests</t>
        </is>
      </c>
      <c r="E249" s="18" t="n">
        <v>392</v>
      </c>
      <c r="F249" s="18" t="inlineStr">
        <is>
          <t>request_date</t>
        </is>
      </c>
      <c r="G249" s="18" t="inlineStr">
        <is>
          <t>timestamp without time zone</t>
        </is>
      </c>
      <c r="H249" s="18" t="inlineStr">
        <is>
          <t>Sí</t>
        </is>
      </c>
      <c r="I249" s="18" t="inlineStr"/>
      <c r="J249" s="18" t="inlineStr"/>
      <c r="K249" s="18" t="inlineStr"/>
      <c r="L249" s="18" t="inlineStr">
        <is>
          <t>No</t>
        </is>
      </c>
      <c r="M249" s="18" t="inlineStr">
        <is>
          <t>No</t>
        </is>
      </c>
      <c r="N249" s="18" t="inlineStr"/>
      <c r="O249" s="18" t="inlineStr">
        <is>
          <t>idx_cert_requests_date</t>
        </is>
      </c>
      <c r="P249" s="18" t="inlineStr">
        <is>
          <t>academic-registration-service/src/graduation-certificates/graduation-certificate-request.entity.ts:210: Fechas | db/migrations/old/042_create_graduation_tables.sql:109: Fechas</t>
        </is>
      </c>
      <c r="Q249" s="18" t="inlineStr">
        <is>
          <t>Código fuente</t>
        </is>
      </c>
      <c r="R249" s="18" t="inlineStr">
        <is>
          <t>Fecha y hora en que se registró la solicitud; por defecto el momento de creación.</t>
        </is>
      </c>
      <c r="S249" s="18" t="inlineStr">
        <is>
          <t>Alta</t>
        </is>
      </c>
      <c r="T249" s="18" t="inlineStr">
        <is>
          <t>código: academic-registration-service/src/graduation-certificates/graduation-certificate-request.entity.ts:210</t>
        </is>
      </c>
      <c r="U249" s="18" t="inlineStr"/>
      <c r="V249" s="19" t="inlineStr">
        <is>
          <t>Aprobada</t>
        </is>
      </c>
      <c r="W249" s="19" t="inlineStr"/>
      <c r="X249" s="19" t="inlineStr">
        <is>
          <t>Aldair González (aprobación en bloque)</t>
        </is>
      </c>
      <c r="Y249" s="20" t="n">
        <v>46321</v>
      </c>
      <c r="Z249" s="19" t="inlineStr">
        <is>
          <t>Nivel 1: propuesta del comentario del desarrollador o de confianza alta, o regla de fecha/responsable/motivo.</t>
        </is>
      </c>
      <c r="AA249" s="18">
        <f>IF(OR(V249="Aprobada"),R249,IF(AND(OR(V249="Aprobada con ajuste",V249="Rechazada"),W249&lt;&gt;""),W249,""))</f>
        <v/>
      </c>
    </row>
    <row r="250">
      <c r="A250" s="18" t="inlineStr">
        <is>
          <t>C0249</t>
        </is>
      </c>
      <c r="B250" s="18" t="inlineStr">
        <is>
          <t>Registro académico</t>
        </is>
      </c>
      <c r="C250" s="18" t="inlineStr">
        <is>
          <t>academic_registration</t>
        </is>
      </c>
      <c r="D250" s="18" t="inlineStr">
        <is>
          <t>graduation_certificate_requests</t>
        </is>
      </c>
      <c r="E250" s="18" t="n">
        <v>392</v>
      </c>
      <c r="F250" s="18" t="inlineStr">
        <is>
          <t>validation_date</t>
        </is>
      </c>
      <c r="G250" s="18" t="inlineStr">
        <is>
          <t>timestamp without time zone</t>
        </is>
      </c>
      <c r="H250" s="18" t="inlineStr">
        <is>
          <t>Sí</t>
        </is>
      </c>
      <c r="I250" s="18" t="inlineStr"/>
      <c r="J250" s="18" t="inlineStr"/>
      <c r="K250" s="18" t="inlineStr"/>
      <c r="L250" s="18" t="inlineStr">
        <is>
          <t>No</t>
        </is>
      </c>
      <c r="M250" s="18" t="inlineStr">
        <is>
          <t>No</t>
        </is>
      </c>
      <c r="N250" s="18" t="inlineStr"/>
      <c r="O250" s="18" t="inlineStr"/>
      <c r="P250" s="18" t="inlineStr">
        <is>
          <t>Mapeada en academic-registration-service/src/graduation-certificates/graduation-certificate-request.entity.ts:213 (GraduationCertificateRequest.validationDate)</t>
        </is>
      </c>
      <c r="Q250" s="18" t="inlineStr">
        <is>
          <t>Código fuente (verificado)</t>
        </is>
      </c>
      <c r="R250" s="18" t="inlineStr">
        <is>
          <t>Fecha y hora en que se validó la solicitud: al ingresar el código de validación, en la validación automática de la solicitud o al aprobar una revisión manual.</t>
        </is>
      </c>
      <c r="S250" s="18" t="inlineStr">
        <is>
          <t>Alta</t>
        </is>
      </c>
      <c r="T250" s="18" t="inlineStr">
        <is>
          <t>academic-registration-service/src/graduation-certificates/graduation-certificates.service.ts:1643: se fija al validar el código | academic-registration-service/src/graduation-certificates/graduation-certificates.service.ts:1349: validación automática | academic-registration-service/src/graduation-certificates/graduation-certificates.service.ts:6271: aprobación de revisión manual</t>
        </is>
      </c>
      <c r="U250" s="18" t="inlineStr"/>
      <c r="V250" s="19" t="inlineStr">
        <is>
          <t>Aprobada</t>
        </is>
      </c>
      <c r="W250" s="19" t="inlineStr"/>
      <c r="X250" s="19" t="inlineStr">
        <is>
          <t>Aldair González (aprobación en bloque)</t>
        </is>
      </c>
      <c r="Y250" s="20" t="n">
        <v>46321</v>
      </c>
      <c r="Z250" s="19" t="inlineStr">
        <is>
          <t>Nivel 3: verificada con el código de la aplicación.</t>
        </is>
      </c>
      <c r="AA250" s="18">
        <f>IF(OR(V250="Aprobada"),R250,IF(AND(OR(V250="Aprobada con ajuste",V250="Rechazada"),W250&lt;&gt;""),W250,""))</f>
        <v/>
      </c>
    </row>
    <row r="251">
      <c r="A251" s="18" t="inlineStr">
        <is>
          <t>C0250</t>
        </is>
      </c>
      <c r="B251" s="18" t="inlineStr">
        <is>
          <t>Registro académico</t>
        </is>
      </c>
      <c r="C251" s="18" t="inlineStr">
        <is>
          <t>academic_registration</t>
        </is>
      </c>
      <c r="D251" s="18" t="inlineStr">
        <is>
          <t>graduation_certificate_requests</t>
        </is>
      </c>
      <c r="E251" s="18" t="n">
        <v>392</v>
      </c>
      <c r="F251" s="18" t="inlineStr">
        <is>
          <t>completion_date</t>
        </is>
      </c>
      <c r="G251" s="18" t="inlineStr">
        <is>
          <t>timestamp without time zone</t>
        </is>
      </c>
      <c r="H251" s="18" t="inlineStr">
        <is>
          <t>Sí</t>
        </is>
      </c>
      <c r="I251" s="18" t="inlineStr"/>
      <c r="J251" s="18" t="inlineStr"/>
      <c r="K251" s="18" t="inlineStr"/>
      <c r="L251" s="18" t="inlineStr">
        <is>
          <t>No</t>
        </is>
      </c>
      <c r="M251" s="18" t="inlineStr">
        <is>
          <t>No</t>
        </is>
      </c>
      <c r="N251" s="18" t="inlineStr"/>
      <c r="O251" s="18" t="inlineStr"/>
      <c r="P251" s="18" t="inlineStr">
        <is>
          <t>Mapeada en academic-registration-service/src/graduation-certificates/graduation-certificate-request.entity.ts:216 (GraduationCertificateRequest.completionDate)</t>
        </is>
      </c>
      <c r="Q251" s="18" t="inlineStr">
        <is>
          <t>Código fuente (verificado)</t>
        </is>
      </c>
      <c r="R251" s="18" t="inlineStr">
        <is>
          <t>Fecha y hora de cierre de la solicitud: cuando se genera el certificado (estado COMPLETED), cuando se rechaza en revisión manual o cuando vence.</t>
        </is>
      </c>
      <c r="S251" s="18" t="inlineStr">
        <is>
          <t>Alta</t>
        </is>
      </c>
      <c r="T251" s="18" t="inlineStr">
        <is>
          <t>academic-registration-service/src/graduation-certificates/graduation-certificates.service.ts:1655: se fija tras generar el certificado y pasar a COMPLETED, antes del envío | academic-registration-service/src/graduation-certificates/graduation-certificates.service.ts:6356: rechazo en revisión manual | academic-registration-service/src/graduation-certificates/graduation-certificates.service.ts:4138: vencimiento automático</t>
        </is>
      </c>
      <c r="U251" s="18" t="inlineStr"/>
      <c r="V251" s="19" t="inlineStr">
        <is>
          <t>Aprobada</t>
        </is>
      </c>
      <c r="W251" s="19" t="inlineStr"/>
      <c r="X251" s="19" t="inlineStr">
        <is>
          <t>Aldair González (aprobación en bloque)</t>
        </is>
      </c>
      <c r="Y251" s="20" t="n">
        <v>46321</v>
      </c>
      <c r="Z251" s="19" t="inlineStr">
        <is>
          <t>Nivel 3: verificada con el código de la aplicación.</t>
        </is>
      </c>
      <c r="AA251" s="18">
        <f>IF(OR(V251="Aprobada"),R251,IF(AND(OR(V251="Aprobada con ajuste",V251="Rechazada"),W251&lt;&gt;""),W251,""))</f>
        <v/>
      </c>
    </row>
    <row r="252">
      <c r="A252" s="18" t="inlineStr">
        <is>
          <t>C0251</t>
        </is>
      </c>
      <c r="B252" s="18" t="inlineStr">
        <is>
          <t>Registro académico</t>
        </is>
      </c>
      <c r="C252" s="18" t="inlineStr">
        <is>
          <t>academic_registration</t>
        </is>
      </c>
      <c r="D252" s="18" t="inlineStr">
        <is>
          <t>graduation_certificate_requests</t>
        </is>
      </c>
      <c r="E252" s="18" t="n">
        <v>392</v>
      </c>
      <c r="F252" s="18" t="inlineStr">
        <is>
          <t>id_issue_date</t>
        </is>
      </c>
      <c r="G252" s="18" t="inlineStr">
        <is>
          <t>date</t>
        </is>
      </c>
      <c r="H252" s="18" t="inlineStr">
        <is>
          <t>Sí</t>
        </is>
      </c>
      <c r="I252" s="18" t="inlineStr"/>
      <c r="J252" s="18" t="inlineStr"/>
      <c r="K252" s="18" t="inlineStr"/>
      <c r="L252" s="18" t="inlineStr">
        <is>
          <t>No</t>
        </is>
      </c>
      <c r="M252" s="18" t="inlineStr">
        <is>
          <t>No</t>
        </is>
      </c>
      <c r="N252" s="18" t="inlineStr"/>
      <c r="O252" s="18" t="inlineStr"/>
      <c r="P252" s="18" t="inlineStr">
        <is>
          <t>Mapeada en academic-registration-service/src/graduation-certificates/graduation-certificate-request.entity.ts:48 (GraduationCertificateRequest.idIssueDate)</t>
        </is>
      </c>
      <c r="Q252" s="18" t="inlineStr">
        <is>
          <t>Propuesta semántica</t>
        </is>
      </c>
      <c r="R252" s="18" t="inlineStr">
        <is>
          <t>Fecha de expedición del documento de identidad del graduado.</t>
        </is>
      </c>
      <c r="S252" s="18" t="inlineStr">
        <is>
          <t>Alta</t>
        </is>
      </c>
      <c r="T252" s="18" t="inlineStr">
        <is>
          <t>nombre + tipo + columnas vecinas (id_number)</t>
        </is>
      </c>
      <c r="U252" s="18" t="inlineStr"/>
      <c r="V252" s="19" t="inlineStr">
        <is>
          <t>Aprobada</t>
        </is>
      </c>
      <c r="W252" s="19" t="inlineStr"/>
      <c r="X252" s="19" t="inlineStr">
        <is>
          <t>Aldair González (aprobación en bloque)</t>
        </is>
      </c>
      <c r="Y252" s="20" t="n">
        <v>46321</v>
      </c>
      <c r="Z252" s="19" t="inlineStr">
        <is>
          <t>Nivel 1: propuesta del comentario del desarrollador o de confianza alta, o regla de fecha/responsable/motivo.</t>
        </is>
      </c>
      <c r="AA252" s="18">
        <f>IF(OR(V252="Aprobada"),R252,IF(AND(OR(V252="Aprobada con ajuste",V252="Rechazada"),W252&lt;&gt;""),W252,""))</f>
        <v/>
      </c>
    </row>
    <row r="253">
      <c r="A253" s="18" t="inlineStr">
        <is>
          <t>C0252</t>
        </is>
      </c>
      <c r="B253" s="18" t="inlineStr">
        <is>
          <t>Registro académico</t>
        </is>
      </c>
      <c r="C253" s="18" t="inlineStr">
        <is>
          <t>academic_registration</t>
        </is>
      </c>
      <c r="D253" s="18" t="inlineStr">
        <is>
          <t>graduation_certificate_requests</t>
        </is>
      </c>
      <c r="E253" s="18" t="n">
        <v>392</v>
      </c>
      <c r="F253" s="18" t="inlineStr">
        <is>
          <t>manual_review</t>
        </is>
      </c>
      <c r="G253" s="18" t="inlineStr">
        <is>
          <t>boolean</t>
        </is>
      </c>
      <c r="H253" s="18" t="inlineStr">
        <is>
          <t>Sí</t>
        </is>
      </c>
      <c r="I253" s="18" t="inlineStr">
        <is>
          <t>CHECK</t>
        </is>
      </c>
      <c r="J253" s="18" t="inlineStr"/>
      <c r="K253" s="18" t="inlineStr"/>
      <c r="L253" s="18" t="inlineStr">
        <is>
          <t>No</t>
        </is>
      </c>
      <c r="M253" s="18" t="inlineStr">
        <is>
          <t>No</t>
        </is>
      </c>
      <c r="N253" s="18" t="inlineStr"/>
      <c r="O253" s="18" t="inlineStr">
        <is>
          <t>idx_graduation_certificate_requests_manual_review</t>
        </is>
      </c>
      <c r="P253" s="18" t="inlineStr">
        <is>
          <t>academic-registration-service/src/graduation-certificates/graduation-certificate-request.entity.ts:122: Revisión manual (casos no encontrados)</t>
        </is>
      </c>
      <c r="Q253" s="18" t="inlineStr">
        <is>
          <t>Código fuente</t>
        </is>
      </c>
      <c r="R253" s="18" t="inlineStr">
        <is>
          <t>Indica si la solicitud requiere revisión manual, en los casos en que el graduado no se encuentra en los registros; por defecto falso.</t>
        </is>
      </c>
      <c r="S253" s="18" t="inlineStr">
        <is>
          <t>Alta</t>
        </is>
      </c>
      <c r="T253" s="18" t="inlineStr">
        <is>
          <t>código: academic-registration-service/src/graduation-certificates/graduation-certificate-request.entity.ts:122</t>
        </is>
      </c>
      <c r="U253" s="18" t="inlineStr"/>
      <c r="V253" s="19" t="inlineStr">
        <is>
          <t>Aprobada</t>
        </is>
      </c>
      <c r="W253" s="19" t="inlineStr"/>
      <c r="X253" s="19" t="inlineStr">
        <is>
          <t>Aldair González (aprobación en bloque)</t>
        </is>
      </c>
      <c r="Y253" s="20" t="n">
        <v>46321</v>
      </c>
      <c r="Z253" s="19" t="inlineStr">
        <is>
          <t>Nivel 1: propuesta del comentario del desarrollador o de confianza alta, o regla de fecha/responsable/motivo.</t>
        </is>
      </c>
      <c r="AA253" s="18">
        <f>IF(OR(V253="Aprobada"),R253,IF(AND(OR(V253="Aprobada con ajuste",V253="Rechazada"),W253&lt;&gt;""),W253,""))</f>
        <v/>
      </c>
    </row>
    <row r="254">
      <c r="A254" s="18" t="inlineStr">
        <is>
          <t>C0253</t>
        </is>
      </c>
      <c r="B254" s="18" t="inlineStr">
        <is>
          <t>Registro académico</t>
        </is>
      </c>
      <c r="C254" s="18" t="inlineStr">
        <is>
          <t>academic_registration</t>
        </is>
      </c>
      <c r="D254" s="18" t="inlineStr">
        <is>
          <t>graduation_certificate_requests</t>
        </is>
      </c>
      <c r="E254" s="18" t="n">
        <v>392</v>
      </c>
      <c r="F254" s="18" t="inlineStr">
        <is>
          <t>reviewed_at</t>
        </is>
      </c>
      <c r="G254" s="18" t="inlineStr">
        <is>
          <t>timestamp without time zone</t>
        </is>
      </c>
      <c r="H254" s="18" t="inlineStr">
        <is>
          <t>Sí</t>
        </is>
      </c>
      <c r="I254" s="18" t="inlineStr"/>
      <c r="J254" s="18" t="inlineStr"/>
      <c r="K254" s="18" t="inlineStr"/>
      <c r="L254" s="18" t="inlineStr">
        <is>
          <t>No</t>
        </is>
      </c>
      <c r="M254" s="18" t="inlineStr">
        <is>
          <t>No</t>
        </is>
      </c>
      <c r="N254" s="18" t="inlineStr"/>
      <c r="O254" s="18" t="inlineStr"/>
      <c r="P254" s="18" t="inlineStr">
        <is>
          <t>Mapeada en academic-registration-service/src/graduation-certificates/graduation-certificate-request.entity.ts:125 (GraduationCertificateRequest.reviewedAt)</t>
        </is>
      </c>
      <c r="Q254" s="18" t="inlineStr">
        <is>
          <t>Regla estructural</t>
        </is>
      </c>
      <c r="R254" s="18" t="inlineStr">
        <is>
          <t>Fecha y hora de la revisión.</t>
        </is>
      </c>
      <c r="S254" s="18" t="inlineStr">
        <is>
          <t>Media</t>
        </is>
      </c>
      <c r="T254" s="18" t="inlineStr">
        <is>
          <t>Convención de nombre de la columna.</t>
        </is>
      </c>
      <c r="U254" s="18" t="inlineStr"/>
      <c r="V254" s="19" t="inlineStr">
        <is>
          <t>Aprobada</t>
        </is>
      </c>
      <c r="W254" s="19" t="inlineStr"/>
      <c r="X254" s="19" t="inlineStr">
        <is>
          <t>Aldair González (aprobación en bloque)</t>
        </is>
      </c>
      <c r="Y254" s="20" t="n">
        <v>46321</v>
      </c>
      <c r="Z254" s="19" t="inlineStr">
        <is>
          <t>Nivel 1: propuesta del comentario del desarrollador o de confianza alta, o regla de fecha/responsable/motivo.</t>
        </is>
      </c>
      <c r="AA254" s="18">
        <f>IF(OR(V254="Aprobada"),R254,IF(AND(OR(V254="Aprobada con ajuste",V254="Rechazada"),W254&lt;&gt;""),W254,""))</f>
        <v/>
      </c>
    </row>
    <row r="255">
      <c r="A255" s="18" t="inlineStr">
        <is>
          <t>C0254</t>
        </is>
      </c>
      <c r="B255" s="18" t="inlineStr">
        <is>
          <t>Registro académico</t>
        </is>
      </c>
      <c r="C255" s="18" t="inlineStr">
        <is>
          <t>academic_registration</t>
        </is>
      </c>
      <c r="D255" s="18" t="inlineStr">
        <is>
          <t>graduation_certificate_requests</t>
        </is>
      </c>
      <c r="E255" s="18" t="n">
        <v>392</v>
      </c>
      <c r="F255" s="18" t="inlineStr">
        <is>
          <t>reviewed_by</t>
        </is>
      </c>
      <c r="G255" s="18" t="inlineStr">
        <is>
          <t>character varying(100)</t>
        </is>
      </c>
      <c r="H255" s="18" t="inlineStr">
        <is>
          <t>Sí</t>
        </is>
      </c>
      <c r="I255" s="18" t="inlineStr"/>
      <c r="J255" s="18" t="inlineStr"/>
      <c r="K255" s="18" t="inlineStr"/>
      <c r="L255" s="18" t="inlineStr">
        <is>
          <t>No</t>
        </is>
      </c>
      <c r="M255" s="18" t="inlineStr">
        <is>
          <t>No</t>
        </is>
      </c>
      <c r="N255" s="18" t="inlineStr"/>
      <c r="O255" s="18" t="inlineStr"/>
      <c r="P255" s="18" t="inlineStr">
        <is>
          <t>Mapeada en academic-registration-service/src/graduation-certificates/graduation-certificate-request.entity.ts:128 (GraduationCertificateRequest.reviewedBy)</t>
        </is>
      </c>
      <c r="Q255" s="18" t="inlineStr">
        <is>
          <t>Código fuente (verificado)</t>
        </is>
      </c>
      <c r="R255" s="18" t="inlineStr">
        <is>
          <t>Identificador del usuario que revisó la solicitud, tal como lo envía la aplicación (reviewerId); el nombre se guarda aparte en reviewer_name.</t>
        </is>
      </c>
      <c r="S255" s="18" t="inlineStr">
        <is>
          <t>Media</t>
        </is>
      </c>
      <c r="T255" s="18" t="inlineStr">
        <is>
          <t>academic-registration-service/src/graduation-certificates/dto/approve-request.dto.ts:4: reviewerId opcional en el cuerpo | academic-registration-service/src/graduation-certificates/graduation-certificates.service.ts:5783: reviewedBy = reviewerId</t>
        </is>
      </c>
      <c r="U255" s="18" t="inlineStr">
        <is>
          <t>¿Qué identificador envía la aplicación en reviewerId: el id_user de auth."user", el correo u otro?</t>
        </is>
      </c>
      <c r="V255" s="19" t="inlineStr">
        <is>
          <t>Aprobada</t>
        </is>
      </c>
      <c r="W255" s="19" t="inlineStr"/>
      <c r="X255" s="19" t="inlineStr">
        <is>
          <t>Aldair González (validación del responsable de BD)</t>
        </is>
      </c>
      <c r="Y255" s="20" t="n">
        <v>46321</v>
      </c>
      <c r="Z255" s="19" t="inlineStr">
        <is>
          <t>Nivel 3: validada por decisión del responsable de la base de datos. Pregunta registrada para desarrollo: ¿Qué identificador envía la aplicación en reviewerId: el id_user de auth."user", el correo u otro?</t>
        </is>
      </c>
      <c r="AA255" s="18">
        <f>IF(OR(V255="Aprobada"),R255,IF(AND(OR(V255="Aprobada con ajuste",V255="Rechazada"),W255&lt;&gt;""),W255,""))</f>
        <v/>
      </c>
    </row>
    <row r="256">
      <c r="A256" s="18" t="inlineStr">
        <is>
          <t>C0255</t>
        </is>
      </c>
      <c r="B256" s="18" t="inlineStr">
        <is>
          <t>Registro académico</t>
        </is>
      </c>
      <c r="C256" s="18" t="inlineStr">
        <is>
          <t>academic_registration</t>
        </is>
      </c>
      <c r="D256" s="18" t="inlineStr">
        <is>
          <t>graduation_certificate_requests</t>
        </is>
      </c>
      <c r="E256" s="18" t="n">
        <v>392</v>
      </c>
      <c r="F256" s="18" t="inlineStr">
        <is>
          <t>reviewer_name</t>
        </is>
      </c>
      <c r="G256" s="18" t="inlineStr">
        <is>
          <t>character varying(255)</t>
        </is>
      </c>
      <c r="H256" s="18" t="inlineStr">
        <is>
          <t>Sí</t>
        </is>
      </c>
      <c r="I256" s="18" t="inlineStr"/>
      <c r="J256" s="18" t="inlineStr"/>
      <c r="K256" s="18" t="inlineStr"/>
      <c r="L256" s="18" t="inlineStr">
        <is>
          <t>No</t>
        </is>
      </c>
      <c r="M256" s="18" t="inlineStr">
        <is>
          <t>No</t>
        </is>
      </c>
      <c r="N256" s="18" t="inlineStr"/>
      <c r="O256" s="18" t="inlineStr"/>
      <c r="P256" s="18" t="inlineStr">
        <is>
          <t>Mapeada en academic-registration-service/src/graduation-certificates/graduation-certificate-request.entity.ts:131 (GraduationCertificateRequest.reviewerName)</t>
        </is>
      </c>
      <c r="Q256" s="18" t="inlineStr">
        <is>
          <t>Propuesta semántica</t>
        </is>
      </c>
      <c r="R256" s="18" t="inlineStr">
        <is>
          <t>Nombre del usuario que revisó la solicitud.</t>
        </is>
      </c>
      <c r="S256" s="18" t="inlineStr">
        <is>
          <t>Alta</t>
        </is>
      </c>
      <c r="T256" s="18" t="inlineStr">
        <is>
          <t>nombre + tipo + columnas vecinas (reviewed_by)</t>
        </is>
      </c>
      <c r="U256" s="18" t="inlineStr"/>
      <c r="V256" s="19" t="inlineStr">
        <is>
          <t>Aprobada</t>
        </is>
      </c>
      <c r="W256" s="19" t="inlineStr"/>
      <c r="X256" s="19" t="inlineStr">
        <is>
          <t>Aldair González (aprobación en bloque)</t>
        </is>
      </c>
      <c r="Y256" s="20" t="n">
        <v>46321</v>
      </c>
      <c r="Z256" s="19" t="inlineStr">
        <is>
          <t>Nivel 1: propuesta del comentario del desarrollador o de confianza alta, o regla de fecha/responsable/motivo.</t>
        </is>
      </c>
      <c r="AA256" s="18">
        <f>IF(OR(V256="Aprobada"),R256,IF(AND(OR(V256="Aprobada con ajuste",V256="Rechazada"),W256&lt;&gt;""),W256,""))</f>
        <v/>
      </c>
    </row>
    <row r="257">
      <c r="A257" s="18" t="inlineStr">
        <is>
          <t>C0256</t>
        </is>
      </c>
      <c r="B257" s="18" t="inlineStr">
        <is>
          <t>Registro académico</t>
        </is>
      </c>
      <c r="C257" s="18" t="inlineStr">
        <is>
          <t>academic_registration</t>
        </is>
      </c>
      <c r="D257" s="18" t="inlineStr">
        <is>
          <t>graduation_certificate_requests</t>
        </is>
      </c>
      <c r="E257" s="18" t="n">
        <v>392</v>
      </c>
      <c r="F257" s="18" t="inlineStr">
        <is>
          <t>review_notes</t>
        </is>
      </c>
      <c r="G257" s="18" t="inlineStr">
        <is>
          <t>text</t>
        </is>
      </c>
      <c r="H257" s="18" t="inlineStr">
        <is>
          <t>Sí</t>
        </is>
      </c>
      <c r="I257" s="18" t="inlineStr"/>
      <c r="J257" s="18" t="inlineStr"/>
      <c r="K257" s="18" t="inlineStr"/>
      <c r="L257" s="18" t="inlineStr">
        <is>
          <t>No</t>
        </is>
      </c>
      <c r="M257" s="18" t="inlineStr">
        <is>
          <t>No</t>
        </is>
      </c>
      <c r="N257" s="18" t="inlineStr"/>
      <c r="O257" s="18" t="inlineStr"/>
      <c r="P257" s="18" t="inlineStr">
        <is>
          <t>Mapeada en academic-registration-service/src/graduation-certificates/graduation-certificate-request.entity.ts:134 (GraduationCertificateRequest.reviewNotes)</t>
        </is>
      </c>
      <c r="Q257" s="18" t="inlineStr">
        <is>
          <t>Propuesta semántica</t>
        </is>
      </c>
      <c r="R257" s="18" t="inlineStr">
        <is>
          <t>Observaciones registradas en la revisión de la solicitud.</t>
        </is>
      </c>
      <c r="S257" s="18" t="inlineStr">
        <is>
          <t>Alta</t>
        </is>
      </c>
      <c r="T257" s="18" t="inlineStr">
        <is>
          <t>nombre + tipo + columnas vecinas</t>
        </is>
      </c>
      <c r="U257" s="18" t="inlineStr"/>
      <c r="V257" s="19" t="inlineStr">
        <is>
          <t>Aprobada</t>
        </is>
      </c>
      <c r="W257" s="19" t="inlineStr"/>
      <c r="X257" s="19" t="inlineStr">
        <is>
          <t>Aldair González (aprobación en bloque)</t>
        </is>
      </c>
      <c r="Y257" s="20" t="n">
        <v>46321</v>
      </c>
      <c r="Z257" s="19" t="inlineStr">
        <is>
          <t>Nivel 1: propuesta del comentario del desarrollador o de confianza alta, o regla de fecha/responsable/motivo.</t>
        </is>
      </c>
      <c r="AA257" s="18">
        <f>IF(OR(V257="Aprobada"),R257,IF(AND(OR(V257="Aprobada con ajuste",V257="Rechazada"),W257&lt;&gt;""),W257,""))</f>
        <v/>
      </c>
    </row>
    <row r="258">
      <c r="A258" s="18" t="inlineStr">
        <is>
          <t>C0257</t>
        </is>
      </c>
      <c r="B258" s="18" t="inlineStr">
        <is>
          <t>Registro académico</t>
        </is>
      </c>
      <c r="C258" s="18" t="inlineStr">
        <is>
          <t>academic_registration</t>
        </is>
      </c>
      <c r="D258" s="18" t="inlineStr">
        <is>
          <t>graduation_certificate_requests</t>
        </is>
      </c>
      <c r="E258" s="18" t="n">
        <v>392</v>
      </c>
      <c r="F258" s="18" t="inlineStr">
        <is>
          <t>review_resolution</t>
        </is>
      </c>
      <c r="G258" s="18" t="inlineStr">
        <is>
          <t>character varying(50)</t>
        </is>
      </c>
      <c r="H258" s="18" t="inlineStr">
        <is>
          <t>Sí</t>
        </is>
      </c>
      <c r="I258" s="18" t="inlineStr"/>
      <c r="J258" s="18" t="inlineStr"/>
      <c r="K258" s="18" t="inlineStr"/>
      <c r="L258" s="18" t="inlineStr">
        <is>
          <t>No</t>
        </is>
      </c>
      <c r="M258" s="18" t="inlineStr">
        <is>
          <t>No</t>
        </is>
      </c>
      <c r="N258" s="18" t="inlineStr"/>
      <c r="O258" s="18" t="inlineStr"/>
      <c r="P258" s="18" t="inlineStr">
        <is>
          <t>Mapeada en academic-registration-service/src/graduation-certificates/graduation-certificate-request.entity.ts:137 (GraduationCertificateRequest.reviewResolution)</t>
        </is>
      </c>
      <c r="Q258" s="18" t="inlineStr">
        <is>
          <t>Código fuente (verificado)</t>
        </is>
      </c>
      <c r="R258" s="18" t="inlineStr">
        <is>
          <t>Resultado de la revisión manual: graduate_found (se encontró o aprobó el graduado), graduate_not_found (no se encontró o se rechazó) o expired (venció sin resolución). review_recommendation guarda la decisión del revisor (APPROVED o REJECTED) y approval_status el estado del flujo de aprobación.</t>
        </is>
      </c>
      <c r="S258" s="18" t="inlineStr">
        <is>
          <t>Alta</t>
        </is>
      </c>
      <c r="T258" s="18" t="inlineStr">
        <is>
          <t>academic-registration-service/src/graduation-certificates/graduation-certificates.service.ts:5787: graduate_found o graduate_not_found según la decisión | academic-registration-service/src/graduation-certificates/graduation-certificates.service.ts:4139: expired al vencer | academic-registration-service/src/graduation-certificates/graduation-certificates.service.ts:5773: approval_status = PENDING_APPROVAL al enviar la revisión</t>
        </is>
      </c>
      <c r="U258" s="18" t="inlineStr"/>
      <c r="V258" s="19" t="inlineStr">
        <is>
          <t>Aprobada</t>
        </is>
      </c>
      <c r="W258" s="19" t="inlineStr"/>
      <c r="X258" s="19" t="inlineStr">
        <is>
          <t>Aldair González (aprobación en bloque)</t>
        </is>
      </c>
      <c r="Y258" s="20" t="n">
        <v>46321</v>
      </c>
      <c r="Z258" s="19" t="inlineStr">
        <is>
          <t>Nivel 3: verificada con el código de la aplicación.</t>
        </is>
      </c>
      <c r="AA258" s="18">
        <f>IF(OR(V258="Aprobada"),R258,IF(AND(OR(V258="Aprobada con ajuste",V258="Rechazada"),W258&lt;&gt;""),W258,""))</f>
        <v/>
      </c>
    </row>
    <row r="259">
      <c r="A259" s="18" t="inlineStr">
        <is>
          <t>C0258</t>
        </is>
      </c>
      <c r="B259" s="18" t="inlineStr">
        <is>
          <t>Registro académico</t>
        </is>
      </c>
      <c r="C259" s="18" t="inlineStr">
        <is>
          <t>academic_registration</t>
        </is>
      </c>
      <c r="D259" s="18" t="inlineStr">
        <is>
          <t>graduation_certificate_requests</t>
        </is>
      </c>
      <c r="E259" s="18" t="n">
        <v>392</v>
      </c>
      <c r="F259" s="18" t="inlineStr">
        <is>
          <t>graduate_last_name</t>
        </is>
      </c>
      <c r="G259" s="18" t="inlineStr">
        <is>
          <t>character varying(255)</t>
        </is>
      </c>
      <c r="H259" s="18" t="inlineStr">
        <is>
          <t>Sí</t>
        </is>
      </c>
      <c r="I259" s="18" t="inlineStr"/>
      <c r="J259" s="18" t="inlineStr"/>
      <c r="K259" s="18" t="inlineStr"/>
      <c r="L259" s="18" t="inlineStr">
        <is>
          <t>No</t>
        </is>
      </c>
      <c r="M259" s="18" t="inlineStr">
        <is>
          <t>No</t>
        </is>
      </c>
      <c r="N259" s="18" t="inlineStr"/>
      <c r="O259" s="18" t="inlineStr"/>
      <c r="P259" s="18" t="inlineStr">
        <is>
          <t>Mapeada en academic-registration-service/src/graduation-certificates/graduation-certificate-request.entity.ts:54 (GraduationCertificateRequest.graduateLastName)</t>
        </is>
      </c>
      <c r="Q259" s="18" t="inlineStr">
        <is>
          <t>Propuesta semántica</t>
        </is>
      </c>
      <c r="R259" s="18" t="inlineStr">
        <is>
          <t>Apellidos del graduado sobre el que se solicita el certificado.</t>
        </is>
      </c>
      <c r="S259" s="18" t="inlineStr">
        <is>
          <t>Alta</t>
        </is>
      </c>
      <c r="T259" s="18" t="inlineStr">
        <is>
          <t>nombre + tipo + columnas vecinas</t>
        </is>
      </c>
      <c r="U259" s="18" t="inlineStr"/>
      <c r="V259" s="19" t="inlineStr">
        <is>
          <t>Aprobada</t>
        </is>
      </c>
      <c r="W259" s="19" t="inlineStr"/>
      <c r="X259" s="19" t="inlineStr">
        <is>
          <t>Aldair González (aprobación en bloque)</t>
        </is>
      </c>
      <c r="Y259" s="20" t="n">
        <v>46321</v>
      </c>
      <c r="Z259" s="19" t="inlineStr">
        <is>
          <t>Nivel 1: propuesta del comentario del desarrollador o de confianza alta, o regla de fecha/responsable/motivo.</t>
        </is>
      </c>
      <c r="AA259" s="18">
        <f>IF(OR(V259="Aprobada"),R259,IF(AND(OR(V259="Aprobada con ajuste",V259="Rechazada"),W259&lt;&gt;""),W259,""))</f>
        <v/>
      </c>
    </row>
    <row r="260">
      <c r="A260" s="18" t="inlineStr">
        <is>
          <t>C0259</t>
        </is>
      </c>
      <c r="B260" s="18" t="inlineStr">
        <is>
          <t>Registro académico</t>
        </is>
      </c>
      <c r="C260" s="18" t="inlineStr">
        <is>
          <t>academic_registration</t>
        </is>
      </c>
      <c r="D260" s="18" t="inlineStr">
        <is>
          <t>graduation_certificate_requests</t>
        </is>
      </c>
      <c r="E260" s="18" t="n">
        <v>392</v>
      </c>
      <c r="F260" s="18" t="inlineStr">
        <is>
          <t>graduate_email</t>
        </is>
      </c>
      <c r="G260" s="18" t="inlineStr">
        <is>
          <t>character varying(255)</t>
        </is>
      </c>
      <c r="H260" s="18" t="inlineStr">
        <is>
          <t>Sí</t>
        </is>
      </c>
      <c r="I260" s="18" t="inlineStr"/>
      <c r="J260" s="18" t="inlineStr"/>
      <c r="K260" s="18" t="inlineStr"/>
      <c r="L260" s="18" t="inlineStr">
        <is>
          <t>No</t>
        </is>
      </c>
      <c r="M260" s="18" t="inlineStr">
        <is>
          <t>No</t>
        </is>
      </c>
      <c r="N260" s="18" t="inlineStr"/>
      <c r="O260" s="18" t="inlineStr"/>
      <c r="P260" s="18" t="inlineStr">
        <is>
          <t>Mapeada en academic-registration-service/src/graduation-certificates/graduation-certificate-request.entity.ts:57 (GraduationCertificateRequest.graduateEmail)</t>
        </is>
      </c>
      <c r="Q260" s="18" t="inlineStr">
        <is>
          <t>Propuesta semántica</t>
        </is>
      </c>
      <c r="R260" s="18" t="inlineStr">
        <is>
          <t>Correo electrónico del graduado sobre el que se solicita el certificado.</t>
        </is>
      </c>
      <c r="S260" s="18" t="inlineStr">
        <is>
          <t>Alta</t>
        </is>
      </c>
      <c r="T260" s="18" t="inlineStr">
        <is>
          <t>nombre + tipo + columnas vecinas</t>
        </is>
      </c>
      <c r="U260" s="18" t="inlineStr"/>
      <c r="V260" s="19" t="inlineStr">
        <is>
          <t>Aprobada</t>
        </is>
      </c>
      <c r="W260" s="19" t="inlineStr"/>
      <c r="X260" s="19" t="inlineStr">
        <is>
          <t>Aldair González (aprobación en bloque)</t>
        </is>
      </c>
      <c r="Y260" s="20" t="n">
        <v>46321</v>
      </c>
      <c r="Z260" s="19" t="inlineStr">
        <is>
          <t>Nivel 1: propuesta del comentario del desarrollador o de confianza alta, o regla de fecha/responsable/motivo.</t>
        </is>
      </c>
      <c r="AA260" s="18">
        <f>IF(OR(V260="Aprobada"),R260,IF(AND(OR(V260="Aprobada con ajuste",V260="Rechazada"),W260&lt;&gt;""),W260,""))</f>
        <v/>
      </c>
    </row>
    <row r="261">
      <c r="A261" s="18" t="inlineStr">
        <is>
          <t>C0260</t>
        </is>
      </c>
      <c r="B261" s="18" t="inlineStr">
        <is>
          <t>Registro académico</t>
        </is>
      </c>
      <c r="C261" s="18" t="inlineStr">
        <is>
          <t>academic_registration</t>
        </is>
      </c>
      <c r="D261" s="18" t="inlineStr">
        <is>
          <t>graduation_certificate_requests</t>
        </is>
      </c>
      <c r="E261" s="18" t="n">
        <v>392</v>
      </c>
      <c r="F261" s="18" t="inlineStr">
        <is>
          <t>graduate_phone</t>
        </is>
      </c>
      <c r="G261" s="18" t="inlineStr">
        <is>
          <t>character varying(50)</t>
        </is>
      </c>
      <c r="H261" s="18" t="inlineStr">
        <is>
          <t>Sí</t>
        </is>
      </c>
      <c r="I261" s="18" t="inlineStr"/>
      <c r="J261" s="18" t="inlineStr"/>
      <c r="K261" s="18" t="inlineStr"/>
      <c r="L261" s="18" t="inlineStr">
        <is>
          <t>No</t>
        </is>
      </c>
      <c r="M261" s="18" t="inlineStr">
        <is>
          <t>No</t>
        </is>
      </c>
      <c r="N261" s="18" t="inlineStr"/>
      <c r="O261" s="18" t="inlineStr"/>
      <c r="P261" s="18" t="inlineStr">
        <is>
          <t>Mapeada en academic-registration-service/src/graduation-certificates/graduation-certificate-request.entity.ts:60 (GraduationCertificateRequest.graduatePhone)</t>
        </is>
      </c>
      <c r="Q261" s="18" t="inlineStr">
        <is>
          <t>Propuesta semántica</t>
        </is>
      </c>
      <c r="R261" s="18" t="inlineStr">
        <is>
          <t>Número de teléfono del graduado sobre el que se solicita el certificado.</t>
        </is>
      </c>
      <c r="S261" s="18" t="inlineStr">
        <is>
          <t>Alta</t>
        </is>
      </c>
      <c r="T261" s="18" t="inlineStr">
        <is>
          <t>nombre + tipo + columnas vecinas</t>
        </is>
      </c>
      <c r="U261" s="18" t="inlineStr"/>
      <c r="V261" s="19" t="inlineStr">
        <is>
          <t>Aprobada</t>
        </is>
      </c>
      <c r="W261" s="19" t="inlineStr"/>
      <c r="X261" s="19" t="inlineStr">
        <is>
          <t>Aldair González (aprobación en bloque)</t>
        </is>
      </c>
      <c r="Y261" s="20" t="n">
        <v>46321</v>
      </c>
      <c r="Z261" s="19" t="inlineStr">
        <is>
          <t>Nivel 1: propuesta del comentario del desarrollador o de confianza alta, o regla de fecha/responsable/motivo.</t>
        </is>
      </c>
      <c r="AA261" s="18">
        <f>IF(OR(V261="Aprobada"),R261,IF(AND(OR(V261="Aprobada con ajuste",V261="Rechazada"),W261&lt;&gt;""),W261,""))</f>
        <v/>
      </c>
    </row>
    <row r="262">
      <c r="A262" s="18" t="inlineStr">
        <is>
          <t>C0261</t>
        </is>
      </c>
      <c r="B262" s="18" t="inlineStr">
        <is>
          <t>Registro académico</t>
        </is>
      </c>
      <c r="C262" s="18" t="inlineStr">
        <is>
          <t>academic_registration</t>
        </is>
      </c>
      <c r="D262" s="18" t="inlineStr">
        <is>
          <t>graduation_certificate_requests</t>
        </is>
      </c>
      <c r="E262" s="18" t="n">
        <v>392</v>
      </c>
      <c r="F262" s="18" t="inlineStr">
        <is>
          <t>contact_person</t>
        </is>
      </c>
      <c r="G262" s="18" t="inlineStr">
        <is>
          <t>character varying(255)</t>
        </is>
      </c>
      <c r="H262" s="18" t="inlineStr">
        <is>
          <t>Sí</t>
        </is>
      </c>
      <c r="I262" s="18" t="inlineStr"/>
      <c r="J262" s="18" t="inlineStr"/>
      <c r="K262" s="18" t="inlineStr"/>
      <c r="L262" s="18" t="inlineStr">
        <is>
          <t>No</t>
        </is>
      </c>
      <c r="M262" s="18" t="inlineStr">
        <is>
          <t>No</t>
        </is>
      </c>
      <c r="N262" s="18" t="inlineStr"/>
      <c r="O262" s="18" t="inlineStr"/>
      <c r="P262" s="18" t="inlineStr">
        <is>
          <t>Mapeada en academic-registration-service/src/graduation-certificates/graduation-certificate-request.entity.ts:93 (GraduationCertificateRequest.contactPerson)</t>
        </is>
      </c>
      <c r="Q262" s="18" t="inlineStr">
        <is>
          <t>Código fuente (verificado)</t>
        </is>
      </c>
      <c r="R262" s="18" t="inlineStr">
        <is>
          <t>Nombre de la persona que solicita en nombre de la empresa; obligatorio cuando el solicitante es una empresa (COMPANY).</t>
        </is>
      </c>
      <c r="S262" s="18" t="inlineStr">
        <is>
          <t>Alta</t>
        </is>
      </c>
      <c r="T262" s="18" t="inlineStr">
        <is>
          <t>academic-registration-service/src/graduation-certificates/graduation-certificates.service.ts:1114: validación obligatoria si requesterType es COMPANY | academic-registration-service/src/graduation-certificates/graduation-certificates.service.ts:1310: se guarda en la solicitud</t>
        </is>
      </c>
      <c r="U262" s="18" t="inlineStr"/>
      <c r="V262" s="19" t="inlineStr">
        <is>
          <t>Aprobada</t>
        </is>
      </c>
      <c r="W262" s="19" t="inlineStr"/>
      <c r="X262" s="19" t="inlineStr">
        <is>
          <t>Aldair González (aprobación en bloque)</t>
        </is>
      </c>
      <c r="Y262" s="20" t="n">
        <v>46321</v>
      </c>
      <c r="Z262" s="19" t="inlineStr">
        <is>
          <t>Nivel 3: verificada con el código de la aplicación.</t>
        </is>
      </c>
      <c r="AA262" s="18">
        <f>IF(OR(V262="Aprobada"),R262,IF(AND(OR(V262="Aprobada con ajuste",V262="Rechazada"),W262&lt;&gt;""),W262,""))</f>
        <v/>
      </c>
    </row>
    <row r="263">
      <c r="A263" s="18" t="inlineStr">
        <is>
          <t>C0262</t>
        </is>
      </c>
      <c r="B263" s="18" t="inlineStr">
        <is>
          <t>Registro académico</t>
        </is>
      </c>
      <c r="C263" s="18" t="inlineStr">
        <is>
          <t>academic_registration</t>
        </is>
      </c>
      <c r="D263" s="18" t="inlineStr">
        <is>
          <t>graduation_certificate_requests</t>
        </is>
      </c>
      <c r="E263" s="18" t="n">
        <v>392</v>
      </c>
      <c r="F263" s="18" t="inlineStr">
        <is>
          <t>review_recommendation_reason</t>
        </is>
      </c>
      <c r="G263" s="18" t="inlineStr">
        <is>
          <t>text</t>
        </is>
      </c>
      <c r="H263" s="18" t="inlineStr">
        <is>
          <t>Sí</t>
        </is>
      </c>
      <c r="I263" s="18" t="inlineStr">
        <is>
          <t>CHECK</t>
        </is>
      </c>
      <c r="J263" s="18" t="inlineStr"/>
      <c r="K263" s="18" t="inlineStr"/>
      <c r="L263" s="18" t="inlineStr">
        <is>
          <t>No</t>
        </is>
      </c>
      <c r="M263" s="18" t="inlineStr">
        <is>
          <t>No</t>
        </is>
      </c>
      <c r="N263" s="18" t="inlineStr"/>
      <c r="O263" s="18" t="inlineStr"/>
      <c r="P263" s="18" t="inlineStr">
        <is>
          <t>Mapeada en academic-registration-service/src/graduation-certificates/graduation-certificate-request.entity.ts:146 (GraduationCertificateRequest.reviewRecommendationReason)</t>
        </is>
      </c>
      <c r="Q263" s="18" t="inlineStr">
        <is>
          <t>Propuesta semántica</t>
        </is>
      </c>
      <c r="R263" s="18" t="inlineStr">
        <is>
          <t>Justificación de la recomendación emitida en la revisión.</t>
        </is>
      </c>
      <c r="S263" s="18" t="inlineStr">
        <is>
          <t>Alta</t>
        </is>
      </c>
      <c r="T263" s="18" t="inlineStr">
        <is>
          <t>nombre + tipo + columnas vecinas (review_recommendation)</t>
        </is>
      </c>
      <c r="U263" s="18" t="inlineStr"/>
      <c r="V263" s="19" t="inlineStr">
        <is>
          <t>Aprobada</t>
        </is>
      </c>
      <c r="W263" s="19" t="inlineStr"/>
      <c r="X263" s="19" t="inlineStr">
        <is>
          <t>Aldair González (aprobación en bloque)</t>
        </is>
      </c>
      <c r="Y263" s="20" t="n">
        <v>46321</v>
      </c>
      <c r="Z263" s="19" t="inlineStr">
        <is>
          <t>Nivel 1: propuesta del comentario del desarrollador o de confianza alta, o regla de fecha/responsable/motivo.</t>
        </is>
      </c>
      <c r="AA263" s="18">
        <f>IF(OR(V263="Aprobada"),R263,IF(AND(OR(V263="Aprobada con ajuste",V263="Rechazada"),W263&lt;&gt;""),W263,""))</f>
        <v/>
      </c>
    </row>
    <row r="264">
      <c r="A264" s="18" t="inlineStr">
        <is>
          <t>C0263</t>
        </is>
      </c>
      <c r="B264" s="18" t="inlineStr">
        <is>
          <t>Registro académico</t>
        </is>
      </c>
      <c r="C264" s="18" t="inlineStr">
        <is>
          <t>academic_registration</t>
        </is>
      </c>
      <c r="D264" s="18" t="inlineStr">
        <is>
          <t>graduation_certificate_requests</t>
        </is>
      </c>
      <c r="E264" s="18" t="n">
        <v>392</v>
      </c>
      <c r="F264" s="18" t="inlineStr">
        <is>
          <t>review_submitted_at</t>
        </is>
      </c>
      <c r="G264" s="18" t="inlineStr">
        <is>
          <t>timestamp without time zone</t>
        </is>
      </c>
      <c r="H264" s="18" t="inlineStr">
        <is>
          <t>Sí</t>
        </is>
      </c>
      <c r="I264" s="18" t="inlineStr"/>
      <c r="J264" s="18" t="inlineStr"/>
      <c r="K264" s="18" t="inlineStr"/>
      <c r="L264" s="18" t="inlineStr">
        <is>
          <t>No</t>
        </is>
      </c>
      <c r="M264" s="18" t="inlineStr">
        <is>
          <t>No</t>
        </is>
      </c>
      <c r="N264" s="18" t="inlineStr"/>
      <c r="O264" s="18" t="inlineStr">
        <is>
          <t>idx_graduation_requests_review_submitted_at</t>
        </is>
      </c>
      <c r="P264" s="18" t="inlineStr">
        <is>
          <t>Mapeada en academic-registration-service/src/graduation-certificates/graduation-certificate-request.entity.ts:152 (GraduationCertificateRequest.reviewSubmittedAt)</t>
        </is>
      </c>
      <c r="Q264" s="18" t="inlineStr">
        <is>
          <t>Código fuente (verificado)</t>
        </is>
      </c>
      <c r="R264" s="18" t="inlineStr">
        <is>
          <t>Fecha y hora en que el revisor envió su decisión al aprobador; la solicitud pasa a PENDING_APPROVAL.</t>
        </is>
      </c>
      <c r="S264" s="18" t="inlineStr">
        <is>
          <t>Alta</t>
        </is>
      </c>
      <c r="T264" s="18" t="inlineStr">
        <is>
          <t>academic-registration-service/src/graduation-certificates/graduation-certificates.service.ts:5773: approvalStatus = PENDING_APPROVAL | academic-registration-service/src/graduation-certificates/graduation-certificates.service.ts:5777: reviewSubmittedAt = now</t>
        </is>
      </c>
      <c r="U264" s="18" t="inlineStr"/>
      <c r="V264" s="19" t="inlineStr">
        <is>
          <t>Aprobada</t>
        </is>
      </c>
      <c r="W264" s="19" t="inlineStr"/>
      <c r="X264" s="19" t="inlineStr">
        <is>
          <t>Aldair González (aprobación en bloque)</t>
        </is>
      </c>
      <c r="Y264" s="20" t="n">
        <v>46321</v>
      </c>
      <c r="Z264" s="19" t="inlineStr">
        <is>
          <t>Nivel 3: verificada con el código de la aplicación.</t>
        </is>
      </c>
      <c r="AA264" s="18">
        <f>IF(OR(V264="Aprobada"),R264,IF(AND(OR(V264="Aprobada con ajuste",V264="Rechazada"),W264&lt;&gt;""),W264,""))</f>
        <v/>
      </c>
    </row>
    <row r="265">
      <c r="A265" s="18" t="inlineStr">
        <is>
          <t>C0264</t>
        </is>
      </c>
      <c r="B265" s="18" t="inlineStr">
        <is>
          <t>Registro académico</t>
        </is>
      </c>
      <c r="C265" s="18" t="inlineStr">
        <is>
          <t>academic_registration</t>
        </is>
      </c>
      <c r="D265" s="18" t="inlineStr">
        <is>
          <t>graduation_certificate_requests</t>
        </is>
      </c>
      <c r="E265" s="18" t="n">
        <v>392</v>
      </c>
      <c r="F265" s="18" t="inlineStr">
        <is>
          <t>review_submitted_by</t>
        </is>
      </c>
      <c r="G265" s="18" t="inlineStr">
        <is>
          <t>character varying(100)</t>
        </is>
      </c>
      <c r="H265" s="18" t="inlineStr">
        <is>
          <t>Sí</t>
        </is>
      </c>
      <c r="I265" s="18" t="inlineStr"/>
      <c r="J265" s="18" t="inlineStr"/>
      <c r="K265" s="18" t="inlineStr"/>
      <c r="L265" s="18" t="inlineStr">
        <is>
          <t>No</t>
        </is>
      </c>
      <c r="M265" s="18" t="inlineStr">
        <is>
          <t>No</t>
        </is>
      </c>
      <c r="N265" s="18" t="inlineStr"/>
      <c r="O265" s="18" t="inlineStr"/>
      <c r="P265" s="18" t="inlineStr">
        <is>
          <t>Mapeada en academic-registration-service/src/graduation-certificates/graduation-certificate-request.entity.ts:155 (GraduationCertificateRequest.reviewSubmittedBy)</t>
        </is>
      </c>
      <c r="Q265" s="18" t="inlineStr">
        <is>
          <t>Código fuente (verificado)</t>
        </is>
      </c>
      <c r="R265" s="18" t="inlineStr">
        <is>
          <t>Identificador del revisor que envió la revisión al aprobador, tal como lo envía la aplicación (reviewerId); el nombre se guarda en review_submitted_by_name.</t>
        </is>
      </c>
      <c r="S265" s="18" t="inlineStr">
        <is>
          <t>Media</t>
        </is>
      </c>
      <c r="T265" s="18" t="inlineStr">
        <is>
          <t>academic-registration-service/src/graduation-certificates/graduation-certificates.service.ts:5778: reviewSubmittedBy = reviewerId o reviewedBy | academic-registration-service/src/graduation-certificates/dto/approve-request.dto.ts:4: reviewerId opcional en el cuerpo</t>
        </is>
      </c>
      <c r="U265" s="18" t="inlineStr">
        <is>
          <t>¿Qué identificador envía la aplicación en reviewerId: el id_user de auth."user", el correo u otro?</t>
        </is>
      </c>
      <c r="V265" s="19" t="inlineStr">
        <is>
          <t>Aprobada</t>
        </is>
      </c>
      <c r="W265" s="19" t="inlineStr"/>
      <c r="X265" s="19" t="inlineStr">
        <is>
          <t>Aldair González (validación del responsable de BD)</t>
        </is>
      </c>
      <c r="Y265" s="20" t="n">
        <v>46321</v>
      </c>
      <c r="Z265" s="19" t="inlineStr">
        <is>
          <t>Nivel 3: validada por decisión del responsable de la base de datos. Pregunta registrada para desarrollo: ¿Qué identificador envía la aplicación en reviewerId: el id_user de auth."user", el correo u otro?</t>
        </is>
      </c>
      <c r="AA265" s="18">
        <f>IF(OR(V265="Aprobada"),R265,IF(AND(OR(V265="Aprobada con ajuste",V265="Rechazada"),W265&lt;&gt;""),W265,""))</f>
        <v/>
      </c>
    </row>
    <row r="266">
      <c r="A266" s="18" t="inlineStr">
        <is>
          <t>C0265</t>
        </is>
      </c>
      <c r="B266" s="18" t="inlineStr">
        <is>
          <t>Registro académico</t>
        </is>
      </c>
      <c r="C266" s="18" t="inlineStr">
        <is>
          <t>academic_registration</t>
        </is>
      </c>
      <c r="D266" s="18" t="inlineStr">
        <is>
          <t>graduation_certificate_requests</t>
        </is>
      </c>
      <c r="E266" s="18" t="n">
        <v>392</v>
      </c>
      <c r="F266" s="18" t="inlineStr">
        <is>
          <t>review_submitted_by_name</t>
        </is>
      </c>
      <c r="G266" s="18" t="inlineStr">
        <is>
          <t>character varying(255)</t>
        </is>
      </c>
      <c r="H266" s="18" t="inlineStr">
        <is>
          <t>Sí</t>
        </is>
      </c>
      <c r="I266" s="18" t="inlineStr"/>
      <c r="J266" s="18" t="inlineStr"/>
      <c r="K266" s="18" t="inlineStr"/>
      <c r="L266" s="18" t="inlineStr">
        <is>
          <t>No</t>
        </is>
      </c>
      <c r="M266" s="18" t="inlineStr">
        <is>
          <t>No</t>
        </is>
      </c>
      <c r="N266" s="18" t="inlineStr"/>
      <c r="O266" s="18" t="inlineStr"/>
      <c r="P266" s="18" t="inlineStr">
        <is>
          <t>Mapeada en academic-registration-service/src/graduation-certificates/graduation-certificate-request.entity.ts:158 (GraduationCertificateRequest.reviewSubmittedByName)</t>
        </is>
      </c>
      <c r="Q266" s="18" t="inlineStr">
        <is>
          <t>Propuesta semántica</t>
        </is>
      </c>
      <c r="R266" s="18" t="inlineStr">
        <is>
          <t>Nombre del usuario que envió la revisión.</t>
        </is>
      </c>
      <c r="S266" s="18" t="inlineStr">
        <is>
          <t>Alta</t>
        </is>
      </c>
      <c r="T266" s="18" t="inlineStr">
        <is>
          <t>nombre + tipo + columnas vecinas (review_submitted_by)</t>
        </is>
      </c>
      <c r="U266" s="18" t="inlineStr"/>
      <c r="V266" s="19" t="inlineStr">
        <is>
          <t>Aprobada</t>
        </is>
      </c>
      <c r="W266" s="19" t="inlineStr"/>
      <c r="X266" s="19" t="inlineStr">
        <is>
          <t>Aldair González (aprobación en bloque)</t>
        </is>
      </c>
      <c r="Y266" s="20" t="n">
        <v>46321</v>
      </c>
      <c r="Z266" s="19" t="inlineStr">
        <is>
          <t>Nivel 1: propuesta del comentario del desarrollador o de confianza alta, o regla de fecha/responsable/motivo.</t>
        </is>
      </c>
      <c r="AA266" s="18">
        <f>IF(OR(V266="Aprobada"),R266,IF(AND(OR(V266="Aprobada con ajuste",V266="Rechazada"),W266&lt;&gt;""),W266,""))</f>
        <v/>
      </c>
    </row>
    <row r="267">
      <c r="A267" s="18" t="inlineStr">
        <is>
          <t>C0266</t>
        </is>
      </c>
      <c r="B267" s="18" t="inlineStr">
        <is>
          <t>Registro académico</t>
        </is>
      </c>
      <c r="C267" s="18" t="inlineStr">
        <is>
          <t>academic_registration</t>
        </is>
      </c>
      <c r="D267" s="18" t="inlineStr">
        <is>
          <t>graduation_certificate_requests</t>
        </is>
      </c>
      <c r="E267" s="18" t="n">
        <v>392</v>
      </c>
      <c r="F267" s="18" t="inlineStr">
        <is>
          <t>approver_decision</t>
        </is>
      </c>
      <c r="G267" s="18" t="inlineStr">
        <is>
          <t>character varying(50)</t>
        </is>
      </c>
      <c r="H267" s="18" t="inlineStr">
        <is>
          <t>Sí</t>
        </is>
      </c>
      <c r="I267" s="18" t="inlineStr"/>
      <c r="J267" s="18" t="inlineStr"/>
      <c r="K267" s="18" t="inlineStr"/>
      <c r="L267" s="18" t="inlineStr">
        <is>
          <t>No</t>
        </is>
      </c>
      <c r="M267" s="18" t="inlineStr">
        <is>
          <t>No</t>
        </is>
      </c>
      <c r="N267" s="18" t="inlineStr"/>
      <c r="O267" s="18" t="inlineStr"/>
      <c r="P267" s="18" t="inlineStr">
        <is>
          <t>Mapeada en academic-registration-service/src/graduation-certificates/graduation-certificate-request.entity.ts:161 (GraduationCertificateRequest.approverDecision)</t>
        </is>
      </c>
      <c r="Q267" s="18" t="inlineStr">
        <is>
          <t>Código fuente (verificado)</t>
        </is>
      </c>
      <c r="R267" s="18" t="inlineStr">
        <is>
          <t>Decisión del aprobador sobre la revisión: APPROVED, REJECTED u OBSERVATION; se borra cuando el revisor envía una nueva revisión.</t>
        </is>
      </c>
      <c r="S267" s="18" t="inlineStr">
        <is>
          <t>Alta</t>
        </is>
      </c>
      <c r="T267" s="18" t="inlineStr">
        <is>
          <t>academic-registration-service/src/graduation-certificates/graduation-certificates.service.ts:5859: approverDecision = decision | academic-registration-service/src/graduation-certificates/dto/approve-request.dto.ts:21: ReviewDecision = APPROVED, REJECTED, OBSERVATION | academic-registration-service/src/graduation-certificates/graduation-certificates.service.ts:5789: se pone en nulo al reenviar la revisión</t>
        </is>
      </c>
      <c r="U267" s="18" t="inlineStr"/>
      <c r="V267" s="19" t="inlineStr">
        <is>
          <t>Aprobada</t>
        </is>
      </c>
      <c r="W267" s="19" t="inlineStr"/>
      <c r="X267" s="19" t="inlineStr">
        <is>
          <t>Aldair González (aprobación en bloque)</t>
        </is>
      </c>
      <c r="Y267" s="20" t="n">
        <v>46321</v>
      </c>
      <c r="Z267" s="19" t="inlineStr">
        <is>
          <t>Nivel 3: verificada con el código de la aplicación.</t>
        </is>
      </c>
      <c r="AA267" s="18">
        <f>IF(OR(V267="Aprobada"),R267,IF(AND(OR(V267="Aprobada con ajuste",V267="Rechazada"),W267&lt;&gt;""),W267,""))</f>
        <v/>
      </c>
    </row>
    <row r="268">
      <c r="A268" s="18" t="inlineStr">
        <is>
          <t>C0267</t>
        </is>
      </c>
      <c r="B268" s="18" t="inlineStr">
        <is>
          <t>Registro académico</t>
        </is>
      </c>
      <c r="C268" s="18" t="inlineStr">
        <is>
          <t>academic_registration</t>
        </is>
      </c>
      <c r="D268" s="18" t="inlineStr">
        <is>
          <t>graduation_certificate_requests</t>
        </is>
      </c>
      <c r="E268" s="18" t="n">
        <v>392</v>
      </c>
      <c r="F268" s="18" t="inlineStr">
        <is>
          <t>approver_notes</t>
        </is>
      </c>
      <c r="G268" s="18" t="inlineStr">
        <is>
          <t>text</t>
        </is>
      </c>
      <c r="H268" s="18" t="inlineStr">
        <is>
          <t>Sí</t>
        </is>
      </c>
      <c r="I268" s="18" t="inlineStr"/>
      <c r="J268" s="18" t="inlineStr"/>
      <c r="K268" s="18" t="inlineStr"/>
      <c r="L268" s="18" t="inlineStr">
        <is>
          <t>No</t>
        </is>
      </c>
      <c r="M268" s="18" t="inlineStr">
        <is>
          <t>No</t>
        </is>
      </c>
      <c r="N268" s="18" t="inlineStr"/>
      <c r="O268" s="18" t="inlineStr"/>
      <c r="P268" s="18" t="inlineStr">
        <is>
          <t>Mapeada en academic-registration-service/src/graduation-certificates/graduation-certificate-request.entity.ts:164 (GraduationCertificateRequest.approverNotes)</t>
        </is>
      </c>
      <c r="Q268" s="18" t="inlineStr">
        <is>
          <t>Propuesta semántica</t>
        </is>
      </c>
      <c r="R268" s="18" t="inlineStr">
        <is>
          <t>Observaciones del aprobador sobre la solicitud.</t>
        </is>
      </c>
      <c r="S268" s="18" t="inlineStr">
        <is>
          <t>Alta</t>
        </is>
      </c>
      <c r="T268" s="18" t="inlineStr">
        <is>
          <t>nombre + tipo + columnas vecinas</t>
        </is>
      </c>
      <c r="U268" s="18" t="inlineStr"/>
      <c r="V268" s="19" t="inlineStr">
        <is>
          <t>Aprobada</t>
        </is>
      </c>
      <c r="W268" s="19" t="inlineStr"/>
      <c r="X268" s="19" t="inlineStr">
        <is>
          <t>Aldair González (aprobación en bloque)</t>
        </is>
      </c>
      <c r="Y268" s="20" t="n">
        <v>46321</v>
      </c>
      <c r="Z268" s="19" t="inlineStr">
        <is>
          <t>Nivel 1: propuesta del comentario del desarrollador o de confianza alta, o regla de fecha/responsable/motivo.</t>
        </is>
      </c>
      <c r="AA268" s="18">
        <f>IF(OR(V268="Aprobada"),R268,IF(AND(OR(V268="Aprobada con ajuste",V268="Rechazada"),W268&lt;&gt;""),W268,""))</f>
        <v/>
      </c>
    </row>
    <row r="269">
      <c r="A269" s="18" t="inlineStr">
        <is>
          <t>C0268</t>
        </is>
      </c>
      <c r="B269" s="18" t="inlineStr">
        <is>
          <t>Registro académico</t>
        </is>
      </c>
      <c r="C269" s="18" t="inlineStr">
        <is>
          <t>academic_registration</t>
        </is>
      </c>
      <c r="D269" s="18" t="inlineStr">
        <is>
          <t>graduation_certificate_requests</t>
        </is>
      </c>
      <c r="E269" s="18" t="n">
        <v>392</v>
      </c>
      <c r="F269" s="18" t="inlineStr">
        <is>
          <t>approved_at</t>
        </is>
      </c>
      <c r="G269" s="18" t="inlineStr">
        <is>
          <t>timestamp without time zone</t>
        </is>
      </c>
      <c r="H269" s="18" t="inlineStr">
        <is>
          <t>Sí</t>
        </is>
      </c>
      <c r="I269" s="18" t="inlineStr"/>
      <c r="J269" s="18" t="inlineStr"/>
      <c r="K269" s="18" t="inlineStr"/>
      <c r="L269" s="18" t="inlineStr">
        <is>
          <t>No</t>
        </is>
      </c>
      <c r="M269" s="18" t="inlineStr">
        <is>
          <t>No</t>
        </is>
      </c>
      <c r="N269" s="18" t="inlineStr"/>
      <c r="O269" s="18" t="inlineStr"/>
      <c r="P269" s="18" t="inlineStr">
        <is>
          <t>Mapeada en academic-registration-service/src/graduation-certificates/graduation-certificate-request.entity.ts:167 (GraduationCertificateRequest.approvedAt)</t>
        </is>
      </c>
      <c r="Q269" s="18" t="inlineStr">
        <is>
          <t>Regla estructural</t>
        </is>
      </c>
      <c r="R269" s="18" t="inlineStr">
        <is>
          <t>Fecha y hora de la aprobación.</t>
        </is>
      </c>
      <c r="S269" s="18" t="inlineStr">
        <is>
          <t>Media</t>
        </is>
      </c>
      <c r="T269" s="18" t="inlineStr">
        <is>
          <t>Convención de nombre de la columna.</t>
        </is>
      </c>
      <c r="U269" s="18" t="inlineStr"/>
      <c r="V269" s="19" t="inlineStr">
        <is>
          <t>Aprobada</t>
        </is>
      </c>
      <c r="W269" s="19" t="inlineStr"/>
      <c r="X269" s="19" t="inlineStr">
        <is>
          <t>Aldair González (aprobación en bloque)</t>
        </is>
      </c>
      <c r="Y269" s="20" t="n">
        <v>46321</v>
      </c>
      <c r="Z269" s="19" t="inlineStr">
        <is>
          <t>Nivel 1: propuesta del comentario del desarrollador o de confianza alta, o regla de fecha/responsable/motivo.</t>
        </is>
      </c>
      <c r="AA269" s="18">
        <f>IF(OR(V269="Aprobada"),R269,IF(AND(OR(V269="Aprobada con ajuste",V269="Rechazada"),W269&lt;&gt;""),W269,""))</f>
        <v/>
      </c>
    </row>
    <row r="270">
      <c r="A270" s="18" t="inlineStr">
        <is>
          <t>C0269</t>
        </is>
      </c>
      <c r="B270" s="18" t="inlineStr">
        <is>
          <t>Registro académico</t>
        </is>
      </c>
      <c r="C270" s="18" t="inlineStr">
        <is>
          <t>academic_registration</t>
        </is>
      </c>
      <c r="D270" s="18" t="inlineStr">
        <is>
          <t>graduation_certificate_requests</t>
        </is>
      </c>
      <c r="E270" s="18" t="n">
        <v>392</v>
      </c>
      <c r="F270" s="18" t="inlineStr">
        <is>
          <t>approved_by</t>
        </is>
      </c>
      <c r="G270" s="18" t="inlineStr">
        <is>
          <t>character varying(100)</t>
        </is>
      </c>
      <c r="H270" s="18" t="inlineStr">
        <is>
          <t>Sí</t>
        </is>
      </c>
      <c r="I270" s="18" t="inlineStr"/>
      <c r="J270" s="18" t="inlineStr"/>
      <c r="K270" s="18" t="inlineStr"/>
      <c r="L270" s="18" t="inlineStr">
        <is>
          <t>No</t>
        </is>
      </c>
      <c r="M270" s="18" t="inlineStr">
        <is>
          <t>No</t>
        </is>
      </c>
      <c r="N270" s="18" t="inlineStr"/>
      <c r="O270" s="18" t="inlineStr"/>
      <c r="P270" s="18" t="inlineStr">
        <is>
          <t>Mapeada en academic-registration-service/src/graduation-certificates/graduation-certificate-request.entity.ts:170 (GraduationCertificateRequest.approvedBy)</t>
        </is>
      </c>
      <c r="Q270" s="18" t="inlineStr">
        <is>
          <t>Código fuente (verificado)</t>
        </is>
      </c>
      <c r="R270" s="18" t="inlineStr">
        <is>
          <t>Identificador del aprobador que registró la decisión, tal como lo envía la aplicación (approverId); el nombre se guarda en approver_name.</t>
        </is>
      </c>
      <c r="S270" s="18" t="inlineStr">
        <is>
          <t>Media</t>
        </is>
      </c>
      <c r="T270" s="18" t="inlineStr">
        <is>
          <t>academic-registration-service/src/graduation-certificates/graduation-certificates.service.ts:5862: approvedBy = approverId | academic-registration-service/src/graduation-certificates/dto/approve-request.dto.ts:34: approverId opcional en el cuerpo</t>
        </is>
      </c>
      <c r="U270" s="18" t="inlineStr">
        <is>
          <t>¿Qué identificador envía la aplicación en approverId: el id_user de auth."user", el correo u otro?</t>
        </is>
      </c>
      <c r="V270" s="19" t="inlineStr">
        <is>
          <t>Aprobada</t>
        </is>
      </c>
      <c r="W270" s="19" t="inlineStr"/>
      <c r="X270" s="19" t="inlineStr">
        <is>
          <t>Aldair González (validación del responsable de BD)</t>
        </is>
      </c>
      <c r="Y270" s="20" t="n">
        <v>46321</v>
      </c>
      <c r="Z270" s="19" t="inlineStr">
        <is>
          <t>Nivel 3: validada por decisión del responsable de la base de datos. Pregunta registrada para desarrollo: ¿Qué identificador envía la aplicación en approverId: el id_user de auth."user", el correo u otro?</t>
        </is>
      </c>
      <c r="AA270" s="18">
        <f>IF(OR(V270="Aprobada"),R270,IF(AND(OR(V270="Aprobada con ajuste",V270="Rechazada"),W270&lt;&gt;""),W270,""))</f>
        <v/>
      </c>
    </row>
    <row r="271">
      <c r="A271" s="18" t="inlineStr">
        <is>
          <t>C0270</t>
        </is>
      </c>
      <c r="B271" s="18" t="inlineStr">
        <is>
          <t>Registro académico</t>
        </is>
      </c>
      <c r="C271" s="18" t="inlineStr">
        <is>
          <t>academic_registration</t>
        </is>
      </c>
      <c r="D271" s="18" t="inlineStr">
        <is>
          <t>graduation_certificate_requests</t>
        </is>
      </c>
      <c r="E271" s="18" t="n">
        <v>392</v>
      </c>
      <c r="F271" s="18" t="inlineStr">
        <is>
          <t>approver_name</t>
        </is>
      </c>
      <c r="G271" s="18" t="inlineStr">
        <is>
          <t>character varying(255)</t>
        </is>
      </c>
      <c r="H271" s="18" t="inlineStr">
        <is>
          <t>Sí</t>
        </is>
      </c>
      <c r="I271" s="18" t="inlineStr"/>
      <c r="J271" s="18" t="inlineStr"/>
      <c r="K271" s="18" t="inlineStr"/>
      <c r="L271" s="18" t="inlineStr">
        <is>
          <t>No</t>
        </is>
      </c>
      <c r="M271" s="18" t="inlineStr">
        <is>
          <t>No</t>
        </is>
      </c>
      <c r="N271" s="18" t="inlineStr"/>
      <c r="O271" s="18" t="inlineStr"/>
      <c r="P271" s="18" t="inlineStr">
        <is>
          <t>Mapeada en academic-registration-service/src/graduation-certificates/graduation-certificate-request.entity.ts:173 (GraduationCertificateRequest.approverName)</t>
        </is>
      </c>
      <c r="Q271" s="18" t="inlineStr">
        <is>
          <t>Propuesta semántica</t>
        </is>
      </c>
      <c r="R271" s="18" t="inlineStr">
        <is>
          <t>Nombre del usuario que aprobó la solicitud.</t>
        </is>
      </c>
      <c r="S271" s="18" t="inlineStr">
        <is>
          <t>Alta</t>
        </is>
      </c>
      <c r="T271" s="18" t="inlineStr">
        <is>
          <t>nombre + tipo + columnas vecinas (approved_by)</t>
        </is>
      </c>
      <c r="U271" s="18" t="inlineStr"/>
      <c r="V271" s="19" t="inlineStr">
        <is>
          <t>Aprobada</t>
        </is>
      </c>
      <c r="W271" s="19" t="inlineStr"/>
      <c r="X271" s="19" t="inlineStr">
        <is>
          <t>Aldair González (aprobación en bloque)</t>
        </is>
      </c>
      <c r="Y271" s="20" t="n">
        <v>46321</v>
      </c>
      <c r="Z271" s="19" t="inlineStr">
        <is>
          <t>Nivel 1: propuesta del comentario del desarrollador o de confianza alta, o regla de fecha/responsable/motivo.</t>
        </is>
      </c>
      <c r="AA271" s="18">
        <f>IF(OR(V271="Aprobada"),R271,IF(AND(OR(V271="Aprobada con ajuste",V271="Rechazada"),W271&lt;&gt;""),W271,""))</f>
        <v/>
      </c>
    </row>
    <row r="272">
      <c r="A272" s="18" t="inlineStr">
        <is>
          <t>C0271</t>
        </is>
      </c>
      <c r="B272" s="18" t="inlineStr">
        <is>
          <t>Registro académico</t>
        </is>
      </c>
      <c r="C272" s="18" t="inlineStr">
        <is>
          <t>academic_registration</t>
        </is>
      </c>
      <c r="D272" s="18" t="inlineStr">
        <is>
          <t>graduation_certificate_requests</t>
        </is>
      </c>
      <c r="E272" s="18" t="n">
        <v>392</v>
      </c>
      <c r="F272" s="18" t="inlineStr">
        <is>
          <t>requester_support_original_name</t>
        </is>
      </c>
      <c r="G272" s="18" t="inlineStr">
        <is>
          <t>character varying(255)</t>
        </is>
      </c>
      <c r="H272" s="18" t="inlineStr">
        <is>
          <t>Sí</t>
        </is>
      </c>
      <c r="I272" s="18" t="inlineStr"/>
      <c r="J272" s="18" t="inlineStr"/>
      <c r="K272" s="18" t="inlineStr"/>
      <c r="L272" s="18" t="inlineStr">
        <is>
          <t>No</t>
        </is>
      </c>
      <c r="M272" s="18" t="inlineStr">
        <is>
          <t>No</t>
        </is>
      </c>
      <c r="N272" s="18" t="inlineStr"/>
      <c r="O272" s="18" t="inlineStr"/>
      <c r="P272" s="18" t="inlineStr">
        <is>
          <t>Mapeada en academic-registration-service/src/graduation-certificates/graduation-certificate-request.entity.ts:194 (GraduationCertificateRequest.requesterSupportOriginalName)</t>
        </is>
      </c>
      <c r="Q272" s="18" t="inlineStr">
        <is>
          <t>Propuesta semántica</t>
        </is>
      </c>
      <c r="R272" s="18" t="inlineStr">
        <is>
          <t>Nombre original del archivo de soporte cargado por el solicitante.</t>
        </is>
      </c>
      <c r="S272" s="18" t="inlineStr">
        <is>
          <t>Alta</t>
        </is>
      </c>
      <c r="T272" s="18" t="inlineStr">
        <is>
          <t>nombre + tipo + columnas vecinas</t>
        </is>
      </c>
      <c r="U272" s="18" t="inlineStr"/>
      <c r="V272" s="19" t="inlineStr">
        <is>
          <t>Aprobada</t>
        </is>
      </c>
      <c r="W272" s="19" t="inlineStr"/>
      <c r="X272" s="19" t="inlineStr">
        <is>
          <t>Aldair González (aprobación en bloque)</t>
        </is>
      </c>
      <c r="Y272" s="20" t="n">
        <v>46321</v>
      </c>
      <c r="Z272" s="19" t="inlineStr">
        <is>
          <t>Nivel 1: propuesta del comentario del desarrollador o de confianza alta, o regla de fecha/responsable/motivo.</t>
        </is>
      </c>
      <c r="AA272" s="18">
        <f>IF(OR(V272="Aprobada"),R272,IF(AND(OR(V272="Aprobada con ajuste",V272="Rechazada"),W272&lt;&gt;""),W272,""))</f>
        <v/>
      </c>
    </row>
    <row r="273">
      <c r="A273" s="18" t="inlineStr">
        <is>
          <t>C0272</t>
        </is>
      </c>
      <c r="B273" s="18" t="inlineStr">
        <is>
          <t>Registro académico</t>
        </is>
      </c>
      <c r="C273" s="18" t="inlineStr">
        <is>
          <t>academic_registration</t>
        </is>
      </c>
      <c r="D273" s="18" t="inlineStr">
        <is>
          <t>graduation_certificate_requests</t>
        </is>
      </c>
      <c r="E273" s="18" t="n">
        <v>392</v>
      </c>
      <c r="F273" s="18" t="inlineStr">
        <is>
          <t>requester_support_stored_name</t>
        </is>
      </c>
      <c r="G273" s="18" t="inlineStr">
        <is>
          <t>character varying(255)</t>
        </is>
      </c>
      <c r="H273" s="18" t="inlineStr">
        <is>
          <t>Sí</t>
        </is>
      </c>
      <c r="I273" s="18" t="inlineStr"/>
      <c r="J273" s="18" t="inlineStr"/>
      <c r="K273" s="18" t="inlineStr"/>
      <c r="L273" s="18" t="inlineStr">
        <is>
          <t>No</t>
        </is>
      </c>
      <c r="M273" s="18" t="inlineStr">
        <is>
          <t>No</t>
        </is>
      </c>
      <c r="N273" s="18" t="inlineStr"/>
      <c r="O273" s="18" t="inlineStr"/>
      <c r="P273" s="18" t="inlineStr">
        <is>
          <t>Mapeada en academic-registration-service/src/graduation-certificates/graduation-certificate-request.entity.ts:197 (GraduationCertificateRequest.requesterSupportStoredName)</t>
        </is>
      </c>
      <c r="Q273" s="18" t="inlineStr">
        <is>
          <t>Propuesta semántica</t>
        </is>
      </c>
      <c r="R273" s="18" t="inlineStr">
        <is>
          <t>Nombre con el que se guarda en el almacenamiento el archivo de soporte del solicitante.</t>
        </is>
      </c>
      <c r="S273" s="18" t="inlineStr">
        <is>
          <t>Alta</t>
        </is>
      </c>
      <c r="T273" s="18" t="inlineStr">
        <is>
          <t>nombre + tipo + columnas vecinas</t>
        </is>
      </c>
      <c r="U273" s="18" t="inlineStr"/>
      <c r="V273" s="19" t="inlineStr">
        <is>
          <t>Aprobada</t>
        </is>
      </c>
      <c r="W273" s="19" t="inlineStr"/>
      <c r="X273" s="19" t="inlineStr">
        <is>
          <t>Aldair González (aprobación en bloque)</t>
        </is>
      </c>
      <c r="Y273" s="20" t="n">
        <v>46321</v>
      </c>
      <c r="Z273" s="19" t="inlineStr">
        <is>
          <t>Nivel 1: propuesta del comentario del desarrollador o de confianza alta, o regla de fecha/responsable/motivo.</t>
        </is>
      </c>
      <c r="AA273" s="18">
        <f>IF(OR(V273="Aprobada"),R273,IF(AND(OR(V273="Aprobada con ajuste",V273="Rechazada"),W273&lt;&gt;""),W273,""))</f>
        <v/>
      </c>
    </row>
    <row r="274">
      <c r="A274" s="18" t="inlineStr">
        <is>
          <t>C0273</t>
        </is>
      </c>
      <c r="B274" s="18" t="inlineStr">
        <is>
          <t>Registro académico</t>
        </is>
      </c>
      <c r="C274" s="18" t="inlineStr">
        <is>
          <t>academic_registration</t>
        </is>
      </c>
      <c r="D274" s="18" t="inlineStr">
        <is>
          <t>graduation_certificate_requests</t>
        </is>
      </c>
      <c r="E274" s="18" t="n">
        <v>392</v>
      </c>
      <c r="F274" s="18" t="inlineStr">
        <is>
          <t>requester_support_mime_type</t>
        </is>
      </c>
      <c r="G274" s="18" t="inlineStr">
        <is>
          <t>character varying(150)</t>
        </is>
      </c>
      <c r="H274" s="18" t="inlineStr">
        <is>
          <t>Sí</t>
        </is>
      </c>
      <c r="I274" s="18" t="inlineStr"/>
      <c r="J274" s="18" t="inlineStr"/>
      <c r="K274" s="18" t="inlineStr"/>
      <c r="L274" s="18" t="inlineStr">
        <is>
          <t>No</t>
        </is>
      </c>
      <c r="M274" s="18" t="inlineStr">
        <is>
          <t>No</t>
        </is>
      </c>
      <c r="N274" s="18" t="inlineStr"/>
      <c r="O274" s="18" t="inlineStr"/>
      <c r="P274" s="18" t="inlineStr">
        <is>
          <t>Mapeada en academic-registration-service/src/graduation-certificates/graduation-certificate-request.entity.ts:200 (GraduationCertificateRequest.requesterSupportMimeType)</t>
        </is>
      </c>
      <c r="Q274" s="18" t="inlineStr">
        <is>
          <t>Propuesta semántica</t>
        </is>
      </c>
      <c r="R274" s="18" t="inlineStr">
        <is>
          <t>Tipo MIME del archivo de soporte del solicitante.</t>
        </is>
      </c>
      <c r="S274" s="18" t="inlineStr">
        <is>
          <t>Alta</t>
        </is>
      </c>
      <c r="T274" s="18" t="inlineStr">
        <is>
          <t>nombre + tipo + columnas vecinas</t>
        </is>
      </c>
      <c r="U274" s="18" t="inlineStr"/>
      <c r="V274" s="19" t="inlineStr">
        <is>
          <t>Aprobada</t>
        </is>
      </c>
      <c r="W274" s="19" t="inlineStr"/>
      <c r="X274" s="19" t="inlineStr">
        <is>
          <t>Aldair González (aprobación en bloque)</t>
        </is>
      </c>
      <c r="Y274" s="20" t="n">
        <v>46321</v>
      </c>
      <c r="Z274" s="19" t="inlineStr">
        <is>
          <t>Nivel 1: propuesta del comentario del desarrollador o de confianza alta, o regla de fecha/responsable/motivo.</t>
        </is>
      </c>
      <c r="AA274" s="18">
        <f>IF(OR(V274="Aprobada"),R274,IF(AND(OR(V274="Aprobada con ajuste",V274="Rechazada"),W274&lt;&gt;""),W274,""))</f>
        <v/>
      </c>
    </row>
    <row r="275">
      <c r="A275" s="18" t="inlineStr">
        <is>
          <t>C0274</t>
        </is>
      </c>
      <c r="B275" s="18" t="inlineStr">
        <is>
          <t>Registro académico</t>
        </is>
      </c>
      <c r="C275" s="18" t="inlineStr">
        <is>
          <t>academic_registration</t>
        </is>
      </c>
      <c r="D275" s="18" t="inlineStr">
        <is>
          <t>graduation_certificate_requests</t>
        </is>
      </c>
      <c r="E275" s="18" t="n">
        <v>392</v>
      </c>
      <c r="F275" s="18" t="inlineStr">
        <is>
          <t>requester_support_size_bytes</t>
        </is>
      </c>
      <c r="G275" s="18" t="inlineStr">
        <is>
          <t>integer</t>
        </is>
      </c>
      <c r="H275" s="18" t="inlineStr">
        <is>
          <t>Sí</t>
        </is>
      </c>
      <c r="I275" s="18" t="inlineStr"/>
      <c r="J275" s="18" t="inlineStr"/>
      <c r="K275" s="18" t="inlineStr"/>
      <c r="L275" s="18" t="inlineStr">
        <is>
          <t>No</t>
        </is>
      </c>
      <c r="M275" s="18" t="inlineStr">
        <is>
          <t>No</t>
        </is>
      </c>
      <c r="N275" s="18" t="inlineStr"/>
      <c r="O275" s="18" t="inlineStr"/>
      <c r="P275" s="18" t="inlineStr">
        <is>
          <t>Mapeada en academic-registration-service/src/graduation-certificates/graduation-certificate-request.entity.ts:203 (GraduationCertificateRequest.requesterSupportSizeBytes)</t>
        </is>
      </c>
      <c r="Q275" s="18" t="inlineStr">
        <is>
          <t>Propuesta semántica</t>
        </is>
      </c>
      <c r="R275" s="18" t="inlineStr">
        <is>
          <t>Tamaño en bytes del archivo de soporte del solicitante.</t>
        </is>
      </c>
      <c r="S275" s="18" t="inlineStr">
        <is>
          <t>Alta</t>
        </is>
      </c>
      <c r="T275" s="18" t="inlineStr">
        <is>
          <t>nombre + tipo + columnas vecinas</t>
        </is>
      </c>
      <c r="U275" s="18" t="inlineStr"/>
      <c r="V275" s="19" t="inlineStr">
        <is>
          <t>Aprobada</t>
        </is>
      </c>
      <c r="W275" s="19" t="inlineStr"/>
      <c r="X275" s="19" t="inlineStr">
        <is>
          <t>Aldair González (aprobación en bloque)</t>
        </is>
      </c>
      <c r="Y275" s="20" t="n">
        <v>46321</v>
      </c>
      <c r="Z275" s="19" t="inlineStr">
        <is>
          <t>Nivel 1: propuesta del comentario del desarrollador o de confianza alta, o regla de fecha/responsable/motivo.</t>
        </is>
      </c>
      <c r="AA275" s="18">
        <f>IF(OR(V275="Aprobada"),R275,IF(AND(OR(V275="Aprobada con ajuste",V275="Rechazada"),W275&lt;&gt;""),W275,""))</f>
        <v/>
      </c>
    </row>
    <row r="276">
      <c r="A276" s="18" t="inlineStr">
        <is>
          <t>C0275</t>
        </is>
      </c>
      <c r="B276" s="18" t="inlineStr">
        <is>
          <t>Registro académico</t>
        </is>
      </c>
      <c r="C276" s="18" t="inlineStr">
        <is>
          <t>academic_registration</t>
        </is>
      </c>
      <c r="D276" s="18" t="inlineStr">
        <is>
          <t>graduation_certificate_requests</t>
        </is>
      </c>
      <c r="E276" s="18" t="n">
        <v>392</v>
      </c>
      <c r="F276" s="18" t="inlineStr">
        <is>
          <t>requester_support_uploaded_at</t>
        </is>
      </c>
      <c r="G276" s="18" t="inlineStr">
        <is>
          <t>timestamp without time zone</t>
        </is>
      </c>
      <c r="H276" s="18" t="inlineStr">
        <is>
          <t>Sí</t>
        </is>
      </c>
      <c r="I276" s="18" t="inlineStr"/>
      <c r="J276" s="18" t="inlineStr"/>
      <c r="K276" s="18" t="inlineStr"/>
      <c r="L276" s="18" t="inlineStr">
        <is>
          <t>No</t>
        </is>
      </c>
      <c r="M276" s="18" t="inlineStr">
        <is>
          <t>No</t>
        </is>
      </c>
      <c r="N276" s="18" t="inlineStr"/>
      <c r="O276" s="18" t="inlineStr"/>
      <c r="P276" s="18" t="inlineStr">
        <is>
          <t>Mapeada en academic-registration-service/src/graduation-certificates/graduation-certificate-request.entity.ts:206 (GraduationCertificateRequest.requesterSupportUploadedAt)</t>
        </is>
      </c>
      <c r="Q276" s="18" t="inlineStr">
        <is>
          <t>Propuesta semántica</t>
        </is>
      </c>
      <c r="R276" s="18" t="inlineStr">
        <is>
          <t>Fecha y hora de carga del archivo de soporte del solicitante.</t>
        </is>
      </c>
      <c r="S276" s="18" t="inlineStr">
        <is>
          <t>Alta</t>
        </is>
      </c>
      <c r="T276" s="18" t="inlineStr">
        <is>
          <t>nombre + tipo + columnas vecinas</t>
        </is>
      </c>
      <c r="U276" s="18" t="inlineStr"/>
      <c r="V276" s="19" t="inlineStr">
        <is>
          <t>Aprobada</t>
        </is>
      </c>
      <c r="W276" s="19" t="inlineStr"/>
      <c r="X276" s="19" t="inlineStr">
        <is>
          <t>Aldair González (aprobación en bloque)</t>
        </is>
      </c>
      <c r="Y276" s="20" t="n">
        <v>46321</v>
      </c>
      <c r="Z276" s="19" t="inlineStr">
        <is>
          <t>Nivel 1: propuesta del comentario del desarrollador o de confianza alta, o regla de fecha/responsable/motivo.</t>
        </is>
      </c>
      <c r="AA276" s="18">
        <f>IF(OR(V276="Aprobada"),R276,IF(AND(OR(V276="Aprobada con ajuste",V276="Rechazada"),W276&lt;&gt;""),W276,""))</f>
        <v/>
      </c>
    </row>
    <row r="277">
      <c r="A277" s="18" t="inlineStr">
        <is>
          <t>C0276</t>
        </is>
      </c>
      <c r="B277" s="18" t="inlineStr">
        <is>
          <t>Registro académico</t>
        </is>
      </c>
      <c r="C277" s="18" t="inlineStr">
        <is>
          <t>academic_registration</t>
        </is>
      </c>
      <c r="D277" s="18" t="inlineStr">
        <is>
          <t>graduation_certificates</t>
        </is>
      </c>
      <c r="E277" s="18" t="n">
        <v>161</v>
      </c>
      <c r="F277" s="18" t="inlineStr">
        <is>
          <t>certificate_number</t>
        </is>
      </c>
      <c r="G277" s="18" t="inlineStr">
        <is>
          <t>character varying(100)</t>
        </is>
      </c>
      <c r="H277" s="18" t="inlineStr">
        <is>
          <t>No</t>
        </is>
      </c>
      <c r="I277" s="18" t="inlineStr">
        <is>
          <t>Única</t>
        </is>
      </c>
      <c r="J277" s="18" t="inlineStr"/>
      <c r="K277" s="18" t="inlineStr"/>
      <c r="L277" s="18" t="inlineStr">
        <is>
          <t>No</t>
        </is>
      </c>
      <c r="M277" s="18" t="inlineStr">
        <is>
          <t>No</t>
        </is>
      </c>
      <c r="N277" s="18" t="inlineStr"/>
      <c r="O277" s="18" t="inlineStr">
        <is>
          <t>graduation_certificates_certificate_number_key, idx_certificates_number</t>
        </is>
      </c>
      <c r="P277" s="18" t="inlineStr">
        <is>
          <t>academic-registration-service/src/graduation-certificates/graduation-certificate.entity.ts:29: Número de certificado | db/migrations/old/042_create_graduation_tables.sql:140: Número de certificado Ej: CERT-GR-2025-0001</t>
        </is>
      </c>
      <c r="Q277" s="18" t="inlineStr">
        <is>
          <t>Código fuente</t>
        </is>
      </c>
      <c r="R277" s="18" t="inlineStr">
        <is>
          <t>Número único del certificado de grado expedido, con formato CERT-GR-AAAA-NNNN (por ejemplo, CERT-GR-2025-0001).</t>
        </is>
      </c>
      <c r="S277" s="18" t="inlineStr">
        <is>
          <t>Alta</t>
        </is>
      </c>
      <c r="T277" s="18" t="inlineStr">
        <is>
          <t>código: db/migrations/old/042_create_graduation_tables.sql:140</t>
        </is>
      </c>
      <c r="U277" s="18" t="inlineStr"/>
      <c r="V277" s="19" t="inlineStr">
        <is>
          <t>Aprobada</t>
        </is>
      </c>
      <c r="W277" s="19" t="inlineStr"/>
      <c r="X277" s="19" t="inlineStr">
        <is>
          <t>Aldair González (aprobación en bloque)</t>
        </is>
      </c>
      <c r="Y277" s="20" t="n">
        <v>46321</v>
      </c>
      <c r="Z277" s="19" t="inlineStr">
        <is>
          <t>Nivel 1: propuesta del comentario del desarrollador o de confianza alta, o regla de fecha/responsable/motivo.</t>
        </is>
      </c>
      <c r="AA277" s="18">
        <f>IF(OR(V277="Aprobada"),R277,IF(AND(OR(V277="Aprobada con ajuste",V277="Rechazada"),W277&lt;&gt;""),W277,""))</f>
        <v/>
      </c>
    </row>
    <row r="278">
      <c r="A278" s="18" t="inlineStr">
        <is>
          <t>C0277</t>
        </is>
      </c>
      <c r="B278" s="18" t="inlineStr">
        <is>
          <t>Registro académico</t>
        </is>
      </c>
      <c r="C278" s="18" t="inlineStr">
        <is>
          <t>academic_registration</t>
        </is>
      </c>
      <c r="D278" s="18" t="inlineStr">
        <is>
          <t>graduation_certificates</t>
        </is>
      </c>
      <c r="E278" s="18" t="n">
        <v>161</v>
      </c>
      <c r="F278" s="18" t="inlineStr">
        <is>
          <t>verification_code</t>
        </is>
      </c>
      <c r="G278" s="18" t="inlineStr">
        <is>
          <t>character varying(50)</t>
        </is>
      </c>
      <c r="H278" s="18" t="inlineStr">
        <is>
          <t>No</t>
        </is>
      </c>
      <c r="I278" s="18" t="inlineStr">
        <is>
          <t>Única</t>
        </is>
      </c>
      <c r="J278" s="18" t="inlineStr"/>
      <c r="K278" s="18" t="inlineStr"/>
      <c r="L278" s="18" t="inlineStr">
        <is>
          <t>No</t>
        </is>
      </c>
      <c r="M278" s="18" t="inlineStr">
        <is>
          <t>No</t>
        </is>
      </c>
      <c r="N278" s="18" t="inlineStr"/>
      <c r="O278" s="18" t="inlineStr">
        <is>
          <t>graduation_certificates_verification_code_key, idx_certificates_verification</t>
        </is>
      </c>
      <c r="P278" s="18" t="inlineStr">
        <is>
          <t>academic-registration-service/src/graduation-certificates/graduation-certificate.entity.ts:33: Código de verificación único (QR) | db/migrations/old/042_create_graduation_tables.sql:143: Código de verificación único (QR)</t>
        </is>
      </c>
      <c r="Q278" s="18" t="inlineStr">
        <is>
          <t>Código fuente</t>
        </is>
      </c>
      <c r="R278" s="18" t="inlineStr">
        <is>
          <t>Código de verificación único del certificado, contenido en el código QR.</t>
        </is>
      </c>
      <c r="S278" s="18" t="inlineStr">
        <is>
          <t>Alta</t>
        </is>
      </c>
      <c r="T278" s="18" t="inlineStr">
        <is>
          <t>código: academic-registration-service/src/graduation-certificates/graduation-certificate.entity.ts:33</t>
        </is>
      </c>
      <c r="U278" s="18" t="inlineStr"/>
      <c r="V278" s="19" t="inlineStr">
        <is>
          <t>Aprobada</t>
        </is>
      </c>
      <c r="W278" s="19" t="inlineStr"/>
      <c r="X278" s="19" t="inlineStr">
        <is>
          <t>Aldair González (aprobación en bloque)</t>
        </is>
      </c>
      <c r="Y278" s="20" t="n">
        <v>46321</v>
      </c>
      <c r="Z278" s="19" t="inlineStr">
        <is>
          <t>Nivel 1: propuesta del comentario del desarrollador o de confianza alta, o regla de fecha/responsable/motivo.</t>
        </is>
      </c>
      <c r="AA278" s="18">
        <f>IF(OR(V278="Aprobada"),R278,IF(AND(OR(V278="Aprobada con ajuste",V278="Rechazada"),W278&lt;&gt;""),W278,""))</f>
        <v/>
      </c>
    </row>
    <row r="279">
      <c r="A279" s="18" t="inlineStr">
        <is>
          <t>C0278</t>
        </is>
      </c>
      <c r="B279" s="18" t="inlineStr">
        <is>
          <t>Registro académico</t>
        </is>
      </c>
      <c r="C279" s="18" t="inlineStr">
        <is>
          <t>academic_registration</t>
        </is>
      </c>
      <c r="D279" s="18" t="inlineStr">
        <is>
          <t>graduation_certificates</t>
        </is>
      </c>
      <c r="E279" s="18" t="n">
        <v>161</v>
      </c>
      <c r="F279" s="18" t="inlineStr">
        <is>
          <t>full_name</t>
        </is>
      </c>
      <c r="G279" s="18" t="inlineStr">
        <is>
          <t>character varying(255)</t>
        </is>
      </c>
      <c r="H279" s="18" t="inlineStr">
        <is>
          <t>No</t>
        </is>
      </c>
      <c r="I279" s="18" t="inlineStr"/>
      <c r="J279" s="18" t="inlineStr"/>
      <c r="K279" s="18" t="inlineStr"/>
      <c r="L279" s="18" t="inlineStr">
        <is>
          <t>No</t>
        </is>
      </c>
      <c r="M279" s="18" t="inlineStr">
        <is>
          <t>No</t>
        </is>
      </c>
      <c r="N279" s="18" t="inlineStr"/>
      <c r="O279" s="18" t="inlineStr"/>
      <c r="P279" s="18" t="inlineStr">
        <is>
          <t>academic-registration-service/src/graduation-certificates/graduation-certificate.entity.ts:37: Información del graduado | db/migrations/old/042_create_graduation_tables.sql:146: Información del graduado</t>
        </is>
      </c>
      <c r="Q279" s="18" t="inlineStr">
        <is>
          <t>Código fuente</t>
        </is>
      </c>
      <c r="R279" s="18" t="inlineStr">
        <is>
          <t>Nombre completo del graduado, registrado en el certificado.</t>
        </is>
      </c>
      <c r="S279" s="18" t="inlineStr">
        <is>
          <t>Alta</t>
        </is>
      </c>
      <c r="T279" s="18" t="inlineStr">
        <is>
          <t>código: academic-registration-service/src/graduation-certificates/graduation-certificate.entity.ts:37</t>
        </is>
      </c>
      <c r="U279" s="18" t="inlineStr"/>
      <c r="V279" s="19" t="inlineStr">
        <is>
          <t>Aprobada</t>
        </is>
      </c>
      <c r="W279" s="19" t="inlineStr"/>
      <c r="X279" s="19" t="inlineStr">
        <is>
          <t>Aldair González (aprobación en bloque)</t>
        </is>
      </c>
      <c r="Y279" s="20" t="n">
        <v>46321</v>
      </c>
      <c r="Z279" s="19" t="inlineStr">
        <is>
          <t>Nivel 1: propuesta del comentario del desarrollador o de confianza alta, o regla de fecha/responsable/motivo.</t>
        </is>
      </c>
      <c r="AA279" s="18">
        <f>IF(OR(V279="Aprobada"),R279,IF(AND(OR(V279="Aprobada con ajuste",V279="Rechazada"),W279&lt;&gt;""),W279,""))</f>
        <v/>
      </c>
    </row>
    <row r="280">
      <c r="A280" s="18" t="inlineStr">
        <is>
          <t>C0279</t>
        </is>
      </c>
      <c r="B280" s="18" t="inlineStr">
        <is>
          <t>Registro académico</t>
        </is>
      </c>
      <c r="C280" s="18" t="inlineStr">
        <is>
          <t>academic_registration</t>
        </is>
      </c>
      <c r="D280" s="18" t="inlineStr">
        <is>
          <t>graduation_certificates</t>
        </is>
      </c>
      <c r="E280" s="18" t="n">
        <v>161</v>
      </c>
      <c r="F280" s="18" t="inlineStr">
        <is>
          <t>id_number</t>
        </is>
      </c>
      <c r="G280" s="18" t="inlineStr">
        <is>
          <t>character varying(50)</t>
        </is>
      </c>
      <c r="H280" s="18" t="inlineStr">
        <is>
          <t>No</t>
        </is>
      </c>
      <c r="I280" s="18" t="inlineStr"/>
      <c r="J280" s="18" t="inlineStr"/>
      <c r="K280" s="18" t="inlineStr"/>
      <c r="L280" s="18" t="inlineStr">
        <is>
          <t>No</t>
        </is>
      </c>
      <c r="M280" s="18" t="inlineStr">
        <is>
          <t>No</t>
        </is>
      </c>
      <c r="N280" s="18" t="inlineStr"/>
      <c r="O280" s="18" t="inlineStr">
        <is>
          <t>idx_certificates_id_number</t>
        </is>
      </c>
      <c r="P280" s="18" t="inlineStr">
        <is>
          <t>Mapeada en academic-registration-service/src/graduation-certificates/graduation-certificate.entity.ts:40 (GraduationCertificate.idNumber)</t>
        </is>
      </c>
      <c r="Q280" s="18" t="inlineStr">
        <is>
          <t>Propuesta semántica</t>
        </is>
      </c>
      <c r="R280" s="18" t="inlineStr">
        <is>
          <t>Número del documento de identidad del graduado al que se emite el certificado.</t>
        </is>
      </c>
      <c r="S280" s="18" t="inlineStr">
        <is>
          <t>Alta</t>
        </is>
      </c>
      <c r="T280" s="18" t="inlineStr">
        <is>
          <t>nombre + tipo + columnas vecinas</t>
        </is>
      </c>
      <c r="U280" s="18" t="inlineStr"/>
      <c r="V280" s="19" t="inlineStr">
        <is>
          <t>Aprobada</t>
        </is>
      </c>
      <c r="W280" s="19" t="inlineStr"/>
      <c r="X280" s="19" t="inlineStr">
        <is>
          <t>Aldair González (aprobación en bloque)</t>
        </is>
      </c>
      <c r="Y280" s="20" t="n">
        <v>46321</v>
      </c>
      <c r="Z280" s="19" t="inlineStr">
        <is>
          <t>Nivel 1: propuesta del comentario del desarrollador o de confianza alta, o regla de fecha/responsable/motivo.</t>
        </is>
      </c>
      <c r="AA280" s="18">
        <f>IF(OR(V280="Aprobada"),R280,IF(AND(OR(V280="Aprobada con ajuste",V280="Rechazada"),W280&lt;&gt;""),W280,""))</f>
        <v/>
      </c>
    </row>
    <row r="281">
      <c r="A281" s="18" t="inlineStr">
        <is>
          <t>C0280</t>
        </is>
      </c>
      <c r="B281" s="18" t="inlineStr">
        <is>
          <t>Registro académico</t>
        </is>
      </c>
      <c r="C281" s="18" t="inlineStr">
        <is>
          <t>academic_registration</t>
        </is>
      </c>
      <c r="D281" s="18" t="inlineStr">
        <is>
          <t>graduation_certificates</t>
        </is>
      </c>
      <c r="E281" s="18" t="n">
        <v>161</v>
      </c>
      <c r="F281" s="18" t="inlineStr">
        <is>
          <t>program_name</t>
        </is>
      </c>
      <c r="G281" s="18" t="inlineStr">
        <is>
          <t>character varying(255)</t>
        </is>
      </c>
      <c r="H281" s="18" t="inlineStr">
        <is>
          <t>No</t>
        </is>
      </c>
      <c r="I281" s="18" t="inlineStr"/>
      <c r="J281" s="18" t="inlineStr"/>
      <c r="K281" s="18" t="inlineStr"/>
      <c r="L281" s="18" t="inlineStr">
        <is>
          <t>No</t>
        </is>
      </c>
      <c r="M281" s="18" t="inlineStr">
        <is>
          <t>No</t>
        </is>
      </c>
      <c r="N281" s="18" t="inlineStr"/>
      <c r="O281" s="18" t="inlineStr"/>
      <c r="P281" s="18" t="inlineStr">
        <is>
          <t>academic-registration-service/src/graduation-certificates/graduation-certificate.entity.ts:44: Información académica | db/migrations/old/042_create_graduation_tables.sql:150: Información académica</t>
        </is>
      </c>
      <c r="Q281" s="18" t="inlineStr">
        <is>
          <t>Código fuente</t>
        </is>
      </c>
      <c r="R281" s="18" t="inlineStr">
        <is>
          <t>Nombre del programa académico del graduado, registrado en el certificado.</t>
        </is>
      </c>
      <c r="S281" s="18" t="inlineStr">
        <is>
          <t>Alta</t>
        </is>
      </c>
      <c r="T281" s="18" t="inlineStr">
        <is>
          <t>código: academic-registration-service/src/graduation-certificates/graduation-certificate.entity.ts:44</t>
        </is>
      </c>
      <c r="U281" s="18" t="inlineStr"/>
      <c r="V281" s="19" t="inlineStr">
        <is>
          <t>Aprobada</t>
        </is>
      </c>
      <c r="W281" s="19" t="inlineStr"/>
      <c r="X281" s="19" t="inlineStr">
        <is>
          <t>Aldair González (aprobación en bloque)</t>
        </is>
      </c>
      <c r="Y281" s="20" t="n">
        <v>46321</v>
      </c>
      <c r="Z281" s="19" t="inlineStr">
        <is>
          <t>Nivel 1: propuesta del comentario del desarrollador o de confianza alta, o regla de fecha/responsable/motivo.</t>
        </is>
      </c>
      <c r="AA281" s="18">
        <f>IF(OR(V281="Aprobada"),R281,IF(AND(OR(V281="Aprobada con ajuste",V281="Rechazada"),W281&lt;&gt;""),W281,""))</f>
        <v/>
      </c>
    </row>
    <row r="282">
      <c r="A282" s="18" t="inlineStr">
        <is>
          <t>C0281</t>
        </is>
      </c>
      <c r="B282" s="18" t="inlineStr">
        <is>
          <t>Registro académico</t>
        </is>
      </c>
      <c r="C282" s="18" t="inlineStr">
        <is>
          <t>academic_registration</t>
        </is>
      </c>
      <c r="D282" s="18" t="inlineStr">
        <is>
          <t>graduation_certificates</t>
        </is>
      </c>
      <c r="E282" s="18" t="n">
        <v>161</v>
      </c>
      <c r="F282" s="18" t="inlineStr">
        <is>
          <t>program_type</t>
        </is>
      </c>
      <c r="G282" s="18" t="inlineStr">
        <is>
          <t>character varying(50)</t>
        </is>
      </c>
      <c r="H282" s="18" t="inlineStr">
        <is>
          <t>No</t>
        </is>
      </c>
      <c r="I282" s="18" t="inlineStr"/>
      <c r="J282" s="18" t="inlineStr"/>
      <c r="K282" s="18" t="inlineStr"/>
      <c r="L282" s="18" t="inlineStr">
        <is>
          <t>No</t>
        </is>
      </c>
      <c r="M282" s="18" t="inlineStr">
        <is>
          <t>No</t>
        </is>
      </c>
      <c r="N282" s="18" t="inlineStr"/>
      <c r="O282" s="18" t="inlineStr"/>
      <c r="P282" s="18" t="inlineStr">
        <is>
          <t>Mapeada en academic-registration-service/src/graduation-certificates/graduation-certificate.entity.ts:47 (GraduationCertificate.programType)</t>
        </is>
      </c>
      <c r="Q282" s="18" t="inlineStr">
        <is>
          <t>Código fuente (verificado)</t>
        </is>
      </c>
      <c r="R282" s="18" t="inlineStr">
        <is>
          <t>Tipo de programa académico del graduado (por ejemplo, Pregrado, Especializacion o Maestria); se toma del graduado y, si no se digita, se deduce del nombre del programa, con Pregrado por defecto.</t>
        </is>
      </c>
      <c r="S282" s="18" t="inlineStr">
        <is>
          <t>Alta</t>
        </is>
      </c>
      <c r="T282" s="18" t="inlineStr">
        <is>
          <t>academic-registration-service/src/graduation-certificates/graduation-certificates.service.ts:1731: programType del graduado o Pregrado | academic-registration-service/src/graduation-certificates/graduation-certificates.service.ts:2314: inferGraduateProgramType devuelve Maestria, Especializacion o Pregrado | academic-registration-service/src/graduation-certificates/graduate.entity.ts:51: comentario Pregrado, Especialización, Maestría</t>
        </is>
      </c>
      <c r="U282" s="18" t="inlineStr"/>
      <c r="V282" s="19" t="inlineStr">
        <is>
          <t>Aprobada</t>
        </is>
      </c>
      <c r="W282" s="19" t="inlineStr"/>
      <c r="X282" s="19" t="inlineStr">
        <is>
          <t>Aldair González (aprobación en bloque)</t>
        </is>
      </c>
      <c r="Y282" s="20" t="n">
        <v>46321</v>
      </c>
      <c r="Z282" s="19" t="inlineStr">
        <is>
          <t>Nivel 3: verificada con el código de la aplicación.</t>
        </is>
      </c>
      <c r="AA282" s="18">
        <f>IF(OR(V282="Aprobada"),R282,IF(AND(OR(V282="Aprobada con ajuste",V282="Rechazada"),W282&lt;&gt;""),W282,""))</f>
        <v/>
      </c>
    </row>
    <row r="283">
      <c r="A283" s="18" t="inlineStr">
        <is>
          <t>C0282</t>
        </is>
      </c>
      <c r="B283" s="18" t="inlineStr">
        <is>
          <t>Registro académico</t>
        </is>
      </c>
      <c r="C283" s="18" t="inlineStr">
        <is>
          <t>academic_registration</t>
        </is>
      </c>
      <c r="D283" s="18" t="inlineStr">
        <is>
          <t>graduation_certificates</t>
        </is>
      </c>
      <c r="E283" s="18" t="n">
        <v>161</v>
      </c>
      <c r="F283" s="18" t="inlineStr">
        <is>
          <t>degree_title</t>
        </is>
      </c>
      <c r="G283" s="18" t="inlineStr">
        <is>
          <t>character varying(255)</t>
        </is>
      </c>
      <c r="H283" s="18" t="inlineStr">
        <is>
          <t>No</t>
        </is>
      </c>
      <c r="I283" s="18" t="inlineStr"/>
      <c r="J283" s="18" t="inlineStr"/>
      <c r="K283" s="18" t="inlineStr"/>
      <c r="L283" s="18" t="inlineStr">
        <is>
          <t>No</t>
        </is>
      </c>
      <c r="M283" s="18" t="inlineStr">
        <is>
          <t>No</t>
        </is>
      </c>
      <c r="N283" s="18" t="inlineStr"/>
      <c r="O283" s="18" t="inlineStr"/>
      <c r="P283" s="18" t="inlineStr">
        <is>
          <t>Mapeada en academic-registration-service/src/graduation-certificates/graduation-certificate.entity.ts:50 (GraduationCertificate.degreeTitle)</t>
        </is>
      </c>
      <c r="Q283" s="18" t="inlineStr">
        <is>
          <t>Propuesta semántica</t>
        </is>
      </c>
      <c r="R283" s="18" t="inlineStr">
        <is>
          <t>Título académico otorgado que figura en el certificado.</t>
        </is>
      </c>
      <c r="S283" s="18" t="inlineStr">
        <is>
          <t>Alta</t>
        </is>
      </c>
      <c r="T283" s="18" t="inlineStr">
        <is>
          <t>nombre + tipo + columnas vecinas</t>
        </is>
      </c>
      <c r="U283" s="18" t="inlineStr"/>
      <c r="V283" s="19" t="inlineStr">
        <is>
          <t>Aprobada</t>
        </is>
      </c>
      <c r="W283" s="19" t="inlineStr"/>
      <c r="X283" s="19" t="inlineStr">
        <is>
          <t>Aldair González (aprobación en bloque)</t>
        </is>
      </c>
      <c r="Y283" s="20" t="n">
        <v>46321</v>
      </c>
      <c r="Z283" s="19" t="inlineStr">
        <is>
          <t>Nivel 1: propuesta del comentario del desarrollador o de confianza alta, o regla de fecha/responsable/motivo.</t>
        </is>
      </c>
      <c r="AA283" s="18">
        <f>IF(OR(V283="Aprobada"),R283,IF(AND(OR(V283="Aprobada con ajuste",V283="Rechazada"),W283&lt;&gt;""),W283,""))</f>
        <v/>
      </c>
    </row>
    <row r="284">
      <c r="A284" s="18" t="inlineStr">
        <is>
          <t>C0283</t>
        </is>
      </c>
      <c r="B284" s="18" t="inlineStr">
        <is>
          <t>Registro académico</t>
        </is>
      </c>
      <c r="C284" s="18" t="inlineStr">
        <is>
          <t>academic_registration</t>
        </is>
      </c>
      <c r="D284" s="18" t="inlineStr">
        <is>
          <t>graduation_certificates</t>
        </is>
      </c>
      <c r="E284" s="18" t="n">
        <v>161</v>
      </c>
      <c r="F284" s="18" t="inlineStr">
        <is>
          <t>graduation_date</t>
        </is>
      </c>
      <c r="G284" s="18" t="inlineStr">
        <is>
          <t>date</t>
        </is>
      </c>
      <c r="H284" s="18" t="inlineStr">
        <is>
          <t>No</t>
        </is>
      </c>
      <c r="I284" s="18" t="inlineStr"/>
      <c r="J284" s="18" t="inlineStr"/>
      <c r="K284" s="18" t="inlineStr"/>
      <c r="L284" s="18" t="inlineStr">
        <is>
          <t>No</t>
        </is>
      </c>
      <c r="M284" s="18" t="inlineStr">
        <is>
          <t>No</t>
        </is>
      </c>
      <c r="N284" s="18" t="inlineStr"/>
      <c r="O284" s="18" t="inlineStr"/>
      <c r="P284" s="18" t="inlineStr">
        <is>
          <t>Mapeada en academic-registration-service/src/graduation-certificates/graduation-certificate.entity.ts:53 (GraduationCertificate.graduationDate)</t>
        </is>
      </c>
      <c r="Q284" s="18" t="inlineStr">
        <is>
          <t>Propuesta semántica</t>
        </is>
      </c>
      <c r="R284" s="18" t="inlineStr">
        <is>
          <t>Fecha de graduación que figura en el certificado.</t>
        </is>
      </c>
      <c r="S284" s="18" t="inlineStr">
        <is>
          <t>Alta</t>
        </is>
      </c>
      <c r="T284" s="18" t="inlineStr">
        <is>
          <t>nombre + tipo + columnas vecinas</t>
        </is>
      </c>
      <c r="U284" s="18" t="inlineStr"/>
      <c r="V284" s="19" t="inlineStr">
        <is>
          <t>Aprobada</t>
        </is>
      </c>
      <c r="W284" s="19" t="inlineStr"/>
      <c r="X284" s="19" t="inlineStr">
        <is>
          <t>Aldair González (aprobación en bloque)</t>
        </is>
      </c>
      <c r="Y284" s="20" t="n">
        <v>46321</v>
      </c>
      <c r="Z284" s="19" t="inlineStr">
        <is>
          <t>Nivel 1: propuesta del comentario del desarrollador o de confianza alta, o regla de fecha/responsable/motivo.</t>
        </is>
      </c>
      <c r="AA284" s="18">
        <f>IF(OR(V284="Aprobada"),R284,IF(AND(OR(V284="Aprobada con ajuste",V284="Rechazada"),W284&lt;&gt;""),W284,""))</f>
        <v/>
      </c>
    </row>
    <row r="285">
      <c r="A285" s="18" t="inlineStr">
        <is>
          <t>C0284</t>
        </is>
      </c>
      <c r="B285" s="18" t="inlineStr">
        <is>
          <t>Registro académico</t>
        </is>
      </c>
      <c r="C285" s="18" t="inlineStr">
        <is>
          <t>academic_registration</t>
        </is>
      </c>
      <c r="D285" s="18" t="inlineStr">
        <is>
          <t>graduation_certificates</t>
        </is>
      </c>
      <c r="E285" s="18" t="n">
        <v>161</v>
      </c>
      <c r="F285" s="18" t="inlineStr">
        <is>
          <t>diploma_number</t>
        </is>
      </c>
      <c r="G285" s="18" t="inlineStr">
        <is>
          <t>character varying(100)</t>
        </is>
      </c>
      <c r="H285" s="18" t="inlineStr">
        <is>
          <t>Sí</t>
        </is>
      </c>
      <c r="I285" s="18" t="inlineStr"/>
      <c r="J285" s="18" t="inlineStr"/>
      <c r="K285" s="18" t="inlineStr"/>
      <c r="L285" s="18" t="inlineStr">
        <is>
          <t>No</t>
        </is>
      </c>
      <c r="M285" s="18" t="inlineStr">
        <is>
          <t>No</t>
        </is>
      </c>
      <c r="N285" s="18" t="inlineStr"/>
      <c r="O285" s="18" t="inlineStr"/>
      <c r="P285" s="18" t="inlineStr">
        <is>
          <t>Mapeada en academic-registration-service/src/graduation-certificates/graduation-certificate.entity.ts:56 (GraduationCertificate.diplomaNumber)</t>
        </is>
      </c>
      <c r="Q285" s="18" t="inlineStr">
        <is>
          <t>Propuesta semántica</t>
        </is>
      </c>
      <c r="R285" s="18" t="inlineStr">
        <is>
          <t>Número del diploma del graduado que figura en el certificado.</t>
        </is>
      </c>
      <c r="S285" s="18" t="inlineStr">
        <is>
          <t>Alta</t>
        </is>
      </c>
      <c r="T285" s="18" t="inlineStr">
        <is>
          <t>nombre + tipo + columnas vecinas</t>
        </is>
      </c>
      <c r="U285" s="18" t="inlineStr"/>
      <c r="V285" s="19" t="inlineStr">
        <is>
          <t>Aprobada</t>
        </is>
      </c>
      <c r="W285" s="19" t="inlineStr"/>
      <c r="X285" s="19" t="inlineStr">
        <is>
          <t>Aldair González (aprobación en bloque)</t>
        </is>
      </c>
      <c r="Y285" s="20" t="n">
        <v>46321</v>
      </c>
      <c r="Z285" s="19" t="inlineStr">
        <is>
          <t>Nivel 1: propuesta del comentario del desarrollador o de confianza alta, o regla de fecha/responsable/motivo.</t>
        </is>
      </c>
      <c r="AA285" s="18">
        <f>IF(OR(V285="Aprobada"),R285,IF(AND(OR(V285="Aprobada con ajuste",V285="Rechazada"),W285&lt;&gt;""),W285,""))</f>
        <v/>
      </c>
    </row>
    <row r="286">
      <c r="A286" s="18" t="inlineStr">
        <is>
          <t>C0285</t>
        </is>
      </c>
      <c r="B286" s="18" t="inlineStr">
        <is>
          <t>Registro académico</t>
        </is>
      </c>
      <c r="C286" s="18" t="inlineStr">
        <is>
          <t>academic_registration</t>
        </is>
      </c>
      <c r="D286" s="18" t="inlineStr">
        <is>
          <t>graduation_certificates</t>
        </is>
      </c>
      <c r="E286" s="18" t="n">
        <v>161</v>
      </c>
      <c r="F286" s="18" t="inlineStr">
        <is>
          <t>campus</t>
        </is>
      </c>
      <c r="G286" s="18" t="inlineStr">
        <is>
          <t>character varying(100)</t>
        </is>
      </c>
      <c r="H286" s="18" t="inlineStr">
        <is>
          <t>Sí</t>
        </is>
      </c>
      <c r="I286" s="18" t="inlineStr"/>
      <c r="J286" s="18" t="inlineStr"/>
      <c r="K286" s="18" t="inlineStr"/>
      <c r="L286" s="18" t="inlineStr">
        <is>
          <t>No</t>
        </is>
      </c>
      <c r="M286" s="18" t="inlineStr">
        <is>
          <t>No</t>
        </is>
      </c>
      <c r="N286" s="18" t="inlineStr"/>
      <c r="O286" s="18" t="inlineStr"/>
      <c r="P286" s="18" t="inlineStr">
        <is>
          <t>academic-registration-service/src/graduation-certificates/graduation-certificate.entity.ts:71: Información adicional | db/migrations/old/042_create_graduation_tables.sql:158: Información adicional</t>
        </is>
      </c>
      <c r="Q286" s="18" t="inlineStr">
        <is>
          <t>Código fuente</t>
        </is>
      </c>
      <c r="R286" s="18" t="inlineStr">
        <is>
          <t>Sede del graduado, registrada en el certificado.</t>
        </is>
      </c>
      <c r="S286" s="18" t="inlineStr">
        <is>
          <t>Alta</t>
        </is>
      </c>
      <c r="T286" s="18" t="inlineStr">
        <is>
          <t>código: academic-registration-service/src/graduation-certificates/graduation-certificate.entity.ts:71</t>
        </is>
      </c>
      <c r="U286" s="18" t="inlineStr"/>
      <c r="V286" s="19" t="inlineStr">
        <is>
          <t>Aprobada</t>
        </is>
      </c>
      <c r="W286" s="19" t="inlineStr"/>
      <c r="X286" s="19" t="inlineStr">
        <is>
          <t>Aldair González (aprobación en bloque)</t>
        </is>
      </c>
      <c r="Y286" s="20" t="n">
        <v>46321</v>
      </c>
      <c r="Z286" s="19" t="inlineStr">
        <is>
          <t>Nivel 1: propuesta del comentario del desarrollador o de confianza alta, o regla de fecha/responsable/motivo.</t>
        </is>
      </c>
      <c r="AA286" s="18">
        <f>IF(OR(V286="Aprobada"),R286,IF(AND(OR(V286="Aprobada con ajuste",V286="Rechazada"),W286&lt;&gt;""),W286,""))</f>
        <v/>
      </c>
    </row>
    <row r="287">
      <c r="A287" s="18" t="inlineStr">
        <is>
          <t>C0286</t>
        </is>
      </c>
      <c r="B287" s="18" t="inlineStr">
        <is>
          <t>Registro académico</t>
        </is>
      </c>
      <c r="C287" s="18" t="inlineStr">
        <is>
          <t>academic_registration</t>
        </is>
      </c>
      <c r="D287" s="18" t="inlineStr">
        <is>
          <t>graduation_certificates</t>
        </is>
      </c>
      <c r="E287" s="18" t="n">
        <v>161</v>
      </c>
      <c r="F287" s="18" t="inlineStr">
        <is>
          <t>signer_name</t>
        </is>
      </c>
      <c r="G287" s="18" t="inlineStr">
        <is>
          <t>character varying(255)</t>
        </is>
      </c>
      <c r="H287" s="18" t="inlineStr">
        <is>
          <t>No</t>
        </is>
      </c>
      <c r="I287" s="18" t="inlineStr"/>
      <c r="J287" s="18" t="inlineStr"/>
      <c r="K287" s="18" t="inlineStr"/>
      <c r="L287" s="18" t="inlineStr">
        <is>
          <t>No</t>
        </is>
      </c>
      <c r="M287" s="18" t="inlineStr">
        <is>
          <t>No</t>
        </is>
      </c>
      <c r="N287" s="18" t="inlineStr"/>
      <c r="O287" s="18" t="inlineStr"/>
      <c r="P287" s="18" t="inlineStr">
        <is>
          <t>academic-registration-service/src/graduation-certificates/graduation-certificate.entity.ts:84: Datos del firmante | db/migrations/old/042_create_graduation_tables.sql:161: Datos del firmante</t>
        </is>
      </c>
      <c r="Q287" s="18" t="inlineStr">
        <is>
          <t>Código fuente</t>
        </is>
      </c>
      <c r="R287" s="18" t="inlineStr">
        <is>
          <t>Nombre del firmante del certificado.</t>
        </is>
      </c>
      <c r="S287" s="18" t="inlineStr">
        <is>
          <t>Alta</t>
        </is>
      </c>
      <c r="T287" s="18" t="inlineStr">
        <is>
          <t>código: academic-registration-service/src/graduation-certificates/graduation-certificate.entity.ts:84</t>
        </is>
      </c>
      <c r="U287" s="18" t="inlineStr"/>
      <c r="V287" s="19" t="inlineStr">
        <is>
          <t>Aprobada</t>
        </is>
      </c>
      <c r="W287" s="19" t="inlineStr"/>
      <c r="X287" s="19" t="inlineStr">
        <is>
          <t>Aldair González (aprobación en bloque)</t>
        </is>
      </c>
      <c r="Y287" s="20" t="n">
        <v>46321</v>
      </c>
      <c r="Z287" s="19" t="inlineStr">
        <is>
          <t>Nivel 1: propuesta del comentario del desarrollador o de confianza alta, o regla de fecha/responsable/motivo.</t>
        </is>
      </c>
      <c r="AA287" s="18">
        <f>IF(OR(V287="Aprobada"),R287,IF(AND(OR(V287="Aprobada con ajuste",V287="Rechazada"),W287&lt;&gt;""),W287,""))</f>
        <v/>
      </c>
    </row>
    <row r="288">
      <c r="A288" s="18" t="inlineStr">
        <is>
          <t>C0287</t>
        </is>
      </c>
      <c r="B288" s="18" t="inlineStr">
        <is>
          <t>Registro académico</t>
        </is>
      </c>
      <c r="C288" s="18" t="inlineStr">
        <is>
          <t>academic_registration</t>
        </is>
      </c>
      <c r="D288" s="18" t="inlineStr">
        <is>
          <t>graduation_certificates</t>
        </is>
      </c>
      <c r="E288" s="18" t="n">
        <v>161</v>
      </c>
      <c r="F288" s="18" t="inlineStr">
        <is>
          <t>signer_position</t>
        </is>
      </c>
      <c r="G288" s="18" t="inlineStr">
        <is>
          <t>character varying(255)</t>
        </is>
      </c>
      <c r="H288" s="18" t="inlineStr">
        <is>
          <t>No</t>
        </is>
      </c>
      <c r="I288" s="18" t="inlineStr"/>
      <c r="J288" s="18" t="inlineStr"/>
      <c r="K288" s="18" t="inlineStr"/>
      <c r="L288" s="18" t="inlineStr">
        <is>
          <t>No</t>
        </is>
      </c>
      <c r="M288" s="18" t="inlineStr">
        <is>
          <t>No</t>
        </is>
      </c>
      <c r="N288" s="18" t="inlineStr"/>
      <c r="O288" s="18" t="inlineStr"/>
      <c r="P288" s="18" t="inlineStr">
        <is>
          <t>Mapeada en academic-registration-service/src/graduation-certificates/graduation-certificate.entity.ts:87 (GraduationCertificate.signerPosition)</t>
        </is>
      </c>
      <c r="Q288" s="18" t="inlineStr">
        <is>
          <t>Propuesta semántica</t>
        </is>
      </c>
      <c r="R288" s="18" t="inlineStr">
        <is>
          <t>Cargo del firmante del certificado.</t>
        </is>
      </c>
      <c r="S288" s="18" t="inlineStr">
        <is>
          <t>Alta</t>
        </is>
      </c>
      <c r="T288" s="18" t="inlineStr">
        <is>
          <t>nombre + tipo + columnas vecinas (signer_name)</t>
        </is>
      </c>
      <c r="U288" s="18" t="inlineStr"/>
      <c r="V288" s="19" t="inlineStr">
        <is>
          <t>Aprobada</t>
        </is>
      </c>
      <c r="W288" s="19" t="inlineStr"/>
      <c r="X288" s="19" t="inlineStr">
        <is>
          <t>Aldair González (aprobación en bloque)</t>
        </is>
      </c>
      <c r="Y288" s="20" t="n">
        <v>46321</v>
      </c>
      <c r="Z288" s="19" t="inlineStr">
        <is>
          <t>Nivel 1: propuesta del comentario del desarrollador o de confianza alta, o regla de fecha/responsable/motivo.</t>
        </is>
      </c>
      <c r="AA288" s="18">
        <f>IF(OR(V288="Aprobada"),R288,IF(AND(OR(V288="Aprobada con ajuste",V288="Rechazada"),W288&lt;&gt;""),W288,""))</f>
        <v/>
      </c>
    </row>
    <row r="289">
      <c r="A289" s="18" t="inlineStr">
        <is>
          <t>C0288</t>
        </is>
      </c>
      <c r="B289" s="18" t="inlineStr">
        <is>
          <t>Registro académico</t>
        </is>
      </c>
      <c r="C289" s="18" t="inlineStr">
        <is>
          <t>academic_registration</t>
        </is>
      </c>
      <c r="D289" s="18" t="inlineStr">
        <is>
          <t>graduation_certificates</t>
        </is>
      </c>
      <c r="E289" s="18" t="n">
        <v>161</v>
      </c>
      <c r="F289" s="18" t="inlineStr">
        <is>
          <t>signature_url</t>
        </is>
      </c>
      <c r="G289" s="18" t="inlineStr">
        <is>
          <t>text</t>
        </is>
      </c>
      <c r="H289" s="18" t="inlineStr">
        <is>
          <t>Sí</t>
        </is>
      </c>
      <c r="I289" s="18" t="inlineStr"/>
      <c r="J289" s="18" t="inlineStr"/>
      <c r="K289" s="18" t="inlineStr"/>
      <c r="L289" s="18" t="inlineStr">
        <is>
          <t>No</t>
        </is>
      </c>
      <c r="M289" s="18" t="inlineStr">
        <is>
          <t>No</t>
        </is>
      </c>
      <c r="N289" s="18" t="inlineStr"/>
      <c r="O289" s="18" t="inlineStr"/>
      <c r="P289" s="18" t="inlineStr">
        <is>
          <t>Mapeada en academic-registration-service/src/graduation-certificates/graduation-certificate.entity.ts:90 (GraduationCertificate.signatureUrl)</t>
        </is>
      </c>
      <c r="Q289" s="18" t="inlineStr">
        <is>
          <t>Propuesta semántica</t>
        </is>
      </c>
      <c r="R289" s="18" t="inlineStr">
        <is>
          <t>URL de la imagen de la firma usada en el certificado.</t>
        </is>
      </c>
      <c r="S289" s="18" t="inlineStr">
        <is>
          <t>Alta</t>
        </is>
      </c>
      <c r="T289" s="18" t="inlineStr">
        <is>
          <t>nombre + tipo + columnas vecinas</t>
        </is>
      </c>
      <c r="U289" s="18" t="inlineStr"/>
      <c r="V289" s="19" t="inlineStr">
        <is>
          <t>Aprobada</t>
        </is>
      </c>
      <c r="W289" s="19" t="inlineStr"/>
      <c r="X289" s="19" t="inlineStr">
        <is>
          <t>Aldair González (aprobación en bloque)</t>
        </is>
      </c>
      <c r="Y289" s="20" t="n">
        <v>46321</v>
      </c>
      <c r="Z289" s="19" t="inlineStr">
        <is>
          <t>Nivel 1: propuesta del comentario del desarrollador o de confianza alta, o regla de fecha/responsable/motivo.</t>
        </is>
      </c>
      <c r="AA289" s="18">
        <f>IF(OR(V289="Aprobada"),R289,IF(AND(OR(V289="Aprobada con ajuste",V289="Rechazada"),W289&lt;&gt;""),W289,""))</f>
        <v/>
      </c>
    </row>
    <row r="290">
      <c r="A290" s="18" t="inlineStr">
        <is>
          <t>C0289</t>
        </is>
      </c>
      <c r="B290" s="18" t="inlineStr">
        <is>
          <t>Registro académico</t>
        </is>
      </c>
      <c r="C290" s="18" t="inlineStr">
        <is>
          <t>academic_registration</t>
        </is>
      </c>
      <c r="D290" s="18" t="inlineStr">
        <is>
          <t>graduation_certificates</t>
        </is>
      </c>
      <c r="E290" s="18" t="n">
        <v>161</v>
      </c>
      <c r="F290" s="18" t="inlineStr">
        <is>
          <t>pdf_url</t>
        </is>
      </c>
      <c r="G290" s="18" t="inlineStr">
        <is>
          <t>text</t>
        </is>
      </c>
      <c r="H290" s="18" t="inlineStr">
        <is>
          <t>Sí</t>
        </is>
      </c>
      <c r="I290" s="18" t="inlineStr"/>
      <c r="J290" s="18" t="inlineStr"/>
      <c r="K290" s="18" t="inlineStr"/>
      <c r="L290" s="18" t="inlineStr">
        <is>
          <t>No</t>
        </is>
      </c>
      <c r="M290" s="18" t="inlineStr">
        <is>
          <t>No</t>
        </is>
      </c>
      <c r="N290" s="18" t="inlineStr"/>
      <c r="O290" s="18" t="inlineStr"/>
      <c r="P290" s="18" t="inlineStr">
        <is>
          <t>academic-registration-service/src/graduation-certificates/graduation-certificate.entity.ts:94: Archivo PDF | db/migrations/old/042_create_graduation_tables.sql:166: Archivo PDF</t>
        </is>
      </c>
      <c r="Q290" s="18" t="inlineStr">
        <is>
          <t>Código fuente</t>
        </is>
      </c>
      <c r="R290" s="18" t="inlineStr">
        <is>
          <t>URL del archivo PDF del certificado.</t>
        </is>
      </c>
      <c r="S290" s="18" t="inlineStr">
        <is>
          <t>Alta</t>
        </is>
      </c>
      <c r="T290" s="18" t="inlineStr">
        <is>
          <t>código: academic-registration-service/src/graduation-certificates/graduation-certificate.entity.ts:94</t>
        </is>
      </c>
      <c r="U290" s="18" t="inlineStr"/>
      <c r="V290" s="19" t="inlineStr">
        <is>
          <t>Aprobada</t>
        </is>
      </c>
      <c r="W290" s="19" t="inlineStr"/>
      <c r="X290" s="19" t="inlineStr">
        <is>
          <t>Aldair González (aprobación en bloque)</t>
        </is>
      </c>
      <c r="Y290" s="20" t="n">
        <v>46321</v>
      </c>
      <c r="Z290" s="19" t="inlineStr">
        <is>
          <t>Nivel 1: propuesta del comentario del desarrollador o de confianza alta, o regla de fecha/responsable/motivo.</t>
        </is>
      </c>
      <c r="AA290" s="18">
        <f>IF(OR(V290="Aprobada"),R290,IF(AND(OR(V290="Aprobada con ajuste",V290="Rechazada"),W290&lt;&gt;""),W290,""))</f>
        <v/>
      </c>
    </row>
    <row r="291">
      <c r="A291" s="18" t="inlineStr">
        <is>
          <t>C0290</t>
        </is>
      </c>
      <c r="B291" s="18" t="inlineStr">
        <is>
          <t>Registro académico</t>
        </is>
      </c>
      <c r="C291" s="18" t="inlineStr">
        <is>
          <t>academic_registration</t>
        </is>
      </c>
      <c r="D291" s="18" t="inlineStr">
        <is>
          <t>graduation_certificates</t>
        </is>
      </c>
      <c r="E291" s="18" t="n">
        <v>161</v>
      </c>
      <c r="F291" s="18" t="inlineStr">
        <is>
          <t>pdf_filename</t>
        </is>
      </c>
      <c r="G291" s="18" t="inlineStr">
        <is>
          <t>character varying(255)</t>
        </is>
      </c>
      <c r="H291" s="18" t="inlineStr">
        <is>
          <t>Sí</t>
        </is>
      </c>
      <c r="I291" s="18" t="inlineStr"/>
      <c r="J291" s="18" t="inlineStr"/>
      <c r="K291" s="18" t="inlineStr"/>
      <c r="L291" s="18" t="inlineStr">
        <is>
          <t>No</t>
        </is>
      </c>
      <c r="M291" s="18" t="inlineStr">
        <is>
          <t>No</t>
        </is>
      </c>
      <c r="N291" s="18" t="inlineStr"/>
      <c r="O291" s="18" t="inlineStr"/>
      <c r="P291" s="18" t="inlineStr">
        <is>
          <t>Mapeada en academic-registration-service/src/graduation-certificates/graduation-certificate.entity.ts:97 (GraduationCertificate.pdfFilename)</t>
        </is>
      </c>
      <c r="Q291" s="18" t="inlineStr">
        <is>
          <t>Propuesta semántica</t>
        </is>
      </c>
      <c r="R291" s="18" t="inlineStr">
        <is>
          <t>Nombre del archivo PDF del certificado emitido.</t>
        </is>
      </c>
      <c r="S291" s="18" t="inlineStr">
        <is>
          <t>Alta</t>
        </is>
      </c>
      <c r="T291" s="18" t="inlineStr">
        <is>
          <t>nombre + tipo + columnas vecinas (pdf_url)</t>
        </is>
      </c>
      <c r="U291" s="18" t="inlineStr"/>
      <c r="V291" s="19" t="inlineStr">
        <is>
          <t>Aprobada</t>
        </is>
      </c>
      <c r="W291" s="19" t="inlineStr"/>
      <c r="X291" s="19" t="inlineStr">
        <is>
          <t>Aldair González (aprobación en bloque)</t>
        </is>
      </c>
      <c r="Y291" s="20" t="n">
        <v>46321</v>
      </c>
      <c r="Z291" s="19" t="inlineStr">
        <is>
          <t>Nivel 1: propuesta del comentario del desarrollador o de confianza alta, o regla de fecha/responsable/motivo.</t>
        </is>
      </c>
      <c r="AA291" s="18">
        <f>IF(OR(V291="Aprobada"),R291,IF(AND(OR(V291="Aprobada con ajuste",V291="Rechazada"),W291&lt;&gt;""),W291,""))</f>
        <v/>
      </c>
    </row>
    <row r="292">
      <c r="A292" s="18" t="inlineStr">
        <is>
          <t>C0291</t>
        </is>
      </c>
      <c r="B292" s="18" t="inlineStr">
        <is>
          <t>Registro académico</t>
        </is>
      </c>
      <c r="C292" s="18" t="inlineStr">
        <is>
          <t>academic_registration</t>
        </is>
      </c>
      <c r="D292" s="18" t="inlineStr">
        <is>
          <t>graduation_certificates</t>
        </is>
      </c>
      <c r="E292" s="18" t="n">
        <v>161</v>
      </c>
      <c r="F292" s="18" t="inlineStr">
        <is>
          <t>status</t>
        </is>
      </c>
      <c r="G292" s="18" t="inlineStr">
        <is>
          <t>character varying(50)</t>
        </is>
      </c>
      <c r="H292" s="18" t="inlineStr">
        <is>
          <t>Sí</t>
        </is>
      </c>
      <c r="I292" s="18" t="inlineStr">
        <is>
          <t>CHECK</t>
        </is>
      </c>
      <c r="J292" s="18" t="inlineStr">
        <is>
          <t>EXPIRED, REVOKED, VALID</t>
        </is>
      </c>
      <c r="K292" s="18" t="inlineStr"/>
      <c r="L292" s="18" t="inlineStr">
        <is>
          <t>Sí</t>
        </is>
      </c>
      <c r="M292" s="18" t="inlineStr">
        <is>
          <t>No</t>
        </is>
      </c>
      <c r="N292" s="18" t="inlineStr"/>
      <c r="O292" s="18" t="inlineStr">
        <is>
          <t>idx_certificates_status</t>
        </is>
      </c>
      <c r="P292" s="18" t="inlineStr">
        <is>
          <t>academic-registration-service/src/graduation-certificates/graduation-certificate.entity.ts:104: Estado del certificado VALID, REVOKED, EXPIRED | db/migrations/old/042_create_graduation_tables.sql:170: Estado del certificado VALID, REVOKED, EXPIRED</t>
        </is>
      </c>
      <c r="Q292" s="18" t="inlineStr">
        <is>
          <t>Código fuente</t>
        </is>
      </c>
      <c r="R292" s="18" t="inlineStr">
        <is>
          <t>Estado del certificado emitido. Valores permitidos: VALID, REVOKED, EXPIRED; por defecto VALID.</t>
        </is>
      </c>
      <c r="S292" s="18" t="inlineStr">
        <is>
          <t>Alta</t>
        </is>
      </c>
      <c r="T292" s="18" t="inlineStr">
        <is>
          <t>código: academic-registration-service/src/graduation-certificates/graduation-certificate.entity.ts:104</t>
        </is>
      </c>
      <c r="U292" s="18" t="inlineStr"/>
      <c r="V292" s="19" t="inlineStr">
        <is>
          <t>Aprobada</t>
        </is>
      </c>
      <c r="W292" s="19" t="inlineStr"/>
      <c r="X292" s="19" t="inlineStr">
        <is>
          <t>Aldair González (aprobación en bloque)</t>
        </is>
      </c>
      <c r="Y292" s="20" t="n">
        <v>46321</v>
      </c>
      <c r="Z292" s="19" t="inlineStr">
        <is>
          <t>Nivel 1: propuesta del comentario del desarrollador o de confianza alta, o regla de fecha/responsable/motivo.</t>
        </is>
      </c>
      <c r="AA292" s="18">
        <f>IF(OR(V292="Aprobada"),R292,IF(AND(OR(V292="Aprobada con ajuste",V292="Rechazada"),W292&lt;&gt;""),W292,""))</f>
        <v/>
      </c>
    </row>
    <row r="293">
      <c r="A293" s="18" t="inlineStr">
        <is>
          <t>C0292</t>
        </is>
      </c>
      <c r="B293" s="18" t="inlineStr">
        <is>
          <t>Registro académico</t>
        </is>
      </c>
      <c r="C293" s="18" t="inlineStr">
        <is>
          <t>academic_registration</t>
        </is>
      </c>
      <c r="D293" s="18" t="inlineStr">
        <is>
          <t>graduation_certificates</t>
        </is>
      </c>
      <c r="E293" s="18" t="n">
        <v>161</v>
      </c>
      <c r="F293" s="18" t="inlineStr">
        <is>
          <t>issue_date</t>
        </is>
      </c>
      <c r="G293" s="18" t="inlineStr">
        <is>
          <t>date</t>
        </is>
      </c>
      <c r="H293" s="18" t="inlineStr">
        <is>
          <t>Sí</t>
        </is>
      </c>
      <c r="I293" s="18" t="inlineStr"/>
      <c r="J293" s="18" t="inlineStr"/>
      <c r="K293" s="18" t="inlineStr"/>
      <c r="L293" s="18" t="inlineStr">
        <is>
          <t>No</t>
        </is>
      </c>
      <c r="M293" s="18" t="inlineStr">
        <is>
          <t>No</t>
        </is>
      </c>
      <c r="N293" s="18" t="inlineStr"/>
      <c r="O293" s="18" t="inlineStr"/>
      <c r="P293" s="18" t="inlineStr">
        <is>
          <t>academic-registration-service/src/graduation-certificates/graduation-certificate.entity.ts:108: Fechas | db/migrations/old/042_create_graduation_tables.sql:173: Fechas</t>
        </is>
      </c>
      <c r="Q293" s="18" t="inlineStr">
        <is>
          <t>Código fuente</t>
        </is>
      </c>
      <c r="R293" s="18" t="inlineStr">
        <is>
          <t>Fecha de expedición del certificado; por defecto la fecha actual.</t>
        </is>
      </c>
      <c r="S293" s="18" t="inlineStr">
        <is>
          <t>Alta</t>
        </is>
      </c>
      <c r="T293" s="18" t="inlineStr">
        <is>
          <t>código: academic-registration-service/src/graduation-certificates/graduation-certificate.entity.ts:108</t>
        </is>
      </c>
      <c r="U293" s="18" t="inlineStr"/>
      <c r="V293" s="19" t="inlineStr">
        <is>
          <t>Aprobada</t>
        </is>
      </c>
      <c r="W293" s="19" t="inlineStr"/>
      <c r="X293" s="19" t="inlineStr">
        <is>
          <t>Aldair González (aprobación en bloque)</t>
        </is>
      </c>
      <c r="Y293" s="20" t="n">
        <v>46321</v>
      </c>
      <c r="Z293" s="19" t="inlineStr">
        <is>
          <t>Nivel 1: propuesta del comentario del desarrollador o de confianza alta, o regla de fecha/responsable/motivo.</t>
        </is>
      </c>
      <c r="AA293" s="18">
        <f>IF(OR(V293="Aprobada"),R293,IF(AND(OR(V293="Aprobada con ajuste",V293="Rechazada"),W293&lt;&gt;""),W293,""))</f>
        <v/>
      </c>
    </row>
    <row r="294">
      <c r="A294" s="18" t="inlineStr">
        <is>
          <t>C0293</t>
        </is>
      </c>
      <c r="B294" s="18" t="inlineStr">
        <is>
          <t>Registro académico</t>
        </is>
      </c>
      <c r="C294" s="18" t="inlineStr">
        <is>
          <t>academic_registration</t>
        </is>
      </c>
      <c r="D294" s="18" t="inlineStr">
        <is>
          <t>graduation_certificates</t>
        </is>
      </c>
      <c r="E294" s="18" t="n">
        <v>161</v>
      </c>
      <c r="F294" s="18" t="inlineStr">
        <is>
          <t>expiry_date</t>
        </is>
      </c>
      <c r="G294" s="18" t="inlineStr">
        <is>
          <t>date</t>
        </is>
      </c>
      <c r="H294" s="18" t="inlineStr">
        <is>
          <t>Sí</t>
        </is>
      </c>
      <c r="I294" s="18" t="inlineStr"/>
      <c r="J294" s="18" t="inlineStr"/>
      <c r="K294" s="18" t="inlineStr"/>
      <c r="L294" s="18" t="inlineStr">
        <is>
          <t>No</t>
        </is>
      </c>
      <c r="M294" s="18" t="inlineStr">
        <is>
          <t>No</t>
        </is>
      </c>
      <c r="N294" s="18" t="inlineStr"/>
      <c r="O294" s="18" t="inlineStr"/>
      <c r="P294" s="18" t="inlineStr">
        <is>
          <t>db/migrations/old/042_create_graduation_tables.sql:174: Algunos certificados pueden tener fecha de expiración</t>
        </is>
      </c>
      <c r="Q294" s="18" t="inlineStr">
        <is>
          <t>Código fuente</t>
        </is>
      </c>
      <c r="R294" s="18" t="inlineStr">
        <is>
          <t>Fecha de expiración del certificado, para los certificados que la tienen.</t>
        </is>
      </c>
      <c r="S294" s="18" t="inlineStr">
        <is>
          <t>Alta</t>
        </is>
      </c>
      <c r="T294" s="18" t="inlineStr">
        <is>
          <t>código: db/migrations/old/042_create_graduation_tables.sql:174</t>
        </is>
      </c>
      <c r="U294" s="18" t="inlineStr"/>
      <c r="V294" s="19" t="inlineStr">
        <is>
          <t>Aprobada</t>
        </is>
      </c>
      <c r="W294" s="19" t="inlineStr"/>
      <c r="X294" s="19" t="inlineStr">
        <is>
          <t>Aldair González (aprobación en bloque)</t>
        </is>
      </c>
      <c r="Y294" s="20" t="n">
        <v>46321</v>
      </c>
      <c r="Z294" s="19" t="inlineStr">
        <is>
          <t>Nivel 1: propuesta del comentario del desarrollador o de confianza alta, o regla de fecha/responsable/motivo.</t>
        </is>
      </c>
      <c r="AA294" s="18">
        <f>IF(OR(V294="Aprobada"),R294,IF(AND(OR(V294="Aprobada con ajuste",V294="Rechazada"),W294&lt;&gt;""),W294,""))</f>
        <v/>
      </c>
    </row>
    <row r="295">
      <c r="A295" s="18" t="inlineStr">
        <is>
          <t>C0294</t>
        </is>
      </c>
      <c r="B295" s="18" t="inlineStr">
        <is>
          <t>Registro académico</t>
        </is>
      </c>
      <c r="C295" s="18" t="inlineStr">
        <is>
          <t>academic_registration</t>
        </is>
      </c>
      <c r="D295" s="18" t="inlineStr">
        <is>
          <t>graduation_request_review_files</t>
        </is>
      </c>
      <c r="E295" s="18" t="n">
        <v>30</v>
      </c>
      <c r="F295" s="18" t="inlineStr">
        <is>
          <t>original_name</t>
        </is>
      </c>
      <c r="G295" s="18" t="inlineStr">
        <is>
          <t>character varying(255)</t>
        </is>
      </c>
      <c r="H295" s="18" t="inlineStr">
        <is>
          <t>No</t>
        </is>
      </c>
      <c r="I295" s="18" t="inlineStr"/>
      <c r="J295" s="18" t="inlineStr"/>
      <c r="K295" s="18" t="inlineStr"/>
      <c r="L295" s="18" t="inlineStr">
        <is>
          <t>No</t>
        </is>
      </c>
      <c r="M295" s="18" t="inlineStr">
        <is>
          <t>No</t>
        </is>
      </c>
      <c r="N295" s="18" t="inlineStr"/>
      <c r="O295" s="18" t="inlineStr"/>
      <c r="P295" s="18" t="inlineStr">
        <is>
          <t>Mapeada en academic-registration-service/src/graduation-certificates/graduation-request-review-file.entity.ts:28 (GraduationRequestReviewFile.originalName)</t>
        </is>
      </c>
      <c r="Q295" s="18" t="inlineStr">
        <is>
          <t>Propuesta semántica</t>
        </is>
      </c>
      <c r="R295" s="18" t="inlineStr">
        <is>
          <t>Nombre original del archivo cargado en la revisión de la solicitud.</t>
        </is>
      </c>
      <c r="S295" s="18" t="inlineStr">
        <is>
          <t>Alta</t>
        </is>
      </c>
      <c r="T295" s="18" t="inlineStr">
        <is>
          <t>nombre + tipo + columnas vecinas (stored_name, mime_type)</t>
        </is>
      </c>
      <c r="U295" s="18" t="inlineStr"/>
      <c r="V295" s="19" t="inlineStr">
        <is>
          <t>Aprobada</t>
        </is>
      </c>
      <c r="W295" s="19" t="inlineStr"/>
      <c r="X295" s="19" t="inlineStr">
        <is>
          <t>Aldair González (aprobación en bloque)</t>
        </is>
      </c>
      <c r="Y295" s="20" t="n">
        <v>46321</v>
      </c>
      <c r="Z295" s="19" t="inlineStr">
        <is>
          <t>Nivel 1: propuesta del comentario del desarrollador o de confianza alta, o regla de fecha/responsable/motivo.</t>
        </is>
      </c>
      <c r="AA295" s="18">
        <f>IF(OR(V295="Aprobada"),R295,IF(AND(OR(V295="Aprobada con ajuste",V295="Rechazada"),W295&lt;&gt;""),W295,""))</f>
        <v/>
      </c>
    </row>
    <row r="296">
      <c r="A296" s="18" t="inlineStr">
        <is>
          <t>C0295</t>
        </is>
      </c>
      <c r="B296" s="18" t="inlineStr">
        <is>
          <t>Registro académico</t>
        </is>
      </c>
      <c r="C296" s="18" t="inlineStr">
        <is>
          <t>academic_registration</t>
        </is>
      </c>
      <c r="D296" s="18" t="inlineStr">
        <is>
          <t>graduation_request_review_files</t>
        </is>
      </c>
      <c r="E296" s="18" t="n">
        <v>30</v>
      </c>
      <c r="F296" s="18" t="inlineStr">
        <is>
          <t>stored_name</t>
        </is>
      </c>
      <c r="G296" s="18" t="inlineStr">
        <is>
          <t>character varying(255)</t>
        </is>
      </c>
      <c r="H296" s="18" t="inlineStr">
        <is>
          <t>No</t>
        </is>
      </c>
      <c r="I296" s="18" t="inlineStr"/>
      <c r="J296" s="18" t="inlineStr"/>
      <c r="K296" s="18" t="inlineStr"/>
      <c r="L296" s="18" t="inlineStr">
        <is>
          <t>No</t>
        </is>
      </c>
      <c r="M296" s="18" t="inlineStr">
        <is>
          <t>No</t>
        </is>
      </c>
      <c r="N296" s="18" t="inlineStr"/>
      <c r="O296" s="18" t="inlineStr"/>
      <c r="P296" s="18" t="inlineStr">
        <is>
          <t>Mapeada en academic-registration-service/src/graduation-certificates/graduation-request-review-file.entity.ts:31 (GraduationRequestReviewFile.storedName)</t>
        </is>
      </c>
      <c r="Q296" s="18" t="inlineStr">
        <is>
          <t>Propuesta semántica</t>
        </is>
      </c>
      <c r="R296" s="18" t="inlineStr">
        <is>
          <t>Nombre con el que se guarda el archivo en el almacenamiento del sistema.</t>
        </is>
      </c>
      <c r="S296" s="18" t="inlineStr">
        <is>
          <t>Alta</t>
        </is>
      </c>
      <c r="T296" s="18" t="inlineStr">
        <is>
          <t>nombre + tipo + columnas vecinas</t>
        </is>
      </c>
      <c r="U296" s="18" t="inlineStr"/>
      <c r="V296" s="19" t="inlineStr">
        <is>
          <t>Aprobada</t>
        </is>
      </c>
      <c r="W296" s="19" t="inlineStr"/>
      <c r="X296" s="19" t="inlineStr">
        <is>
          <t>Aldair González (aprobación en bloque)</t>
        </is>
      </c>
      <c r="Y296" s="20" t="n">
        <v>46321</v>
      </c>
      <c r="Z296" s="19" t="inlineStr">
        <is>
          <t>Nivel 1: propuesta del comentario del desarrollador o de confianza alta, o regla de fecha/responsable/motivo.</t>
        </is>
      </c>
      <c r="AA296" s="18">
        <f>IF(OR(V296="Aprobada"),R296,IF(AND(OR(V296="Aprobada con ajuste",V296="Rechazada"),W296&lt;&gt;""),W296,""))</f>
        <v/>
      </c>
    </row>
    <row r="297">
      <c r="A297" s="18" t="inlineStr">
        <is>
          <t>C0296</t>
        </is>
      </c>
      <c r="B297" s="18" t="inlineStr">
        <is>
          <t>Registro académico</t>
        </is>
      </c>
      <c r="C297" s="18" t="inlineStr">
        <is>
          <t>academic_registration</t>
        </is>
      </c>
      <c r="D297" s="18" t="inlineStr">
        <is>
          <t>graduation_request_review_files</t>
        </is>
      </c>
      <c r="E297" s="18" t="n">
        <v>30</v>
      </c>
      <c r="F297" s="18" t="inlineStr">
        <is>
          <t>mime_type</t>
        </is>
      </c>
      <c r="G297" s="18" t="inlineStr">
        <is>
          <t>character varying(150)</t>
        </is>
      </c>
      <c r="H297" s="18" t="inlineStr">
        <is>
          <t>No</t>
        </is>
      </c>
      <c r="I297" s="18" t="inlineStr"/>
      <c r="J297" s="18" t="inlineStr"/>
      <c r="K297" s="18" t="inlineStr"/>
      <c r="L297" s="18" t="inlineStr">
        <is>
          <t>No</t>
        </is>
      </c>
      <c r="M297" s="18" t="inlineStr">
        <is>
          <t>No</t>
        </is>
      </c>
      <c r="N297" s="18" t="inlineStr"/>
      <c r="O297" s="18" t="inlineStr"/>
      <c r="P297" s="18" t="inlineStr">
        <is>
          <t>Mapeada en academic-registration-service/src/graduation-certificates/graduation-request-review-file.entity.ts:34 (GraduationRequestReviewFile.mimeType)</t>
        </is>
      </c>
      <c r="Q297" s="18" t="inlineStr">
        <is>
          <t>Regla estructural (redacción revisada)</t>
        </is>
      </c>
      <c r="R297" s="18" t="inlineStr">
        <is>
          <t>Tipo MIME del archivo de revisión de la solicitud de certificado de grado.</t>
        </is>
      </c>
      <c r="S297" s="18" t="inlineStr">
        <is>
          <t>Alta</t>
        </is>
      </c>
      <c r="T297" s="18" t="inlineStr">
        <is>
          <t>Convención de nombre, redactada con el contexto de la tabla y el código.</t>
        </is>
      </c>
      <c r="U297" s="18" t="inlineStr"/>
      <c r="V297" s="19" t="inlineStr">
        <is>
          <t>Aprobada</t>
        </is>
      </c>
      <c r="W297" s="19" t="inlineStr"/>
      <c r="X297" s="19" t="inlineStr">
        <is>
          <t>Aldair González (aprobación en bloque)</t>
        </is>
      </c>
      <c r="Y297" s="20" t="n">
        <v>46321</v>
      </c>
      <c r="Z297" s="19" t="inlineStr">
        <is>
          <t>Nivel 2: regla estructural con redacción revisada.</t>
        </is>
      </c>
      <c r="AA297" s="18">
        <f>IF(OR(V297="Aprobada"),R297,IF(AND(OR(V297="Aprobada con ajuste",V297="Rechazada"),W297&lt;&gt;""),W297,""))</f>
        <v/>
      </c>
    </row>
    <row r="298">
      <c r="A298" s="18" t="inlineStr">
        <is>
          <t>C0297</t>
        </is>
      </c>
      <c r="B298" s="18" t="inlineStr">
        <is>
          <t>Registro académico</t>
        </is>
      </c>
      <c r="C298" s="18" t="inlineStr">
        <is>
          <t>academic_registration</t>
        </is>
      </c>
      <c r="D298" s="18" t="inlineStr">
        <is>
          <t>graduation_request_review_files</t>
        </is>
      </c>
      <c r="E298" s="18" t="n">
        <v>30</v>
      </c>
      <c r="F298" s="18" t="inlineStr">
        <is>
          <t>size_bytes</t>
        </is>
      </c>
      <c r="G298" s="18" t="inlineStr">
        <is>
          <t>integer</t>
        </is>
      </c>
      <c r="H298" s="18" t="inlineStr">
        <is>
          <t>No</t>
        </is>
      </c>
      <c r="I298" s="18" t="inlineStr"/>
      <c r="J298" s="18" t="inlineStr"/>
      <c r="K298" s="18" t="inlineStr"/>
      <c r="L298" s="18" t="inlineStr">
        <is>
          <t>No</t>
        </is>
      </c>
      <c r="M298" s="18" t="inlineStr">
        <is>
          <t>No</t>
        </is>
      </c>
      <c r="N298" s="18" t="inlineStr"/>
      <c r="O298" s="18" t="inlineStr"/>
      <c r="P298" s="18" t="inlineStr">
        <is>
          <t>Mapeada en academic-registration-service/src/graduation-certificates/graduation-request-review-file.entity.ts:37 (GraduationRequestReviewFile.sizeBytes)</t>
        </is>
      </c>
      <c r="Q298" s="18" t="inlineStr">
        <is>
          <t>Regla estructural (redacción revisada)</t>
        </is>
      </c>
      <c r="R298" s="18" t="inlineStr">
        <is>
          <t>Tamaño en bytes del archivo de revisión de la solicitud de certificado de grado.</t>
        </is>
      </c>
      <c r="S298" s="18" t="inlineStr">
        <is>
          <t>Alta</t>
        </is>
      </c>
      <c r="T298" s="18" t="inlineStr">
        <is>
          <t>Convención de nombre, redactada con el contexto de la tabla y el código.</t>
        </is>
      </c>
      <c r="U298" s="18" t="inlineStr"/>
      <c r="V298" s="19" t="inlineStr">
        <is>
          <t>Aprobada</t>
        </is>
      </c>
      <c r="W298" s="19" t="inlineStr"/>
      <c r="X298" s="19" t="inlineStr">
        <is>
          <t>Aldair González (aprobación en bloque)</t>
        </is>
      </c>
      <c r="Y298" s="20" t="n">
        <v>46321</v>
      </c>
      <c r="Z298" s="19" t="inlineStr">
        <is>
          <t>Nivel 2: regla estructural con redacción revisada.</t>
        </is>
      </c>
      <c r="AA298" s="18">
        <f>IF(OR(V298="Aprobada"),R298,IF(AND(OR(V298="Aprobada con ajuste",V298="Rechazada"),W298&lt;&gt;""),W298,""))</f>
        <v/>
      </c>
    </row>
    <row r="299">
      <c r="A299" s="18" t="inlineStr">
        <is>
          <t>C0298</t>
        </is>
      </c>
      <c r="B299" s="18" t="inlineStr">
        <is>
          <t>Registro académico</t>
        </is>
      </c>
      <c r="C299" s="18" t="inlineStr">
        <is>
          <t>academic_registration</t>
        </is>
      </c>
      <c r="D299" s="18" t="inlineStr">
        <is>
          <t>graduation_request_review_files</t>
        </is>
      </c>
      <c r="E299" s="18" t="n">
        <v>30</v>
      </c>
      <c r="F299" s="18" t="inlineStr">
        <is>
          <t>uploaded_by</t>
        </is>
      </c>
      <c r="G299" s="18" t="inlineStr">
        <is>
          <t>character varying(255)</t>
        </is>
      </c>
      <c r="H299" s="18" t="inlineStr">
        <is>
          <t>Sí</t>
        </is>
      </c>
      <c r="I299" s="18" t="inlineStr"/>
      <c r="J299" s="18" t="inlineStr"/>
      <c r="K299" s="18" t="inlineStr"/>
      <c r="L299" s="18" t="inlineStr">
        <is>
          <t>No</t>
        </is>
      </c>
      <c r="M299" s="18" t="inlineStr">
        <is>
          <t>No</t>
        </is>
      </c>
      <c r="N299" s="18" t="inlineStr"/>
      <c r="O299" s="18" t="inlineStr"/>
      <c r="P299" s="18" t="inlineStr">
        <is>
          <t>Mapeada en academic-registration-service/src/graduation-certificates/graduation-request-review-file.entity.ts:40 (GraduationRequestReviewFile.uploadedBy)</t>
        </is>
      </c>
      <c r="Q299" s="18" t="inlineStr">
        <is>
          <t>Código fuente (verificado)</t>
        </is>
      </c>
      <c r="R299" s="18" t="inlineStr">
        <is>
          <t>Nombre de la persona que cargó el archivo de revisión de la solicitud; el correo se registra aparte en la línea de tiempo.</t>
        </is>
      </c>
      <c r="S299" s="18" t="inlineStr">
        <is>
          <t>Alta</t>
        </is>
      </c>
      <c r="T299" s="18" t="inlineStr">
        <is>
          <t>academic-registration-service/src/graduation-certificates/graduation-certificates.controller.ts:863: uploadedBy y uploadedByEmail llegan por separado | academic-registration-service/src/graduation-certificates/graduation-certificates.service.ts:4690: se guarda uploadedBy | academic-registration-service/src/graduation-certificates/graduation-certificates.service.ts:4697: se usa como actorName en la línea de tiempo</t>
        </is>
      </c>
      <c r="U299" s="18" t="inlineStr"/>
      <c r="V299" s="19" t="inlineStr">
        <is>
          <t>Aprobada</t>
        </is>
      </c>
      <c r="W299" s="19" t="inlineStr"/>
      <c r="X299" s="19" t="inlineStr">
        <is>
          <t>Aldair González (aprobación en bloque)</t>
        </is>
      </c>
      <c r="Y299" s="20" t="n">
        <v>46321</v>
      </c>
      <c r="Z299" s="19" t="inlineStr">
        <is>
          <t>Nivel 3: verificada con el código de la aplicación.</t>
        </is>
      </c>
      <c r="AA299" s="18">
        <f>IF(OR(V299="Aprobada"),R299,IF(AND(OR(V299="Aprobada con ajuste",V299="Rechazada"),W299&lt;&gt;""),W299,""))</f>
        <v/>
      </c>
    </row>
    <row r="300">
      <c r="A300" s="18" t="inlineStr">
        <is>
          <t>C0299</t>
        </is>
      </c>
      <c r="B300" s="18" t="inlineStr">
        <is>
          <t>Registro académico</t>
        </is>
      </c>
      <c r="C300" s="18" t="inlineStr">
        <is>
          <t>academic_registration</t>
        </is>
      </c>
      <c r="D300" s="18" t="inlineStr">
        <is>
          <t>graduation_request_review_files</t>
        </is>
      </c>
      <c r="E300" s="18" t="n">
        <v>30</v>
      </c>
      <c r="F300" s="18" t="inlineStr">
        <is>
          <t>uploaded_at</t>
        </is>
      </c>
      <c r="G300" s="18" t="inlineStr">
        <is>
          <t>timestamp without time zone</t>
        </is>
      </c>
      <c r="H300" s="18" t="inlineStr">
        <is>
          <t>No</t>
        </is>
      </c>
      <c r="I300" s="18" t="inlineStr"/>
      <c r="J300" s="18" t="inlineStr"/>
      <c r="K300" s="18" t="inlineStr"/>
      <c r="L300" s="18" t="inlineStr">
        <is>
          <t>No</t>
        </is>
      </c>
      <c r="M300" s="18" t="inlineStr">
        <is>
          <t>No</t>
        </is>
      </c>
      <c r="N300" s="18" t="inlineStr"/>
      <c r="O300" s="18" t="inlineStr"/>
      <c r="P300" s="18" t="inlineStr">
        <is>
          <t>Mapeada en academic-registration-service/src/graduation-certificates/graduation-request-review-file.entity.ts:43 (GraduationRequestReviewFile.uploadedAt)</t>
        </is>
      </c>
      <c r="Q300" s="18" t="inlineStr">
        <is>
          <t>Regla estructural</t>
        </is>
      </c>
      <c r="R300" s="18" t="inlineStr">
        <is>
          <t>Fecha y hora de la carga.</t>
        </is>
      </c>
      <c r="S300" s="18" t="inlineStr">
        <is>
          <t>Media</t>
        </is>
      </c>
      <c r="T300" s="18" t="inlineStr">
        <is>
          <t>Convención de nombre de la columna.</t>
        </is>
      </c>
      <c r="U300" s="18" t="inlineStr"/>
      <c r="V300" s="19" t="inlineStr">
        <is>
          <t>Aprobada</t>
        </is>
      </c>
      <c r="W300" s="19" t="inlineStr"/>
      <c r="X300" s="19" t="inlineStr">
        <is>
          <t>Aldair González (aprobación en bloque)</t>
        </is>
      </c>
      <c r="Y300" s="20" t="n">
        <v>46321</v>
      </c>
      <c r="Z300" s="19" t="inlineStr">
        <is>
          <t>Nivel 1: propuesta del comentario del desarrollador o de confianza alta, o regla de fecha/responsable/motivo.</t>
        </is>
      </c>
      <c r="AA300" s="18">
        <f>IF(OR(V300="Aprobada"),R300,IF(AND(OR(V300="Aprobada con ajuste",V300="Rechazada"),W300&lt;&gt;""),W300,""))</f>
        <v/>
      </c>
    </row>
    <row r="301">
      <c r="A301" s="18" t="inlineStr">
        <is>
          <t>C0300</t>
        </is>
      </c>
      <c r="B301" s="18" t="inlineStr">
        <is>
          <t>Registro académico</t>
        </is>
      </c>
      <c r="C301" s="18" t="inlineStr">
        <is>
          <t>academic_registration</t>
        </is>
      </c>
      <c r="D301" s="18" t="inlineStr">
        <is>
          <t>signers</t>
        </is>
      </c>
      <c r="E301" s="18" t="n">
        <v>1</v>
      </c>
      <c r="F301" s="18" t="inlineStr">
        <is>
          <t>full_name</t>
        </is>
      </c>
      <c r="G301" s="18" t="inlineStr">
        <is>
          <t>character varying(255)</t>
        </is>
      </c>
      <c r="H301" s="18" t="inlineStr">
        <is>
          <t>No</t>
        </is>
      </c>
      <c r="I301" s="18" t="inlineStr"/>
      <c r="J301" s="18" t="inlineStr"/>
      <c r="K301" s="18" t="inlineStr"/>
      <c r="L301" s="18" t="inlineStr">
        <is>
          <t>No</t>
        </is>
      </c>
      <c r="M301" s="18" t="inlineStr">
        <is>
          <t>No</t>
        </is>
      </c>
      <c r="N301" s="18" t="inlineStr"/>
      <c r="O301" s="18" t="inlineStr"/>
      <c r="P301" s="18" t="inlineStr">
        <is>
          <t>academic-registration-service/src/graduation-certificates/signer.entity.ts:15: Información del firmante | db/migrations/old/042_create_graduation_tables.sql:230: Información del firmante</t>
        </is>
      </c>
      <c r="Q301" s="18" t="inlineStr">
        <is>
          <t>Código fuente</t>
        </is>
      </c>
      <c r="R301" s="18" t="inlineStr">
        <is>
          <t>Nombre completo del firmante autorizado de certificados de grado.</t>
        </is>
      </c>
      <c r="S301" s="18" t="inlineStr">
        <is>
          <t>Alta</t>
        </is>
      </c>
      <c r="T301" s="18" t="inlineStr">
        <is>
          <t>código: academic-registration-service/src/graduation-certificates/signer.entity.ts:15</t>
        </is>
      </c>
      <c r="U301" s="18" t="inlineStr"/>
      <c r="V301" s="19" t="inlineStr">
        <is>
          <t>Aprobada</t>
        </is>
      </c>
      <c r="W301" s="19" t="inlineStr"/>
      <c r="X301" s="19" t="inlineStr">
        <is>
          <t>Aldair González (aprobación en bloque)</t>
        </is>
      </c>
      <c r="Y301" s="20" t="n">
        <v>46321</v>
      </c>
      <c r="Z301" s="19" t="inlineStr">
        <is>
          <t>Nivel 1: propuesta del comentario del desarrollador o de confianza alta, o regla de fecha/responsable/motivo.</t>
        </is>
      </c>
      <c r="AA301" s="18">
        <f>IF(OR(V301="Aprobada"),R301,IF(AND(OR(V301="Aprobada con ajuste",V301="Rechazada"),W301&lt;&gt;""),W301,""))</f>
        <v/>
      </c>
    </row>
    <row r="302">
      <c r="A302" s="18" t="inlineStr">
        <is>
          <t>C0301</t>
        </is>
      </c>
      <c r="B302" s="18" t="inlineStr">
        <is>
          <t>Registro académico</t>
        </is>
      </c>
      <c r="C302" s="18" t="inlineStr">
        <is>
          <t>academic_registration</t>
        </is>
      </c>
      <c r="D302" s="18" t="inlineStr">
        <is>
          <t>signers</t>
        </is>
      </c>
      <c r="E302" s="18" t="n">
        <v>1</v>
      </c>
      <c r="F302" s="18" t="inlineStr">
        <is>
          <t>position</t>
        </is>
      </c>
      <c r="G302" s="18" t="inlineStr">
        <is>
          <t>character varying(255)</t>
        </is>
      </c>
      <c r="H302" s="18" t="inlineStr">
        <is>
          <t>No</t>
        </is>
      </c>
      <c r="I302" s="18" t="inlineStr"/>
      <c r="J302" s="18" t="inlineStr"/>
      <c r="K302" s="18" t="inlineStr"/>
      <c r="L302" s="18" t="inlineStr">
        <is>
          <t>No</t>
        </is>
      </c>
      <c r="M302" s="18" t="inlineStr">
        <is>
          <t>No</t>
        </is>
      </c>
      <c r="N302" s="18" t="inlineStr"/>
      <c r="O302" s="18" t="inlineStr"/>
      <c r="P302" s="18" t="inlineStr">
        <is>
          <t>db/migrations/old/042_create_graduation_tables.sql:231: Ej: "Director de Verificación de títulos"</t>
        </is>
      </c>
      <c r="Q302" s="18" t="inlineStr">
        <is>
          <t>Código fuente</t>
        </is>
      </c>
      <c r="R302" s="18" t="inlineStr">
        <is>
          <t>Cargo del firmante (por ejemplo, «Director de Verificación de títulos»).</t>
        </is>
      </c>
      <c r="S302" s="18" t="inlineStr">
        <is>
          <t>Alta</t>
        </is>
      </c>
      <c r="T302" s="18" t="inlineStr">
        <is>
          <t>código: db/migrations/old/042_create_graduation_tables.sql:231</t>
        </is>
      </c>
      <c r="U302" s="18" t="inlineStr"/>
      <c r="V302" s="19" t="inlineStr">
        <is>
          <t>Aprobada</t>
        </is>
      </c>
      <c r="W302" s="19" t="inlineStr"/>
      <c r="X302" s="19" t="inlineStr">
        <is>
          <t>Aldair González (aprobación en bloque)</t>
        </is>
      </c>
      <c r="Y302" s="20" t="n">
        <v>46321</v>
      </c>
      <c r="Z302" s="19" t="inlineStr">
        <is>
          <t>Nivel 1: propuesta del comentario del desarrollador o de confianza alta, o regla de fecha/responsable/motivo.</t>
        </is>
      </c>
      <c r="AA302" s="18">
        <f>IF(OR(V302="Aprobada"),R302,IF(AND(OR(V302="Aprobada con ajuste",V302="Rechazada"),W302&lt;&gt;""),W302,""))</f>
        <v/>
      </c>
    </row>
    <row r="303">
      <c r="A303" s="18" t="inlineStr">
        <is>
          <t>C0302</t>
        </is>
      </c>
      <c r="B303" s="18" t="inlineStr">
        <is>
          <t>Registro académico</t>
        </is>
      </c>
      <c r="C303" s="18" t="inlineStr">
        <is>
          <t>academic_registration</t>
        </is>
      </c>
      <c r="D303" s="18" t="inlineStr">
        <is>
          <t>signers</t>
        </is>
      </c>
      <c r="E303" s="18" t="n">
        <v>1</v>
      </c>
      <c r="F303" s="18" t="inlineStr">
        <is>
          <t>department</t>
        </is>
      </c>
      <c r="G303" s="18" t="inlineStr">
        <is>
          <t>character varying(255)</t>
        </is>
      </c>
      <c r="H303" s="18" t="inlineStr">
        <is>
          <t>Sí</t>
        </is>
      </c>
      <c r="I303" s="18" t="inlineStr"/>
      <c r="J303" s="18" t="inlineStr"/>
      <c r="K303" s="18" t="inlineStr"/>
      <c r="L303" s="18" t="inlineStr">
        <is>
          <t>No</t>
        </is>
      </c>
      <c r="M303" s="18" t="inlineStr">
        <is>
          <t>No</t>
        </is>
      </c>
      <c r="N303" s="18" t="inlineStr"/>
      <c r="O303" s="18" t="inlineStr"/>
      <c r="P303" s="18" t="inlineStr">
        <is>
          <t>Mapeada en academic-registration-service/src/graduation-certificates/signer.entity.ts:21 (Signer.department)</t>
        </is>
      </c>
      <c r="Q303" s="18" t="inlineStr">
        <is>
          <t>Propuesta semántica</t>
        </is>
      </c>
      <c r="R303" s="18" t="inlineStr">
        <is>
          <t>Dependencia a la que pertenece el firmante.</t>
        </is>
      </c>
      <c r="S303" s="18" t="inlineStr">
        <is>
          <t>Alta</t>
        </is>
      </c>
      <c r="T303" s="18" t="inlineStr">
        <is>
          <t>nombre + tipo + columnas vecinas (position)</t>
        </is>
      </c>
      <c r="U303" s="18" t="inlineStr"/>
      <c r="V303" s="19" t="inlineStr">
        <is>
          <t>Aprobada</t>
        </is>
      </c>
      <c r="W303" s="19" t="inlineStr"/>
      <c r="X303" s="19" t="inlineStr">
        <is>
          <t>Aldair González (aprobación en bloque)</t>
        </is>
      </c>
      <c r="Y303" s="20" t="n">
        <v>46321</v>
      </c>
      <c r="Z303" s="19" t="inlineStr">
        <is>
          <t>Nivel 1: propuesta del comentario del desarrollador o de confianza alta, o regla de fecha/responsable/motivo.</t>
        </is>
      </c>
      <c r="AA303" s="18">
        <f>IF(OR(V303="Aprobada"),R303,IF(AND(OR(V303="Aprobada con ajuste",V303="Rechazada"),W303&lt;&gt;""),W303,""))</f>
        <v/>
      </c>
    </row>
    <row r="304">
      <c r="A304" s="18" t="inlineStr">
        <is>
          <t>C0303</t>
        </is>
      </c>
      <c r="B304" s="18" t="inlineStr">
        <is>
          <t>Registro académico</t>
        </is>
      </c>
      <c r="C304" s="18" t="inlineStr">
        <is>
          <t>academic_registration</t>
        </is>
      </c>
      <c r="D304" s="18" t="inlineStr">
        <is>
          <t>signers</t>
        </is>
      </c>
      <c r="E304" s="18" t="n">
        <v>1</v>
      </c>
      <c r="F304" s="18" t="inlineStr">
        <is>
          <t>signature_url</t>
        </is>
      </c>
      <c r="G304" s="18" t="inlineStr">
        <is>
          <t>text</t>
        </is>
      </c>
      <c r="H304" s="18" t="inlineStr">
        <is>
          <t>Sí</t>
        </is>
      </c>
      <c r="I304" s="18" t="inlineStr"/>
      <c r="J304" s="18" t="inlineStr"/>
      <c r="K304" s="18" t="inlineStr"/>
      <c r="L304" s="18" t="inlineStr">
        <is>
          <t>No</t>
        </is>
      </c>
      <c r="M304" s="18" t="inlineStr">
        <is>
          <t>No</t>
        </is>
      </c>
      <c r="N304" s="18" t="inlineStr"/>
      <c r="O304" s="18" t="inlineStr"/>
      <c r="P304" s="18" t="inlineStr">
        <is>
          <t>academic-registration-service/src/graduation-certificates/signer.entity.ts:25: Firma digital | db/migrations/old/042_create_graduation_tables.sql:236: Firma digital</t>
        </is>
      </c>
      <c r="Q304" s="18" t="inlineStr">
        <is>
          <t>Código fuente</t>
        </is>
      </c>
      <c r="R304" s="18" t="inlineStr">
        <is>
          <t>URL de la imagen de la firma digital del firmante.</t>
        </is>
      </c>
      <c r="S304" s="18" t="inlineStr">
        <is>
          <t>Alta</t>
        </is>
      </c>
      <c r="T304" s="18" t="inlineStr">
        <is>
          <t>código: academic-registration-service/src/graduation-certificates/signer.entity.ts:25</t>
        </is>
      </c>
      <c r="U304" s="18" t="inlineStr"/>
      <c r="V304" s="19" t="inlineStr">
        <is>
          <t>Aprobada</t>
        </is>
      </c>
      <c r="W304" s="19" t="inlineStr"/>
      <c r="X304" s="19" t="inlineStr">
        <is>
          <t>Aldair González (aprobación en bloque)</t>
        </is>
      </c>
      <c r="Y304" s="20" t="n">
        <v>46321</v>
      </c>
      <c r="Z304" s="19" t="inlineStr">
        <is>
          <t>Nivel 1: propuesta del comentario del desarrollador o de confianza alta, o regla de fecha/responsable/motivo.</t>
        </is>
      </c>
      <c r="AA304" s="18">
        <f>IF(OR(V304="Aprobada"),R304,IF(AND(OR(V304="Aprobada con ajuste",V304="Rechazada"),W304&lt;&gt;""),W304,""))</f>
        <v/>
      </c>
    </row>
    <row r="305">
      <c r="A305" s="18" t="inlineStr">
        <is>
          <t>C0304</t>
        </is>
      </c>
      <c r="B305" s="18" t="inlineStr">
        <is>
          <t>Registro académico</t>
        </is>
      </c>
      <c r="C305" s="18" t="inlineStr">
        <is>
          <t>academic_registration</t>
        </is>
      </c>
      <c r="D305" s="18" t="inlineStr">
        <is>
          <t>signers</t>
        </is>
      </c>
      <c r="E305" s="18" t="n">
        <v>1</v>
      </c>
      <c r="F305" s="18" t="inlineStr">
        <is>
          <t>is_active</t>
        </is>
      </c>
      <c r="G305" s="18" t="inlineStr">
        <is>
          <t>boolean</t>
        </is>
      </c>
      <c r="H305" s="18" t="inlineStr">
        <is>
          <t>Sí</t>
        </is>
      </c>
      <c r="I305" s="18" t="inlineStr"/>
      <c r="J305" s="18" t="inlineStr"/>
      <c r="K305" s="18" t="inlineStr"/>
      <c r="L305" s="18" t="inlineStr">
        <is>
          <t>No</t>
        </is>
      </c>
      <c r="M305" s="18" t="inlineStr">
        <is>
          <t>No</t>
        </is>
      </c>
      <c r="N305" s="18" t="inlineStr"/>
      <c r="O305" s="18" t="inlineStr">
        <is>
          <t>idx_signers_active</t>
        </is>
      </c>
      <c r="P305" s="18" t="inlineStr">
        <is>
          <t>academic-registration-service/src/graduation-certificates/signer.entity.ts:29: Estado | db/migrations/old/042_create_graduation_tables.sql:240: Estado</t>
        </is>
      </c>
      <c r="Q305" s="18" t="inlineStr">
        <is>
          <t>Código fuente</t>
        </is>
      </c>
      <c r="R305" s="18" t="inlineStr">
        <is>
          <t>Indica si el firmante está activo; por defecto verdadero.</t>
        </is>
      </c>
      <c r="S305" s="18" t="inlineStr">
        <is>
          <t>Alta</t>
        </is>
      </c>
      <c r="T305" s="18" t="inlineStr">
        <is>
          <t>código: academic-registration-service/src/graduation-certificates/signer.entity.ts:29</t>
        </is>
      </c>
      <c r="U305" s="18" t="inlineStr"/>
      <c r="V305" s="19" t="inlineStr">
        <is>
          <t>Aprobada</t>
        </is>
      </c>
      <c r="W305" s="19" t="inlineStr"/>
      <c r="X305" s="19" t="inlineStr">
        <is>
          <t>Aldair González (aprobación en bloque)</t>
        </is>
      </c>
      <c r="Y305" s="20" t="n">
        <v>46321</v>
      </c>
      <c r="Z305" s="19" t="inlineStr">
        <is>
          <t>Nivel 1: propuesta del comentario del desarrollador o de confianza alta, o regla de fecha/responsable/motivo.</t>
        </is>
      </c>
      <c r="AA305" s="18">
        <f>IF(OR(V305="Aprobada"),R305,IF(AND(OR(V305="Aprobada con ajuste",V305="Rechazada"),W305&lt;&gt;""),W305,""))</f>
        <v/>
      </c>
    </row>
    <row r="306">
      <c r="A306" s="18" t="inlineStr">
        <is>
          <t>C0305</t>
        </is>
      </c>
      <c r="B306" s="18" t="inlineStr">
        <is>
          <t>Registro académico</t>
        </is>
      </c>
      <c r="C306" s="18" t="inlineStr">
        <is>
          <t>academic_registration</t>
        </is>
      </c>
      <c r="D306" s="18" t="inlineStr">
        <is>
          <t>signers</t>
        </is>
      </c>
      <c r="E306" s="18" t="n">
        <v>1</v>
      </c>
      <c r="F306" s="18" t="inlineStr">
        <is>
          <t>is_primary</t>
        </is>
      </c>
      <c r="G306" s="18" t="inlineStr">
        <is>
          <t>boolean</t>
        </is>
      </c>
      <c r="H306" s="18" t="inlineStr">
        <is>
          <t>Sí</t>
        </is>
      </c>
      <c r="I306" s="18" t="inlineStr"/>
      <c r="J306" s="18" t="inlineStr"/>
      <c r="K306" s="18" t="inlineStr"/>
      <c r="L306" s="18" t="inlineStr">
        <is>
          <t>No</t>
        </is>
      </c>
      <c r="M306" s="18" t="inlineStr">
        <is>
          <t>No</t>
        </is>
      </c>
      <c r="N306" s="18" t="inlineStr"/>
      <c r="O306" s="18" t="inlineStr">
        <is>
          <t>unique_primary_signer</t>
        </is>
      </c>
      <c r="P306" s="18" t="inlineStr">
        <is>
          <t>db/migrations/old/042_create_graduation_tables.sql:241: Firmante principal por defecto</t>
        </is>
      </c>
      <c r="Q306" s="18" t="inlineStr">
        <is>
          <t>Código fuente</t>
        </is>
      </c>
      <c r="R306" s="18" t="inlineStr">
        <is>
          <t>Indica si es el firmante principal, usado por defecto; por defecto falso.</t>
        </is>
      </c>
      <c r="S306" s="18" t="inlineStr">
        <is>
          <t>Alta</t>
        </is>
      </c>
      <c r="T306" s="18" t="inlineStr">
        <is>
          <t>código: db/migrations/old/042_create_graduation_tables.sql:241</t>
        </is>
      </c>
      <c r="U306" s="18" t="inlineStr"/>
      <c r="V306" s="19" t="inlineStr">
        <is>
          <t>Aprobada</t>
        </is>
      </c>
      <c r="W306" s="19" t="inlineStr"/>
      <c r="X306" s="19" t="inlineStr">
        <is>
          <t>Aldair González (aprobación en bloque)</t>
        </is>
      </c>
      <c r="Y306" s="20" t="n">
        <v>46321</v>
      </c>
      <c r="Z306" s="19" t="inlineStr">
        <is>
          <t>Nivel 1: propuesta del comentario del desarrollador o de confianza alta, o regla de fecha/responsable/motivo.</t>
        </is>
      </c>
      <c r="AA306" s="18">
        <f>IF(OR(V306="Aprobada"),R306,IF(AND(OR(V306="Aprobada con ajuste",V306="Rechazada"),W306&lt;&gt;""),W306,""))</f>
        <v/>
      </c>
    </row>
    <row r="307">
      <c r="A307" s="18" t="inlineStr">
        <is>
          <t>C0306</t>
        </is>
      </c>
      <c r="B307" s="18" t="inlineStr">
        <is>
          <t>Registro académico</t>
        </is>
      </c>
      <c r="C307" s="18" t="inlineStr">
        <is>
          <t>academic_registration</t>
        </is>
      </c>
      <c r="D307" s="18" t="inlineStr">
        <is>
          <t>template_config_changes</t>
        </is>
      </c>
      <c r="E307" s="18" t="n">
        <v>6</v>
      </c>
      <c r="F307" s="18" t="inlineStr">
        <is>
          <t>change_type</t>
        </is>
      </c>
      <c r="G307" s="18" t="inlineStr">
        <is>
          <t>character varying(50)</t>
        </is>
      </c>
      <c r="H307" s="18" t="inlineStr">
        <is>
          <t>No</t>
        </is>
      </c>
      <c r="I307" s="18" t="inlineStr"/>
      <c r="J307" s="18" t="inlineStr"/>
      <c r="K307" s="18" t="inlineStr"/>
      <c r="L307" s="18" t="inlineStr">
        <is>
          <t>No</t>
        </is>
      </c>
      <c r="M307" s="18" t="inlineStr">
        <is>
          <t>No</t>
        </is>
      </c>
      <c r="N307" s="18" t="inlineStr"/>
      <c r="O307" s="18" t="inlineStr"/>
      <c r="P307" s="18" t="inlineStr">
        <is>
          <t>academic-registration-service/src/graduation-certificates/template-config-change.entity.ts:21: Tipo de cambio CREATED, UPDATED, PUBLISHED, REVERTED | db/migrations/old/042_create_graduation_tables.sql:310: Tipo de cambio CREATED, UPDATED, PUBLISHED, REVERTED</t>
        </is>
      </c>
      <c r="Q307" s="18" t="inlineStr">
        <is>
          <t>Código fuente</t>
        </is>
      </c>
      <c r="R307" s="18" t="inlineStr">
        <is>
          <t>Tipo de cambio registrado sobre la configuración de la plantilla de certificado. Valores esperados: CREATED, UPDATED, PUBLISHED, REVERTED.</t>
        </is>
      </c>
      <c r="S307" s="18" t="inlineStr">
        <is>
          <t>Alta</t>
        </is>
      </c>
      <c r="T307" s="18" t="inlineStr">
        <is>
          <t>código: academic-registration-service/src/graduation-certificates/template-config-change.entity.ts:21</t>
        </is>
      </c>
      <c r="U307" s="18" t="inlineStr"/>
      <c r="V307" s="19" t="inlineStr">
        <is>
          <t>Aprobada</t>
        </is>
      </c>
      <c r="W307" s="19" t="inlineStr"/>
      <c r="X307" s="19" t="inlineStr">
        <is>
          <t>Aldair González (aprobación en bloque)</t>
        </is>
      </c>
      <c r="Y307" s="20" t="n">
        <v>46321</v>
      </c>
      <c r="Z307" s="19" t="inlineStr">
        <is>
          <t>Nivel 1: propuesta del comentario del desarrollador o de confianza alta, o regla de fecha/responsable/motivo.</t>
        </is>
      </c>
      <c r="AA307" s="18">
        <f>IF(OR(V307="Aprobada"),R307,IF(AND(OR(V307="Aprobada con ajuste",V307="Rechazada"),W307&lt;&gt;""),W307,""))</f>
        <v/>
      </c>
    </row>
    <row r="308">
      <c r="A308" s="18" t="inlineStr">
        <is>
          <t>C0307</t>
        </is>
      </c>
      <c r="B308" s="18" t="inlineStr">
        <is>
          <t>Registro académico</t>
        </is>
      </c>
      <c r="C308" s="18" t="inlineStr">
        <is>
          <t>academic_registration</t>
        </is>
      </c>
      <c r="D308" s="18" t="inlineStr">
        <is>
          <t>template_config_changes</t>
        </is>
      </c>
      <c r="E308" s="18" t="n">
        <v>6</v>
      </c>
      <c r="F308" s="18" t="inlineStr">
        <is>
          <t>field_changed</t>
        </is>
      </c>
      <c r="G308" s="18" t="inlineStr">
        <is>
          <t>character varying(100)</t>
        </is>
      </c>
      <c r="H308" s="18" t="inlineStr">
        <is>
          <t>Sí</t>
        </is>
      </c>
      <c r="I308" s="18" t="inlineStr"/>
      <c r="J308" s="18" t="inlineStr"/>
      <c r="K308" s="18" t="inlineStr"/>
      <c r="L308" s="18" t="inlineStr">
        <is>
          <t>No</t>
        </is>
      </c>
      <c r="M308" s="18" t="inlineStr">
        <is>
          <t>No</t>
        </is>
      </c>
      <c r="N308" s="18" t="inlineStr"/>
      <c r="O308" s="18" t="inlineStr"/>
      <c r="P308" s="18" t="inlineStr">
        <is>
          <t>academic-registration-service/src/graduation-certificates/template-config-change.entity.ts:25: Descripción del cambio | db/migrations/old/042_create_graduation_tables.sql:313: Descripción del cambio ej: 'signer_name', 'logo', 'content'</t>
        </is>
      </c>
      <c r="Q308" s="18" t="inlineStr">
        <is>
          <t>Código fuente</t>
        </is>
      </c>
      <c r="R308" s="18" t="inlineStr">
        <is>
          <t>Campo de la plantilla que se modificó (por ejemplo, signer_name, logo, content).</t>
        </is>
      </c>
      <c r="S308" s="18" t="inlineStr">
        <is>
          <t>Alta</t>
        </is>
      </c>
      <c r="T308" s="18" t="inlineStr">
        <is>
          <t>código: db/migrations/old/042_create_graduation_tables.sql:313</t>
        </is>
      </c>
      <c r="U308" s="18" t="inlineStr"/>
      <c r="V308" s="19" t="inlineStr">
        <is>
          <t>Aprobada</t>
        </is>
      </c>
      <c r="W308" s="19" t="inlineStr"/>
      <c r="X308" s="19" t="inlineStr">
        <is>
          <t>Aldair González (aprobación en bloque)</t>
        </is>
      </c>
      <c r="Y308" s="20" t="n">
        <v>46321</v>
      </c>
      <c r="Z308" s="19" t="inlineStr">
        <is>
          <t>Nivel 1: propuesta del comentario del desarrollador o de confianza alta, o regla de fecha/responsable/motivo.</t>
        </is>
      </c>
      <c r="AA308" s="18">
        <f>IF(OR(V308="Aprobada"),R308,IF(AND(OR(V308="Aprobada con ajuste",V308="Rechazada"),W308&lt;&gt;""),W308,""))</f>
        <v/>
      </c>
    </row>
    <row r="309">
      <c r="A309" s="18" t="inlineStr">
        <is>
          <t>C0308</t>
        </is>
      </c>
      <c r="B309" s="18" t="inlineStr">
        <is>
          <t>Registro académico</t>
        </is>
      </c>
      <c r="C309" s="18" t="inlineStr">
        <is>
          <t>academic_registration</t>
        </is>
      </c>
      <c r="D309" s="18" t="inlineStr">
        <is>
          <t>template_config_changes</t>
        </is>
      </c>
      <c r="E309" s="18" t="n">
        <v>6</v>
      </c>
      <c r="F309" s="18" t="inlineStr">
        <is>
          <t>old_value</t>
        </is>
      </c>
      <c r="G309" s="18" t="inlineStr">
        <is>
          <t>text</t>
        </is>
      </c>
      <c r="H309" s="18" t="inlineStr">
        <is>
          <t>Sí</t>
        </is>
      </c>
      <c r="I309" s="18" t="inlineStr"/>
      <c r="J309" s="18" t="inlineStr"/>
      <c r="K309" s="18" t="inlineStr"/>
      <c r="L309" s="18" t="inlineStr">
        <is>
          <t>No</t>
        </is>
      </c>
      <c r="M309" s="18" t="inlineStr">
        <is>
          <t>No</t>
        </is>
      </c>
      <c r="N309" s="18" t="inlineStr"/>
      <c r="O309" s="18" t="inlineStr"/>
      <c r="P309" s="18" t="inlineStr">
        <is>
          <t>Mapeada en academic-registration-service/src/graduation-certificates/template-config-change.entity.ts:28 (TemplateConfigChange.oldValue)</t>
        </is>
      </c>
      <c r="Q309" s="18" t="inlineStr">
        <is>
          <t>Propuesta semántica</t>
        </is>
      </c>
      <c r="R309" s="18" t="inlineStr">
        <is>
          <t>Valor del campo antes del cambio en la plantilla.</t>
        </is>
      </c>
      <c r="S309" s="18" t="inlineStr">
        <is>
          <t>Alta</t>
        </is>
      </c>
      <c r="T309" s="18" t="inlineStr">
        <is>
          <t>nombre + tipo + columnas vecinas (field_changed, new_value)</t>
        </is>
      </c>
      <c r="U309" s="18" t="inlineStr"/>
      <c r="V309" s="19" t="inlineStr">
        <is>
          <t>Aprobada</t>
        </is>
      </c>
      <c r="W309" s="19" t="inlineStr"/>
      <c r="X309" s="19" t="inlineStr">
        <is>
          <t>Aldair González (aprobación en bloque)</t>
        </is>
      </c>
      <c r="Y309" s="20" t="n">
        <v>46321</v>
      </c>
      <c r="Z309" s="19" t="inlineStr">
        <is>
          <t>Nivel 1: propuesta del comentario del desarrollador o de confianza alta, o regla de fecha/responsable/motivo.</t>
        </is>
      </c>
      <c r="AA309" s="18">
        <f>IF(OR(V309="Aprobada"),R309,IF(AND(OR(V309="Aprobada con ajuste",V309="Rechazada"),W309&lt;&gt;""),W309,""))</f>
        <v/>
      </c>
    </row>
    <row r="310">
      <c r="A310" s="18" t="inlineStr">
        <is>
          <t>C0309</t>
        </is>
      </c>
      <c r="B310" s="18" t="inlineStr">
        <is>
          <t>Registro académico</t>
        </is>
      </c>
      <c r="C310" s="18" t="inlineStr">
        <is>
          <t>academic_registration</t>
        </is>
      </c>
      <c r="D310" s="18" t="inlineStr">
        <is>
          <t>template_config_changes</t>
        </is>
      </c>
      <c r="E310" s="18" t="n">
        <v>6</v>
      </c>
      <c r="F310" s="18" t="inlineStr">
        <is>
          <t>new_value</t>
        </is>
      </c>
      <c r="G310" s="18" t="inlineStr">
        <is>
          <t>text</t>
        </is>
      </c>
      <c r="H310" s="18" t="inlineStr">
        <is>
          <t>Sí</t>
        </is>
      </c>
      <c r="I310" s="18" t="inlineStr"/>
      <c r="J310" s="18" t="inlineStr"/>
      <c r="K310" s="18" t="inlineStr"/>
      <c r="L310" s="18" t="inlineStr">
        <is>
          <t>No</t>
        </is>
      </c>
      <c r="M310" s="18" t="inlineStr">
        <is>
          <t>No</t>
        </is>
      </c>
      <c r="N310" s="18" t="inlineStr"/>
      <c r="O310" s="18" t="inlineStr"/>
      <c r="P310" s="18" t="inlineStr">
        <is>
          <t>Mapeada en academic-registration-service/src/graduation-certificates/template-config-change.entity.ts:31 (TemplateConfigChange.newValue)</t>
        </is>
      </c>
      <c r="Q310" s="18" t="inlineStr">
        <is>
          <t>Propuesta semántica</t>
        </is>
      </c>
      <c r="R310" s="18" t="inlineStr">
        <is>
          <t>Valor del campo después del cambio en la plantilla.</t>
        </is>
      </c>
      <c r="S310" s="18" t="inlineStr">
        <is>
          <t>Alta</t>
        </is>
      </c>
      <c r="T310" s="18" t="inlineStr">
        <is>
          <t>nombre + tipo + columnas vecinas (field_changed, old_value)</t>
        </is>
      </c>
      <c r="U310" s="18" t="inlineStr"/>
      <c r="V310" s="19" t="inlineStr">
        <is>
          <t>Aprobada</t>
        </is>
      </c>
      <c r="W310" s="19" t="inlineStr"/>
      <c r="X310" s="19" t="inlineStr">
        <is>
          <t>Aldair González (aprobación en bloque)</t>
        </is>
      </c>
      <c r="Y310" s="20" t="n">
        <v>46321</v>
      </c>
      <c r="Z310" s="19" t="inlineStr">
        <is>
          <t>Nivel 1: propuesta del comentario del desarrollador o de confianza alta, o regla de fecha/responsable/motivo.</t>
        </is>
      </c>
      <c r="AA310" s="18">
        <f>IF(OR(V310="Aprobada"),R310,IF(AND(OR(V310="Aprobada con ajuste",V310="Rechazada"),W310&lt;&gt;""),W310,""))</f>
        <v/>
      </c>
    </row>
    <row r="311">
      <c r="A311" s="18" t="inlineStr">
        <is>
          <t>C0310</t>
        </is>
      </c>
      <c r="B311" s="18" t="inlineStr">
        <is>
          <t>Registro académico</t>
        </is>
      </c>
      <c r="C311" s="18" t="inlineStr">
        <is>
          <t>academic_registration</t>
        </is>
      </c>
      <c r="D311" s="18" t="inlineStr">
        <is>
          <t>template_config_changes</t>
        </is>
      </c>
      <c r="E311" s="18" t="n">
        <v>6</v>
      </c>
      <c r="F311" s="18" t="inlineStr">
        <is>
          <t>changed_by</t>
        </is>
      </c>
      <c r="G311" s="18" t="inlineStr">
        <is>
          <t>character varying(255)</t>
        </is>
      </c>
      <c r="H311" s="18" t="inlineStr">
        <is>
          <t>No</t>
        </is>
      </c>
      <c r="I311" s="18" t="inlineStr"/>
      <c r="J311" s="18" t="inlineStr"/>
      <c r="K311" s="18" t="inlineStr"/>
      <c r="L311" s="18" t="inlineStr">
        <is>
          <t>No</t>
        </is>
      </c>
      <c r="M311" s="18" t="inlineStr">
        <is>
          <t>No</t>
        </is>
      </c>
      <c r="N311" s="18" t="inlineStr"/>
      <c r="O311" s="18" t="inlineStr"/>
      <c r="P311" s="18" t="inlineStr">
        <is>
          <t>academic-registration-service/src/graduation-certificates/template-config-change.entity.ts:35: Actor | db/migrations/old/042_create_graduation_tables.sql:318: Actor</t>
        </is>
      </c>
      <c r="Q311" s="18" t="inlineStr">
        <is>
          <t>Código fuente (verificado)</t>
        </is>
      </c>
      <c r="R311" s="18" t="inlineStr">
        <is>
          <t>Usuario que realizó el cambio en la plantilla, según el valor updatedBy que envía la aplicación; «Sistema» si no se informa.</t>
        </is>
      </c>
      <c r="S311" s="18" t="inlineStr">
        <is>
          <t>Media</t>
        </is>
      </c>
      <c r="T311" s="18" t="inlineStr">
        <is>
          <t>academic-registration-service/src/graduation-certificates/graduation-certificates.service.ts:3715: actor = updatedBy o Sistema | academic-registration-service/src/graduation-certificates/graduation-certificates.service.ts:5337: changedBy = actor | academic-registration-service/src/graduation-certificates/dto/update-template-texts.dto.ts:5: updatedBy opcional</t>
        </is>
      </c>
      <c r="U311" s="18" t="inlineStr">
        <is>
          <t>¿La aplicación envía en updatedBy el nombre, el correo o el identificador del usuario?</t>
        </is>
      </c>
      <c r="V311" s="19" t="inlineStr">
        <is>
          <t>Aprobada</t>
        </is>
      </c>
      <c r="W311" s="19" t="inlineStr"/>
      <c r="X311" s="19" t="inlineStr">
        <is>
          <t>Aldair González (validación del responsable de BD)</t>
        </is>
      </c>
      <c r="Y311" s="20" t="n">
        <v>46321</v>
      </c>
      <c r="Z311" s="19" t="inlineStr">
        <is>
          <t>Nivel 3: validada por decisión del responsable de la base de datos. Pregunta registrada para desarrollo: ¿La aplicación envía en updatedBy el nombre, el correo o el identificador del usuario?</t>
        </is>
      </c>
      <c r="AA311" s="18">
        <f>IF(OR(V311="Aprobada"),R311,IF(AND(OR(V311="Aprobada con ajuste",V311="Rechazada"),W311&lt;&gt;""),W311,""))</f>
        <v/>
      </c>
    </row>
    <row r="312">
      <c r="A312" s="18" t="inlineStr">
        <is>
          <t>C0311</t>
        </is>
      </c>
      <c r="B312" s="18" t="inlineStr">
        <is>
          <t>Registro académico</t>
        </is>
      </c>
      <c r="C312" s="18" t="inlineStr">
        <is>
          <t>academic_registration</t>
        </is>
      </c>
      <c r="D312" s="18" t="inlineStr">
        <is>
          <t>template_config_changes</t>
        </is>
      </c>
      <c r="E312" s="18" t="n">
        <v>6</v>
      </c>
      <c r="F312" s="18" t="inlineStr">
        <is>
          <t>change_date</t>
        </is>
      </c>
      <c r="G312" s="18" t="inlineStr">
        <is>
          <t>timestamp without time zone</t>
        </is>
      </c>
      <c r="H312" s="18" t="inlineStr">
        <is>
          <t>Sí</t>
        </is>
      </c>
      <c r="I312" s="18" t="inlineStr"/>
      <c r="J312" s="18" t="inlineStr"/>
      <c r="K312" s="18" t="inlineStr"/>
      <c r="L312" s="18" t="inlineStr">
        <is>
          <t>No</t>
        </is>
      </c>
      <c r="M312" s="18" t="inlineStr">
        <is>
          <t>No</t>
        </is>
      </c>
      <c r="N312" s="18" t="inlineStr"/>
      <c r="O312" s="18" t="inlineStr">
        <is>
          <t>idx_template_changes_date</t>
        </is>
      </c>
      <c r="P312" s="18" t="inlineStr">
        <is>
          <t>Mapeada en academic-registration-service/src/graduation-certificates/template-config-change.entity.ts:38 (TemplateConfigChange.changeDate)</t>
        </is>
      </c>
      <c r="Q312" s="18" t="inlineStr">
        <is>
          <t>Propuesta semántica</t>
        </is>
      </c>
      <c r="R312" s="18" t="inlineStr">
        <is>
          <t>Fecha y hora del cambio; por defecto, la fecha y hora de registro.</t>
        </is>
      </c>
      <c r="S312" s="18" t="inlineStr">
        <is>
          <t>Alta</t>
        </is>
      </c>
      <c r="T312" s="18" t="inlineStr">
        <is>
          <t>nombre + tipo + columnas vecinas + defecto</t>
        </is>
      </c>
      <c r="U312" s="18" t="inlineStr"/>
      <c r="V312" s="19" t="inlineStr">
        <is>
          <t>Aprobada</t>
        </is>
      </c>
      <c r="W312" s="19" t="inlineStr"/>
      <c r="X312" s="19" t="inlineStr">
        <is>
          <t>Aldair González (aprobación en bloque)</t>
        </is>
      </c>
      <c r="Y312" s="20" t="n">
        <v>46321</v>
      </c>
      <c r="Z312" s="19" t="inlineStr">
        <is>
          <t>Nivel 1: propuesta del comentario del desarrollador o de confianza alta, o regla de fecha/responsable/motivo.</t>
        </is>
      </c>
      <c r="AA312" s="18">
        <f>IF(OR(V312="Aprobada"),R312,IF(AND(OR(V312="Aprobada con ajuste",V312="Rechazada"),W312&lt;&gt;""),W312,""))</f>
        <v/>
      </c>
    </row>
    <row r="313">
      <c r="A313" s="18" t="inlineStr">
        <is>
          <t>C0312</t>
        </is>
      </c>
      <c r="B313" s="18" t="inlineStr">
        <is>
          <t>Registro académico</t>
        </is>
      </c>
      <c r="C313" s="18" t="inlineStr">
        <is>
          <t>academic_registration</t>
        </is>
      </c>
      <c r="D313" s="18" t="inlineStr">
        <is>
          <t>template_config_changes</t>
        </is>
      </c>
      <c r="E313" s="18" t="n">
        <v>6</v>
      </c>
      <c r="F313" s="18" t="inlineStr">
        <is>
          <t>observations</t>
        </is>
      </c>
      <c r="G313" s="18" t="inlineStr">
        <is>
          <t>text</t>
        </is>
      </c>
      <c r="H313" s="18" t="inlineStr">
        <is>
          <t>Sí</t>
        </is>
      </c>
      <c r="I313" s="18" t="inlineStr"/>
      <c r="J313" s="18" t="inlineStr"/>
      <c r="K313" s="18" t="inlineStr"/>
      <c r="L313" s="18" t="inlineStr">
        <is>
          <t>No</t>
        </is>
      </c>
      <c r="M313" s="18" t="inlineStr">
        <is>
          <t>No</t>
        </is>
      </c>
      <c r="N313" s="18" t="inlineStr"/>
      <c r="O313" s="18" t="inlineStr"/>
      <c r="P313" s="18" t="inlineStr">
        <is>
          <t>academic-registration-service/src/graduation-certificates/template-config-change.entity.ts:42: Observaciones | db/migrations/old/042_create_graduation_tables.sql:322: Observaciones</t>
        </is>
      </c>
      <c r="Q313" s="18" t="inlineStr">
        <is>
          <t>Código fuente</t>
        </is>
      </c>
      <c r="R313" s="18" t="inlineStr">
        <is>
          <t>Observaciones sobre el cambio realizado en la plantilla.</t>
        </is>
      </c>
      <c r="S313" s="18" t="inlineStr">
        <is>
          <t>Alta</t>
        </is>
      </c>
      <c r="T313" s="18" t="inlineStr">
        <is>
          <t>código: academic-registration-service/src/graduation-certificates/template-config-change.entity.ts:42</t>
        </is>
      </c>
      <c r="U313" s="18" t="inlineStr"/>
      <c r="V313" s="19" t="inlineStr">
        <is>
          <t>Aprobada</t>
        </is>
      </c>
      <c r="W313" s="19" t="inlineStr"/>
      <c r="X313" s="19" t="inlineStr">
        <is>
          <t>Aldair González (aprobación en bloque)</t>
        </is>
      </c>
      <c r="Y313" s="20" t="n">
        <v>46321</v>
      </c>
      <c r="Z313" s="19" t="inlineStr">
        <is>
          <t>Nivel 1: propuesta del comentario del desarrollador o de confianza alta, o regla de fecha/responsable/motivo.</t>
        </is>
      </c>
      <c r="AA313" s="18">
        <f>IF(OR(V313="Aprobada"),R313,IF(AND(OR(V313="Aprobada con ajuste",V313="Rechazada"),W313&lt;&gt;""),W313,""))</f>
        <v/>
      </c>
    </row>
    <row r="314">
      <c r="A314" s="18" t="inlineStr">
        <is>
          <t>C0313</t>
        </is>
      </c>
      <c r="B314" s="18" t="inlineStr">
        <is>
          <t>Plan de trabajo académico</t>
        </is>
      </c>
      <c r="C314" s="18" t="inlineStr">
        <is>
          <t>academic_work_plan</t>
        </is>
      </c>
      <c r="D314" s="18" t="inlineStr">
        <is>
          <t>AprobacionJefatura</t>
        </is>
      </c>
      <c r="E314" s="18" t="n">
        <v>8</v>
      </c>
      <c r="F314" s="18" t="inlineStr">
        <is>
          <t>jefaturaUserId</t>
        </is>
      </c>
      <c r="G314" s="18" t="inlineStr">
        <is>
          <t>text</t>
        </is>
      </c>
      <c r="H314" s="18" t="inlineStr">
        <is>
          <t>No</t>
        </is>
      </c>
      <c r="I314" s="18" t="inlineStr"/>
      <c r="J314" s="18" t="inlineStr"/>
      <c r="K314" s="18" t="inlineStr"/>
      <c r="L314" s="18" t="inlineStr">
        <is>
          <t>No</t>
        </is>
      </c>
      <c r="M314" s="18" t="inlineStr">
        <is>
          <t>No</t>
        </is>
      </c>
      <c r="N314" s="18" t="inlineStr"/>
      <c r="O314" s="18" t="inlineStr">
        <is>
          <t>idx_aprobacion_jefatura_jefaturaUserId, idx_aprobacion_jefatura_user</t>
        </is>
      </c>
      <c r="P314" s="18" t="inlineStr">
        <is>
          <t>Mapeada en academic-work-plan-service/src/pta/entities/aprobacion-jefatura.entity.ts:22 (AprobacionJefaturaEntity.jefaturaUserId)</t>
        </is>
      </c>
      <c r="Q314" s="18" t="inlineStr">
        <is>
          <t>Código fuente (verificado)</t>
        </is>
      </c>
      <c r="R314" s="18" t="inlineStr">
        <is>
          <t>Identificador del usuario de la jefatura que registró la decisión (id_user de auth."user", tomado del token de sesión); cadena vacía mientras la aprobación está pendiente.</t>
        </is>
      </c>
      <c r="S314" s="18" t="inlineStr">
        <is>
          <t>Alta</t>
        </is>
      </c>
      <c r="T314" s="18" t="inlineStr">
        <is>
          <t>academic-work-plan-service/src/pta/pta.service.ts:4943: actorId se fija desde el token en aprobar o devolver | academic-work-plan-service/src/pta/pta.service.ts:5742: jefaturaUserId = actorId | academic-work-plan-service/src/pta/auth/pta-auth.guard.ts:70: userId = sub del token | academic-work-plan-service/src/pta/auth/pta-permissions.service.ts:94: el sub se compara con auth."user".id_user | academic-work-plan-service/src/pta/pta.service.ts:5890: fila inicial con jefaturaUserId vacío</t>
        </is>
      </c>
      <c r="U314" s="18" t="inlineStr"/>
      <c r="V314" s="19" t="inlineStr">
        <is>
          <t>Aprobada</t>
        </is>
      </c>
      <c r="W314" s="19" t="inlineStr"/>
      <c r="X314" s="19" t="inlineStr">
        <is>
          <t>Aldair González (aprobación en bloque)</t>
        </is>
      </c>
      <c r="Y314" s="20" t="n">
        <v>46321</v>
      </c>
      <c r="Z314" s="19" t="inlineStr">
        <is>
          <t>Nivel 3: verificada con el código de la aplicación.</t>
        </is>
      </c>
      <c r="AA314" s="18">
        <f>IF(OR(V314="Aprobada"),R314,IF(AND(OR(V314="Aprobada con ajuste",V314="Rechazada"),W314&lt;&gt;""),W314,""))</f>
        <v/>
      </c>
    </row>
    <row r="315">
      <c r="A315" s="18" t="inlineStr">
        <is>
          <t>C0314</t>
        </is>
      </c>
      <c r="B315" s="18" t="inlineStr">
        <is>
          <t>Plan de trabajo académico</t>
        </is>
      </c>
      <c r="C315" s="18" t="inlineStr">
        <is>
          <t>academic_work_plan</t>
        </is>
      </c>
      <c r="D315" s="18" t="inlineStr">
        <is>
          <t>AprobacionJefatura</t>
        </is>
      </c>
      <c r="E315" s="18" t="n">
        <v>8</v>
      </c>
      <c r="F315" s="18" t="inlineStr">
        <is>
          <t>jefaturaRol</t>
        </is>
      </c>
      <c r="G315" s="18" t="inlineStr">
        <is>
          <t>text</t>
        </is>
      </c>
      <c r="H315" s="18" t="inlineStr">
        <is>
          <t>No</t>
        </is>
      </c>
      <c r="I315" s="18" t="inlineStr"/>
      <c r="J315" s="18" t="inlineStr"/>
      <c r="K315" s="18" t="inlineStr"/>
      <c r="L315" s="18" t="inlineStr">
        <is>
          <t>No</t>
        </is>
      </c>
      <c r="M315" s="18" t="inlineStr">
        <is>
          <t>No</t>
        </is>
      </c>
      <c r="N315" s="18" t="inlineStr"/>
      <c r="O315" s="18" t="inlineStr"/>
      <c r="P315" s="18" t="inlineStr">
        <is>
          <t>Mapeada en academic-work-plan-service/src/pta/entities/aprobacion-jefatura.entity.ts:25 (AprobacionJefaturaEntity.jefaturaRol)</t>
        </is>
      </c>
      <c r="Q315" s="18" t="inlineStr">
        <is>
          <t>Propuesta semántica</t>
        </is>
      </c>
      <c r="R315" s="18" t="inlineStr">
        <is>
          <t>Rol de la jefatura que registra la decisión; por defecto, «Jefatura de Zona».</t>
        </is>
      </c>
      <c r="S315" s="18" t="inlineStr">
        <is>
          <t>Alta</t>
        </is>
      </c>
      <c r="T315" s="18" t="inlineStr">
        <is>
          <t>nombre + tipo + columnas vecinas + defecto</t>
        </is>
      </c>
      <c r="U315" s="18" t="inlineStr"/>
      <c r="V315" s="19" t="inlineStr">
        <is>
          <t>Aprobada</t>
        </is>
      </c>
      <c r="W315" s="19" t="inlineStr"/>
      <c r="X315" s="19" t="inlineStr">
        <is>
          <t>Aldair González (aprobación en bloque)</t>
        </is>
      </c>
      <c r="Y315" s="20" t="n">
        <v>46321</v>
      </c>
      <c r="Z315" s="19" t="inlineStr">
        <is>
          <t>Nivel 1: propuesta del comentario del desarrollador o de confianza alta, o regla de fecha/responsable/motivo.</t>
        </is>
      </c>
      <c r="AA315" s="18">
        <f>IF(OR(V315="Aprobada"),R315,IF(AND(OR(V315="Aprobada con ajuste",V315="Rechazada"),W315&lt;&gt;""),W315,""))</f>
        <v/>
      </c>
    </row>
    <row r="316">
      <c r="A316" s="18" t="inlineStr">
        <is>
          <t>C0315</t>
        </is>
      </c>
      <c r="B316" s="18" t="inlineStr">
        <is>
          <t>Plan de trabajo académico</t>
        </is>
      </c>
      <c r="C316" s="18" t="inlineStr">
        <is>
          <t>academic_work_plan</t>
        </is>
      </c>
      <c r="D316" s="18" t="inlineStr">
        <is>
          <t>AprobacionJefatura</t>
        </is>
      </c>
      <c r="E316" s="18" t="n">
        <v>8</v>
      </c>
      <c r="F316" s="18" t="inlineStr">
        <is>
          <t>territorialId</t>
        </is>
      </c>
      <c r="G316" s="18" t="inlineStr">
        <is>
          <t>text</t>
        </is>
      </c>
      <c r="H316" s="18" t="inlineStr">
        <is>
          <t>No</t>
        </is>
      </c>
      <c r="I316" s="18" t="inlineStr"/>
      <c r="J316" s="18" t="inlineStr"/>
      <c r="K316" s="18" t="inlineStr"/>
      <c r="L316" s="18" t="inlineStr">
        <is>
          <t>No</t>
        </is>
      </c>
      <c r="M316" s="18" t="inlineStr">
        <is>
          <t>No</t>
        </is>
      </c>
      <c r="N316" s="18" t="inlineStr"/>
      <c r="O316" s="18" t="inlineStr">
        <is>
          <t>idx_aprobacion_jefatura_pta_territorial</t>
        </is>
      </c>
      <c r="P316" s="18" t="inlineStr">
        <is>
          <t>Mapeada en academic-work-plan-service/src/pta/entities/aprobacion-jefatura.entity.ts:28 (AprobacionJefaturaEntity.territorialId)</t>
        </is>
      </c>
      <c r="Q316" s="18" t="inlineStr">
        <is>
          <t>Código fuente (verificado)</t>
        </is>
      </c>
      <c r="R316" s="18" t="inlineStr">
        <is>
          <t>Identificador de la dirección territorial (id_seccional de auth.seccionales, como texto) a la que corresponde la aprobación.</t>
        </is>
      </c>
      <c r="S316" s="18" t="inlineStr">
        <is>
          <t>Alta</t>
        </is>
      </c>
      <c r="T316" s="18" t="inlineStr">
        <is>
          <t>academic-work-plan-service/src/pta/pta.service.ts:5879: nombre tomado de auth.seccionales WHERE id_seccional::text = territorialId</t>
        </is>
      </c>
      <c r="U316" s="18" t="inlineStr"/>
      <c r="V316" s="19" t="inlineStr">
        <is>
          <t>Aprobada</t>
        </is>
      </c>
      <c r="W316" s="19" t="inlineStr"/>
      <c r="X316" s="19" t="inlineStr">
        <is>
          <t>Aldair González (aprobación en bloque)</t>
        </is>
      </c>
      <c r="Y316" s="20" t="n">
        <v>46321</v>
      </c>
      <c r="Z316" s="19" t="inlineStr">
        <is>
          <t>Nivel 3: verificada con el código de la aplicación.</t>
        </is>
      </c>
      <c r="AA316" s="18">
        <f>IF(OR(V316="Aprobada"),R316,IF(AND(OR(V316="Aprobada con ajuste",V316="Rechazada"),W316&lt;&gt;""),W316,""))</f>
        <v/>
      </c>
    </row>
    <row r="317">
      <c r="A317" s="18" t="inlineStr">
        <is>
          <t>C0316</t>
        </is>
      </c>
      <c r="B317" s="18" t="inlineStr">
        <is>
          <t>Plan de trabajo académico</t>
        </is>
      </c>
      <c r="C317" s="18" t="inlineStr">
        <is>
          <t>academic_work_plan</t>
        </is>
      </c>
      <c r="D317" s="18" t="inlineStr">
        <is>
          <t>AprobacionJefatura</t>
        </is>
      </c>
      <c r="E317" s="18" t="n">
        <v>8</v>
      </c>
      <c r="F317" s="18" t="inlineStr">
        <is>
          <t>territorialNombre</t>
        </is>
      </c>
      <c r="G317" s="18" t="inlineStr">
        <is>
          <t>text</t>
        </is>
      </c>
      <c r="H317" s="18" t="inlineStr">
        <is>
          <t>Sí</t>
        </is>
      </c>
      <c r="I317" s="18" t="inlineStr"/>
      <c r="J317" s="18" t="inlineStr"/>
      <c r="K317" s="18" t="inlineStr"/>
      <c r="L317" s="18" t="inlineStr">
        <is>
          <t>No</t>
        </is>
      </c>
      <c r="M317" s="18" t="inlineStr">
        <is>
          <t>No</t>
        </is>
      </c>
      <c r="N317" s="18" t="inlineStr"/>
      <c r="O317" s="18" t="inlineStr"/>
      <c r="P317" s="18" t="inlineStr">
        <is>
          <t>Mapeada en academic-work-plan-service/src/pta/entities/aprobacion-jefatura.entity.ts:31 (AprobacionJefaturaEntity.territorialNombre)</t>
        </is>
      </c>
      <c r="Q317" s="18" t="inlineStr">
        <is>
          <t>Propuesta semántica</t>
        </is>
      </c>
      <c r="R317" s="18" t="inlineStr">
        <is>
          <t>Nombre de la territorial a la que corresponde la aprobación.</t>
        </is>
      </c>
      <c r="S317" s="18" t="inlineStr">
        <is>
          <t>Alta</t>
        </is>
      </c>
      <c r="T317" s="18" t="inlineStr">
        <is>
          <t>nombre + tipo + columnas vecinas (territorialId)</t>
        </is>
      </c>
      <c r="U317" s="18" t="inlineStr"/>
      <c r="V317" s="19" t="inlineStr">
        <is>
          <t>Aprobada</t>
        </is>
      </c>
      <c r="W317" s="19" t="inlineStr"/>
      <c r="X317" s="19" t="inlineStr">
        <is>
          <t>Aldair González (aprobación en bloque)</t>
        </is>
      </c>
      <c r="Y317" s="20" t="n">
        <v>46321</v>
      </c>
      <c r="Z317" s="19" t="inlineStr">
        <is>
          <t>Nivel 1: propuesta del comentario del desarrollador o de confianza alta, o regla de fecha/responsable/motivo.</t>
        </is>
      </c>
      <c r="AA317" s="18">
        <f>IF(OR(V317="Aprobada"),R317,IF(AND(OR(V317="Aprobada con ajuste",V317="Rechazada"),W317&lt;&gt;""),W317,""))</f>
        <v/>
      </c>
    </row>
    <row r="318">
      <c r="A318" s="18" t="inlineStr">
        <is>
          <t>C0317</t>
        </is>
      </c>
      <c r="B318" s="18" t="inlineStr">
        <is>
          <t>Plan de trabajo académico</t>
        </is>
      </c>
      <c r="C318" s="18" t="inlineStr">
        <is>
          <t>academic_work_plan</t>
        </is>
      </c>
      <c r="D318" s="18" t="inlineStr">
        <is>
          <t>AprobacionJefatura</t>
        </is>
      </c>
      <c r="E318" s="18" t="n">
        <v>8</v>
      </c>
      <c r="F318" s="18" t="inlineStr">
        <is>
          <t>decision</t>
        </is>
      </c>
      <c r="G318" s="18" t="inlineStr">
        <is>
          <t>text</t>
        </is>
      </c>
      <c r="H318" s="18" t="inlineStr">
        <is>
          <t>No</t>
        </is>
      </c>
      <c r="I318" s="18" t="inlineStr"/>
      <c r="J318" s="18" t="inlineStr"/>
      <c r="K318" s="18" t="inlineStr"/>
      <c r="L318" s="18" t="inlineStr">
        <is>
          <t>No</t>
        </is>
      </c>
      <c r="M318" s="18" t="inlineStr">
        <is>
          <t>No</t>
        </is>
      </c>
      <c r="N318" s="18" t="inlineStr"/>
      <c r="O318" s="18" t="inlineStr"/>
      <c r="P318" s="18" t="inlineStr">
        <is>
          <t>academic-work-plan-service/src/pta/entities/aprobacion-jefatura.entity.ts:35: pendiente | aprobado | aprobado_con_cambios | devuelto</t>
        </is>
      </c>
      <c r="Q318" s="18" t="inlineStr">
        <is>
          <t>Código fuente</t>
        </is>
      </c>
      <c r="R318" s="18" t="inlineStr">
        <is>
          <t>Decisión de la jefatura sobre el PTA (plan de trabajo académico). Valores previstos: pendiente, aprobado, aprobado_con_cambios, devuelto; por defecto pendiente.</t>
        </is>
      </c>
      <c r="S318" s="18" t="inlineStr">
        <is>
          <t>Alta</t>
        </is>
      </c>
      <c r="T318" s="18" t="inlineStr">
        <is>
          <t>código: academic-work-plan-service/src/pta/entities/aprobacion-jefatura.entity.ts:35</t>
        </is>
      </c>
      <c r="U318" s="18" t="inlineStr"/>
      <c r="V318" s="19" t="inlineStr">
        <is>
          <t>Aprobada</t>
        </is>
      </c>
      <c r="W318" s="19" t="inlineStr"/>
      <c r="X318" s="19" t="inlineStr">
        <is>
          <t>Aldair González (aprobación en bloque)</t>
        </is>
      </c>
      <c r="Y318" s="20" t="n">
        <v>46321</v>
      </c>
      <c r="Z318" s="19" t="inlineStr">
        <is>
          <t>Nivel 1: propuesta del comentario del desarrollador o de confianza alta, o regla de fecha/responsable/motivo.</t>
        </is>
      </c>
      <c r="AA318" s="18">
        <f>IF(OR(V318="Aprobada"),R318,IF(AND(OR(V318="Aprobada con ajuste",V318="Rechazada"),W318&lt;&gt;""),W318,""))</f>
        <v/>
      </c>
    </row>
    <row r="319">
      <c r="A319" s="18" t="inlineStr">
        <is>
          <t>C0318</t>
        </is>
      </c>
      <c r="B319" s="18" t="inlineStr">
        <is>
          <t>Plan de trabajo académico</t>
        </is>
      </c>
      <c r="C319" s="18" t="inlineStr">
        <is>
          <t>academic_work_plan</t>
        </is>
      </c>
      <c r="D319" s="18" t="inlineStr">
        <is>
          <t>AprobacionJefatura</t>
        </is>
      </c>
      <c r="E319" s="18" t="n">
        <v>8</v>
      </c>
      <c r="F319" s="18" t="inlineStr">
        <is>
          <t>comentarios</t>
        </is>
      </c>
      <c r="G319" s="18" t="inlineStr">
        <is>
          <t>text</t>
        </is>
      </c>
      <c r="H319" s="18" t="inlineStr">
        <is>
          <t>Sí</t>
        </is>
      </c>
      <c r="I319" s="18" t="inlineStr"/>
      <c r="J319" s="18" t="inlineStr"/>
      <c r="K319" s="18" t="inlineStr"/>
      <c r="L319" s="18" t="inlineStr">
        <is>
          <t>No</t>
        </is>
      </c>
      <c r="M319" s="18" t="inlineStr">
        <is>
          <t>No</t>
        </is>
      </c>
      <c r="N319" s="18" t="inlineStr"/>
      <c r="O319" s="18" t="inlineStr"/>
      <c r="P319" s="18" t="inlineStr">
        <is>
          <t>Mapeada en academic-work-plan-service/src/pta/entities/aprobacion-jefatura.entity.ts:38 (AprobacionJefaturaEntity.comentarios)</t>
        </is>
      </c>
      <c r="Q319" s="18" t="inlineStr">
        <is>
          <t>Propuesta semántica</t>
        </is>
      </c>
      <c r="R319" s="18" t="inlineStr">
        <is>
          <t>Comentarios de la jefatura sobre su decisión.</t>
        </is>
      </c>
      <c r="S319" s="18" t="inlineStr">
        <is>
          <t>Alta</t>
        </is>
      </c>
      <c r="T319" s="18" t="inlineStr">
        <is>
          <t>nombre + tipo + columnas vecinas (decision)</t>
        </is>
      </c>
      <c r="U319" s="18" t="inlineStr"/>
      <c r="V319" s="19" t="inlineStr">
        <is>
          <t>Aprobada</t>
        </is>
      </c>
      <c r="W319" s="19" t="inlineStr"/>
      <c r="X319" s="19" t="inlineStr">
        <is>
          <t>Aldair González (aprobación en bloque)</t>
        </is>
      </c>
      <c r="Y319" s="20" t="n">
        <v>46321</v>
      </c>
      <c r="Z319" s="19" t="inlineStr">
        <is>
          <t>Nivel 1: propuesta del comentario del desarrollador o de confianza alta, o regla de fecha/responsable/motivo.</t>
        </is>
      </c>
      <c r="AA319" s="18">
        <f>IF(OR(V319="Aprobada"),R319,IF(AND(OR(V319="Aprobada con ajuste",V319="Rechazada"),W319&lt;&gt;""),W319,""))</f>
        <v/>
      </c>
    </row>
    <row r="320">
      <c r="A320" s="18" t="inlineStr">
        <is>
          <t>C0319</t>
        </is>
      </c>
      <c r="B320" s="18" t="inlineStr">
        <is>
          <t>Plan de trabajo académico</t>
        </is>
      </c>
      <c r="C320" s="18" t="inlineStr">
        <is>
          <t>academic_work_plan</t>
        </is>
      </c>
      <c r="D320" s="18" t="inlineStr">
        <is>
          <t>AprobacionJefatura</t>
        </is>
      </c>
      <c r="E320" s="18" t="n">
        <v>8</v>
      </c>
      <c r="F320" s="18" t="inlineStr">
        <is>
          <t>camposModificados</t>
        </is>
      </c>
      <c r="G320" s="18" t="inlineStr">
        <is>
          <t>jsonb</t>
        </is>
      </c>
      <c r="H320" s="18" t="inlineStr">
        <is>
          <t>Sí</t>
        </is>
      </c>
      <c r="I320" s="18" t="inlineStr"/>
      <c r="J320" s="18" t="inlineStr"/>
      <c r="K320" s="18" t="inlineStr"/>
      <c r="L320" s="18" t="inlineStr">
        <is>
          <t>No</t>
        </is>
      </c>
      <c r="M320" s="18" t="inlineStr">
        <is>
          <t>No</t>
        </is>
      </c>
      <c r="N320" s="18" t="inlineStr"/>
      <c r="O320" s="18" t="inlineStr"/>
      <c r="P320" s="18" t="inlineStr">
        <is>
          <t>Mapeada en academic-work-plan-service/src/pta/entities/aprobacion-jefatura.entity.ts:41 (AprobacionJefaturaEntity.camposModificados)</t>
        </is>
      </c>
      <c r="Q320" s="18" t="inlineStr">
        <is>
          <t>Código fuente (verificado)</t>
        </is>
      </c>
      <c r="R320" s="18" t="inlineStr">
        <is>
          <t>Campos del plan de trabajo modificados por la jefatura, en formato JSON; el servicio actual no llena esta columna.</t>
        </is>
      </c>
      <c r="S320" s="18" t="inlineStr">
        <is>
          <t>Media</t>
        </is>
      </c>
      <c r="T320" s="18" t="inlineStr">
        <is>
          <t>academic-work-plan-service/src/pta/entities/aprobacion-jefatura.entity.ts:41: columna mapeada | academic-work-plan-service/src/pta/pta.service.ts:5055: camposModificados del cuerpo solo decide aprobado o aprobado_con_cambios; no se guarda en la tabla</t>
        </is>
      </c>
      <c r="U320" s="18" t="inlineStr">
        <is>
          <t>¿La columna se llenaba en una versión anterior o está prevista? ¿Qué estructura debe tener?</t>
        </is>
      </c>
      <c r="V320" s="19" t="inlineStr">
        <is>
          <t>Aprobada</t>
        </is>
      </c>
      <c r="W320" s="19" t="inlineStr"/>
      <c r="X320" s="19" t="inlineStr">
        <is>
          <t>Aldair González (validación del responsable de BD)</t>
        </is>
      </c>
      <c r="Y320" s="20" t="n">
        <v>46321</v>
      </c>
      <c r="Z320" s="19" t="inlineStr">
        <is>
          <t>Nivel 3: validada por decisión del responsable de la base de datos. Pregunta registrada para desarrollo: ¿La columna se llenaba en una versión anterior o está prevista? ¿Qué estructura debe tener?</t>
        </is>
      </c>
      <c r="AA320" s="18">
        <f>IF(OR(V320="Aprobada"),R320,IF(AND(OR(V320="Aprobada con ajuste",V320="Rechazada"),W320&lt;&gt;""),W320,""))</f>
        <v/>
      </c>
    </row>
    <row r="321">
      <c r="A321" s="18" t="inlineStr">
        <is>
          <t>C0320</t>
        </is>
      </c>
      <c r="B321" s="18" t="inlineStr">
        <is>
          <t>Plan de trabajo académico</t>
        </is>
      </c>
      <c r="C321" s="18" t="inlineStr">
        <is>
          <t>academic_work_plan</t>
        </is>
      </c>
      <c r="D321" s="18" t="inlineStr">
        <is>
          <t>AprobacionJefatura</t>
        </is>
      </c>
      <c r="E321" s="18" t="n">
        <v>8</v>
      </c>
      <c r="F321" s="18" t="inlineStr">
        <is>
          <t>componentesBloqueados</t>
        </is>
      </c>
      <c r="G321" s="18" t="inlineStr">
        <is>
          <t>jsonb</t>
        </is>
      </c>
      <c r="H321" s="18" t="inlineStr">
        <is>
          <t>Sí</t>
        </is>
      </c>
      <c r="I321" s="18" t="inlineStr"/>
      <c r="J321" s="18" t="inlineStr"/>
      <c r="K321" s="18" t="inlineStr"/>
      <c r="L321" s="18" t="inlineStr">
        <is>
          <t>No</t>
        </is>
      </c>
      <c r="M321" s="18" t="inlineStr">
        <is>
          <t>No</t>
        </is>
      </c>
      <c r="N321" s="18" t="inlineStr"/>
      <c r="O321" s="18" t="inlineStr"/>
      <c r="P321" s="18" t="inlineStr">
        <is>
          <t>Mapeada en academic-work-plan-service/src/pta/entities/aprobacion-jefatura.entity.ts:44 (AprobacionJefaturaEntity.componentesBloqueados)</t>
        </is>
      </c>
      <c r="Q321" s="18" t="inlineStr">
        <is>
          <t>Código fuente (verificado)</t>
        </is>
      </c>
      <c r="R321" s="18" t="inlineStr">
        <is>
          <t>Componentes del plan de trabajo bloqueados por la jefatura, en formato JSON; el servicio actual no lee ni llena esta columna.</t>
        </is>
      </c>
      <c r="S321" s="18" t="inlineStr">
        <is>
          <t>Media</t>
        </is>
      </c>
      <c r="T321" s="18" t="inlineStr">
        <is>
          <t>academic-work-plan-service/src/pta/entities/aprobacion-jefatura.entity.ts:44: columna mapeada sin uso en el servicio</t>
        </is>
      </c>
      <c r="U321" s="18" t="inlineStr">
        <is>
          <t>¿Qué significa que un componente quede bloqueado, qué estructura tiene el JSON y si la columna sigue en uso?</t>
        </is>
      </c>
      <c r="V321" s="19" t="inlineStr">
        <is>
          <t>Aprobada</t>
        </is>
      </c>
      <c r="W321" s="19" t="inlineStr"/>
      <c r="X321" s="19" t="inlineStr">
        <is>
          <t>Aldair González (validación del responsable de BD)</t>
        </is>
      </c>
      <c r="Y321" s="20" t="n">
        <v>46321</v>
      </c>
      <c r="Z321" s="19" t="inlineStr">
        <is>
          <t>Nivel 3: validada por decisión del responsable de la base de datos. Pregunta registrada para desarrollo: ¿Qué significa que un componente quede bloqueado, qué estructura tiene el JSON y si la columna sigue en uso?</t>
        </is>
      </c>
      <c r="AA321" s="18">
        <f>IF(OR(V321="Aprobada"),R321,IF(AND(OR(V321="Aprobada con ajuste",V321="Rechazada"),W321&lt;&gt;""),W321,""))</f>
        <v/>
      </c>
    </row>
    <row r="322">
      <c r="A322" s="18" t="inlineStr">
        <is>
          <t>C0321</t>
        </is>
      </c>
      <c r="B322" s="18" t="inlineStr">
        <is>
          <t>Plan de trabajo académico</t>
        </is>
      </c>
      <c r="C322" s="18" t="inlineStr">
        <is>
          <t>academic_work_plan</t>
        </is>
      </c>
      <c r="D322" s="18" t="inlineStr">
        <is>
          <t>AprobacionJefatura</t>
        </is>
      </c>
      <c r="E322" s="18" t="n">
        <v>8</v>
      </c>
      <c r="F322" s="18" t="inlineStr">
        <is>
          <t>firmaId</t>
        </is>
      </c>
      <c r="G322" s="18" t="inlineStr">
        <is>
          <t>text</t>
        </is>
      </c>
      <c r="H322" s="18" t="inlineStr">
        <is>
          <t>Sí</t>
        </is>
      </c>
      <c r="I322" s="18" t="inlineStr"/>
      <c r="J322" s="18" t="inlineStr"/>
      <c r="K322" s="18" t="inlineStr"/>
      <c r="L322" s="18" t="inlineStr">
        <is>
          <t>No</t>
        </is>
      </c>
      <c r="M322" s="18" t="inlineStr">
        <is>
          <t>No</t>
        </is>
      </c>
      <c r="N322" s="18" t="inlineStr"/>
      <c r="O322" s="18" t="inlineStr"/>
      <c r="P322" s="18" t="inlineStr">
        <is>
          <t>Mapeada en academic-work-plan-service/src/pta/entities/aprobacion-jefatura.entity.ts:47 (AprobacionJefaturaEntity.firmaId)</t>
        </is>
      </c>
      <c r="Q322" s="18" t="inlineStr">
        <is>
          <t>Código fuente (verificado)</t>
        </is>
      </c>
      <c r="R322" s="18" t="inlineStr">
        <is>
          <t>Identificador de la firma asociada a la decisión de la jefatura; el servicio actual no lee ni llena esta columna.</t>
        </is>
      </c>
      <c r="S322" s="18" t="inlineStr">
        <is>
          <t>Media</t>
        </is>
      </c>
      <c r="T322" s="18" t="inlineStr">
        <is>
          <t>academic-work-plan-service/src/pta/entities/aprobacion-jefatura.entity.ts:47: columna mapeada sin uso en el servicio</t>
        </is>
      </c>
      <c r="U322" s="18" t="inlineStr">
        <is>
          <t>¿A qué tabla o servicio de firmas apunta firmaId y si la columna sigue en uso?</t>
        </is>
      </c>
      <c r="V322" s="19" t="inlineStr">
        <is>
          <t>Aprobada</t>
        </is>
      </c>
      <c r="W322" s="19" t="inlineStr"/>
      <c r="X322" s="19" t="inlineStr">
        <is>
          <t>Aldair González (validación del responsable de BD)</t>
        </is>
      </c>
      <c r="Y322" s="20" t="n">
        <v>46321</v>
      </c>
      <c r="Z322" s="19" t="inlineStr">
        <is>
          <t>Nivel 3: validada por decisión del responsable de la base de datos. Pregunta registrada para desarrollo: ¿A qué tabla o servicio de firmas apunta firmaId y si la columna sigue en uso?</t>
        </is>
      </c>
      <c r="AA322" s="18">
        <f>IF(OR(V322="Aprobada"),R322,IF(AND(OR(V322="Aprobada con ajuste",V322="Rechazada"),W322&lt;&gt;""),W322,""))</f>
        <v/>
      </c>
    </row>
    <row r="323">
      <c r="A323" s="18" t="inlineStr">
        <is>
          <t>C0322</t>
        </is>
      </c>
      <c r="B323" s="18" t="inlineStr">
        <is>
          <t>Plan de trabajo académico</t>
        </is>
      </c>
      <c r="C323" s="18" t="inlineStr">
        <is>
          <t>academic_work_plan</t>
        </is>
      </c>
      <c r="D323" s="18" t="inlineStr">
        <is>
          <t>asignatura</t>
        </is>
      </c>
      <c r="E323" s="18" t="n">
        <v>503</v>
      </c>
      <c r="F323" s="18" t="inlineStr">
        <is>
          <t>codigo</t>
        </is>
      </c>
      <c r="G323" s="18" t="inlineStr">
        <is>
          <t>character varying(20)</t>
        </is>
      </c>
      <c r="H323" s="18" t="inlineStr">
        <is>
          <t>No</t>
        </is>
      </c>
      <c r="I323" s="18" t="inlineStr">
        <is>
          <t>Única</t>
        </is>
      </c>
      <c r="J323" s="18" t="inlineStr"/>
      <c r="K323" s="18" t="inlineStr"/>
      <c r="L323" s="18" t="inlineStr">
        <is>
          <t>No</t>
        </is>
      </c>
      <c r="M323" s="18" t="inlineStr">
        <is>
          <t>No</t>
        </is>
      </c>
      <c r="N323" s="18" t="inlineStr"/>
      <c r="O323" s="18" t="inlineStr">
        <is>
          <t>asignatura_codigo_key</t>
        </is>
      </c>
      <c r="P323" s="18" t="inlineStr">
        <is>
          <t>academic-schedule-service/src/catalogo/entities/asignatura.readonly.entity.ts:19: Llave maestra del SNIES (RN-01). Puede faltar en registros heredados.</t>
        </is>
      </c>
      <c r="Q323" s="18" t="inlineStr">
        <is>
          <t>Código fuente (verificado)</t>
        </is>
      </c>
      <c r="R323" s="18" t="inlineStr">
        <is>
          <t>Código único de la asignatura; llave maestra del SNIES (RN-01). La importación lo exige y admite hasta 20 caracteres.</t>
        </is>
      </c>
      <c r="S323" s="18" t="inlineStr">
        <is>
          <t>Media</t>
        </is>
      </c>
      <c r="T323" s="18" t="inlineStr">
        <is>
          <t>academic-work-plan-service/src/pta/asignaturas-import/validators/import.validator.ts:277: falta codigo_asignatura es error | db/migrations/326_create_catalog_tables.sql:153: codigo NOT NULL UNIQUE | academic-schedule-service/src/catalogo/entities/asignatura.readonly.entity.ts:18: comentario «Puede faltar en registros heredados» con columna nula</t>
        </is>
      </c>
      <c r="U323" s="18" t="inlineStr">
        <is>
          <t>El comentario de academic-schedule-service indica que el código puede faltar en registros heredados, pero la columna es NOT NULL: ¿qué valor llevan esos registros?</t>
        </is>
      </c>
      <c r="V323" s="19" t="inlineStr">
        <is>
          <t>Aprobada</t>
        </is>
      </c>
      <c r="W323" s="19" t="inlineStr"/>
      <c r="X323" s="19" t="inlineStr">
        <is>
          <t>Aldair González (validación del responsable de BD)</t>
        </is>
      </c>
      <c r="Y323" s="20" t="n">
        <v>46321</v>
      </c>
      <c r="Z323" s="19" t="inlineStr">
        <is>
          <t>Nivel 3: validada por decisión del responsable de la base de datos. Pregunta registrada para desarrollo: El comentario de academic-schedule-service indica que el código puede faltar en registros heredados, pero la columna es NOT NULL: ¿qué valor llevan esos registros?</t>
        </is>
      </c>
      <c r="AA323" s="18">
        <f>IF(OR(V323="Aprobada"),R323,IF(AND(OR(V323="Aprobada con ajuste",V323="Rechazada"),W323&lt;&gt;""),W323,""))</f>
        <v/>
      </c>
    </row>
    <row r="324">
      <c r="A324" s="18" t="inlineStr">
        <is>
          <t>C0323</t>
        </is>
      </c>
      <c r="B324" s="18" t="inlineStr">
        <is>
          <t>Plan de trabajo académico</t>
        </is>
      </c>
      <c r="C324" s="18" t="inlineStr">
        <is>
          <t>academic_work_plan</t>
        </is>
      </c>
      <c r="D324" s="18" t="inlineStr">
        <is>
          <t>asignatura</t>
        </is>
      </c>
      <c r="E324" s="18" t="n">
        <v>503</v>
      </c>
      <c r="F324" s="18" t="inlineStr">
        <is>
          <t>nombre</t>
        </is>
      </c>
      <c r="G324" s="18" t="inlineStr">
        <is>
          <t>character varying(200)</t>
        </is>
      </c>
      <c r="H324" s="18" t="inlineStr">
        <is>
          <t>No</t>
        </is>
      </c>
      <c r="I324" s="18" t="inlineStr"/>
      <c r="J324" s="18" t="inlineStr"/>
      <c r="K324" s="18" t="inlineStr"/>
      <c r="L324" s="18" t="inlineStr">
        <is>
          <t>No</t>
        </is>
      </c>
      <c r="M324" s="18" t="inlineStr">
        <is>
          <t>No</t>
        </is>
      </c>
      <c r="N324" s="18" t="inlineStr"/>
      <c r="O324" s="18" t="inlineStr">
        <is>
          <t>idx_asig_nombre</t>
        </is>
      </c>
      <c r="P324" s="18" t="inlineStr">
        <is>
          <t>Mapeada en academic-work-plan-service/src/pta/entities/asignatura.entity.ts:15 (AsignaturaEntity.nombre)</t>
        </is>
      </c>
      <c r="Q324" s="18" t="inlineStr">
        <is>
          <t>Regla estructural (redacción revisada)</t>
        </is>
      </c>
      <c r="R324" s="18" t="inlineStr">
        <is>
          <t>Nombre de la asignatura.</t>
        </is>
      </c>
      <c r="S324" s="18" t="inlineStr">
        <is>
          <t>Alta</t>
        </is>
      </c>
      <c r="T324" s="18" t="inlineStr">
        <is>
          <t>Convención de nombre, redactada con el contexto de la tabla y el código.</t>
        </is>
      </c>
      <c r="U324" s="18" t="inlineStr"/>
      <c r="V324" s="19" t="inlineStr">
        <is>
          <t>Aprobada</t>
        </is>
      </c>
      <c r="W324" s="19" t="inlineStr"/>
      <c r="X324" s="19" t="inlineStr">
        <is>
          <t>Aldair González (aprobación en bloque)</t>
        </is>
      </c>
      <c r="Y324" s="20" t="n">
        <v>46321</v>
      </c>
      <c r="Z324" s="19" t="inlineStr">
        <is>
          <t>Nivel 2: regla estructural con redacción revisada.</t>
        </is>
      </c>
      <c r="AA324" s="18">
        <f>IF(OR(V324="Aprobada"),R324,IF(AND(OR(V324="Aprobada con ajuste",V324="Rechazada"),W324&lt;&gt;""),W324,""))</f>
        <v/>
      </c>
    </row>
    <row r="325">
      <c r="A325" s="18" t="inlineStr">
        <is>
          <t>C0324</t>
        </is>
      </c>
      <c r="B325" s="18" t="inlineStr">
        <is>
          <t>Plan de trabajo académico</t>
        </is>
      </c>
      <c r="C325" s="18" t="inlineStr">
        <is>
          <t>academic_work_plan</t>
        </is>
      </c>
      <c r="D325" s="18" t="inlineStr">
        <is>
          <t>asignatura</t>
        </is>
      </c>
      <c r="E325" s="18" t="n">
        <v>503</v>
      </c>
      <c r="F325" s="18" t="inlineStr">
        <is>
          <t>nombre_base</t>
        </is>
      </c>
      <c r="G325" s="18" t="inlineStr">
        <is>
          <t>character varying(200)</t>
        </is>
      </c>
      <c r="H325" s="18" t="inlineStr">
        <is>
          <t>Sí</t>
        </is>
      </c>
      <c r="I325" s="18" t="inlineStr"/>
      <c r="J325" s="18" t="inlineStr"/>
      <c r="K325" s="18" t="inlineStr"/>
      <c r="L325" s="18" t="inlineStr">
        <is>
          <t>No</t>
        </is>
      </c>
      <c r="M325" s="18" t="inlineStr">
        <is>
          <t>No</t>
        </is>
      </c>
      <c r="N325" s="18" t="inlineStr"/>
      <c r="O325" s="18" t="inlineStr"/>
      <c r="P325" s="18" t="inlineStr">
        <is>
          <t>Mapeada en academic-work-plan-service/src/pta/entities/asignatura.entity.ts:18 (AsignaturaEntity.nombreBase)</t>
        </is>
      </c>
      <c r="Q325" s="18" t="inlineStr">
        <is>
          <t>Código fuente (verificado)</t>
        </is>
      </c>
      <c r="R325" s="18" t="inlineStr">
        <is>
          <t>Nombre de la asignatura que se muestra en las interfaces y en el plan de trabajo académico; se carga desde la columna nombre_base de la plantilla de importación y no se calcula.</t>
        </is>
      </c>
      <c r="S325" s="18" t="inlineStr">
        <is>
          <t>Alta</t>
        </is>
      </c>
      <c r="T325" s="18" t="inlineStr">
        <is>
          <t>academic-work-plan-service/src/pta/asignaturas-import/asignaturas-import.service.ts:1219: nombre_base se toma de la plantilla | academic-work-plan-service/src/pta/utils/asignatura-nombre.util.ts:15: nombre visible prioriza nombre_base</t>
        </is>
      </c>
      <c r="U325" s="18" t="inlineStr"/>
      <c r="V325" s="19" t="inlineStr">
        <is>
          <t>Aprobada</t>
        </is>
      </c>
      <c r="W325" s="19" t="inlineStr"/>
      <c r="X325" s="19" t="inlineStr">
        <is>
          <t>Aldair González (aprobación en bloque)</t>
        </is>
      </c>
      <c r="Y325" s="20" t="n">
        <v>46321</v>
      </c>
      <c r="Z325" s="19" t="inlineStr">
        <is>
          <t>Nivel 3: verificada con el código de la aplicación.</t>
        </is>
      </c>
      <c r="AA325" s="18">
        <f>IF(OR(V325="Aprobada"),R325,IF(AND(OR(V325="Aprobada con ajuste",V325="Rechazada"),W325&lt;&gt;""),W325,""))</f>
        <v/>
      </c>
    </row>
    <row r="326">
      <c r="A326" s="18" t="inlineStr">
        <is>
          <t>C0325</t>
        </is>
      </c>
      <c r="B326" s="18" t="inlineStr">
        <is>
          <t>Plan de trabajo académico</t>
        </is>
      </c>
      <c r="C326" s="18" t="inlineStr">
        <is>
          <t>academic_work_plan</t>
        </is>
      </c>
      <c r="D326" s="18" t="inlineStr">
        <is>
          <t>asignatura</t>
        </is>
      </c>
      <c r="E326" s="18" t="n">
        <v>503</v>
      </c>
      <c r="F326" s="18" t="inlineStr">
        <is>
          <t>modalidad_sufijo</t>
        </is>
      </c>
      <c r="G326" s="18" t="inlineStr">
        <is>
          <t>character varying(30)</t>
        </is>
      </c>
      <c r="H326" s="18" t="inlineStr">
        <is>
          <t>Sí</t>
        </is>
      </c>
      <c r="I326" s="18" t="inlineStr"/>
      <c r="J326" s="18" t="inlineStr"/>
      <c r="K326" s="18" t="inlineStr"/>
      <c r="L326" s="18" t="inlineStr">
        <is>
          <t>No</t>
        </is>
      </c>
      <c r="M326" s="18" t="inlineStr">
        <is>
          <t>No</t>
        </is>
      </c>
      <c r="N326" s="18" t="inlineStr"/>
      <c r="O326" s="18" t="inlineStr"/>
      <c r="P326" s="18" t="inlineStr">
        <is>
          <t>Mapeada en academic-work-plan-service/src/pta/entities/asignatura.entity.ts:24 (AsignaturaEntity.modalidadSufijo)</t>
        </is>
      </c>
      <c r="Q326" s="18" t="inlineStr">
        <is>
          <t>Código fuente (verificado)</t>
        </is>
      </c>
      <c r="R326" s="18" t="inlineStr">
        <is>
          <t>Texto de modalidad tal como viene en la plantilla de importación; la columna modalidad guarda su valor normalizado (presencial, presencial_dia, presencial_noche, virtual, distancia, mixta o sin_definir).</t>
        </is>
      </c>
      <c r="S326" s="18" t="inlineStr">
        <is>
          <t>Alta</t>
        </is>
      </c>
      <c r="T326" s="18" t="inlineStr">
        <is>
          <t>academic-work-plan-service/src/pta/asignaturas-import/asignaturas-import.service.ts:1220: modalidad_sufijo = modalidad de la plantilla | academic-work-plan-service/src/pta/asignaturas-import/mappers/import.mapper.ts:4: mapModalidad normaliza el valor</t>
        </is>
      </c>
      <c r="U326" s="18" t="inlineStr"/>
      <c r="V326" s="19" t="inlineStr">
        <is>
          <t>Aprobada</t>
        </is>
      </c>
      <c r="W326" s="19" t="inlineStr"/>
      <c r="X326" s="19" t="inlineStr">
        <is>
          <t>Aldair González (aprobación en bloque)</t>
        </is>
      </c>
      <c r="Y326" s="20" t="n">
        <v>46321</v>
      </c>
      <c r="Z326" s="19" t="inlineStr">
        <is>
          <t>Nivel 3: verificada con el código de la aplicación.</t>
        </is>
      </c>
      <c r="AA326" s="18">
        <f>IF(OR(V326="Aprobada"),R326,IF(AND(OR(V326="Aprobada con ajuste",V326="Rechazada"),W326&lt;&gt;""),W326,""))</f>
        <v/>
      </c>
    </row>
    <row r="327">
      <c r="A327" s="18" t="inlineStr">
        <is>
          <t>C0326</t>
        </is>
      </c>
      <c r="B327" s="18" t="inlineStr">
        <is>
          <t>Plan de trabajo académico</t>
        </is>
      </c>
      <c r="C327" s="18" t="inlineStr">
        <is>
          <t>academic_work_plan</t>
        </is>
      </c>
      <c r="D327" s="18" t="inlineStr">
        <is>
          <t>asignatura</t>
        </is>
      </c>
      <c r="E327" s="18" t="n">
        <v>503</v>
      </c>
      <c r="F327" s="18" t="inlineStr">
        <is>
          <t>modalidad</t>
        </is>
      </c>
      <c r="G327" s="18" t="inlineStr">
        <is>
          <t>character varying(30)</t>
        </is>
      </c>
      <c r="H327" s="18" t="inlineStr">
        <is>
          <t>No</t>
        </is>
      </c>
      <c r="I327" s="18" t="inlineStr">
        <is>
          <t>CHECK</t>
        </is>
      </c>
      <c r="J327" s="18" t="inlineStr">
        <is>
          <t>distancia, mixta, presencial, presencial_dia, presencial_noche, sin_definir, virtual</t>
        </is>
      </c>
      <c r="K327" s="18" t="inlineStr"/>
      <c r="L327" s="18" t="inlineStr">
        <is>
          <t>Sí</t>
        </is>
      </c>
      <c r="M327" s="18" t="inlineStr">
        <is>
          <t>No</t>
        </is>
      </c>
      <c r="N327" s="18" t="inlineStr"/>
      <c r="O327" s="18" t="inlineStr">
        <is>
          <t>idx_asig_modalidad</t>
        </is>
      </c>
      <c r="P327" s="18" t="inlineStr">
        <is>
          <t>academic-work-plan-service/src/pta/entities/asignatura.entity.ts:27: 'presencial' | 'presencial_dia' | 'presencial_noche' | 'virtual' | 'distancia' | 'mixta' | 'sin_definir'</t>
        </is>
      </c>
      <c r="Q327" s="18" t="inlineStr">
        <is>
          <t>Código fuente</t>
        </is>
      </c>
      <c r="R327" s="18" t="inlineStr">
        <is>
          <t>Modalidad de oferta de la asignatura. Valores permitidos: presencial, presencial_dia, presencial_noche, virtual, distancia, mixta, sin_definir; por defecto sin_definir.</t>
        </is>
      </c>
      <c r="S327" s="18" t="inlineStr">
        <is>
          <t>Alta</t>
        </is>
      </c>
      <c r="T327" s="18" t="inlineStr">
        <is>
          <t>código: academic-work-plan-service/src/pta/entities/asignatura.entity.ts:27</t>
        </is>
      </c>
      <c r="U327" s="18" t="inlineStr"/>
      <c r="V327" s="19" t="inlineStr">
        <is>
          <t>Aprobada</t>
        </is>
      </c>
      <c r="W327" s="19" t="inlineStr"/>
      <c r="X327" s="19" t="inlineStr">
        <is>
          <t>Aldair González (aprobación en bloque)</t>
        </is>
      </c>
      <c r="Y327" s="20" t="n">
        <v>46321</v>
      </c>
      <c r="Z327" s="19" t="inlineStr">
        <is>
          <t>Nivel 1: propuesta del comentario del desarrollador o de confianza alta, o regla de fecha/responsable/motivo.</t>
        </is>
      </c>
      <c r="AA327" s="18">
        <f>IF(OR(V327="Aprobada"),R327,IF(AND(OR(V327="Aprobada con ajuste",V327="Rechazada"),W327&lt;&gt;""),W327,""))</f>
        <v/>
      </c>
    </row>
    <row r="328">
      <c r="A328" s="18" t="inlineStr">
        <is>
          <t>C0327</t>
        </is>
      </c>
      <c r="B328" s="18" t="inlineStr">
        <is>
          <t>Plan de trabajo académico</t>
        </is>
      </c>
      <c r="C328" s="18" t="inlineStr">
        <is>
          <t>academic_work_plan</t>
        </is>
      </c>
      <c r="D328" s="18" t="inlineStr">
        <is>
          <t>asignatura</t>
        </is>
      </c>
      <c r="E328" s="18" t="n">
        <v>503</v>
      </c>
      <c r="F328" s="18" t="inlineStr">
        <is>
          <t>requiere_revision_modalidad</t>
        </is>
      </c>
      <c r="G328" s="18" t="inlineStr">
        <is>
          <t>boolean</t>
        </is>
      </c>
      <c r="H328" s="18" t="inlineStr">
        <is>
          <t>No</t>
        </is>
      </c>
      <c r="I328" s="18" t="inlineStr"/>
      <c r="J328" s="18" t="inlineStr"/>
      <c r="K328" s="18" t="inlineStr"/>
      <c r="L328" s="18" t="inlineStr">
        <is>
          <t>No</t>
        </is>
      </c>
      <c r="M328" s="18" t="inlineStr">
        <is>
          <t>No</t>
        </is>
      </c>
      <c r="N328" s="18" t="inlineStr"/>
      <c r="O328" s="18" t="inlineStr"/>
      <c r="P328" s="18" t="inlineStr">
        <is>
          <t>Mapeada en academic-work-plan-service/src/pta/entities/asignatura.entity.ts:30 (AsignaturaEntity.requiereRevisionModalidad)</t>
        </is>
      </c>
      <c r="Q328" s="18" t="inlineStr">
        <is>
          <t>Regla estructural (redacción revisada)</t>
        </is>
      </c>
      <c r="R328" s="18" t="inlineStr">
        <is>
          <t>Indica si la modalidad de la asignatura requiere revisión.</t>
        </is>
      </c>
      <c r="S328" s="18" t="inlineStr">
        <is>
          <t>Alta</t>
        </is>
      </c>
      <c r="T328" s="18" t="inlineStr">
        <is>
          <t>Convención de nombre, redactada con el contexto de la tabla y el código.</t>
        </is>
      </c>
      <c r="U328" s="18" t="inlineStr"/>
      <c r="V328" s="19" t="inlineStr">
        <is>
          <t>Aprobada</t>
        </is>
      </c>
      <c r="W328" s="19" t="inlineStr"/>
      <c r="X328" s="19" t="inlineStr">
        <is>
          <t>Aldair González (aprobación en bloque)</t>
        </is>
      </c>
      <c r="Y328" s="20" t="n">
        <v>46321</v>
      </c>
      <c r="Z328" s="19" t="inlineStr">
        <is>
          <t>Nivel 2: regla estructural con redacción revisada.</t>
        </is>
      </c>
      <c r="AA328" s="18">
        <f>IF(OR(V328="Aprobada"),R328,IF(AND(OR(V328="Aprobada con ajuste",V328="Rechazada"),W328&lt;&gt;""),W328,""))</f>
        <v/>
      </c>
    </row>
    <row r="329">
      <c r="A329" s="18" t="inlineStr">
        <is>
          <t>C0328</t>
        </is>
      </c>
      <c r="B329" s="18" t="inlineStr">
        <is>
          <t>Plan de trabajo académico</t>
        </is>
      </c>
      <c r="C329" s="18" t="inlineStr">
        <is>
          <t>academic_work_plan</t>
        </is>
      </c>
      <c r="D329" s="18" t="inlineStr">
        <is>
          <t>asignatura</t>
        </is>
      </c>
      <c r="E329" s="18" t="n">
        <v>503</v>
      </c>
      <c r="F329" s="18" t="inlineStr">
        <is>
          <t>creditos</t>
        </is>
      </c>
      <c r="G329" s="18" t="inlineStr">
        <is>
          <t>smallint</t>
        </is>
      </c>
      <c r="H329" s="18" t="inlineStr">
        <is>
          <t>No</t>
        </is>
      </c>
      <c r="I329" s="18" t="inlineStr">
        <is>
          <t>CHECK</t>
        </is>
      </c>
      <c r="J329" s="18" t="inlineStr"/>
      <c r="K329" s="18" t="inlineStr"/>
      <c r="L329" s="18" t="inlineStr">
        <is>
          <t>No</t>
        </is>
      </c>
      <c r="M329" s="18" t="inlineStr">
        <is>
          <t>No</t>
        </is>
      </c>
      <c r="N329" s="18" t="inlineStr"/>
      <c r="O329" s="18" t="inlineStr"/>
      <c r="P329" s="18" t="inlineStr">
        <is>
          <t>Mapeada en academic-work-plan-service/src/pta/entities/asignatura.entity.ts:33 (AsignaturaEntity.creditos)</t>
        </is>
      </c>
      <c r="Q329" s="18" t="inlineStr">
        <is>
          <t>Propuesta semántica</t>
        </is>
      </c>
      <c r="R329" s="18" t="inlineStr">
        <is>
          <t>Número de créditos académicos de la asignatura.</t>
        </is>
      </c>
      <c r="S329" s="18" t="inlineStr">
        <is>
          <t>Alta</t>
        </is>
      </c>
      <c r="T329" s="18" t="inlineStr">
        <is>
          <t>nombre + tipo + columnas vecinas</t>
        </is>
      </c>
      <c r="U329" s="18" t="inlineStr"/>
      <c r="V329" s="19" t="inlineStr">
        <is>
          <t>Aprobada</t>
        </is>
      </c>
      <c r="W329" s="19" t="inlineStr"/>
      <c r="X329" s="19" t="inlineStr">
        <is>
          <t>Aldair González (aprobación en bloque)</t>
        </is>
      </c>
      <c r="Y329" s="20" t="n">
        <v>46321</v>
      </c>
      <c r="Z329" s="19" t="inlineStr">
        <is>
          <t>Nivel 1: propuesta del comentario del desarrollador o de confianza alta, o regla de fecha/responsable/motivo.</t>
        </is>
      </c>
      <c r="AA329" s="18">
        <f>IF(OR(V329="Aprobada"),R329,IF(AND(OR(V329="Aprobada con ajuste",V329="Rechazada"),W329&lt;&gt;""),W329,""))</f>
        <v/>
      </c>
    </row>
    <row r="330">
      <c r="A330" s="18" t="inlineStr">
        <is>
          <t>C0329</t>
        </is>
      </c>
      <c r="B330" s="18" t="inlineStr">
        <is>
          <t>Plan de trabajo académico</t>
        </is>
      </c>
      <c r="C330" s="18" t="inlineStr">
        <is>
          <t>academic_work_plan</t>
        </is>
      </c>
      <c r="D330" s="18" t="inlineStr">
        <is>
          <t>asignatura</t>
        </is>
      </c>
      <c r="E330" s="18" t="n">
        <v>503</v>
      </c>
      <c r="F330" s="18" t="inlineStr">
        <is>
          <t>horas_fijas_pta</t>
        </is>
      </c>
      <c r="G330" s="18" t="inlineStr">
        <is>
          <t>integer</t>
        </is>
      </c>
      <c r="H330" s="18" t="inlineStr">
        <is>
          <t>Sí</t>
        </is>
      </c>
      <c r="I330" s="18" t="inlineStr">
        <is>
          <t>CHECK</t>
        </is>
      </c>
      <c r="J330" s="18" t="inlineStr"/>
      <c r="K330" s="18" t="inlineStr"/>
      <c r="L330" s="18" t="inlineStr">
        <is>
          <t>No</t>
        </is>
      </c>
      <c r="M330" s="18" t="inlineStr">
        <is>
          <t>No</t>
        </is>
      </c>
      <c r="N330" s="18" t="inlineStr"/>
      <c r="O330" s="18" t="inlineStr"/>
      <c r="P330" s="18" t="inlineStr">
        <is>
          <t>Mapeada en academic-work-plan-service/src/pta/entities/asignatura.entity.ts:64 (AsignaturaEntity.horasFijasPta)</t>
        </is>
      </c>
      <c r="Q330" s="18" t="inlineStr">
        <is>
          <t>Código fuente (verificado)</t>
        </is>
      </c>
      <c r="R330" s="18" t="inlineStr">
        <is>
          <t>Número fijo de horas en el plan de trabajo académico (PTA) para las asignaturas con tipo_excepcion: 384 para seminario_enfasis, 20 para opciones_grado_ap y 144 para seminario_opciones_apt; nulo en las demás, que se calculan por créditos.</t>
        </is>
      </c>
      <c r="S330" s="18" t="inlineStr">
        <is>
          <t>Alta</t>
        </is>
      </c>
      <c r="T330" s="18" t="inlineStr">
        <is>
          <t>academic-work-plan-service/src/pta/asignaturas-import/asignaturas-import.service.ts:1186: horas fijas según tipo_excepcion | academic-work-plan-service/src/pta/horas-pta.calculator.ts:22: mismas excepciones, total de horas en el PTA | academic-work-plan-service/src/pta/horas-pta.calculator.ts:35: resto = créditos × factor × 3</t>
        </is>
      </c>
      <c r="U330" s="18" t="inlineStr"/>
      <c r="V330" s="19" t="inlineStr">
        <is>
          <t>Aprobada</t>
        </is>
      </c>
      <c r="W330" s="19" t="inlineStr"/>
      <c r="X330" s="19" t="inlineStr">
        <is>
          <t>Aldair González (aprobación en bloque)</t>
        </is>
      </c>
      <c r="Y330" s="20" t="n">
        <v>46321</v>
      </c>
      <c r="Z330" s="19" t="inlineStr">
        <is>
          <t>Nivel 3: verificada con el código de la aplicación.</t>
        </is>
      </c>
      <c r="AA330" s="18">
        <f>IF(OR(V330="Aprobada"),R330,IF(AND(OR(V330="Aprobada con ajuste",V330="Rechazada"),W330&lt;&gt;""),W330,""))</f>
        <v/>
      </c>
    </row>
    <row r="331">
      <c r="A331" s="18" t="inlineStr">
        <is>
          <t>C0330</t>
        </is>
      </c>
      <c r="B331" s="18" t="inlineStr">
        <is>
          <t>Plan de trabajo académico</t>
        </is>
      </c>
      <c r="C331" s="18" t="inlineStr">
        <is>
          <t>academic_work_plan</t>
        </is>
      </c>
      <c r="D331" s="18" t="inlineStr">
        <is>
          <t>asignatura</t>
        </is>
      </c>
      <c r="E331" s="18" t="n">
        <v>503</v>
      </c>
      <c r="F331" s="18" t="inlineStr">
        <is>
          <t>tipo_excepcion</t>
        </is>
      </c>
      <c r="G331" s="18" t="inlineStr">
        <is>
          <t>character varying(40)</t>
        </is>
      </c>
      <c r="H331" s="18" t="inlineStr">
        <is>
          <t>Sí</t>
        </is>
      </c>
      <c r="I331" s="18" t="inlineStr">
        <is>
          <t>CHECK</t>
        </is>
      </c>
      <c r="J331" s="18" t="inlineStr">
        <is>
          <t>opciones_grado_ap, seminario_enfasis, seminario_opciones_apt</t>
        </is>
      </c>
      <c r="K331" s="18" t="inlineStr"/>
      <c r="L331" s="18" t="inlineStr">
        <is>
          <t>Sí</t>
        </is>
      </c>
      <c r="M331" s="18" t="inlineStr">
        <is>
          <t>No</t>
        </is>
      </c>
      <c r="N331" s="18" t="inlineStr"/>
      <c r="O331" s="18" t="inlineStr"/>
      <c r="P331" s="18" t="inlineStr">
        <is>
          <t>academic-work-plan-service/src/pta/entities/asignatura.entity.ts:76: 'seminario_enfasis' | 'opciones_grado_ap' | 'seminario_opciones_apt' | academic-schedule-service/src/catalogo/entities/asignatura.readonly.entity.ts:44: Excepción de la Circular 003: seminario_enfasis, opciones_grado_ap, seminario_opciones_apt.</t>
        </is>
      </c>
      <c r="Q331" s="18" t="inlineStr">
        <is>
          <t>Código fuente</t>
        </is>
      </c>
      <c r="R331" s="18" t="inlineStr">
        <is>
          <t>Tipo de excepción de la Circular 003 que aplica a la asignatura. Valores permitidos: seminario_enfasis, opciones_grado_ap, seminario_opciones_apt.</t>
        </is>
      </c>
      <c r="S331" s="18" t="inlineStr">
        <is>
          <t>Alta</t>
        </is>
      </c>
      <c r="T331" s="18" t="inlineStr">
        <is>
          <t>código: academic-schedule-service/src/catalogo/entities/asignatura.readonly.entity.ts:44</t>
        </is>
      </c>
      <c r="U331" s="18" t="inlineStr"/>
      <c r="V331" s="19" t="inlineStr">
        <is>
          <t>Aprobada</t>
        </is>
      </c>
      <c r="W331" s="19" t="inlineStr"/>
      <c r="X331" s="19" t="inlineStr">
        <is>
          <t>Aldair González (aprobación en bloque)</t>
        </is>
      </c>
      <c r="Y331" s="20" t="n">
        <v>46321</v>
      </c>
      <c r="Z331" s="19" t="inlineStr">
        <is>
          <t>Nivel 1: propuesta del comentario del desarrollador o de confianza alta, o regla de fecha/responsable/motivo.</t>
        </is>
      </c>
      <c r="AA331" s="18">
        <f>IF(OR(V331="Aprobada"),R331,IF(AND(OR(V331="Aprobada con ajuste",V331="Rechazada"),W331&lt;&gt;""),W331,""))</f>
        <v/>
      </c>
    </row>
    <row r="332">
      <c r="A332" s="18" t="inlineStr">
        <is>
          <t>C0331</t>
        </is>
      </c>
      <c r="B332" s="18" t="inlineStr">
        <is>
          <t>Plan de trabajo académico</t>
        </is>
      </c>
      <c r="C332" s="18" t="inlineStr">
        <is>
          <t>academic_work_plan</t>
        </is>
      </c>
      <c r="D332" s="18" t="inlineStr">
        <is>
          <t>asignatura</t>
        </is>
      </c>
      <c r="E332" s="18" t="n">
        <v>503</v>
      </c>
      <c r="F332" s="18" t="inlineStr">
        <is>
          <t>activa</t>
        </is>
      </c>
      <c r="G332" s="18" t="inlineStr">
        <is>
          <t>boolean</t>
        </is>
      </c>
      <c r="H332" s="18" t="inlineStr">
        <is>
          <t>No</t>
        </is>
      </c>
      <c r="I332" s="18" t="inlineStr"/>
      <c r="J332" s="18" t="inlineStr"/>
      <c r="K332" s="18" t="inlineStr"/>
      <c r="L332" s="18" t="inlineStr">
        <is>
          <t>No</t>
        </is>
      </c>
      <c r="M332" s="18" t="inlineStr">
        <is>
          <t>No</t>
        </is>
      </c>
      <c r="N332" s="18" t="inlineStr"/>
      <c r="O332" s="18" t="inlineStr">
        <is>
          <t>idx_asig_activa</t>
        </is>
      </c>
      <c r="P332" s="18" t="inlineStr">
        <is>
          <t>Mapeada en academic-work-plan-service/src/pta/entities/asignatura.entity.ts:79 (AsignaturaEntity.activa)</t>
        </is>
      </c>
      <c r="Q332" s="18" t="inlineStr">
        <is>
          <t>Regla estructural (redacción revisada)</t>
        </is>
      </c>
      <c r="R332" s="18" t="inlineStr">
        <is>
          <t>Indica si la asignatura está activa.</t>
        </is>
      </c>
      <c r="S332" s="18" t="inlineStr">
        <is>
          <t>Alta</t>
        </is>
      </c>
      <c r="T332" s="18" t="inlineStr">
        <is>
          <t>Convención de nombre, redactada con el contexto de la tabla y el código.</t>
        </is>
      </c>
      <c r="U332" s="18" t="inlineStr"/>
      <c r="V332" s="19" t="inlineStr">
        <is>
          <t>Aprobada</t>
        </is>
      </c>
      <c r="W332" s="19" t="inlineStr"/>
      <c r="X332" s="19" t="inlineStr">
        <is>
          <t>Aldair González (aprobación en bloque)</t>
        </is>
      </c>
      <c r="Y332" s="20" t="n">
        <v>46321</v>
      </c>
      <c r="Z332" s="19" t="inlineStr">
        <is>
          <t>Nivel 2: regla estructural con redacción revisada.</t>
        </is>
      </c>
      <c r="AA332" s="18">
        <f>IF(OR(V332="Aprobada"),R332,IF(AND(OR(V332="Aprobada con ajuste",V332="Rechazada"),W332&lt;&gt;""),W332,""))</f>
        <v/>
      </c>
    </row>
    <row r="333">
      <c r="A333" s="18" t="inlineStr">
        <is>
          <t>C0332</t>
        </is>
      </c>
      <c r="B333" s="18" t="inlineStr">
        <is>
          <t>Plan de trabajo académico</t>
        </is>
      </c>
      <c r="C333" s="18" t="inlineStr">
        <is>
          <t>academic_work_plan</t>
        </is>
      </c>
      <c r="D333" s="18" t="inlineStr">
        <is>
          <t>asignatura</t>
        </is>
      </c>
      <c r="E333" s="18" t="n">
        <v>503</v>
      </c>
      <c r="F333" s="18" t="inlineStr">
        <is>
          <t>observaciones</t>
        </is>
      </c>
      <c r="G333" s="18" t="inlineStr">
        <is>
          <t>text</t>
        </is>
      </c>
      <c r="H333" s="18" t="inlineStr">
        <is>
          <t>Sí</t>
        </is>
      </c>
      <c r="I333" s="18" t="inlineStr"/>
      <c r="J333" s="18" t="inlineStr"/>
      <c r="K333" s="18" t="inlineStr"/>
      <c r="L333" s="18" t="inlineStr">
        <is>
          <t>No</t>
        </is>
      </c>
      <c r="M333" s="18" t="inlineStr">
        <is>
          <t>No</t>
        </is>
      </c>
      <c r="N333" s="18" t="inlineStr"/>
      <c r="O333" s="18" t="inlineStr"/>
      <c r="P333" s="18" t="inlineStr">
        <is>
          <t>Mapeada en academic-work-plan-service/src/pta/entities/asignatura.entity.ts:82 (AsignaturaEntity.observaciones)</t>
        </is>
      </c>
      <c r="Q333" s="18" t="inlineStr">
        <is>
          <t>Regla estructural (redacción revisada)</t>
        </is>
      </c>
      <c r="R333" s="18" t="inlineStr">
        <is>
          <t>Observaciones sobre la asignatura.</t>
        </is>
      </c>
      <c r="S333" s="18" t="inlineStr">
        <is>
          <t>Alta</t>
        </is>
      </c>
      <c r="T333" s="18" t="inlineStr">
        <is>
          <t>Convención de nombre, redactada con el contexto de la tabla y el código.</t>
        </is>
      </c>
      <c r="U333" s="18" t="inlineStr"/>
      <c r="V333" s="19" t="inlineStr">
        <is>
          <t>Aprobada</t>
        </is>
      </c>
      <c r="W333" s="19" t="inlineStr"/>
      <c r="X333" s="19" t="inlineStr">
        <is>
          <t>Aldair González (aprobación en bloque)</t>
        </is>
      </c>
      <c r="Y333" s="20" t="n">
        <v>46321</v>
      </c>
      <c r="Z333" s="19" t="inlineStr">
        <is>
          <t>Nivel 2: regla estructural con redacción revisada.</t>
        </is>
      </c>
      <c r="AA333" s="18">
        <f>IF(OR(V333="Aprobada"),R333,IF(AND(OR(V333="Aprobada con ajuste",V333="Rechazada"),W333&lt;&gt;""),W333,""))</f>
        <v/>
      </c>
    </row>
    <row r="334">
      <c r="A334" s="18" t="inlineStr">
        <is>
          <t>C0333</t>
        </is>
      </c>
      <c r="B334" s="18" t="inlineStr">
        <is>
          <t>Plan de trabajo académico</t>
        </is>
      </c>
      <c r="C334" s="18" t="inlineStr">
        <is>
          <t>academic_work_plan</t>
        </is>
      </c>
      <c r="D334" s="18" t="inlineStr">
        <is>
          <t>asignatura</t>
        </is>
      </c>
      <c r="E334" s="18" t="n">
        <v>503</v>
      </c>
      <c r="F334" s="18" t="inlineStr">
        <is>
          <t>deleted_at</t>
        </is>
      </c>
      <c r="G334" s="18" t="inlineStr">
        <is>
          <t>timestamp without time zone</t>
        </is>
      </c>
      <c r="H334" s="18" t="inlineStr">
        <is>
          <t>Sí</t>
        </is>
      </c>
      <c r="I334" s="18" t="inlineStr"/>
      <c r="J334" s="18" t="inlineStr"/>
      <c r="K334" s="18" t="inlineStr"/>
      <c r="L334" s="18" t="inlineStr">
        <is>
          <t>No</t>
        </is>
      </c>
      <c r="M334" s="18" t="inlineStr">
        <is>
          <t>No</t>
        </is>
      </c>
      <c r="N334" s="18" t="inlineStr"/>
      <c r="O334" s="18" t="inlineStr"/>
      <c r="P334" s="18" t="inlineStr">
        <is>
          <t>Mapeada en academic-work-plan-service/src/pta/entities/asignatura.entity.ts:97 (AsignaturaEntity.deletedAt)</t>
        </is>
      </c>
      <c r="Q334" s="18" t="inlineStr">
        <is>
          <t>Regla estructural</t>
        </is>
      </c>
      <c r="R334" s="18" t="inlineStr">
        <is>
          <t>Fecha y hora de la eliminación.</t>
        </is>
      </c>
      <c r="S334" s="18" t="inlineStr">
        <is>
          <t>Media</t>
        </is>
      </c>
      <c r="T334" s="18" t="inlineStr">
        <is>
          <t>Convención de nombre de la columna.</t>
        </is>
      </c>
      <c r="U334" s="18" t="inlineStr"/>
      <c r="V334" s="19" t="inlineStr">
        <is>
          <t>Aprobada</t>
        </is>
      </c>
      <c r="W334" s="19" t="inlineStr"/>
      <c r="X334" s="19" t="inlineStr">
        <is>
          <t>Aldair González (aprobación en bloque)</t>
        </is>
      </c>
      <c r="Y334" s="20" t="n">
        <v>46321</v>
      </c>
      <c r="Z334" s="19" t="inlineStr">
        <is>
          <t>Nivel 1: propuesta del comentario del desarrollador o de confianza alta, o regla de fecha/responsable/motivo.</t>
        </is>
      </c>
      <c r="AA334" s="18">
        <f>IF(OR(V334="Aprobada"),R334,IF(AND(OR(V334="Aprobada con ajuste",V334="Rechazada"),W334&lt;&gt;""),W334,""))</f>
        <v/>
      </c>
    </row>
    <row r="335">
      <c r="A335" s="18" t="inlineStr">
        <is>
          <t>C0334</t>
        </is>
      </c>
      <c r="B335" s="18" t="inlineStr">
        <is>
          <t>Plan de trabajo académico</t>
        </is>
      </c>
      <c r="C335" s="18" t="inlineStr">
        <is>
          <t>academic_work_plan</t>
        </is>
      </c>
      <c r="D335" s="18" t="inlineStr">
        <is>
          <t>asignatura</t>
        </is>
      </c>
      <c r="E335" s="18" t="n">
        <v>503</v>
      </c>
      <c r="F335" s="18" t="inlineStr">
        <is>
          <t>deleted_by</t>
        </is>
      </c>
      <c r="G335" s="18" t="inlineStr">
        <is>
          <t>bigint</t>
        </is>
      </c>
      <c r="H335" s="18" t="inlineStr">
        <is>
          <t>Sí</t>
        </is>
      </c>
      <c r="I335" s="18" t="inlineStr"/>
      <c r="J335" s="18" t="inlineStr"/>
      <c r="K335" s="18" t="inlineStr"/>
      <c r="L335" s="18" t="inlineStr">
        <is>
          <t>No</t>
        </is>
      </c>
      <c r="M335" s="18" t="inlineStr">
        <is>
          <t>No</t>
        </is>
      </c>
      <c r="N335" s="18" t="inlineStr"/>
      <c r="O335" s="18" t="inlineStr"/>
      <c r="P335" s="18" t="inlineStr">
        <is>
          <t>Mapeada en academic-work-plan-service/src/pta/entities/asignatura.entity.ts:100 (AsignaturaEntity.deletedBy)</t>
        </is>
      </c>
      <c r="Q335" s="18" t="inlineStr">
        <is>
          <t>Código fuente (verificado)</t>
        </is>
      </c>
      <c r="R335" s="18" t="inlineStr">
        <is>
          <t>Identificador del usuario que eliminó lógicamente el registro; el servicio actual no llena esta columna.</t>
        </is>
      </c>
      <c r="S335" s="18" t="inlineStr">
        <is>
          <t>Media</t>
        </is>
      </c>
      <c r="T335" s="18" t="inlineStr">
        <is>
          <t>academic-work-plan-service/src/pta/entities/asignatura.entity.ts:100: columna mapeada sin escritura en el servicio</t>
        </is>
      </c>
      <c r="U335" s="18" t="inlineStr">
        <is>
          <t>¿deleted_by guarda el id_user de auth."user" u otro identificador, y qué proceso lo llena?</t>
        </is>
      </c>
      <c r="V335" s="19" t="inlineStr">
        <is>
          <t>Aprobada</t>
        </is>
      </c>
      <c r="W335" s="19" t="inlineStr"/>
      <c r="X335" s="19" t="inlineStr">
        <is>
          <t>Aldair González (validación del responsable de BD)</t>
        </is>
      </c>
      <c r="Y335" s="20" t="n">
        <v>46321</v>
      </c>
      <c r="Z335" s="19" t="inlineStr">
        <is>
          <t>Nivel 3: validada por decisión del responsable de la base de datos. Pregunta registrada para desarrollo: ¿deleted_by guarda el id_user de auth."user" u otro identificador, y qué proceso lo llena?</t>
        </is>
      </c>
      <c r="AA335" s="18">
        <f>IF(OR(V335="Aprobada"),R335,IF(AND(OR(V335="Aprobada con ajuste",V335="Rechazada"),W335&lt;&gt;""),W335,""))</f>
        <v/>
      </c>
    </row>
    <row r="336">
      <c r="A336" s="18" t="inlineStr">
        <is>
          <t>C0335</t>
        </is>
      </c>
      <c r="B336" s="18" t="inlineStr">
        <is>
          <t>Plan de trabajo académico</t>
        </is>
      </c>
      <c r="C336" s="18" t="inlineStr">
        <is>
          <t>academic_work_plan</t>
        </is>
      </c>
      <c r="D336" s="18" t="inlineStr">
        <is>
          <t>asignatura</t>
        </is>
      </c>
      <c r="E336" s="18" t="n">
        <v>503</v>
      </c>
      <c r="F336" s="18" t="inlineStr">
        <is>
          <t>tipo_asignatura</t>
        </is>
      </c>
      <c r="G336" s="18" t="inlineStr">
        <is>
          <t>character varying(30)</t>
        </is>
      </c>
      <c r="H336" s="18" t="inlineStr">
        <is>
          <t>No</t>
        </is>
      </c>
      <c r="I336" s="18" t="inlineStr">
        <is>
          <t>CHECK</t>
        </is>
      </c>
      <c r="J336" s="18" t="inlineStr">
        <is>
          <t>laboratorio, practica, seminario, taller, teorica</t>
        </is>
      </c>
      <c r="K336" s="18" t="inlineStr"/>
      <c r="L336" s="18" t="inlineStr">
        <is>
          <t>Sí</t>
        </is>
      </c>
      <c r="M336" s="18" t="inlineStr">
        <is>
          <t>No</t>
        </is>
      </c>
      <c r="N336" s="18" t="inlineStr"/>
      <c r="O336" s="18" t="inlineStr"/>
      <c r="P336" s="18" t="inlineStr">
        <is>
          <t>Mapeada en academic-work-plan-service/src/pta/entities/asignatura.entity.ts:73 (AsignaturaEntity.tipoAsignatura)</t>
        </is>
      </c>
      <c r="Q336" s="18" t="inlineStr">
        <is>
          <t>Propuesta semántica</t>
        </is>
      </c>
      <c r="R336" s="18" t="inlineStr">
        <is>
          <t>Tipo de asignatura según su forma de desarrollo. Valores permitidos: laboratorio, practica, seminario, taller, teorica. Por defecto, teorica.</t>
        </is>
      </c>
      <c r="S336" s="18" t="inlineStr">
        <is>
          <t>Alta</t>
        </is>
      </c>
      <c r="T336" s="18" t="inlineStr">
        <is>
          <t>valores permitidos del CHECK</t>
        </is>
      </c>
      <c r="U336" s="18" t="inlineStr"/>
      <c r="V336" s="19" t="inlineStr">
        <is>
          <t>Aprobada</t>
        </is>
      </c>
      <c r="W336" s="19" t="inlineStr"/>
      <c r="X336" s="19" t="inlineStr">
        <is>
          <t>Aldair González (aprobación en bloque)</t>
        </is>
      </c>
      <c r="Y336" s="20" t="n">
        <v>46321</v>
      </c>
      <c r="Z336" s="19" t="inlineStr">
        <is>
          <t>Nivel 1: propuesta del comentario del desarrollador o de confianza alta, o regla de fecha/responsable/motivo.</t>
        </is>
      </c>
      <c r="AA336" s="18">
        <f>IF(OR(V336="Aprobada"),R336,IF(AND(OR(V336="Aprobada con ajuste",V336="Rechazada"),W336&lt;&gt;""),W336,""))</f>
        <v/>
      </c>
    </row>
    <row r="337">
      <c r="A337" s="18" t="inlineStr">
        <is>
          <t>C0336</t>
        </is>
      </c>
      <c r="B337" s="18" t="inlineStr">
        <is>
          <t>Plan de trabajo académico</t>
        </is>
      </c>
      <c r="C337" s="18" t="inlineStr">
        <is>
          <t>academic_work_plan</t>
        </is>
      </c>
      <c r="D337" s="18" t="inlineStr">
        <is>
          <t>asignatura</t>
        </is>
      </c>
      <c r="E337" s="18" t="n">
        <v>503</v>
      </c>
      <c r="F337" s="18" t="inlineStr">
        <is>
          <t>pensum</t>
        </is>
      </c>
      <c r="G337" s="18" t="inlineStr">
        <is>
          <t>character varying(50)</t>
        </is>
      </c>
      <c r="H337" s="18" t="inlineStr">
        <is>
          <t>Sí</t>
        </is>
      </c>
      <c r="I337" s="18" t="inlineStr"/>
      <c r="J337" s="18" t="inlineStr"/>
      <c r="K337" s="18" t="inlineStr"/>
      <c r="L337" s="18" t="inlineStr">
        <is>
          <t>No</t>
        </is>
      </c>
      <c r="M337" s="18" t="inlineStr">
        <is>
          <t>No</t>
        </is>
      </c>
      <c r="N337" s="18" t="inlineStr"/>
      <c r="O337" s="18" t="inlineStr">
        <is>
          <t>idx_asig_programa_pensum</t>
        </is>
      </c>
      <c r="P337" s="18" t="inlineStr">
        <is>
          <t>Mapeada en academic-work-plan-service/src/pta/entities/asignatura.entity.ts:21 (AsignaturaEntity.pensum)</t>
        </is>
      </c>
      <c r="Q337" s="18" t="inlineStr">
        <is>
          <t>Código fuente (verificado)</t>
        </is>
      </c>
      <c r="R337" s="18" t="inlineStr">
        <is>
          <t>Plan de estudios (pensum) al que pertenece la asignatura, cargado desde la columna Pensum de la plantilla de importación; se usa para filtrar asignaturas por programa y pensum.</t>
        </is>
      </c>
      <c r="S337" s="18" t="inlineStr">
        <is>
          <t>Media</t>
        </is>
      </c>
      <c r="T337" s="18" t="inlineStr">
        <is>
          <t>academic-work-plan-service/src/pta/asignaturas-import/parsers/excel-parser.service.ts:174: pensum de la plantilla | db/migrations/393_expand_academic_catalog_pensum.sql:14: columna pensum para la cascada Programa, Pensum, Asignatura | academic-work-plan-service/src/pta/cascada.controller.ts:188: filtro por pensum</t>
        </is>
      </c>
      <c r="U337" s="18" t="inlineStr">
        <is>
          <t>¿Qué formato tiene el pensum (año, código de versión)?</t>
        </is>
      </c>
      <c r="V337" s="19" t="inlineStr">
        <is>
          <t>Aprobada</t>
        </is>
      </c>
      <c r="W337" s="19" t="inlineStr"/>
      <c r="X337" s="19" t="inlineStr">
        <is>
          <t>Aldair González (validación del responsable de BD)</t>
        </is>
      </c>
      <c r="Y337" s="20" t="n">
        <v>46321</v>
      </c>
      <c r="Z337" s="19" t="inlineStr">
        <is>
          <t>Nivel 3: validada por decisión del responsable de la base de datos. Pregunta registrada para desarrollo: ¿Qué formato tiene el pensum (año, código de versión)?</t>
        </is>
      </c>
      <c r="AA337" s="18">
        <f>IF(OR(V337="Aprobada"),R337,IF(AND(OR(V337="Aprobada con ajuste",V337="Rechazada"),W337&lt;&gt;""),W337,""))</f>
        <v/>
      </c>
    </row>
    <row r="338">
      <c r="A338" s="18" t="inlineStr">
        <is>
          <t>C0337</t>
        </is>
      </c>
      <c r="B338" s="18" t="inlineStr">
        <is>
          <t>Plan de trabajo académico</t>
        </is>
      </c>
      <c r="C338" s="18" t="inlineStr">
        <is>
          <t>academic_work_plan</t>
        </is>
      </c>
      <c r="D338" s="18" t="inlineStr">
        <is>
          <t>asignatura</t>
        </is>
      </c>
      <c r="E338" s="18" t="n">
        <v>503</v>
      </c>
      <c r="F338" s="18" t="inlineStr">
        <is>
          <t>horas_clase</t>
        </is>
      </c>
      <c r="G338" s="18" t="inlineStr">
        <is>
          <t>integer</t>
        </is>
      </c>
      <c r="H338" s="18" t="inlineStr">
        <is>
          <t>Sí</t>
        </is>
      </c>
      <c r="I338" s="18" t="inlineStr">
        <is>
          <t>CHECK</t>
        </is>
      </c>
      <c r="J338" s="18" t="inlineStr"/>
      <c r="K338" s="18" t="inlineStr"/>
      <c r="L338" s="18" t="inlineStr">
        <is>
          <t>No</t>
        </is>
      </c>
      <c r="M338" s="18" t="inlineStr">
        <is>
          <t>No</t>
        </is>
      </c>
      <c r="N338" s="18" t="inlineStr"/>
      <c r="O338" s="18" t="inlineStr"/>
      <c r="P338" s="18" t="inlineStr">
        <is>
          <t>Mapeada en academic-work-plan-service/src/pta/entities/asignatura.entity.ts:67 (AsignaturaEntity.horasClase)</t>
        </is>
      </c>
      <c r="Q338" s="18" t="inlineStr">
        <is>
          <t>Código fuente (verificado)</t>
        </is>
      </c>
      <c r="R338" s="18" t="inlineStr">
        <is>
          <t>Número de horas de clase de la asignatura, cargado desde la plantilla de importación; si falta, se calcula como las horas PTA divididas por 3.</t>
        </is>
      </c>
      <c r="S338" s="18" t="inlineStr">
        <is>
          <t>Media</t>
        </is>
      </c>
      <c r="T338" s="18" t="inlineStr">
        <is>
          <t>academic-work-plan-service/src/pta/asignaturas-import/asignaturas-import.service.ts:1229: horas_clase de la plantilla | academic-work-plan-service/src/pta/cascada.controller.ts:211: horas_clase o horas PTA / 3 | academic-work-plan-service/src/pta/horas-pta.calculator.ts:35: horas PTA = créditos × horas base por crédito × 3</t>
        </is>
      </c>
      <c r="U338" s="18" t="inlineStr">
        <is>
          <t>¿Las horas de clase son semanales o del semestre completo?</t>
        </is>
      </c>
      <c r="V338" s="19" t="inlineStr">
        <is>
          <t>Aprobada</t>
        </is>
      </c>
      <c r="W338" s="19" t="inlineStr"/>
      <c r="X338" s="19" t="inlineStr">
        <is>
          <t>Aldair González (validación del responsable de BD)</t>
        </is>
      </c>
      <c r="Y338" s="20" t="n">
        <v>46321</v>
      </c>
      <c r="Z338" s="19" t="inlineStr">
        <is>
          <t>Nivel 3: validada por decisión del responsable de la base de datos. Pregunta registrada para desarrollo: ¿Las horas de clase son semanales o del semestre completo?</t>
        </is>
      </c>
      <c r="AA338" s="18">
        <f>IF(OR(V338="Aprobada"),R338,IF(AND(OR(V338="Aprobada con ajuste",V338="Rechazada"),W338&lt;&gt;""),W338,""))</f>
        <v/>
      </c>
    </row>
    <row r="339">
      <c r="A339" s="18" t="inlineStr">
        <is>
          <t>C0338</t>
        </is>
      </c>
      <c r="B339" s="18" t="inlineStr">
        <is>
          <t>Plan de trabajo académico</t>
        </is>
      </c>
      <c r="C339" s="18" t="inlineStr">
        <is>
          <t>academic_work_plan</t>
        </is>
      </c>
      <c r="D339" s="18" t="inlineStr">
        <is>
          <t>asignatura</t>
        </is>
      </c>
      <c r="E339" s="18" t="n">
        <v>503</v>
      </c>
      <c r="F339" s="18" t="inlineStr">
        <is>
          <t>horas_pta</t>
        </is>
      </c>
      <c r="G339" s="18" t="inlineStr">
        <is>
          <t>integer</t>
        </is>
      </c>
      <c r="H339" s="18" t="inlineStr">
        <is>
          <t>Sí</t>
        </is>
      </c>
      <c r="I339" s="18" t="inlineStr">
        <is>
          <t>CHECK</t>
        </is>
      </c>
      <c r="J339" s="18" t="inlineStr"/>
      <c r="K339" s="18" t="inlineStr"/>
      <c r="L339" s="18" t="inlineStr">
        <is>
          <t>No</t>
        </is>
      </c>
      <c r="M339" s="18" t="inlineStr">
        <is>
          <t>No</t>
        </is>
      </c>
      <c r="N339" s="18" t="inlineStr"/>
      <c r="O339" s="18" t="inlineStr"/>
      <c r="P339" s="18" t="inlineStr">
        <is>
          <t>academic-schedule-service/src/catalogo/entities/asignatura.readonly.entity.ts:40: Horas del PTA, ya con el factor de carga aplicado. Se expone tal cual.</t>
        </is>
      </c>
      <c r="Q339" s="18" t="inlineStr">
        <is>
          <t>Código fuente</t>
        </is>
      </c>
      <c r="R339" s="18" t="inlineStr">
        <is>
          <t>Horas de la asignatura en el PTA, con el factor de carga ya aplicado.</t>
        </is>
      </c>
      <c r="S339" s="18" t="inlineStr">
        <is>
          <t>Alta</t>
        </is>
      </c>
      <c r="T339" s="18" t="inlineStr">
        <is>
          <t>código: academic-schedule-service/src/catalogo/entities/asignatura.readonly.entity.ts:40</t>
        </is>
      </c>
      <c r="U339" s="18" t="inlineStr"/>
      <c r="V339" s="19" t="inlineStr">
        <is>
          <t>Aprobada</t>
        </is>
      </c>
      <c r="W339" s="19" t="inlineStr"/>
      <c r="X339" s="19" t="inlineStr">
        <is>
          <t>Aldair González (aprobación en bloque)</t>
        </is>
      </c>
      <c r="Y339" s="20" t="n">
        <v>46321</v>
      </c>
      <c r="Z339" s="19" t="inlineStr">
        <is>
          <t>Nivel 1: propuesta del comentario del desarrollador o de confianza alta, o regla de fecha/responsable/motivo.</t>
        </is>
      </c>
      <c r="AA339" s="18">
        <f>IF(OR(V339="Aprobada"),R339,IF(AND(OR(V339="Aprobada con ajuste",V339="Rechazada"),W339&lt;&gt;""),W339,""))</f>
        <v/>
      </c>
    </row>
    <row r="340">
      <c r="A340" s="18" t="inlineStr">
        <is>
          <t>C0339</t>
        </is>
      </c>
      <c r="B340" s="18" t="inlineStr">
        <is>
          <t>Plan de trabajo académico</t>
        </is>
      </c>
      <c r="C340" s="18" t="inlineStr">
        <is>
          <t>academic_work_plan</t>
        </is>
      </c>
      <c r="D340" s="18" t="inlineStr">
        <is>
          <t>AuditLog</t>
        </is>
      </c>
      <c r="E340" s="18" t="n">
        <v>2</v>
      </c>
      <c r="F340" s="18" t="inlineStr">
        <is>
          <t>timestamp</t>
        </is>
      </c>
      <c r="G340" s="18" t="inlineStr">
        <is>
          <t>timestamp(3) without time zone</t>
        </is>
      </c>
      <c r="H340" s="18" t="inlineStr">
        <is>
          <t>No</t>
        </is>
      </c>
      <c r="I340" s="18" t="inlineStr"/>
      <c r="J340" s="18" t="inlineStr"/>
      <c r="K340" s="18" t="inlineStr"/>
      <c r="L340" s="18" t="inlineStr">
        <is>
          <t>No</t>
        </is>
      </c>
      <c r="M340" s="18" t="inlineStr">
        <is>
          <t>No</t>
        </is>
      </c>
      <c r="N340" s="18" t="inlineStr"/>
      <c r="O340" s="18" t="inlineStr">
        <is>
          <t>AuditLog_timestamp_idx</t>
        </is>
      </c>
      <c r="P340" s="18" t="inlineStr"/>
      <c r="Q340" s="18" t="inlineStr">
        <is>
          <t>Propuesta semántica</t>
        </is>
      </c>
      <c r="R340" s="18" t="inlineStr">
        <is>
          <t>Fecha y hora del evento auditado; por defecto, la fecha y hora de registro.</t>
        </is>
      </c>
      <c r="S340" s="18" t="inlineStr">
        <is>
          <t>Alta</t>
        </is>
      </c>
      <c r="T340" s="18" t="inlineStr">
        <is>
          <t>nombre + tipo + columnas vecinas + defecto</t>
        </is>
      </c>
      <c r="U340" s="18" t="inlineStr"/>
      <c r="V340" s="19" t="inlineStr">
        <is>
          <t>Aprobada</t>
        </is>
      </c>
      <c r="W340" s="19" t="inlineStr"/>
      <c r="X340" s="19" t="inlineStr">
        <is>
          <t>Aldair González (aprobación en bloque)</t>
        </is>
      </c>
      <c r="Y340" s="20" t="n">
        <v>46321</v>
      </c>
      <c r="Z340" s="19" t="inlineStr">
        <is>
          <t>Nivel 1: propuesta del comentario del desarrollador o de confianza alta, o regla de fecha/responsable/motivo.</t>
        </is>
      </c>
      <c r="AA340" s="18">
        <f>IF(OR(V340="Aprobada"),R340,IF(AND(OR(V340="Aprobada con ajuste",V340="Rechazada"),W340&lt;&gt;""),W340,""))</f>
        <v/>
      </c>
    </row>
    <row r="341">
      <c r="A341" s="18" t="inlineStr">
        <is>
          <t>C0340</t>
        </is>
      </c>
      <c r="B341" s="18" t="inlineStr">
        <is>
          <t>Plan de trabajo académico</t>
        </is>
      </c>
      <c r="C341" s="18" t="inlineStr">
        <is>
          <t>academic_work_plan</t>
        </is>
      </c>
      <c r="D341" s="18" t="inlineStr">
        <is>
          <t>AuditLog</t>
        </is>
      </c>
      <c r="E341" s="18" t="n">
        <v>2</v>
      </c>
      <c r="F341" s="18" t="inlineStr">
        <is>
          <t>usuario_id</t>
        </is>
      </c>
      <c r="G341" s="18" t="inlineStr">
        <is>
          <t>text</t>
        </is>
      </c>
      <c r="H341" s="18" t="inlineStr">
        <is>
          <t>Sí</t>
        </is>
      </c>
      <c r="I341" s="18" t="inlineStr"/>
      <c r="J341" s="18" t="inlineStr"/>
      <c r="K341" s="18" t="inlineStr"/>
      <c r="L341" s="18" t="inlineStr">
        <is>
          <t>No</t>
        </is>
      </c>
      <c r="M341" s="18" t="inlineStr">
        <is>
          <t>No</t>
        </is>
      </c>
      <c r="N341" s="18" t="inlineStr"/>
      <c r="O341" s="18" t="inlineStr"/>
      <c r="P341" s="18" t="inlineStr"/>
      <c r="Q341" s="18" t="inlineStr">
        <is>
          <t>Código fuente (verificado)</t>
        </is>
      </c>
      <c r="R341" s="18" t="inlineStr">
        <is>
          <t>Identificador del usuario que realizó la acción.</t>
        </is>
      </c>
      <c r="S341" s="18" t="inlineStr">
        <is>
          <t>Media</t>
        </is>
      </c>
      <c r="T341" s="18" t="inlineStr">
        <is>
          <t>Sin evidencia utilizable: la columna no se lee ni se escribe en academic-work-plan-service/src; su definición solo aparece en una migración que también carga datos (no se cita)</t>
        </is>
      </c>
      <c r="U341" s="18" t="inlineStr">
        <is>
          <t>¿A qué tabla de usuarios corresponde usuario_id y qué proceso escribe en AuditLog?</t>
        </is>
      </c>
      <c r="V341" s="19" t="inlineStr">
        <is>
          <t>Aprobada</t>
        </is>
      </c>
      <c r="W341" s="19" t="inlineStr"/>
      <c r="X341" s="19" t="inlineStr">
        <is>
          <t>Aldair González (validación del responsable de BD)</t>
        </is>
      </c>
      <c r="Y341" s="20" t="n">
        <v>46321</v>
      </c>
      <c r="Z341" s="19" t="inlineStr">
        <is>
          <t>Nivel 3: validada por decisión del responsable de la base de datos. Pregunta registrada para desarrollo: ¿A qué tabla de usuarios corresponde usuario_id y qué proceso escribe en AuditLog?</t>
        </is>
      </c>
      <c r="AA341" s="18">
        <f>IF(OR(V341="Aprobada"),R341,IF(AND(OR(V341="Aprobada con ajuste",V341="Rechazada"),W341&lt;&gt;""),W341,""))</f>
        <v/>
      </c>
    </row>
    <row r="342">
      <c r="A342" s="18" t="inlineStr">
        <is>
          <t>C0341</t>
        </is>
      </c>
      <c r="B342" s="18" t="inlineStr">
        <is>
          <t>Plan de trabajo académico</t>
        </is>
      </c>
      <c r="C342" s="18" t="inlineStr">
        <is>
          <t>academic_work_plan</t>
        </is>
      </c>
      <c r="D342" s="18" t="inlineStr">
        <is>
          <t>AuditLog</t>
        </is>
      </c>
      <c r="E342" s="18" t="n">
        <v>2</v>
      </c>
      <c r="F342" s="18" t="inlineStr">
        <is>
          <t>usuario_nombre</t>
        </is>
      </c>
      <c r="G342" s="18" t="inlineStr">
        <is>
          <t>text</t>
        </is>
      </c>
      <c r="H342" s="18" t="inlineStr">
        <is>
          <t>Sí</t>
        </is>
      </c>
      <c r="I342" s="18" t="inlineStr"/>
      <c r="J342" s="18" t="inlineStr"/>
      <c r="K342" s="18" t="inlineStr"/>
      <c r="L342" s="18" t="inlineStr">
        <is>
          <t>No</t>
        </is>
      </c>
      <c r="M342" s="18" t="inlineStr">
        <is>
          <t>No</t>
        </is>
      </c>
      <c r="N342" s="18" t="inlineStr"/>
      <c r="O342" s="18" t="inlineStr"/>
      <c r="P342" s="18" t="inlineStr"/>
      <c r="Q342" s="18" t="inlineStr">
        <is>
          <t>Propuesta semántica</t>
        </is>
      </c>
      <c r="R342" s="18" t="inlineStr">
        <is>
          <t>Nombre del usuario que realizó la acción.</t>
        </is>
      </c>
      <c r="S342" s="18" t="inlineStr">
        <is>
          <t>Alta</t>
        </is>
      </c>
      <c r="T342" s="18" t="inlineStr">
        <is>
          <t>nombre + tipo + columnas vecinas</t>
        </is>
      </c>
      <c r="U342" s="18" t="inlineStr"/>
      <c r="V342" s="19" t="inlineStr">
        <is>
          <t>Aprobada</t>
        </is>
      </c>
      <c r="W342" s="19" t="inlineStr"/>
      <c r="X342" s="19" t="inlineStr">
        <is>
          <t>Aldair González (aprobación en bloque)</t>
        </is>
      </c>
      <c r="Y342" s="20" t="n">
        <v>46321</v>
      </c>
      <c r="Z342" s="19" t="inlineStr">
        <is>
          <t>Nivel 1: propuesta del comentario del desarrollador o de confianza alta, o regla de fecha/responsable/motivo.</t>
        </is>
      </c>
      <c r="AA342" s="18">
        <f>IF(OR(V342="Aprobada"),R342,IF(AND(OR(V342="Aprobada con ajuste",V342="Rechazada"),W342&lt;&gt;""),W342,""))</f>
        <v/>
      </c>
    </row>
    <row r="343">
      <c r="A343" s="18" t="inlineStr">
        <is>
          <t>C0342</t>
        </is>
      </c>
      <c r="B343" s="18" t="inlineStr">
        <is>
          <t>Plan de trabajo académico</t>
        </is>
      </c>
      <c r="C343" s="18" t="inlineStr">
        <is>
          <t>academic_work_plan</t>
        </is>
      </c>
      <c r="D343" s="18" t="inlineStr">
        <is>
          <t>AuditLog</t>
        </is>
      </c>
      <c r="E343" s="18" t="n">
        <v>2</v>
      </c>
      <c r="F343" s="18" t="inlineStr">
        <is>
          <t>usuario_email</t>
        </is>
      </c>
      <c r="G343" s="18" t="inlineStr">
        <is>
          <t>text</t>
        </is>
      </c>
      <c r="H343" s="18" t="inlineStr">
        <is>
          <t>Sí</t>
        </is>
      </c>
      <c r="I343" s="18" t="inlineStr"/>
      <c r="J343" s="18" t="inlineStr"/>
      <c r="K343" s="18" t="inlineStr"/>
      <c r="L343" s="18" t="inlineStr">
        <is>
          <t>No</t>
        </is>
      </c>
      <c r="M343" s="18" t="inlineStr">
        <is>
          <t>No</t>
        </is>
      </c>
      <c r="N343" s="18" t="inlineStr"/>
      <c r="O343" s="18" t="inlineStr"/>
      <c r="P343" s="18" t="inlineStr"/>
      <c r="Q343" s="18" t="inlineStr">
        <is>
          <t>Propuesta semántica</t>
        </is>
      </c>
      <c r="R343" s="18" t="inlineStr">
        <is>
          <t>Correo electrónico del usuario que realizó la acción.</t>
        </is>
      </c>
      <c r="S343" s="18" t="inlineStr">
        <is>
          <t>Alta</t>
        </is>
      </c>
      <c r="T343" s="18" t="inlineStr">
        <is>
          <t>nombre + tipo + columnas vecinas</t>
        </is>
      </c>
      <c r="U343" s="18" t="inlineStr"/>
      <c r="V343" s="19" t="inlineStr">
        <is>
          <t>Aprobada</t>
        </is>
      </c>
      <c r="W343" s="19" t="inlineStr"/>
      <c r="X343" s="19" t="inlineStr">
        <is>
          <t>Aldair González (aprobación en bloque)</t>
        </is>
      </c>
      <c r="Y343" s="20" t="n">
        <v>46321</v>
      </c>
      <c r="Z343" s="19" t="inlineStr">
        <is>
          <t>Nivel 1: propuesta del comentario del desarrollador o de confianza alta, o regla de fecha/responsable/motivo.</t>
        </is>
      </c>
      <c r="AA343" s="18">
        <f>IF(OR(V343="Aprobada"),R343,IF(AND(OR(V343="Aprobada con ajuste",V343="Rechazada"),W343&lt;&gt;""),W343,""))</f>
        <v/>
      </c>
    </row>
    <row r="344">
      <c r="A344" s="18" t="inlineStr">
        <is>
          <t>C0343</t>
        </is>
      </c>
      <c r="B344" s="18" t="inlineStr">
        <is>
          <t>Plan de trabajo académico</t>
        </is>
      </c>
      <c r="C344" s="18" t="inlineStr">
        <is>
          <t>academic_work_plan</t>
        </is>
      </c>
      <c r="D344" s="18" t="inlineStr">
        <is>
          <t>AuditLog</t>
        </is>
      </c>
      <c r="E344" s="18" t="n">
        <v>2</v>
      </c>
      <c r="F344" s="18" t="inlineStr">
        <is>
          <t>accion</t>
        </is>
      </c>
      <c r="G344" s="18" t="inlineStr">
        <is>
          <t>text</t>
        </is>
      </c>
      <c r="H344" s="18" t="inlineStr">
        <is>
          <t>No</t>
        </is>
      </c>
      <c r="I344" s="18" t="inlineStr"/>
      <c r="J344" s="18" t="inlineStr"/>
      <c r="K344" s="18" t="inlineStr"/>
      <c r="L344" s="18" t="inlineStr">
        <is>
          <t>No</t>
        </is>
      </c>
      <c r="M344" s="18" t="inlineStr">
        <is>
          <t>No</t>
        </is>
      </c>
      <c r="N344" s="18" t="inlineStr"/>
      <c r="O344" s="18" t="inlineStr">
        <is>
          <t>AuditLog_accion_idx</t>
        </is>
      </c>
      <c r="P344" s="18" t="inlineStr"/>
      <c r="Q344" s="18" t="inlineStr">
        <is>
          <t>Código fuente (verificado)</t>
        </is>
      </c>
      <c r="R344" s="18" t="inlineStr">
        <is>
          <t>Acción realizada por el usuario.</t>
        </is>
      </c>
      <c r="S344" s="18" t="inlineStr">
        <is>
          <t>Media</t>
        </is>
      </c>
      <c r="T344" s="18" t="inlineStr">
        <is>
          <t>Sin evidencia utilizable: la columna no se lee ni se escribe en academic-work-plan-service/src; su definición solo aparece en una migración que también carga datos (no se cita)</t>
        </is>
      </c>
      <c r="U344" s="18" t="inlineStr">
        <is>
          <t>¿Qué valores toma accion?</t>
        </is>
      </c>
      <c r="V344" s="19" t="inlineStr">
        <is>
          <t>Aprobada</t>
        </is>
      </c>
      <c r="W344" s="19" t="inlineStr"/>
      <c r="X344" s="19" t="inlineStr">
        <is>
          <t>Aldair González (validación del responsable de BD)</t>
        </is>
      </c>
      <c r="Y344" s="20" t="n">
        <v>46321</v>
      </c>
      <c r="Z344" s="19" t="inlineStr">
        <is>
          <t>Nivel 3: validada por decisión del responsable de la base de datos. Pregunta registrada para desarrollo: ¿Qué valores toma accion?</t>
        </is>
      </c>
      <c r="AA344" s="18">
        <f>IF(OR(V344="Aprobada"),R344,IF(AND(OR(V344="Aprobada con ajuste",V344="Rechazada"),W344&lt;&gt;""),W344,""))</f>
        <v/>
      </c>
    </row>
    <row r="345">
      <c r="A345" s="18" t="inlineStr">
        <is>
          <t>C0344</t>
        </is>
      </c>
      <c r="B345" s="18" t="inlineStr">
        <is>
          <t>Plan de trabajo académico</t>
        </is>
      </c>
      <c r="C345" s="18" t="inlineStr">
        <is>
          <t>academic_work_plan</t>
        </is>
      </c>
      <c r="D345" s="18" t="inlineStr">
        <is>
          <t>AuditLog</t>
        </is>
      </c>
      <c r="E345" s="18" t="n">
        <v>2</v>
      </c>
      <c r="F345" s="18" t="inlineStr">
        <is>
          <t>modulo</t>
        </is>
      </c>
      <c r="G345" s="18" t="inlineStr">
        <is>
          <t>text</t>
        </is>
      </c>
      <c r="H345" s="18" t="inlineStr">
        <is>
          <t>No</t>
        </is>
      </c>
      <c r="I345" s="18" t="inlineStr"/>
      <c r="J345" s="18" t="inlineStr"/>
      <c r="K345" s="18" t="inlineStr"/>
      <c r="L345" s="18" t="inlineStr">
        <is>
          <t>No</t>
        </is>
      </c>
      <c r="M345" s="18" t="inlineStr">
        <is>
          <t>No</t>
        </is>
      </c>
      <c r="N345" s="18" t="inlineStr"/>
      <c r="O345" s="18" t="inlineStr">
        <is>
          <t>AuditLog_modulo_idx</t>
        </is>
      </c>
      <c r="P345" s="18" t="inlineStr"/>
      <c r="Q345" s="18" t="inlineStr">
        <is>
          <t>Código fuente (verificado)</t>
        </is>
      </c>
      <c r="R345" s="18" t="inlineStr">
        <is>
          <t>Módulo del sistema en que se realizó la acción.</t>
        </is>
      </c>
      <c r="S345" s="18" t="inlineStr">
        <is>
          <t>Media</t>
        </is>
      </c>
      <c r="T345" s="18" t="inlineStr">
        <is>
          <t>Sin evidencia utilizable: la columna no se lee ni se escribe en academic-work-plan-service/src; su definición solo aparece en una migración que también carga datos (no se cita)</t>
        </is>
      </c>
      <c r="U345" s="18" t="inlineStr">
        <is>
          <t>¿Qué valores toma modulo?</t>
        </is>
      </c>
      <c r="V345" s="19" t="inlineStr">
        <is>
          <t>Aprobada</t>
        </is>
      </c>
      <c r="W345" s="19" t="inlineStr"/>
      <c r="X345" s="19" t="inlineStr">
        <is>
          <t>Aldair González (validación del responsable de BD)</t>
        </is>
      </c>
      <c r="Y345" s="20" t="n">
        <v>46321</v>
      </c>
      <c r="Z345" s="19" t="inlineStr">
        <is>
          <t>Nivel 3: validada por decisión del responsable de la base de datos. Pregunta registrada para desarrollo: ¿Qué valores toma modulo?</t>
        </is>
      </c>
      <c r="AA345" s="18">
        <f>IF(OR(V345="Aprobada"),R345,IF(AND(OR(V345="Aprobada con ajuste",V345="Rechazada"),W345&lt;&gt;""),W345,""))</f>
        <v/>
      </c>
    </row>
    <row r="346">
      <c r="A346" s="18" t="inlineStr">
        <is>
          <t>C0345</t>
        </is>
      </c>
      <c r="B346" s="18" t="inlineStr">
        <is>
          <t>Plan de trabajo académico</t>
        </is>
      </c>
      <c r="C346" s="18" t="inlineStr">
        <is>
          <t>academic_work_plan</t>
        </is>
      </c>
      <c r="D346" s="18" t="inlineStr">
        <is>
          <t>AuditLog</t>
        </is>
      </c>
      <c r="E346" s="18" t="n">
        <v>2</v>
      </c>
      <c r="F346" s="18" t="inlineStr">
        <is>
          <t>entidad_tipo</t>
        </is>
      </c>
      <c r="G346" s="18" t="inlineStr">
        <is>
          <t>text</t>
        </is>
      </c>
      <c r="H346" s="18" t="inlineStr">
        <is>
          <t>Sí</t>
        </is>
      </c>
      <c r="I346" s="18" t="inlineStr"/>
      <c r="J346" s="18" t="inlineStr"/>
      <c r="K346" s="18" t="inlineStr"/>
      <c r="L346" s="18" t="inlineStr">
        <is>
          <t>No</t>
        </is>
      </c>
      <c r="M346" s="18" t="inlineStr">
        <is>
          <t>No</t>
        </is>
      </c>
      <c r="N346" s="18" t="inlineStr"/>
      <c r="O346" s="18" t="inlineStr"/>
      <c r="P346" s="18" t="inlineStr"/>
      <c r="Q346" s="18" t="inlineStr">
        <is>
          <t>Código fuente (verificado)</t>
        </is>
      </c>
      <c r="R346" s="18" t="inlineStr">
        <is>
          <t>Tipo de entidad afectada por la acción.</t>
        </is>
      </c>
      <c r="S346" s="18" t="inlineStr">
        <is>
          <t>Media</t>
        </is>
      </c>
      <c r="T346" s="18" t="inlineStr">
        <is>
          <t>Sin evidencia utilizable: la columna no se lee ni se escribe en academic-work-plan-service/src; su definición solo aparece en una migración que también carga datos (no se cita)</t>
        </is>
      </c>
      <c r="U346" s="18" t="inlineStr">
        <is>
          <t>¿Qué valores toma entidad_tipo?</t>
        </is>
      </c>
      <c r="V346" s="19" t="inlineStr">
        <is>
          <t>Aprobada</t>
        </is>
      </c>
      <c r="W346" s="19" t="inlineStr"/>
      <c r="X346" s="19" t="inlineStr">
        <is>
          <t>Aldair González (validación del responsable de BD)</t>
        </is>
      </c>
      <c r="Y346" s="20" t="n">
        <v>46321</v>
      </c>
      <c r="Z346" s="19" t="inlineStr">
        <is>
          <t>Nivel 3: validada por decisión del responsable de la base de datos. Pregunta registrada para desarrollo: ¿Qué valores toma entidad_tipo?</t>
        </is>
      </c>
      <c r="AA346" s="18">
        <f>IF(OR(V346="Aprobada"),R346,IF(AND(OR(V346="Aprobada con ajuste",V346="Rechazada"),W346&lt;&gt;""),W346,""))</f>
        <v/>
      </c>
    </row>
    <row r="347">
      <c r="A347" s="18" t="inlineStr">
        <is>
          <t>C0346</t>
        </is>
      </c>
      <c r="B347" s="18" t="inlineStr">
        <is>
          <t>Plan de trabajo académico</t>
        </is>
      </c>
      <c r="C347" s="18" t="inlineStr">
        <is>
          <t>academic_work_plan</t>
        </is>
      </c>
      <c r="D347" s="18" t="inlineStr">
        <is>
          <t>AuditLog</t>
        </is>
      </c>
      <c r="E347" s="18" t="n">
        <v>2</v>
      </c>
      <c r="F347" s="18" t="inlineStr">
        <is>
          <t>entidad_id</t>
        </is>
      </c>
      <c r="G347" s="18" t="inlineStr">
        <is>
          <t>text</t>
        </is>
      </c>
      <c r="H347" s="18" t="inlineStr">
        <is>
          <t>Sí</t>
        </is>
      </c>
      <c r="I347" s="18" t="inlineStr"/>
      <c r="J347" s="18" t="inlineStr"/>
      <c r="K347" s="18" t="inlineStr"/>
      <c r="L347" s="18" t="inlineStr">
        <is>
          <t>No</t>
        </is>
      </c>
      <c r="M347" s="18" t="inlineStr">
        <is>
          <t>No</t>
        </is>
      </c>
      <c r="N347" s="18" t="inlineStr"/>
      <c r="O347" s="18" t="inlineStr"/>
      <c r="P347" s="18" t="inlineStr"/>
      <c r="Q347" s="18" t="inlineStr">
        <is>
          <t>Propuesta semántica</t>
        </is>
      </c>
      <c r="R347" s="18" t="inlineStr">
        <is>
          <t>Identificador del registro afectado por la acción.</t>
        </is>
      </c>
      <c r="S347" s="18" t="inlineStr">
        <is>
          <t>Alta</t>
        </is>
      </c>
      <c r="T347" s="18" t="inlineStr">
        <is>
          <t>nombre + tipo + columnas vecinas (entidad_tipo)</t>
        </is>
      </c>
      <c r="U347" s="18" t="inlineStr"/>
      <c r="V347" s="19" t="inlineStr">
        <is>
          <t>Aprobada</t>
        </is>
      </c>
      <c r="W347" s="19" t="inlineStr"/>
      <c r="X347" s="19" t="inlineStr">
        <is>
          <t>Aldair González (aprobación en bloque)</t>
        </is>
      </c>
      <c r="Y347" s="20" t="n">
        <v>46321</v>
      </c>
      <c r="Z347" s="19" t="inlineStr">
        <is>
          <t>Nivel 1: propuesta del comentario del desarrollador o de confianza alta, o regla de fecha/responsable/motivo.</t>
        </is>
      </c>
      <c r="AA347" s="18">
        <f>IF(OR(V347="Aprobada"),R347,IF(AND(OR(V347="Aprobada con ajuste",V347="Rechazada"),W347&lt;&gt;""),W347,""))</f>
        <v/>
      </c>
    </row>
    <row r="348">
      <c r="A348" s="18" t="inlineStr">
        <is>
          <t>C0347</t>
        </is>
      </c>
      <c r="B348" s="18" t="inlineStr">
        <is>
          <t>Plan de trabajo académico</t>
        </is>
      </c>
      <c r="C348" s="18" t="inlineStr">
        <is>
          <t>academic_work_plan</t>
        </is>
      </c>
      <c r="D348" s="18" t="inlineStr">
        <is>
          <t>AuditLog</t>
        </is>
      </c>
      <c r="E348" s="18" t="n">
        <v>2</v>
      </c>
      <c r="F348" s="18" t="inlineStr">
        <is>
          <t>detalles</t>
        </is>
      </c>
      <c r="G348" s="18" t="inlineStr">
        <is>
          <t>text</t>
        </is>
      </c>
      <c r="H348" s="18" t="inlineStr">
        <is>
          <t>No</t>
        </is>
      </c>
      <c r="I348" s="18" t="inlineStr"/>
      <c r="J348" s="18" t="inlineStr"/>
      <c r="K348" s="18" t="inlineStr"/>
      <c r="L348" s="18" t="inlineStr">
        <is>
          <t>No</t>
        </is>
      </c>
      <c r="M348" s="18" t="inlineStr">
        <is>
          <t>No</t>
        </is>
      </c>
      <c r="N348" s="18" t="inlineStr"/>
      <c r="O348" s="18" t="inlineStr"/>
      <c r="P348" s="18" t="inlineStr"/>
      <c r="Q348" s="18" t="inlineStr">
        <is>
          <t>Propuesta semántica</t>
        </is>
      </c>
      <c r="R348" s="18" t="inlineStr">
        <is>
          <t>Detalle de la acción realizada; vacío por defecto.</t>
        </is>
      </c>
      <c r="S348" s="18" t="inlineStr">
        <is>
          <t>Alta</t>
        </is>
      </c>
      <c r="T348" s="18" t="inlineStr">
        <is>
          <t>nombre + tipo + columnas vecinas + defecto</t>
        </is>
      </c>
      <c r="U348" s="18" t="inlineStr"/>
      <c r="V348" s="19" t="inlineStr">
        <is>
          <t>Aprobada</t>
        </is>
      </c>
      <c r="W348" s="19" t="inlineStr"/>
      <c r="X348" s="19" t="inlineStr">
        <is>
          <t>Aldair González (aprobación en bloque)</t>
        </is>
      </c>
      <c r="Y348" s="20" t="n">
        <v>46321</v>
      </c>
      <c r="Z348" s="19" t="inlineStr">
        <is>
          <t>Nivel 1: propuesta del comentario del desarrollador o de confianza alta, o regla de fecha/responsable/motivo.</t>
        </is>
      </c>
      <c r="AA348" s="18">
        <f>IF(OR(V348="Aprobada"),R348,IF(AND(OR(V348="Aprobada con ajuste",V348="Rechazada"),W348&lt;&gt;""),W348,""))</f>
        <v/>
      </c>
    </row>
    <row r="349">
      <c r="A349" s="18" t="inlineStr">
        <is>
          <t>C0348</t>
        </is>
      </c>
      <c r="B349" s="18" t="inlineStr">
        <is>
          <t>Plan de trabajo académico</t>
        </is>
      </c>
      <c r="C349" s="18" t="inlineStr">
        <is>
          <t>academic_work_plan</t>
        </is>
      </c>
      <c r="D349" s="18" t="inlineStr">
        <is>
          <t>AuditLog</t>
        </is>
      </c>
      <c r="E349" s="18" t="n">
        <v>2</v>
      </c>
      <c r="F349" s="18" t="inlineStr">
        <is>
          <t>resultado</t>
        </is>
      </c>
      <c r="G349" s="18" t="inlineStr">
        <is>
          <t>text</t>
        </is>
      </c>
      <c r="H349" s="18" t="inlineStr">
        <is>
          <t>No</t>
        </is>
      </c>
      <c r="I349" s="18" t="inlineStr"/>
      <c r="J349" s="18" t="inlineStr"/>
      <c r="K349" s="18" t="inlineStr"/>
      <c r="L349" s="18" t="inlineStr">
        <is>
          <t>No</t>
        </is>
      </c>
      <c r="M349" s="18" t="inlineStr">
        <is>
          <t>No</t>
        </is>
      </c>
      <c r="N349" s="18" t="inlineStr"/>
      <c r="O349" s="18" t="inlineStr"/>
      <c r="P349" s="18" t="inlineStr"/>
      <c r="Q349" s="18" t="inlineStr">
        <is>
          <t>Código fuente (verificado)</t>
        </is>
      </c>
      <c r="R349" s="18" t="inlineStr">
        <is>
          <t>Resultado de la acción; por defecto, «EXITO».</t>
        </is>
      </c>
      <c r="S349" s="18" t="inlineStr">
        <is>
          <t>Media</t>
        </is>
      </c>
      <c r="T349" s="18" t="inlineStr">
        <is>
          <t>Sin evidencia utilizable: la columna no se lee ni se escribe en academic-work-plan-service/src; su definición solo aparece en una migración que también carga datos (no se cita)</t>
        </is>
      </c>
      <c r="U349" s="18" t="inlineStr">
        <is>
          <t>¿Qué otros valores toma resultado además de EXITO?</t>
        </is>
      </c>
      <c r="V349" s="19" t="inlineStr">
        <is>
          <t>Aprobada</t>
        </is>
      </c>
      <c r="W349" s="19" t="inlineStr"/>
      <c r="X349" s="19" t="inlineStr">
        <is>
          <t>Aldair González (validación del responsable de BD)</t>
        </is>
      </c>
      <c r="Y349" s="20" t="n">
        <v>46321</v>
      </c>
      <c r="Z349" s="19" t="inlineStr">
        <is>
          <t>Nivel 3: validada por decisión del responsable de la base de datos. Pregunta registrada para desarrollo: ¿Qué otros valores toma resultado además de EXITO?</t>
        </is>
      </c>
      <c r="AA349" s="18">
        <f>IF(OR(V349="Aprobada"),R349,IF(AND(OR(V349="Aprobada con ajuste",V349="Rechazada"),W349&lt;&gt;""),W349,""))</f>
        <v/>
      </c>
    </row>
    <row r="350">
      <c r="A350" s="18" t="inlineStr">
        <is>
          <t>C0349</t>
        </is>
      </c>
      <c r="B350" s="18" t="inlineStr">
        <is>
          <t>Plan de trabajo académico</t>
        </is>
      </c>
      <c r="C350" s="18" t="inlineStr">
        <is>
          <t>academic_work_plan</t>
        </is>
      </c>
      <c r="D350" s="18" t="inlineStr">
        <is>
          <t>AuditLog</t>
        </is>
      </c>
      <c r="E350" s="18" t="n">
        <v>2</v>
      </c>
      <c r="F350" s="18" t="inlineStr">
        <is>
          <t>ip_address</t>
        </is>
      </c>
      <c r="G350" s="18" t="inlineStr">
        <is>
          <t>text</t>
        </is>
      </c>
      <c r="H350" s="18" t="inlineStr">
        <is>
          <t>Sí</t>
        </is>
      </c>
      <c r="I350" s="18" t="inlineStr"/>
      <c r="J350" s="18" t="inlineStr"/>
      <c r="K350" s="18" t="inlineStr"/>
      <c r="L350" s="18" t="inlineStr">
        <is>
          <t>No</t>
        </is>
      </c>
      <c r="M350" s="18" t="inlineStr">
        <is>
          <t>No</t>
        </is>
      </c>
      <c r="N350" s="18" t="inlineStr"/>
      <c r="O350" s="18" t="inlineStr"/>
      <c r="P350" s="18" t="inlineStr"/>
      <c r="Q350" s="18" t="inlineStr">
        <is>
          <t>Propuesta semántica</t>
        </is>
      </c>
      <c r="R350" s="18" t="inlineStr">
        <is>
          <t>Dirección IP desde la que se realizó la acción.</t>
        </is>
      </c>
      <c r="S350" s="18" t="inlineStr">
        <is>
          <t>Alta</t>
        </is>
      </c>
      <c r="T350" s="18" t="inlineStr">
        <is>
          <t>nombre + tipo + columnas vecinas</t>
        </is>
      </c>
      <c r="U350" s="18" t="inlineStr"/>
      <c r="V350" s="19" t="inlineStr">
        <is>
          <t>Aprobada</t>
        </is>
      </c>
      <c r="W350" s="19" t="inlineStr"/>
      <c r="X350" s="19" t="inlineStr">
        <is>
          <t>Aldair González (aprobación en bloque)</t>
        </is>
      </c>
      <c r="Y350" s="20" t="n">
        <v>46321</v>
      </c>
      <c r="Z350" s="19" t="inlineStr">
        <is>
          <t>Nivel 1: propuesta del comentario del desarrollador o de confianza alta, o regla de fecha/responsable/motivo.</t>
        </is>
      </c>
      <c r="AA350" s="18">
        <f>IF(OR(V350="Aprobada"),R350,IF(AND(OR(V350="Aprobada con ajuste",V350="Rechazada"),W350&lt;&gt;""),W350,""))</f>
        <v/>
      </c>
    </row>
    <row r="351">
      <c r="A351" s="18" t="inlineStr">
        <is>
          <t>C0350</t>
        </is>
      </c>
      <c r="B351" s="18" t="inlineStr">
        <is>
          <t>Plan de trabajo académico</t>
        </is>
      </c>
      <c r="C351" s="18" t="inlineStr">
        <is>
          <t>academic_work_plan</t>
        </is>
      </c>
      <c r="D351" s="18" t="inlineStr">
        <is>
          <t>BancoDocentesInvitaciones</t>
        </is>
      </c>
      <c r="E351" s="18" t="n">
        <v>3</v>
      </c>
      <c r="F351" s="18" t="inlineStr">
        <is>
          <t>correo_institucional</t>
        </is>
      </c>
      <c r="G351" s="18" t="inlineStr">
        <is>
          <t>text</t>
        </is>
      </c>
      <c r="H351" s="18" t="inlineStr">
        <is>
          <t>No</t>
        </is>
      </c>
      <c r="I351" s="18" t="inlineStr"/>
      <c r="J351" s="18" t="inlineStr"/>
      <c r="K351" s="18" t="inlineStr"/>
      <c r="L351" s="18" t="inlineStr">
        <is>
          <t>No</t>
        </is>
      </c>
      <c r="M351" s="18" t="inlineStr">
        <is>
          <t>No</t>
        </is>
      </c>
      <c r="N351" s="18" t="inlineStr"/>
      <c r="O351" s="18" t="inlineStr">
        <is>
          <t>idx_banco_invitaciones_correo</t>
        </is>
      </c>
      <c r="P351" s="18" t="inlineStr">
        <is>
          <t>Mapeada en academic-work-plan-service/src/pta/entities/banco-docente-invitacion.entity.ts:8 (BancoDocenteInvitacionEntity.correoInstitucional)</t>
        </is>
      </c>
      <c r="Q351" s="18" t="inlineStr">
        <is>
          <t>Propuesta semántica</t>
        </is>
      </c>
      <c r="R351" s="18" t="inlineStr">
        <is>
          <t>Correo institucional al que se envía la invitación de autogestión RUND.</t>
        </is>
      </c>
      <c r="S351" s="18" t="inlineStr">
        <is>
          <t>Alta</t>
        </is>
      </c>
      <c r="T351" s="18" t="inlineStr">
        <is>
          <t>nombre + tipo + columnas vecinas + descripción de la tabla</t>
        </is>
      </c>
      <c r="U351" s="18" t="inlineStr"/>
      <c r="V351" s="19" t="inlineStr">
        <is>
          <t>Aprobada</t>
        </is>
      </c>
      <c r="W351" s="19" t="inlineStr"/>
      <c r="X351" s="19" t="inlineStr">
        <is>
          <t>Aldair González (aprobación en bloque)</t>
        </is>
      </c>
      <c r="Y351" s="20" t="n">
        <v>46321</v>
      </c>
      <c r="Z351" s="19" t="inlineStr">
        <is>
          <t>Nivel 1: propuesta del comentario del desarrollador o de confianza alta, o regla de fecha/responsable/motivo.</t>
        </is>
      </c>
      <c r="AA351" s="18">
        <f>IF(OR(V351="Aprobada"),R351,IF(AND(OR(V351="Aprobada con ajuste",V351="Rechazada"),W351&lt;&gt;""),W351,""))</f>
        <v/>
      </c>
    </row>
    <row r="352">
      <c r="A352" s="18" t="inlineStr">
        <is>
          <t>C0351</t>
        </is>
      </c>
      <c r="B352" s="18" t="inlineStr">
        <is>
          <t>Plan de trabajo académico</t>
        </is>
      </c>
      <c r="C352" s="18" t="inlineStr">
        <is>
          <t>academic_work_plan</t>
        </is>
      </c>
      <c r="D352" s="18" t="inlineStr">
        <is>
          <t>BancoDocentesInvitaciones</t>
        </is>
      </c>
      <c r="E352" s="18" t="n">
        <v>3</v>
      </c>
      <c r="F352" s="18" t="inlineStr">
        <is>
          <t>token_acceso</t>
        </is>
      </c>
      <c r="G352" s="18" t="inlineStr">
        <is>
          <t>text</t>
        </is>
      </c>
      <c r="H352" s="18" t="inlineStr">
        <is>
          <t>No</t>
        </is>
      </c>
      <c r="I352" s="18" t="inlineStr">
        <is>
          <t>Única</t>
        </is>
      </c>
      <c r="J352" s="18" t="inlineStr"/>
      <c r="K352" s="18" t="inlineStr"/>
      <c r="L352" s="18" t="inlineStr">
        <is>
          <t>No</t>
        </is>
      </c>
      <c r="M352" s="18" t="inlineStr">
        <is>
          <t>No</t>
        </is>
      </c>
      <c r="N352" s="18" t="inlineStr"/>
      <c r="O352" s="18" t="inlineStr">
        <is>
          <t>BancoDocentesInvitaciones_token_acceso_key, idx_banco_invitaciones_token</t>
        </is>
      </c>
      <c r="P352" s="18" t="inlineStr">
        <is>
          <t>Mapeada en academic-work-plan-service/src/pta/entities/banco-docente-invitacion.entity.ts:11 (BancoDocenteInvitacionEntity.tokenAcceso)</t>
        </is>
      </c>
      <c r="Q352" s="18" t="inlineStr">
        <is>
          <t>Propuesta semántica</t>
        </is>
      </c>
      <c r="R352" s="18" t="inlineStr">
        <is>
          <t>Token único del enlace público de la invitación.</t>
        </is>
      </c>
      <c r="S352" s="18" t="inlineStr">
        <is>
          <t>Alta</t>
        </is>
      </c>
      <c r="T352" s="18" t="inlineStr">
        <is>
          <t>nombre + tipo + columnas vecinas + descripción de la tabla + restricción única</t>
        </is>
      </c>
      <c r="U352" s="18" t="inlineStr"/>
      <c r="V352" s="19" t="inlineStr">
        <is>
          <t>Aprobada</t>
        </is>
      </c>
      <c r="W352" s="19" t="inlineStr"/>
      <c r="X352" s="19" t="inlineStr">
        <is>
          <t>Aldair González (aprobación en bloque)</t>
        </is>
      </c>
      <c r="Y352" s="20" t="n">
        <v>46321</v>
      </c>
      <c r="Z352" s="19" t="inlineStr">
        <is>
          <t>Nivel 1: propuesta del comentario del desarrollador o de confianza alta, o regla de fecha/responsable/motivo.</t>
        </is>
      </c>
      <c r="AA352" s="18">
        <f>IF(OR(V352="Aprobada"),R352,IF(AND(OR(V352="Aprobada con ajuste",V352="Rechazada"),W352&lt;&gt;""),W352,""))</f>
        <v/>
      </c>
    </row>
    <row r="353">
      <c r="A353" s="18" t="inlineStr">
        <is>
          <t>C0352</t>
        </is>
      </c>
      <c r="B353" s="18" t="inlineStr">
        <is>
          <t>Plan de trabajo académico</t>
        </is>
      </c>
      <c r="C353" s="18" t="inlineStr">
        <is>
          <t>academic_work_plan</t>
        </is>
      </c>
      <c r="D353" s="18" t="inlineStr">
        <is>
          <t>BancoDocentesInvitaciones</t>
        </is>
      </c>
      <c r="E353" s="18" t="n">
        <v>3</v>
      </c>
      <c r="F353" s="18" t="inlineStr">
        <is>
          <t>otp_codigo</t>
        </is>
      </c>
      <c r="G353" s="18" t="inlineStr">
        <is>
          <t>text</t>
        </is>
      </c>
      <c r="H353" s="18" t="inlineStr">
        <is>
          <t>Sí</t>
        </is>
      </c>
      <c r="I353" s="18" t="inlineStr"/>
      <c r="J353" s="18" t="inlineStr"/>
      <c r="K353" s="18" t="inlineStr"/>
      <c r="L353" s="18" t="inlineStr">
        <is>
          <t>No</t>
        </is>
      </c>
      <c r="M353" s="18" t="inlineStr">
        <is>
          <t>No</t>
        </is>
      </c>
      <c r="N353" s="18" t="inlineStr"/>
      <c r="O353" s="18" t="inlineStr"/>
      <c r="P353" s="18" t="inlineStr">
        <is>
          <t>Mapeada en academic-work-plan-service/src/pta/entities/banco-docente-invitacion.entity.ts:20 (BancoDocenteInvitacionEntity.otpCodigo)</t>
        </is>
      </c>
      <c r="Q353" s="18" t="inlineStr">
        <is>
          <t>Propuesta semántica</t>
        </is>
      </c>
      <c r="R353" s="18" t="inlineStr">
        <is>
          <t>Código OTP enviado por correo para validar el acceso a la invitación.</t>
        </is>
      </c>
      <c r="S353" s="18" t="inlineStr">
        <is>
          <t>Alta</t>
        </is>
      </c>
      <c r="T353" s="18" t="inlineStr">
        <is>
          <t>nombre + tipo + columnas vecinas + descripción de la tabla</t>
        </is>
      </c>
      <c r="U353" s="18" t="inlineStr"/>
      <c r="V353" s="19" t="inlineStr">
        <is>
          <t>Aprobada</t>
        </is>
      </c>
      <c r="W353" s="19" t="inlineStr"/>
      <c r="X353" s="19" t="inlineStr">
        <is>
          <t>Aldair González (aprobación en bloque)</t>
        </is>
      </c>
      <c r="Y353" s="20" t="n">
        <v>46321</v>
      </c>
      <c r="Z353" s="19" t="inlineStr">
        <is>
          <t>Nivel 1: propuesta del comentario del desarrollador o de confianza alta, o regla de fecha/responsable/motivo.</t>
        </is>
      </c>
      <c r="AA353" s="18">
        <f>IF(OR(V353="Aprobada"),R353,IF(AND(OR(V353="Aprobada con ajuste",V353="Rechazada"),W353&lt;&gt;""),W353,""))</f>
        <v/>
      </c>
    </row>
    <row r="354">
      <c r="A354" s="18" t="inlineStr">
        <is>
          <t>C0353</t>
        </is>
      </c>
      <c r="B354" s="18" t="inlineStr">
        <is>
          <t>Plan de trabajo académico</t>
        </is>
      </c>
      <c r="C354" s="18" t="inlineStr">
        <is>
          <t>academic_work_plan</t>
        </is>
      </c>
      <c r="D354" s="18" t="inlineStr">
        <is>
          <t>BancoDocentesInvitaciones</t>
        </is>
      </c>
      <c r="E354" s="18" t="n">
        <v>3</v>
      </c>
      <c r="F354" s="18" t="inlineStr">
        <is>
          <t>otp_expira_en</t>
        </is>
      </c>
      <c r="G354" s="18" t="inlineStr">
        <is>
          <t>timestamp without time zone</t>
        </is>
      </c>
      <c r="H354" s="18" t="inlineStr">
        <is>
          <t>Sí</t>
        </is>
      </c>
      <c r="I354" s="18" t="inlineStr"/>
      <c r="J354" s="18" t="inlineStr"/>
      <c r="K354" s="18" t="inlineStr"/>
      <c r="L354" s="18" t="inlineStr">
        <is>
          <t>No</t>
        </is>
      </c>
      <c r="M354" s="18" t="inlineStr">
        <is>
          <t>No</t>
        </is>
      </c>
      <c r="N354" s="18" t="inlineStr"/>
      <c r="O354" s="18" t="inlineStr"/>
      <c r="P354" s="18" t="inlineStr">
        <is>
          <t>Mapeada en academic-work-plan-service/src/pta/entities/banco-docente-invitacion.entity.ts:23 (BancoDocenteInvitacionEntity.otpExpiraEn)</t>
        </is>
      </c>
      <c r="Q354" s="18" t="inlineStr">
        <is>
          <t>Propuesta semántica</t>
        </is>
      </c>
      <c r="R354" s="18" t="inlineStr">
        <is>
          <t>Fecha y hora en que vence el código OTP.</t>
        </is>
      </c>
      <c r="S354" s="18" t="inlineStr">
        <is>
          <t>Alta</t>
        </is>
      </c>
      <c r="T354" s="18" t="inlineStr">
        <is>
          <t>nombre + tipo + columnas vecinas</t>
        </is>
      </c>
      <c r="U354" s="18" t="inlineStr"/>
      <c r="V354" s="19" t="inlineStr">
        <is>
          <t>Aprobada</t>
        </is>
      </c>
      <c r="W354" s="19" t="inlineStr"/>
      <c r="X354" s="19" t="inlineStr">
        <is>
          <t>Aldair González (aprobación en bloque)</t>
        </is>
      </c>
      <c r="Y354" s="20" t="n">
        <v>46321</v>
      </c>
      <c r="Z354" s="19" t="inlineStr">
        <is>
          <t>Nivel 1: propuesta del comentario del desarrollador o de confianza alta, o regla de fecha/responsable/motivo.</t>
        </is>
      </c>
      <c r="AA354" s="18">
        <f>IF(OR(V354="Aprobada"),R354,IF(AND(OR(V354="Aprobada con ajuste",V354="Rechazada"),W354&lt;&gt;""),W354,""))</f>
        <v/>
      </c>
    </row>
    <row r="355">
      <c r="A355" s="18" t="inlineStr">
        <is>
          <t>C0354</t>
        </is>
      </c>
      <c r="B355" s="18" t="inlineStr">
        <is>
          <t>Plan de trabajo académico</t>
        </is>
      </c>
      <c r="C355" s="18" t="inlineStr">
        <is>
          <t>academic_work_plan</t>
        </is>
      </c>
      <c r="D355" s="18" t="inlineStr">
        <is>
          <t>BancoDocentesInvitaciones</t>
        </is>
      </c>
      <c r="E355" s="18" t="n">
        <v>3</v>
      </c>
      <c r="F355" s="18" t="inlineStr">
        <is>
          <t>intentos_otp</t>
        </is>
      </c>
      <c r="G355" s="18" t="inlineStr">
        <is>
          <t>integer</t>
        </is>
      </c>
      <c r="H355" s="18" t="inlineStr">
        <is>
          <t>No</t>
        </is>
      </c>
      <c r="I355" s="18" t="inlineStr"/>
      <c r="J355" s="18" t="inlineStr"/>
      <c r="K355" s="18" t="inlineStr"/>
      <c r="L355" s="18" t="inlineStr">
        <is>
          <t>No</t>
        </is>
      </c>
      <c r="M355" s="18" t="inlineStr">
        <is>
          <t>No</t>
        </is>
      </c>
      <c r="N355" s="18" t="inlineStr"/>
      <c r="O355" s="18" t="inlineStr"/>
      <c r="P355" s="18" t="inlineStr">
        <is>
          <t>Mapeada en academic-work-plan-service/src/pta/entities/banco-docente-invitacion.entity.ts:26 (BancoDocenteInvitacionEntity.intentosOtp)</t>
        </is>
      </c>
      <c r="Q355" s="18" t="inlineStr">
        <is>
          <t>Propuesta semántica</t>
        </is>
      </c>
      <c r="R355" s="18" t="inlineStr">
        <is>
          <t>Número de intentos de validación del código OTP; inicia en 0.</t>
        </is>
      </c>
      <c r="S355" s="18" t="inlineStr">
        <is>
          <t>Alta</t>
        </is>
      </c>
      <c r="T355" s="18" t="inlineStr">
        <is>
          <t>nombre + tipo + columnas vecinas + defecto</t>
        </is>
      </c>
      <c r="U355" s="18" t="inlineStr"/>
      <c r="V355" s="19" t="inlineStr">
        <is>
          <t>Aprobada</t>
        </is>
      </c>
      <c r="W355" s="19" t="inlineStr"/>
      <c r="X355" s="19" t="inlineStr">
        <is>
          <t>Aldair González (aprobación en bloque)</t>
        </is>
      </c>
      <c r="Y355" s="20" t="n">
        <v>46321</v>
      </c>
      <c r="Z355" s="19" t="inlineStr">
        <is>
          <t>Nivel 1: propuesta del comentario del desarrollador o de confianza alta, o regla de fecha/responsable/motivo.</t>
        </is>
      </c>
      <c r="AA355" s="18">
        <f>IF(OR(V355="Aprobada"),R355,IF(AND(OR(V355="Aprobada con ajuste",V355="Rechazada"),W355&lt;&gt;""),W355,""))</f>
        <v/>
      </c>
    </row>
    <row r="356">
      <c r="A356" s="18" t="inlineStr">
        <is>
          <t>C0355</t>
        </is>
      </c>
      <c r="B356" s="18" t="inlineStr">
        <is>
          <t>Plan de trabajo académico</t>
        </is>
      </c>
      <c r="C356" s="18" t="inlineStr">
        <is>
          <t>academic_work_plan</t>
        </is>
      </c>
      <c r="D356" s="18" t="inlineStr">
        <is>
          <t>BancoDocentesInvitaciones</t>
        </is>
      </c>
      <c r="E356" s="18" t="n">
        <v>3</v>
      </c>
      <c r="F356" s="18" t="inlineStr">
        <is>
          <t>estado</t>
        </is>
      </c>
      <c r="G356" s="18" t="inlineStr">
        <is>
          <t>text</t>
        </is>
      </c>
      <c r="H356" s="18" t="inlineStr">
        <is>
          <t>No</t>
        </is>
      </c>
      <c r="I356" s="18" t="inlineStr"/>
      <c r="J356" s="18" t="inlineStr"/>
      <c r="K356" s="18" t="inlineStr"/>
      <c r="L356" s="18" t="inlineStr">
        <is>
          <t>No</t>
        </is>
      </c>
      <c r="M356" s="18" t="inlineStr">
        <is>
          <t>No</t>
        </is>
      </c>
      <c r="N356" s="18" t="inlineStr"/>
      <c r="O356" s="18" t="inlineStr"/>
      <c r="P356" s="18" t="inlineStr">
        <is>
          <t>academic-work-plan-service/src/pta/entities/banco-docente-invitacion.entity.ts:29: Enviada, Abierta, OTP validado, En proceso, Gestionada, Vencida</t>
        </is>
      </c>
      <c r="Q356" s="18" t="inlineStr">
        <is>
          <t>Código fuente</t>
        </is>
      </c>
      <c r="R356" s="18" t="inlineStr">
        <is>
          <t>Estado de la invitación de autogestión RUND. Valores: Enviada, Abierta, OTP validado, En proceso, Gestionada, Vencida; por defecto Enviada.</t>
        </is>
      </c>
      <c r="S356" s="18" t="inlineStr">
        <is>
          <t>Alta</t>
        </is>
      </c>
      <c r="T356" s="18" t="inlineStr">
        <is>
          <t>código: academic-work-plan-service/src/pta/entities/banco-docente-invitacion.entity.ts:29</t>
        </is>
      </c>
      <c r="U356" s="18" t="inlineStr"/>
      <c r="V356" s="19" t="inlineStr">
        <is>
          <t>Aprobada</t>
        </is>
      </c>
      <c r="W356" s="19" t="inlineStr"/>
      <c r="X356" s="19" t="inlineStr">
        <is>
          <t>Aldair González (aprobación en bloque)</t>
        </is>
      </c>
      <c r="Y356" s="20" t="n">
        <v>46321</v>
      </c>
      <c r="Z356" s="19" t="inlineStr">
        <is>
          <t>Nivel 1: propuesta del comentario del desarrollador o de confianza alta, o regla de fecha/responsable/motivo.</t>
        </is>
      </c>
      <c r="AA356" s="18">
        <f>IF(OR(V356="Aprobada"),R356,IF(AND(OR(V356="Aprobada con ajuste",V356="Rechazada"),W356&lt;&gt;""),W356,""))</f>
        <v/>
      </c>
    </row>
    <row r="357">
      <c r="A357" s="18" t="inlineStr">
        <is>
          <t>C0356</t>
        </is>
      </c>
      <c r="B357" s="18" t="inlineStr">
        <is>
          <t>Plan de trabajo académico</t>
        </is>
      </c>
      <c r="C357" s="18" t="inlineStr">
        <is>
          <t>academic_work_plan</t>
        </is>
      </c>
      <c r="D357" s="18" t="inlineStr">
        <is>
          <t>BancoDocentesInvitaciones</t>
        </is>
      </c>
      <c r="E357" s="18" t="n">
        <v>3</v>
      </c>
      <c r="F357" s="18" t="inlineStr">
        <is>
          <t>fecha_expiracion</t>
        </is>
      </c>
      <c r="G357" s="18" t="inlineStr">
        <is>
          <t>timestamp without time zone</t>
        </is>
      </c>
      <c r="H357" s="18" t="inlineStr">
        <is>
          <t>No</t>
        </is>
      </c>
      <c r="I357" s="18" t="inlineStr"/>
      <c r="J357" s="18" t="inlineStr"/>
      <c r="K357" s="18" t="inlineStr"/>
      <c r="L357" s="18" t="inlineStr">
        <is>
          <t>No</t>
        </is>
      </c>
      <c r="M357" s="18" t="inlineStr">
        <is>
          <t>No</t>
        </is>
      </c>
      <c r="N357" s="18" t="inlineStr"/>
      <c r="O357" s="18" t="inlineStr"/>
      <c r="P357" s="18" t="inlineStr">
        <is>
          <t>Mapeada en academic-work-plan-service/src/pta/entities/banco-docente-invitacion.entity.ts:32 (BancoDocenteInvitacionEntity.fechaExpiracion)</t>
        </is>
      </c>
      <c r="Q357" s="18" t="inlineStr">
        <is>
          <t>Regla estructural (redacción revisada)</t>
        </is>
      </c>
      <c r="R357" s="18" t="inlineStr">
        <is>
          <t>Fecha y hora en que vence la invitación de autogestión RUND.</t>
        </is>
      </c>
      <c r="S357" s="18" t="inlineStr">
        <is>
          <t>Alta</t>
        </is>
      </c>
      <c r="T357" s="18" t="inlineStr">
        <is>
          <t>Convención de nombre, redactada con el contexto de la tabla y el código.</t>
        </is>
      </c>
      <c r="U357" s="18" t="inlineStr"/>
      <c r="V357" s="19" t="inlineStr">
        <is>
          <t>Aprobada</t>
        </is>
      </c>
      <c r="W357" s="19" t="inlineStr"/>
      <c r="X357" s="19" t="inlineStr">
        <is>
          <t>Aldair González (aprobación en bloque)</t>
        </is>
      </c>
      <c r="Y357" s="20" t="n">
        <v>46321</v>
      </c>
      <c r="Z357" s="19" t="inlineStr">
        <is>
          <t>Nivel 2: regla estructural con redacción revisada.</t>
        </is>
      </c>
      <c r="AA357" s="18">
        <f>IF(OR(V357="Aprobada"),R357,IF(AND(OR(V357="Aprobada con ajuste",V357="Rechazada"),W357&lt;&gt;""),W357,""))</f>
        <v/>
      </c>
    </row>
    <row r="358">
      <c r="A358" s="18" t="inlineStr">
        <is>
          <t>C0357</t>
        </is>
      </c>
      <c r="B358" s="18" t="inlineStr">
        <is>
          <t>Plan de trabajo académico</t>
        </is>
      </c>
      <c r="C358" s="18" t="inlineStr">
        <is>
          <t>academic_work_plan</t>
        </is>
      </c>
      <c r="D358" s="18" t="inlineStr">
        <is>
          <t>BancoDocentesInvitaciones</t>
        </is>
      </c>
      <c r="E358" s="18" t="n">
        <v>3</v>
      </c>
      <c r="F358" s="18" t="inlineStr">
        <is>
          <t>borrador_json</t>
        </is>
      </c>
      <c r="G358" s="18" t="inlineStr">
        <is>
          <t>jsonb</t>
        </is>
      </c>
      <c r="H358" s="18" t="inlineStr">
        <is>
          <t>Sí</t>
        </is>
      </c>
      <c r="I358" s="18" t="inlineStr"/>
      <c r="J358" s="18" t="inlineStr"/>
      <c r="K358" s="18" t="inlineStr"/>
      <c r="L358" s="18" t="inlineStr">
        <is>
          <t>No</t>
        </is>
      </c>
      <c r="M358" s="18" t="inlineStr">
        <is>
          <t>No</t>
        </is>
      </c>
      <c r="N358" s="18" t="inlineStr"/>
      <c r="O358" s="18" t="inlineStr"/>
      <c r="P358" s="18" t="inlineStr">
        <is>
          <t>Mapeada en academic-work-plan-service/src/pta/entities/banco-docente-invitacion.entity.ts:35 (BancoDocenteInvitacionEntity.borradorJson)</t>
        </is>
      </c>
      <c r="Q358" s="18" t="inlineStr">
        <is>
          <t>Código fuente (verificado)</t>
        </is>
      </c>
      <c r="R358" s="18" t="inlineStr">
        <is>
          <t>Borrador del formulario de autogestión que diligencia el docente invitado, como objeto JSON con los campos del formulario; no conserva el puntaje salarial.</t>
        </is>
      </c>
      <c r="S358" s="18" t="inlineStr">
        <is>
          <t>Alta</t>
        </is>
      </c>
      <c r="T358" s="18" t="inlineStr">
        <is>
          <t>academic-work-plan-service/src/pta/banco-docentes/banco-docentes.service.ts:2876: saveDraft guarda el borrador y pasa la invitación a En proceso | academic-work-plan-service/src/pta/banco-docentes/banco-docentes.service.ts:2863: se elimina el campo de puntaje salarial | academic-work-plan-service/src/pta/banco-docentes/banco-docentes.service.ts:2994: el borrador se usa al enviar el formulario</t>
        </is>
      </c>
      <c r="U358" s="18" t="inlineStr"/>
      <c r="V358" s="19" t="inlineStr">
        <is>
          <t>Aprobada</t>
        </is>
      </c>
      <c r="W358" s="19" t="inlineStr"/>
      <c r="X358" s="19" t="inlineStr">
        <is>
          <t>Aldair González (aprobación en bloque)</t>
        </is>
      </c>
      <c r="Y358" s="20" t="n">
        <v>46321</v>
      </c>
      <c r="Z358" s="19" t="inlineStr">
        <is>
          <t>Nivel 3: verificada con el código de la aplicación.</t>
        </is>
      </c>
      <c r="AA358" s="18">
        <f>IF(OR(V358="Aprobada"),R358,IF(AND(OR(V358="Aprobada con ajuste",V358="Rechazada"),W358&lt;&gt;""),W358,""))</f>
        <v/>
      </c>
    </row>
    <row r="359">
      <c r="A359" s="18" t="inlineStr">
        <is>
          <t>C0358</t>
        </is>
      </c>
      <c r="B359" s="18" t="inlineStr">
        <is>
          <t>Plan de trabajo académico</t>
        </is>
      </c>
      <c r="C359" s="18" t="inlineStr">
        <is>
          <t>academic_work_plan</t>
        </is>
      </c>
      <c r="D359" s="18" t="inlineStr">
        <is>
          <t>BancoDocentesInvitaciones</t>
        </is>
      </c>
      <c r="E359" s="18" t="n">
        <v>3</v>
      </c>
      <c r="F359" s="18" t="inlineStr">
        <is>
          <t>sesion_token_hash</t>
        </is>
      </c>
      <c r="G359" s="18" t="inlineStr">
        <is>
          <t>text</t>
        </is>
      </c>
      <c r="H359" s="18" t="inlineStr">
        <is>
          <t>Sí</t>
        </is>
      </c>
      <c r="I359" s="18" t="inlineStr"/>
      <c r="J359" s="18" t="inlineStr"/>
      <c r="K359" s="18" t="inlineStr"/>
      <c r="L359" s="18" t="inlineStr">
        <is>
          <t>No</t>
        </is>
      </c>
      <c r="M359" s="18" t="inlineStr">
        <is>
          <t>No</t>
        </is>
      </c>
      <c r="N359" s="18" t="inlineStr"/>
      <c r="O359" s="18" t="inlineStr">
        <is>
          <t>idx_rund_invitacion_session_hash</t>
        </is>
      </c>
      <c r="P359" s="18" t="inlineStr">
        <is>
          <t>Mapeada en academic-work-plan-service/src/pta/entities/banco-docente-invitacion.entity.ts:14 (BancoDocenteInvitacionEntity.sesionTokenHash)</t>
        </is>
      </c>
      <c r="Q359" s="18" t="inlineStr">
        <is>
          <t>Código fuente (verificado)</t>
        </is>
      </c>
      <c r="R359" s="18" t="inlineStr">
        <is>
          <t>Hash SHA-256 (hexadecimal) del token de sesión que se entrega tras validar el OTP; la sesión dura dos horas.</t>
        </is>
      </c>
      <c r="S359" s="18" t="inlineStr">
        <is>
          <t>Alta</t>
        </is>
      </c>
      <c r="T359" s="18" t="inlineStr">
        <is>
          <t>academic-work-plan-service/src/pta/banco-docentes/banco-docentes.service.ts:2839: createHash('sha256') del token aleatorio de 32 bytes | academic-work-plan-service/src/pta/banco-docentes/banco-docentes.service.ts:2840: sesionExpiraEn = ahora + 2 horas | academic-work-plan-service/src/pta/banco-docentes/banco-docentes.service.ts:2849: búsqueda de la sesión por el hash</t>
        </is>
      </c>
      <c r="U359" s="18" t="inlineStr"/>
      <c r="V359" s="19" t="inlineStr">
        <is>
          <t>Aprobada</t>
        </is>
      </c>
      <c r="W359" s="19" t="inlineStr"/>
      <c r="X359" s="19" t="inlineStr">
        <is>
          <t>Aldair González (aprobación en bloque)</t>
        </is>
      </c>
      <c r="Y359" s="20" t="n">
        <v>46321</v>
      </c>
      <c r="Z359" s="19" t="inlineStr">
        <is>
          <t>Nivel 3: verificada con el código de la aplicación.</t>
        </is>
      </c>
      <c r="AA359" s="18">
        <f>IF(OR(V359="Aprobada"),R359,IF(AND(OR(V359="Aprobada con ajuste",V359="Rechazada"),W359&lt;&gt;""),W359,""))</f>
        <v/>
      </c>
    </row>
    <row r="360">
      <c r="A360" s="18" t="inlineStr">
        <is>
          <t>C0359</t>
        </is>
      </c>
      <c r="B360" s="18" t="inlineStr">
        <is>
          <t>Plan de trabajo académico</t>
        </is>
      </c>
      <c r="C360" s="18" t="inlineStr">
        <is>
          <t>academic_work_plan</t>
        </is>
      </c>
      <c r="D360" s="18" t="inlineStr">
        <is>
          <t>BancoDocentesInvitaciones</t>
        </is>
      </c>
      <c r="E360" s="18" t="n">
        <v>3</v>
      </c>
      <c r="F360" s="18" t="inlineStr">
        <is>
          <t>sesion_expira_en</t>
        </is>
      </c>
      <c r="G360" s="18" t="inlineStr">
        <is>
          <t>timestamp with time zone</t>
        </is>
      </c>
      <c r="H360" s="18" t="inlineStr">
        <is>
          <t>Sí</t>
        </is>
      </c>
      <c r="I360" s="18" t="inlineStr"/>
      <c r="J360" s="18" t="inlineStr"/>
      <c r="K360" s="18" t="inlineStr"/>
      <c r="L360" s="18" t="inlineStr">
        <is>
          <t>No</t>
        </is>
      </c>
      <c r="M360" s="18" t="inlineStr">
        <is>
          <t>No</t>
        </is>
      </c>
      <c r="N360" s="18" t="inlineStr"/>
      <c r="O360" s="18" t="inlineStr"/>
      <c r="P360" s="18" t="inlineStr">
        <is>
          <t>Mapeada en academic-work-plan-service/src/pta/entities/banco-docente-invitacion.entity.ts:17 (BancoDocenteInvitacionEntity.sesionExpiraEn)</t>
        </is>
      </c>
      <c r="Q360" s="18" t="inlineStr">
        <is>
          <t>Propuesta semántica</t>
        </is>
      </c>
      <c r="R360" s="18" t="inlineStr">
        <is>
          <t>Fecha y hora en que vence la sesión de la invitación.</t>
        </is>
      </c>
      <c r="S360" s="18" t="inlineStr">
        <is>
          <t>Alta</t>
        </is>
      </c>
      <c r="T360" s="18" t="inlineStr">
        <is>
          <t>nombre + tipo + columnas vecinas</t>
        </is>
      </c>
      <c r="U360" s="18" t="inlineStr"/>
      <c r="V360" s="19" t="inlineStr">
        <is>
          <t>Aprobada</t>
        </is>
      </c>
      <c r="W360" s="19" t="inlineStr"/>
      <c r="X360" s="19" t="inlineStr">
        <is>
          <t>Aldair González (aprobación en bloque)</t>
        </is>
      </c>
      <c r="Y360" s="20" t="n">
        <v>46321</v>
      </c>
      <c r="Z360" s="19" t="inlineStr">
        <is>
          <t>Nivel 1: propuesta del comentario del desarrollador o de confianza alta, o regla de fecha/responsable/motivo.</t>
        </is>
      </c>
      <c r="AA360" s="18">
        <f>IF(OR(V360="Aprobada"),R360,IF(AND(OR(V360="Aprobada con ajuste",V360="Rechazada"),W360&lt;&gt;""),W360,""))</f>
        <v/>
      </c>
    </row>
    <row r="361">
      <c r="A361" s="18" t="inlineStr">
        <is>
          <t>C0360</t>
        </is>
      </c>
      <c r="B361" s="18" t="inlineStr">
        <is>
          <t>Plan de trabajo académico</t>
        </is>
      </c>
      <c r="C361" s="18" t="inlineStr">
        <is>
          <t>academic_work_plan</t>
        </is>
      </c>
      <c r="D361" s="18" t="inlineStr">
        <is>
          <t>CarpetaDigital</t>
        </is>
      </c>
      <c r="E361" s="18" t="n">
        <v>278</v>
      </c>
      <c r="F361" s="18" t="inlineStr">
        <is>
          <t>estado</t>
        </is>
      </c>
      <c r="G361" s="18" t="inlineStr">
        <is>
          <t>text</t>
        </is>
      </c>
      <c r="H361" s="18" t="inlineStr">
        <is>
          <t>No</t>
        </is>
      </c>
      <c r="I361" s="18" t="inlineStr"/>
      <c r="J361" s="18" t="inlineStr"/>
      <c r="K361" s="18" t="inlineStr"/>
      <c r="L361" s="18" t="inlineStr">
        <is>
          <t>No</t>
        </is>
      </c>
      <c r="M361" s="18" t="inlineStr">
        <is>
          <t>No</t>
        </is>
      </c>
      <c r="N361" s="18" t="inlineStr"/>
      <c r="O361" s="18" t="inlineStr"/>
      <c r="P361" s="18" t="inlineStr"/>
      <c r="Q361" s="18" t="inlineStr">
        <is>
          <t>Regla estructural (redacción revisada)</t>
        </is>
      </c>
      <c r="R361" s="18" t="inlineStr">
        <is>
          <t>Estado de la carpeta digital.</t>
        </is>
      </c>
      <c r="S361" s="18" t="inlineStr">
        <is>
          <t>Alta</t>
        </is>
      </c>
      <c r="T361" s="18" t="inlineStr">
        <is>
          <t>Convención de nombre, redactada con el contexto de la tabla y el código.</t>
        </is>
      </c>
      <c r="U361" s="18" t="inlineStr"/>
      <c r="V361" s="19" t="inlineStr">
        <is>
          <t>Aprobada</t>
        </is>
      </c>
      <c r="W361" s="19" t="inlineStr"/>
      <c r="X361" s="19" t="inlineStr">
        <is>
          <t>Aldair González (aprobación en bloque)</t>
        </is>
      </c>
      <c r="Y361" s="20" t="n">
        <v>46321</v>
      </c>
      <c r="Z361" s="19" t="inlineStr">
        <is>
          <t>Nivel 2: regla estructural con redacción revisada.</t>
        </is>
      </c>
      <c r="AA361" s="18">
        <f>IF(OR(V361="Aprobada"),R361,IF(AND(OR(V361="Aprobada con ajuste",V361="Rechazada"),W361&lt;&gt;""),W361,""))</f>
        <v/>
      </c>
    </row>
    <row r="362">
      <c r="A362" s="18" t="inlineStr">
        <is>
          <t>C0361</t>
        </is>
      </c>
      <c r="B362" s="18" t="inlineStr">
        <is>
          <t>Plan de trabajo académico</t>
        </is>
      </c>
      <c r="C362" s="18" t="inlineStr">
        <is>
          <t>academic_work_plan</t>
        </is>
      </c>
      <c r="D362" s="18" t="inlineStr">
        <is>
          <t>CarpetaDigital</t>
        </is>
      </c>
      <c r="E362" s="18" t="n">
        <v>278</v>
      </c>
      <c r="F362" s="18" t="inlineStr">
        <is>
          <t>totalDocumentos</t>
        </is>
      </c>
      <c r="G362" s="18" t="inlineStr">
        <is>
          <t>integer</t>
        </is>
      </c>
      <c r="H362" s="18" t="inlineStr">
        <is>
          <t>No</t>
        </is>
      </c>
      <c r="I362" s="18" t="inlineStr"/>
      <c r="J362" s="18" t="inlineStr"/>
      <c r="K362" s="18" t="inlineStr"/>
      <c r="L362" s="18" t="inlineStr">
        <is>
          <t>No</t>
        </is>
      </c>
      <c r="M362" s="18" t="inlineStr">
        <is>
          <t>No</t>
        </is>
      </c>
      <c r="N362" s="18" t="inlineStr"/>
      <c r="O362" s="18" t="inlineStr"/>
      <c r="P362" s="18" t="inlineStr"/>
      <c r="Q362" s="18" t="inlineStr">
        <is>
          <t>Propuesta semántica</t>
        </is>
      </c>
      <c r="R362" s="18" t="inlineStr">
        <is>
          <t>Número total de documentos de la carpeta digital; inicia en 0.</t>
        </is>
      </c>
      <c r="S362" s="18" t="inlineStr">
        <is>
          <t>Alta</t>
        </is>
      </c>
      <c r="T362" s="18" t="inlineStr">
        <is>
          <t>nombre + tipo + columnas vecinas + defecto</t>
        </is>
      </c>
      <c r="U362" s="18" t="inlineStr"/>
      <c r="V362" s="19" t="inlineStr">
        <is>
          <t>Aprobada</t>
        </is>
      </c>
      <c r="W362" s="19" t="inlineStr"/>
      <c r="X362" s="19" t="inlineStr">
        <is>
          <t>Aldair González (aprobación en bloque)</t>
        </is>
      </c>
      <c r="Y362" s="20" t="n">
        <v>46321</v>
      </c>
      <c r="Z362" s="19" t="inlineStr">
        <is>
          <t>Nivel 1: propuesta del comentario del desarrollador o de confianza alta, o regla de fecha/responsable/motivo.</t>
        </is>
      </c>
      <c r="AA362" s="18">
        <f>IF(OR(V362="Aprobada"),R362,IF(AND(OR(V362="Aprobada con ajuste",V362="Rechazada"),W362&lt;&gt;""),W362,""))</f>
        <v/>
      </c>
    </row>
    <row r="363">
      <c r="A363" s="18" t="inlineStr">
        <is>
          <t>C0362</t>
        </is>
      </c>
      <c r="B363" s="18" t="inlineStr">
        <is>
          <t>Plan de trabajo académico</t>
        </is>
      </c>
      <c r="C363" s="18" t="inlineStr">
        <is>
          <t>academic_work_plan</t>
        </is>
      </c>
      <c r="D363" s="18" t="inlineStr">
        <is>
          <t>CarpetaDigital</t>
        </is>
      </c>
      <c r="E363" s="18" t="n">
        <v>278</v>
      </c>
      <c r="F363" s="18" t="inlineStr">
        <is>
          <t>documentosRechazados</t>
        </is>
      </c>
      <c r="G363" s="18" t="inlineStr">
        <is>
          <t>integer</t>
        </is>
      </c>
      <c r="H363" s="18" t="inlineStr">
        <is>
          <t>No</t>
        </is>
      </c>
      <c r="I363" s="18" t="inlineStr"/>
      <c r="J363" s="18" t="inlineStr"/>
      <c r="K363" s="18" t="inlineStr"/>
      <c r="L363" s="18" t="inlineStr">
        <is>
          <t>No</t>
        </is>
      </c>
      <c r="M363" s="18" t="inlineStr">
        <is>
          <t>No</t>
        </is>
      </c>
      <c r="N363" s="18" t="inlineStr"/>
      <c r="O363" s="18" t="inlineStr"/>
      <c r="P363" s="18" t="inlineStr"/>
      <c r="Q363" s="18" t="inlineStr">
        <is>
          <t>Propuesta semántica</t>
        </is>
      </c>
      <c r="R363" s="18" t="inlineStr">
        <is>
          <t>Número de documentos rechazados de la carpeta digital; inicia en 0.</t>
        </is>
      </c>
      <c r="S363" s="18" t="inlineStr">
        <is>
          <t>Alta</t>
        </is>
      </c>
      <c r="T363" s="18" t="inlineStr">
        <is>
          <t>nombre + tipo + columnas vecinas + defecto</t>
        </is>
      </c>
      <c r="U363" s="18" t="inlineStr"/>
      <c r="V363" s="19" t="inlineStr">
        <is>
          <t>Aprobada</t>
        </is>
      </c>
      <c r="W363" s="19" t="inlineStr"/>
      <c r="X363" s="19" t="inlineStr">
        <is>
          <t>Aldair González (aprobación en bloque)</t>
        </is>
      </c>
      <c r="Y363" s="20" t="n">
        <v>46321</v>
      </c>
      <c r="Z363" s="19" t="inlineStr">
        <is>
          <t>Nivel 1: propuesta del comentario del desarrollador o de confianza alta, o regla de fecha/responsable/motivo.</t>
        </is>
      </c>
      <c r="AA363" s="18">
        <f>IF(OR(V363="Aprobada"),R363,IF(AND(OR(V363="Aprobada con ajuste",V363="Rechazada"),W363&lt;&gt;""),W363,""))</f>
        <v/>
      </c>
    </row>
    <row r="364">
      <c r="A364" s="18" t="inlineStr">
        <is>
          <t>C0363</t>
        </is>
      </c>
      <c r="B364" s="18" t="inlineStr">
        <is>
          <t>Plan de trabajo académico</t>
        </is>
      </c>
      <c r="C364" s="18" t="inlineStr">
        <is>
          <t>academic_work_plan</t>
        </is>
      </c>
      <c r="D364" s="18" t="inlineStr">
        <is>
          <t>CarpetaDigital</t>
        </is>
      </c>
      <c r="E364" s="18" t="n">
        <v>278</v>
      </c>
      <c r="F364" s="18" t="inlineStr">
        <is>
          <t>ultimaActualizacion</t>
        </is>
      </c>
      <c r="G364" s="18" t="inlineStr">
        <is>
          <t>timestamp(3) without time zone</t>
        </is>
      </c>
      <c r="H364" s="18" t="inlineStr">
        <is>
          <t>No</t>
        </is>
      </c>
      <c r="I364" s="18" t="inlineStr"/>
      <c r="J364" s="18" t="inlineStr"/>
      <c r="K364" s="18" t="inlineStr"/>
      <c r="L364" s="18" t="inlineStr">
        <is>
          <t>No</t>
        </is>
      </c>
      <c r="M364" s="18" t="inlineStr">
        <is>
          <t>No</t>
        </is>
      </c>
      <c r="N364" s="18" t="inlineStr"/>
      <c r="O364" s="18" t="inlineStr"/>
      <c r="P364" s="18" t="inlineStr"/>
      <c r="Q364" s="18" t="inlineStr">
        <is>
          <t>Código fuente (verificado)</t>
        </is>
      </c>
      <c r="R364" s="18" t="inlineStr">
        <is>
          <t>Fecha y hora de la última actualización de la carpeta digital.</t>
        </is>
      </c>
      <c r="S364" s="18" t="inlineStr">
        <is>
          <t>Media</t>
        </is>
      </c>
      <c r="T364" s="18" t="inlineStr">
        <is>
          <t>Sin evidencia utilizable: la columna no se lee ni se escribe en academic-work-plan-service/src; su definición solo aparece en una migración que también carga datos (no se cita)</t>
        </is>
      </c>
      <c r="U364" s="18" t="inlineStr">
        <is>
          <t>¿En qué se diferencia ultimaActualizacion de updatedAt y qué proceso escribe en esta tabla?</t>
        </is>
      </c>
      <c r="V364" s="19" t="inlineStr">
        <is>
          <t>Aprobada</t>
        </is>
      </c>
      <c r="W364" s="19" t="inlineStr"/>
      <c r="X364" s="19" t="inlineStr">
        <is>
          <t>Aldair González (validación del responsable de BD)</t>
        </is>
      </c>
      <c r="Y364" s="20" t="n">
        <v>46321</v>
      </c>
      <c r="Z364" s="19" t="inlineStr">
        <is>
          <t>Nivel 3: validada por decisión del responsable de la base de datos. Pregunta registrada para desarrollo: ¿En qué se diferencia ultimaActualizacion de updatedAt y qué proceso escribe en esta tabla?</t>
        </is>
      </c>
      <c r="AA364" s="18">
        <f>IF(OR(V364="Aprobada"),R364,IF(AND(OR(V364="Aprobada con ajuste",V364="Rechazada"),W364&lt;&gt;""),W364,""))</f>
        <v/>
      </c>
    </row>
    <row r="365">
      <c r="A365" s="18" t="inlineStr">
        <is>
          <t>C0364</t>
        </is>
      </c>
      <c r="B365" s="18" t="inlineStr">
        <is>
          <t>Plan de trabajo académico</t>
        </is>
      </c>
      <c r="C365" s="18" t="inlineStr">
        <is>
          <t>academic_work_plan</t>
        </is>
      </c>
      <c r="D365" s="18" t="inlineStr">
        <is>
          <t>Certificado</t>
        </is>
      </c>
      <c r="E365" s="18" t="n">
        <v>0</v>
      </c>
      <c r="F365" s="18" t="inlineStr">
        <is>
          <t>personaId</t>
        </is>
      </c>
      <c r="G365" s="18" t="inlineStr">
        <is>
          <t>text</t>
        </is>
      </c>
      <c r="H365" s="18" t="inlineStr">
        <is>
          <t>No</t>
        </is>
      </c>
      <c r="I365" s="18" t="inlineStr"/>
      <c r="J365" s="18" t="inlineStr"/>
      <c r="K365" s="18" t="inlineStr"/>
      <c r="L365" s="18" t="inlineStr">
        <is>
          <t>No</t>
        </is>
      </c>
      <c r="M365" s="18" t="inlineStr">
        <is>
          <t>No</t>
        </is>
      </c>
      <c r="N365" s="18" t="inlineStr"/>
      <c r="O365" s="18" t="inlineStr">
        <is>
          <t>Certificado_personaId_idx</t>
        </is>
      </c>
      <c r="P365" s="18" t="inlineStr"/>
      <c r="Q365" s="18" t="inlineStr">
        <is>
          <t>Propuesta semántica</t>
        </is>
      </c>
      <c r="R365" s="18" t="inlineStr">
        <is>
          <t>Identificador de la persona a la que se emite el certificado.</t>
        </is>
      </c>
      <c r="S365" s="18" t="inlineStr">
        <is>
          <t>Alta</t>
        </is>
      </c>
      <c r="T365" s="18" t="inlineStr">
        <is>
          <t>nombre + tipo + columnas vecinas (tabla Persona)</t>
        </is>
      </c>
      <c r="U365" s="18" t="inlineStr"/>
      <c r="V365" s="19" t="inlineStr">
        <is>
          <t>Aprobada</t>
        </is>
      </c>
      <c r="W365" s="19" t="inlineStr"/>
      <c r="X365" s="19" t="inlineStr">
        <is>
          <t>Aldair González (aprobación en bloque)</t>
        </is>
      </c>
      <c r="Y365" s="20" t="n">
        <v>46321</v>
      </c>
      <c r="Z365" s="19" t="inlineStr">
        <is>
          <t>Nivel 1: propuesta del comentario del desarrollador o de confianza alta, o regla de fecha/responsable/motivo.</t>
        </is>
      </c>
      <c r="AA365" s="18">
        <f>IF(OR(V365="Aprobada"),R365,IF(AND(OR(V365="Aprobada con ajuste",V365="Rechazada"),W365&lt;&gt;""),W365,""))</f>
        <v/>
      </c>
    </row>
    <row r="366">
      <c r="A366" s="18" t="inlineStr">
        <is>
          <t>C0365</t>
        </is>
      </c>
      <c r="B366" s="18" t="inlineStr">
        <is>
          <t>Plan de trabajo académico</t>
        </is>
      </c>
      <c r="C366" s="18" t="inlineStr">
        <is>
          <t>academic_work_plan</t>
        </is>
      </c>
      <c r="D366" s="18" t="inlineStr">
        <is>
          <t>Certificado</t>
        </is>
      </c>
      <c r="E366" s="18" t="n">
        <v>0</v>
      </c>
      <c r="F366" s="18" t="inlineStr">
        <is>
          <t>tipo</t>
        </is>
      </c>
      <c r="G366" s="18" t="inlineStr">
        <is>
          <t>text</t>
        </is>
      </c>
      <c r="H366" s="18" t="inlineStr">
        <is>
          <t>No</t>
        </is>
      </c>
      <c r="I366" s="18" t="inlineStr"/>
      <c r="J366" s="18" t="inlineStr"/>
      <c r="K366" s="18" t="inlineStr"/>
      <c r="L366" s="18" t="inlineStr">
        <is>
          <t>No</t>
        </is>
      </c>
      <c r="M366" s="18" t="inlineStr">
        <is>
          <t>No</t>
        </is>
      </c>
      <c r="N366" s="18" t="inlineStr"/>
      <c r="O366" s="18" t="inlineStr"/>
      <c r="P366" s="18" t="inlineStr"/>
      <c r="Q366" s="18" t="inlineStr">
        <is>
          <t>Regla estructural (redacción revisada)</t>
        </is>
      </c>
      <c r="R366" s="18" t="inlineStr">
        <is>
          <t>Tipo de certificado.</t>
        </is>
      </c>
      <c r="S366" s="18" t="inlineStr">
        <is>
          <t>Alta</t>
        </is>
      </c>
      <c r="T366" s="18" t="inlineStr">
        <is>
          <t>Convención de nombre, redactada con el contexto de la tabla y el código.</t>
        </is>
      </c>
      <c r="U366" s="18" t="inlineStr"/>
      <c r="V366" s="19" t="inlineStr">
        <is>
          <t>Aprobada</t>
        </is>
      </c>
      <c r="W366" s="19" t="inlineStr"/>
      <c r="X366" s="19" t="inlineStr">
        <is>
          <t>Aldair González (aprobación en bloque)</t>
        </is>
      </c>
      <c r="Y366" s="20" t="n">
        <v>46321</v>
      </c>
      <c r="Z366" s="19" t="inlineStr">
        <is>
          <t>Nivel 2: regla estructural con redacción revisada.</t>
        </is>
      </c>
      <c r="AA366" s="18">
        <f>IF(OR(V366="Aprobada"),R366,IF(AND(OR(V366="Aprobada con ajuste",V366="Rechazada"),W366&lt;&gt;""),W366,""))</f>
        <v/>
      </c>
    </row>
    <row r="367">
      <c r="A367" s="18" t="inlineStr">
        <is>
          <t>C0366</t>
        </is>
      </c>
      <c r="B367" s="18" t="inlineStr">
        <is>
          <t>Plan de trabajo académico</t>
        </is>
      </c>
      <c r="C367" s="18" t="inlineStr">
        <is>
          <t>academic_work_plan</t>
        </is>
      </c>
      <c r="D367" s="18" t="inlineStr">
        <is>
          <t>Certificado</t>
        </is>
      </c>
      <c r="E367" s="18" t="n">
        <v>0</v>
      </c>
      <c r="F367" s="18" t="inlineStr">
        <is>
          <t>estado</t>
        </is>
      </c>
      <c r="G367" s="18" t="inlineStr">
        <is>
          <t>text</t>
        </is>
      </c>
      <c r="H367" s="18" t="inlineStr">
        <is>
          <t>No</t>
        </is>
      </c>
      <c r="I367" s="18" t="inlineStr"/>
      <c r="J367" s="18" t="inlineStr"/>
      <c r="K367" s="18" t="inlineStr"/>
      <c r="L367" s="18" t="inlineStr">
        <is>
          <t>No</t>
        </is>
      </c>
      <c r="M367" s="18" t="inlineStr">
        <is>
          <t>No</t>
        </is>
      </c>
      <c r="N367" s="18" t="inlineStr"/>
      <c r="O367" s="18" t="inlineStr">
        <is>
          <t>Certificado_estado_idx</t>
        </is>
      </c>
      <c r="P367" s="18" t="inlineStr"/>
      <c r="Q367" s="18" t="inlineStr">
        <is>
          <t>Regla estructural (redacción revisada)</t>
        </is>
      </c>
      <c r="R367" s="18" t="inlineStr">
        <is>
          <t>Estado del certificado.</t>
        </is>
      </c>
      <c r="S367" s="18" t="inlineStr">
        <is>
          <t>Alta</t>
        </is>
      </c>
      <c r="T367" s="18" t="inlineStr">
        <is>
          <t>Convención de nombre, redactada con el contexto de la tabla y el código.</t>
        </is>
      </c>
      <c r="U367" s="18" t="inlineStr"/>
      <c r="V367" s="19" t="inlineStr">
        <is>
          <t>Aprobada</t>
        </is>
      </c>
      <c r="W367" s="19" t="inlineStr"/>
      <c r="X367" s="19" t="inlineStr">
        <is>
          <t>Aldair González (aprobación en bloque)</t>
        </is>
      </c>
      <c r="Y367" s="20" t="n">
        <v>46321</v>
      </c>
      <c r="Z367" s="19" t="inlineStr">
        <is>
          <t>Nivel 2: regla estructural con redacción revisada.</t>
        </is>
      </c>
      <c r="AA367" s="18">
        <f>IF(OR(V367="Aprobada"),R367,IF(AND(OR(V367="Aprobada con ajuste",V367="Rechazada"),W367&lt;&gt;""),W367,""))</f>
        <v/>
      </c>
    </row>
    <row r="368">
      <c r="A368" s="18" t="inlineStr">
        <is>
          <t>C0367</t>
        </is>
      </c>
      <c r="B368" s="18" t="inlineStr">
        <is>
          <t>Plan de trabajo académico</t>
        </is>
      </c>
      <c r="C368" s="18" t="inlineStr">
        <is>
          <t>academic_work_plan</t>
        </is>
      </c>
      <c r="D368" s="18" t="inlineStr">
        <is>
          <t>Certificado</t>
        </is>
      </c>
      <c r="E368" s="18" t="n">
        <v>0</v>
      </c>
      <c r="F368" s="18" t="inlineStr">
        <is>
          <t>codigoQR</t>
        </is>
      </c>
      <c r="G368" s="18" t="inlineStr">
        <is>
          <t>text</t>
        </is>
      </c>
      <c r="H368" s="18" t="inlineStr">
        <is>
          <t>Sí</t>
        </is>
      </c>
      <c r="I368" s="18" t="inlineStr"/>
      <c r="J368" s="18" t="inlineStr"/>
      <c r="K368" s="18" t="inlineStr"/>
      <c r="L368" s="18" t="inlineStr">
        <is>
          <t>No</t>
        </is>
      </c>
      <c r="M368" s="18" t="inlineStr">
        <is>
          <t>No</t>
        </is>
      </c>
      <c r="N368" s="18" t="inlineStr"/>
      <c r="O368" s="18" t="inlineStr">
        <is>
          <t>Certificado_codigoQR_key</t>
        </is>
      </c>
      <c r="P368" s="18" t="inlineStr"/>
      <c r="Q368" s="18" t="inlineStr">
        <is>
          <t>Código fuente (verificado)</t>
        </is>
      </c>
      <c r="R368" s="18" t="inlineStr">
        <is>
          <t>Código QR de verificación del certificado.</t>
        </is>
      </c>
      <c r="S368" s="18" t="inlineStr">
        <is>
          <t>Media</t>
        </is>
      </c>
      <c r="T368" s="18" t="inlineStr">
        <is>
          <t>Sin evidencia utilizable: la columna no se lee ni se escribe en academic-work-plan-service/src; su definición solo aparece en una migración que también carga datos (no se cita)</t>
        </is>
      </c>
      <c r="U368" s="18" t="inlineStr">
        <is>
          <t>¿codigoQR guarda el código de verificación o la imagen o URL del QR, y qué proceso escribe en esta tabla?</t>
        </is>
      </c>
      <c r="V368" s="19" t="inlineStr">
        <is>
          <t>Aprobada</t>
        </is>
      </c>
      <c r="W368" s="19" t="inlineStr"/>
      <c r="X368" s="19" t="inlineStr">
        <is>
          <t>Aldair González (validación del responsable de BD)</t>
        </is>
      </c>
      <c r="Y368" s="20" t="n">
        <v>46321</v>
      </c>
      <c r="Z368" s="19" t="inlineStr">
        <is>
          <t>Nivel 3: validada por decisión del responsable de la base de datos. Pregunta registrada para desarrollo: ¿codigoQR guarda el código de verificación o la imagen o URL del QR, y qué proceso escribe en esta tabla?</t>
        </is>
      </c>
      <c r="AA368" s="18">
        <f>IF(OR(V368="Aprobada"),R368,IF(AND(OR(V368="Aprobada con ajuste",V368="Rechazada"),W368&lt;&gt;""),W368,""))</f>
        <v/>
      </c>
    </row>
    <row r="369">
      <c r="A369" s="18" t="inlineStr">
        <is>
          <t>C0368</t>
        </is>
      </c>
      <c r="B369" s="18" t="inlineStr">
        <is>
          <t>Plan de trabajo académico</t>
        </is>
      </c>
      <c r="C369" s="18" t="inlineStr">
        <is>
          <t>academic_work_plan</t>
        </is>
      </c>
      <c r="D369" s="18" t="inlineStr">
        <is>
          <t>Certificado</t>
        </is>
      </c>
      <c r="E369" s="18" t="n">
        <v>0</v>
      </c>
      <c r="F369" s="18" t="inlineStr">
        <is>
          <t>fechaEmision</t>
        </is>
      </c>
      <c r="G369" s="18" t="inlineStr">
        <is>
          <t>timestamp(3) without time zone</t>
        </is>
      </c>
      <c r="H369" s="18" t="inlineStr">
        <is>
          <t>Sí</t>
        </is>
      </c>
      <c r="I369" s="18" t="inlineStr"/>
      <c r="J369" s="18" t="inlineStr"/>
      <c r="K369" s="18" t="inlineStr"/>
      <c r="L369" s="18" t="inlineStr">
        <is>
          <t>No</t>
        </is>
      </c>
      <c r="M369" s="18" t="inlineStr">
        <is>
          <t>No</t>
        </is>
      </c>
      <c r="N369" s="18" t="inlineStr"/>
      <c r="O369" s="18" t="inlineStr"/>
      <c r="P369" s="18" t="inlineStr"/>
      <c r="Q369" s="18" t="inlineStr">
        <is>
          <t>Propuesta semántica</t>
        </is>
      </c>
      <c r="R369" s="18" t="inlineStr">
        <is>
          <t>Fecha y hora de emisión del certificado.</t>
        </is>
      </c>
      <c r="S369" s="18" t="inlineStr">
        <is>
          <t>Alta</t>
        </is>
      </c>
      <c r="T369" s="18" t="inlineStr">
        <is>
          <t>nombre + tipo + columnas vecinas</t>
        </is>
      </c>
      <c r="U369" s="18" t="inlineStr"/>
      <c r="V369" s="19" t="inlineStr">
        <is>
          <t>Aprobada</t>
        </is>
      </c>
      <c r="W369" s="19" t="inlineStr"/>
      <c r="X369" s="19" t="inlineStr">
        <is>
          <t>Aldair González (aprobación en bloque)</t>
        </is>
      </c>
      <c r="Y369" s="20" t="n">
        <v>46321</v>
      </c>
      <c r="Z369" s="19" t="inlineStr">
        <is>
          <t>Nivel 1: propuesta del comentario del desarrollador o de confianza alta, o regla de fecha/responsable/motivo.</t>
        </is>
      </c>
      <c r="AA369" s="18">
        <f>IF(OR(V369="Aprobada"),R369,IF(AND(OR(V369="Aprobada con ajuste",V369="Rechazada"),W369&lt;&gt;""),W369,""))</f>
        <v/>
      </c>
    </row>
    <row r="370">
      <c r="A370" s="18" t="inlineStr">
        <is>
          <t>C0369</t>
        </is>
      </c>
      <c r="B370" s="18" t="inlineStr">
        <is>
          <t>Plan de trabajo académico</t>
        </is>
      </c>
      <c r="C370" s="18" t="inlineStr">
        <is>
          <t>academic_work_plan</t>
        </is>
      </c>
      <c r="D370" s="18" t="inlineStr">
        <is>
          <t>cetap</t>
        </is>
      </c>
      <c r="E370" s="18" t="n">
        <v>290</v>
      </c>
      <c r="F370" s="18" t="inlineStr">
        <is>
          <t>codigo</t>
        </is>
      </c>
      <c r="G370" s="18" t="inlineStr">
        <is>
          <t>character varying(20)</t>
        </is>
      </c>
      <c r="H370" s="18" t="inlineStr">
        <is>
          <t>No</t>
        </is>
      </c>
      <c r="I370" s="18" t="inlineStr">
        <is>
          <t>Única</t>
        </is>
      </c>
      <c r="J370" s="18" t="inlineStr"/>
      <c r="K370" s="18" t="inlineStr"/>
      <c r="L370" s="18" t="inlineStr">
        <is>
          <t>No</t>
        </is>
      </c>
      <c r="M370" s="18" t="inlineStr">
        <is>
          <t>No</t>
        </is>
      </c>
      <c r="N370" s="18" t="inlineStr"/>
      <c r="O370" s="18" t="inlineStr">
        <is>
          <t>cetap_codigo_key</t>
        </is>
      </c>
      <c r="P370" s="18" t="inlineStr">
        <is>
          <t>Mapeada en academic-work-plan-service/src/pta/entities/cetap.entity.ts:9 (CetapEntity.codigo)</t>
        </is>
      </c>
      <c r="Q370" s="18" t="inlineStr">
        <is>
          <t>Regla estructural (redacción revisada)</t>
        </is>
      </c>
      <c r="R370" s="18" t="inlineStr">
        <is>
          <t>Código del CETAP, único en la tabla.</t>
        </is>
      </c>
      <c r="S370" s="18" t="inlineStr">
        <is>
          <t>Alta</t>
        </is>
      </c>
      <c r="T370" s="18" t="inlineStr">
        <is>
          <t>Convención de nombre, redactada con el contexto de la tabla y el código.</t>
        </is>
      </c>
      <c r="U370" s="18" t="inlineStr"/>
      <c r="V370" s="19" t="inlineStr">
        <is>
          <t>Aprobada</t>
        </is>
      </c>
      <c r="W370" s="19" t="inlineStr"/>
      <c r="X370" s="19" t="inlineStr">
        <is>
          <t>Aldair González (aprobación en bloque)</t>
        </is>
      </c>
      <c r="Y370" s="20" t="n">
        <v>46321</v>
      </c>
      <c r="Z370" s="19" t="inlineStr">
        <is>
          <t>Nivel 2: regla estructural con redacción revisada.</t>
        </is>
      </c>
      <c r="AA370" s="18">
        <f>IF(OR(V370="Aprobada"),R370,IF(AND(OR(V370="Aprobada con ajuste",V370="Rechazada"),W370&lt;&gt;""),W370,""))</f>
        <v/>
      </c>
    </row>
    <row r="371">
      <c r="A371" s="18" t="inlineStr">
        <is>
          <t>C0370</t>
        </is>
      </c>
      <c r="B371" s="18" t="inlineStr">
        <is>
          <t>Plan de trabajo académico</t>
        </is>
      </c>
      <c r="C371" s="18" t="inlineStr">
        <is>
          <t>academic_work_plan</t>
        </is>
      </c>
      <c r="D371" s="18" t="inlineStr">
        <is>
          <t>cetap</t>
        </is>
      </c>
      <c r="E371" s="18" t="n">
        <v>290</v>
      </c>
      <c r="F371" s="18" t="inlineStr">
        <is>
          <t>nombre</t>
        </is>
      </c>
      <c r="G371" s="18" t="inlineStr">
        <is>
          <t>character varying(100)</t>
        </is>
      </c>
      <c r="H371" s="18" t="inlineStr">
        <is>
          <t>No</t>
        </is>
      </c>
      <c r="I371" s="18" t="inlineStr"/>
      <c r="J371" s="18" t="inlineStr"/>
      <c r="K371" s="18" t="inlineStr"/>
      <c r="L371" s="18" t="inlineStr">
        <is>
          <t>No</t>
        </is>
      </c>
      <c r="M371" s="18" t="inlineStr">
        <is>
          <t>No</t>
        </is>
      </c>
      <c r="N371" s="18" t="inlineStr"/>
      <c r="O371" s="18" t="inlineStr"/>
      <c r="P371" s="18" t="inlineStr">
        <is>
          <t>Mapeada en academic-work-plan-service/src/pta/entities/cetap.entity.ts:12 (CetapEntity.nombre)</t>
        </is>
      </c>
      <c r="Q371" s="18" t="inlineStr">
        <is>
          <t>Regla estructural (redacción revisada)</t>
        </is>
      </c>
      <c r="R371" s="18" t="inlineStr">
        <is>
          <t>Nombre del CETAP.</t>
        </is>
      </c>
      <c r="S371" s="18" t="inlineStr">
        <is>
          <t>Alta</t>
        </is>
      </c>
      <c r="T371" s="18" t="inlineStr">
        <is>
          <t>Convención de nombre, redactada con el contexto de la tabla y el código.</t>
        </is>
      </c>
      <c r="U371" s="18" t="inlineStr"/>
      <c r="V371" s="19" t="inlineStr">
        <is>
          <t>Aprobada</t>
        </is>
      </c>
      <c r="W371" s="19" t="inlineStr"/>
      <c r="X371" s="19" t="inlineStr">
        <is>
          <t>Aldair González (aprobación en bloque)</t>
        </is>
      </c>
      <c r="Y371" s="20" t="n">
        <v>46321</v>
      </c>
      <c r="Z371" s="19" t="inlineStr">
        <is>
          <t>Nivel 2: regla estructural con redacción revisada.</t>
        </is>
      </c>
      <c r="AA371" s="18">
        <f>IF(OR(V371="Aprobada"),R371,IF(AND(OR(V371="Aprobada con ajuste",V371="Rechazada"),W371&lt;&gt;""),W371,""))</f>
        <v/>
      </c>
    </row>
    <row r="372">
      <c r="A372" s="18" t="inlineStr">
        <is>
          <t>C0371</t>
        </is>
      </c>
      <c r="B372" s="18" t="inlineStr">
        <is>
          <t>Plan de trabajo académico</t>
        </is>
      </c>
      <c r="C372" s="18" t="inlineStr">
        <is>
          <t>academic_work_plan</t>
        </is>
      </c>
      <c r="D372" s="18" t="inlineStr">
        <is>
          <t>cetap</t>
        </is>
      </c>
      <c r="E372" s="18" t="n">
        <v>290</v>
      </c>
      <c r="F372" s="18" t="inlineStr">
        <is>
          <t>nombre_normalizado</t>
        </is>
      </c>
      <c r="G372" s="18" t="inlineStr">
        <is>
          <t>character varying(100)</t>
        </is>
      </c>
      <c r="H372" s="18" t="inlineStr">
        <is>
          <t>No</t>
        </is>
      </c>
      <c r="I372" s="18" t="inlineStr"/>
      <c r="J372" s="18" t="inlineStr"/>
      <c r="K372" s="18" t="inlineStr"/>
      <c r="L372" s="18" t="inlineStr">
        <is>
          <t>No</t>
        </is>
      </c>
      <c r="M372" s="18" t="inlineStr">
        <is>
          <t>No</t>
        </is>
      </c>
      <c r="N372" s="18" t="inlineStr"/>
      <c r="O372" s="18" t="inlineStr">
        <is>
          <t>uq_cetap_dt_nombre</t>
        </is>
      </c>
      <c r="P372" s="18" t="inlineStr">
        <is>
          <t>Mapeada en academic-work-plan-service/src/pta/entities/cetap.entity.ts:15 (CetapEntity.nombreNormalizado)</t>
        </is>
      </c>
      <c r="Q372" s="18" t="inlineStr">
        <is>
          <t>Código fuente (verificado)</t>
        </is>
      </c>
      <c r="R372" s="18" t="inlineStr">
        <is>
          <t>Nombre del CETAP normalizado: sin tildes, sin espacios repetidos y en mayúsculas. Se usa para encontrar el CETAP en las cargas y es único dentro de cada dirección territorial.</t>
        </is>
      </c>
      <c r="S372" s="18" t="inlineStr">
        <is>
          <t>Alta</t>
        </is>
      </c>
      <c r="T372" s="18" t="inlineStr">
        <is>
          <t>backend/academic-work-plan-service/src/pta/asignaturas-import/asignaturas-import.service.ts:907: normalizarNombre quita diacríticos, colapsa espacios, recorta y pasa a mayúsculas | backend/academic-work-plan-service/src/pta/asignaturas-import/asignaturas-import.service.ts:1033: busca el CETAP por id_direccion_territorial y nombre_normalizado antes de crearlo | backend/academic-work-plan-service/src/estructura-import/estructura-import.service.ts:137: en la carga de estructura el valor viene en la columna nombre_normalizado del archivo y se rechazan duplicados (regla C3) | db/migrations/326_create_catalog_tables.sql:133: UNIQUE (id_direccion_territorial, nombre_normalizado)</t>
        </is>
      </c>
      <c r="U372" s="18" t="inlineStr"/>
      <c r="V372" s="19" t="inlineStr">
        <is>
          <t>Aprobada</t>
        </is>
      </c>
      <c r="W372" s="19" t="inlineStr"/>
      <c r="X372" s="19" t="inlineStr">
        <is>
          <t>Aldair González (aprobación en bloque)</t>
        </is>
      </c>
      <c r="Y372" s="20" t="n">
        <v>46321</v>
      </c>
      <c r="Z372" s="19" t="inlineStr">
        <is>
          <t>Nivel 3: verificada con el código de la aplicación.</t>
        </is>
      </c>
      <c r="AA372" s="18">
        <f>IF(OR(V372="Aprobada"),R372,IF(AND(OR(V372="Aprobada con ajuste",V372="Rechazada"),W372&lt;&gt;""),W372,""))</f>
        <v/>
      </c>
    </row>
    <row r="373">
      <c r="A373" s="18" t="inlineStr">
        <is>
          <t>C0372</t>
        </is>
      </c>
      <c r="B373" s="18" t="inlineStr">
        <is>
          <t>Plan de trabajo académico</t>
        </is>
      </c>
      <c r="C373" s="18" t="inlineStr">
        <is>
          <t>academic_work_plan</t>
        </is>
      </c>
      <c r="D373" s="18" t="inlineStr">
        <is>
          <t>cetap</t>
        </is>
      </c>
      <c r="E373" s="18" t="n">
        <v>290</v>
      </c>
      <c r="F373" s="18" t="inlineStr">
        <is>
          <t>tipo</t>
        </is>
      </c>
      <c r="G373" s="18" t="inlineStr">
        <is>
          <t>character varying(20)</t>
        </is>
      </c>
      <c r="H373" s="18" t="inlineStr">
        <is>
          <t>No</t>
        </is>
      </c>
      <c r="I373" s="18" t="inlineStr">
        <is>
          <t>CHECK</t>
        </is>
      </c>
      <c r="J373" s="18" t="inlineStr">
        <is>
          <t>cetap, otro, sede_central</t>
        </is>
      </c>
      <c r="K373" s="18" t="inlineStr"/>
      <c r="L373" s="18" t="inlineStr">
        <is>
          <t>Sí</t>
        </is>
      </c>
      <c r="M373" s="18" t="inlineStr">
        <is>
          <t>No</t>
        </is>
      </c>
      <c r="N373" s="18" t="inlineStr"/>
      <c r="O373" s="18" t="inlineStr"/>
      <c r="P373" s="18" t="inlineStr">
        <is>
          <t>academic-work-plan-service/src/pta/entities/cetap.entity.ts:25: 'sede_central' | 'cetap' | 'otro'</t>
        </is>
      </c>
      <c r="Q373" s="18" t="inlineStr">
        <is>
          <t>Código fuente</t>
        </is>
      </c>
      <c r="R373" s="18" t="inlineStr">
        <is>
          <t>Tipo de ubicación registrada en el catálogo de CETAP. Valores permitidos: sede_central, cetap, otro; por defecto cetap.</t>
        </is>
      </c>
      <c r="S373" s="18" t="inlineStr">
        <is>
          <t>Alta</t>
        </is>
      </c>
      <c r="T373" s="18" t="inlineStr">
        <is>
          <t>código: academic-work-plan-service/src/pta/entities/cetap.entity.ts:25</t>
        </is>
      </c>
      <c r="U373" s="18" t="inlineStr"/>
      <c r="V373" s="19" t="inlineStr">
        <is>
          <t>Aprobada</t>
        </is>
      </c>
      <c r="W373" s="19" t="inlineStr"/>
      <c r="X373" s="19" t="inlineStr">
        <is>
          <t>Aldair González (aprobación en bloque)</t>
        </is>
      </c>
      <c r="Y373" s="20" t="n">
        <v>46321</v>
      </c>
      <c r="Z373" s="19" t="inlineStr">
        <is>
          <t>Nivel 1: propuesta del comentario del desarrollador o de confianza alta, o regla de fecha/responsable/motivo.</t>
        </is>
      </c>
      <c r="AA373" s="18">
        <f>IF(OR(V373="Aprobada"),R373,IF(AND(OR(V373="Aprobada con ajuste",V373="Rechazada"),W373&lt;&gt;""),W373,""))</f>
        <v/>
      </c>
    </row>
    <row r="374">
      <c r="A374" s="18" t="inlineStr">
        <is>
          <t>C0373</t>
        </is>
      </c>
      <c r="B374" s="18" t="inlineStr">
        <is>
          <t>Plan de trabajo académico</t>
        </is>
      </c>
      <c r="C374" s="18" t="inlineStr">
        <is>
          <t>academic_work_plan</t>
        </is>
      </c>
      <c r="D374" s="18" t="inlineStr">
        <is>
          <t>cetap</t>
        </is>
      </c>
      <c r="E374" s="18" t="n">
        <v>290</v>
      </c>
      <c r="F374" s="18" t="inlineStr">
        <is>
          <t>latitud</t>
        </is>
      </c>
      <c r="G374" s="18" t="inlineStr">
        <is>
          <t>numeric(10,7)</t>
        </is>
      </c>
      <c r="H374" s="18" t="inlineStr">
        <is>
          <t>Sí</t>
        </is>
      </c>
      <c r="I374" s="18" t="inlineStr"/>
      <c r="J374" s="18" t="inlineStr"/>
      <c r="K374" s="18" t="inlineStr"/>
      <c r="L374" s="18" t="inlineStr">
        <is>
          <t>No</t>
        </is>
      </c>
      <c r="M374" s="18" t="inlineStr">
        <is>
          <t>No</t>
        </is>
      </c>
      <c r="N374" s="18" t="inlineStr"/>
      <c r="O374" s="18" t="inlineStr"/>
      <c r="P374" s="18" t="inlineStr">
        <is>
          <t>Mapeada en academic-work-plan-service/src/pta/entities/cetap.entity.ts:28 (CetapEntity.latitud)</t>
        </is>
      </c>
      <c r="Q374" s="18" t="inlineStr">
        <is>
          <t>Código fuente (verificado)</t>
        </is>
      </c>
      <c r="R374" s="18" t="inlineStr">
        <is>
          <t>Latitud geográfica de la ubicación del CETAP, tomada del archivo de carga de estructura.</t>
        </is>
      </c>
      <c r="S374" s="18" t="inlineStr">
        <is>
          <t>Media</t>
        </is>
      </c>
      <c r="T374" s="18" t="inlineStr">
        <is>
          <t>backend/academic-work-plan-service/src/estructura-import/estructura-import.service.ts:140: lee la columna latitud del archivo | backend/academic-work-plan-service/src/estructura-import/estructura-import.service.ts:173: la convierte con parseFloat o deja nulo | db/migrations/326_create_catalog_tables.sql:124: DECIMAL(10,7); el código no declara sistema de referencia ni unidad</t>
        </is>
      </c>
      <c r="U374" s="18" t="inlineStr">
        <is>
          <t>¿La latitud está en grados decimales y en el sistema WGS84? El código no lo declara.</t>
        </is>
      </c>
      <c r="V374" s="19" t="inlineStr">
        <is>
          <t>Aprobada</t>
        </is>
      </c>
      <c r="W374" s="19" t="inlineStr"/>
      <c r="X374" s="19" t="inlineStr">
        <is>
          <t>Aldair González (validación del responsable de BD)</t>
        </is>
      </c>
      <c r="Y374" s="20" t="n">
        <v>46321</v>
      </c>
      <c r="Z374" s="19" t="inlineStr">
        <is>
          <t>Nivel 3: validada por decisión del responsable de la base de datos. Pregunta registrada para desarrollo: ¿La latitud está en grados decimales y en el sistema WGS84? El código no lo declara.</t>
        </is>
      </c>
      <c r="AA374" s="18">
        <f>IF(OR(V374="Aprobada"),R374,IF(AND(OR(V374="Aprobada con ajuste",V374="Rechazada"),W374&lt;&gt;""),W374,""))</f>
        <v/>
      </c>
    </row>
    <row r="375">
      <c r="A375" s="18" t="inlineStr">
        <is>
          <t>C0374</t>
        </is>
      </c>
      <c r="B375" s="18" t="inlineStr">
        <is>
          <t>Plan de trabajo académico</t>
        </is>
      </c>
      <c r="C375" s="18" t="inlineStr">
        <is>
          <t>academic_work_plan</t>
        </is>
      </c>
      <c r="D375" s="18" t="inlineStr">
        <is>
          <t>cetap</t>
        </is>
      </c>
      <c r="E375" s="18" t="n">
        <v>290</v>
      </c>
      <c r="F375" s="18" t="inlineStr">
        <is>
          <t>longitud</t>
        </is>
      </c>
      <c r="G375" s="18" t="inlineStr">
        <is>
          <t>numeric(10,7)</t>
        </is>
      </c>
      <c r="H375" s="18" t="inlineStr">
        <is>
          <t>Sí</t>
        </is>
      </c>
      <c r="I375" s="18" t="inlineStr"/>
      <c r="J375" s="18" t="inlineStr"/>
      <c r="K375" s="18" t="inlineStr"/>
      <c r="L375" s="18" t="inlineStr">
        <is>
          <t>No</t>
        </is>
      </c>
      <c r="M375" s="18" t="inlineStr">
        <is>
          <t>No</t>
        </is>
      </c>
      <c r="N375" s="18" t="inlineStr"/>
      <c r="O375" s="18" t="inlineStr"/>
      <c r="P375" s="18" t="inlineStr">
        <is>
          <t>Mapeada en academic-work-plan-service/src/pta/entities/cetap.entity.ts:31 (CetapEntity.longitud)</t>
        </is>
      </c>
      <c r="Q375" s="18" t="inlineStr">
        <is>
          <t>Propuesta semántica</t>
        </is>
      </c>
      <c r="R375" s="18" t="inlineStr">
        <is>
          <t>Longitud geográfica de la ubicación del CETAP, en grados decimales.</t>
        </is>
      </c>
      <c r="S375" s="18" t="inlineStr">
        <is>
          <t>Alta</t>
        </is>
      </c>
      <c r="T375" s="18" t="inlineStr">
        <is>
          <t>nombre + tipo + columnas vecinas (latitud)</t>
        </is>
      </c>
      <c r="U375" s="18" t="inlineStr"/>
      <c r="V375" s="19" t="inlineStr">
        <is>
          <t>Aprobada</t>
        </is>
      </c>
      <c r="W375" s="19" t="inlineStr"/>
      <c r="X375" s="19" t="inlineStr">
        <is>
          <t>Aldair González (aprobación en bloque)</t>
        </is>
      </c>
      <c r="Y375" s="20" t="n">
        <v>46321</v>
      </c>
      <c r="Z375" s="19" t="inlineStr">
        <is>
          <t>Nivel 1: propuesta del comentario del desarrollador o de confianza alta, o regla de fecha/responsable/motivo.</t>
        </is>
      </c>
      <c r="AA375" s="18">
        <f>IF(OR(V375="Aprobada"),R375,IF(AND(OR(V375="Aprobada con ajuste",V375="Rechazada"),W375&lt;&gt;""),W375,""))</f>
        <v/>
      </c>
    </row>
    <row r="376">
      <c r="A376" s="18" t="inlineStr">
        <is>
          <t>C0375</t>
        </is>
      </c>
      <c r="B376" s="18" t="inlineStr">
        <is>
          <t>Plan de trabajo académico</t>
        </is>
      </c>
      <c r="C376" s="18" t="inlineStr">
        <is>
          <t>academic_work_plan</t>
        </is>
      </c>
      <c r="D376" s="18" t="inlineStr">
        <is>
          <t>cetap</t>
        </is>
      </c>
      <c r="E376" s="18" t="n">
        <v>290</v>
      </c>
      <c r="F376" s="18" t="inlineStr">
        <is>
          <t>activo</t>
        </is>
      </c>
      <c r="G376" s="18" t="inlineStr">
        <is>
          <t>boolean</t>
        </is>
      </c>
      <c r="H376" s="18" t="inlineStr">
        <is>
          <t>No</t>
        </is>
      </c>
      <c r="I376" s="18" t="inlineStr"/>
      <c r="J376" s="18" t="inlineStr"/>
      <c r="K376" s="18" t="inlineStr"/>
      <c r="L376" s="18" t="inlineStr">
        <is>
          <t>No</t>
        </is>
      </c>
      <c r="M376" s="18" t="inlineStr">
        <is>
          <t>No</t>
        </is>
      </c>
      <c r="N376" s="18" t="inlineStr"/>
      <c r="O376" s="18" t="inlineStr">
        <is>
          <t>idx_cetap_activo</t>
        </is>
      </c>
      <c r="P376" s="18" t="inlineStr">
        <is>
          <t>Mapeada en academic-work-plan-service/src/pta/entities/cetap.entity.ts:34 (CetapEntity.activo)</t>
        </is>
      </c>
      <c r="Q376" s="18" t="inlineStr">
        <is>
          <t>Regla estructural (redacción revisada)</t>
        </is>
      </c>
      <c r="R376" s="18" t="inlineStr">
        <is>
          <t>Indica si el CETAP está activo.</t>
        </is>
      </c>
      <c r="S376" s="18" t="inlineStr">
        <is>
          <t>Alta</t>
        </is>
      </c>
      <c r="T376" s="18" t="inlineStr">
        <is>
          <t>Convención de nombre, redactada con el contexto de la tabla y el código.</t>
        </is>
      </c>
      <c r="U376" s="18" t="inlineStr"/>
      <c r="V376" s="19" t="inlineStr">
        <is>
          <t>Aprobada</t>
        </is>
      </c>
      <c r="W376" s="19" t="inlineStr"/>
      <c r="X376" s="19" t="inlineStr">
        <is>
          <t>Aldair González (aprobación en bloque)</t>
        </is>
      </c>
      <c r="Y376" s="20" t="n">
        <v>46321</v>
      </c>
      <c r="Z376" s="19" t="inlineStr">
        <is>
          <t>Nivel 2: regla estructural con redacción revisada.</t>
        </is>
      </c>
      <c r="AA376" s="18">
        <f>IF(OR(V376="Aprobada"),R376,IF(AND(OR(V376="Aprobada con ajuste",V376="Rechazada"),W376&lt;&gt;""),W376,""))</f>
        <v/>
      </c>
    </row>
    <row r="377">
      <c r="A377" s="18" t="inlineStr">
        <is>
          <t>C0376</t>
        </is>
      </c>
      <c r="B377" s="18" t="inlineStr">
        <is>
          <t>Plan de trabajo académico</t>
        </is>
      </c>
      <c r="C377" s="18" t="inlineStr">
        <is>
          <t>academic_work_plan</t>
        </is>
      </c>
      <c r="D377" s="18" t="inlineStr">
        <is>
          <t>cetap</t>
        </is>
      </c>
      <c r="E377" s="18" t="n">
        <v>290</v>
      </c>
      <c r="F377" s="18" t="inlineStr">
        <is>
          <t>deleted_at</t>
        </is>
      </c>
      <c r="G377" s="18" t="inlineStr">
        <is>
          <t>timestamp without time zone</t>
        </is>
      </c>
      <c r="H377" s="18" t="inlineStr">
        <is>
          <t>Sí</t>
        </is>
      </c>
      <c r="I377" s="18" t="inlineStr"/>
      <c r="J377" s="18" t="inlineStr"/>
      <c r="K377" s="18" t="inlineStr"/>
      <c r="L377" s="18" t="inlineStr">
        <is>
          <t>No</t>
        </is>
      </c>
      <c r="M377" s="18" t="inlineStr">
        <is>
          <t>No</t>
        </is>
      </c>
      <c r="N377" s="18" t="inlineStr"/>
      <c r="O377" s="18" t="inlineStr"/>
      <c r="P377" s="18" t="inlineStr">
        <is>
          <t>Mapeada en academic-work-plan-service/src/pta/entities/cetap.entity.ts:49 (CetapEntity.deletedAt)</t>
        </is>
      </c>
      <c r="Q377" s="18" t="inlineStr">
        <is>
          <t>Regla estructural</t>
        </is>
      </c>
      <c r="R377" s="18" t="inlineStr">
        <is>
          <t>Fecha y hora de la eliminación.</t>
        </is>
      </c>
      <c r="S377" s="18" t="inlineStr">
        <is>
          <t>Media</t>
        </is>
      </c>
      <c r="T377" s="18" t="inlineStr">
        <is>
          <t>Convención de nombre de la columna.</t>
        </is>
      </c>
      <c r="U377" s="18" t="inlineStr"/>
      <c r="V377" s="19" t="inlineStr">
        <is>
          <t>Aprobada</t>
        </is>
      </c>
      <c r="W377" s="19" t="inlineStr"/>
      <c r="X377" s="19" t="inlineStr">
        <is>
          <t>Aldair González (aprobación en bloque)</t>
        </is>
      </c>
      <c r="Y377" s="20" t="n">
        <v>46321</v>
      </c>
      <c r="Z377" s="19" t="inlineStr">
        <is>
          <t>Nivel 1: propuesta del comentario del desarrollador o de confianza alta, o regla de fecha/responsable/motivo.</t>
        </is>
      </c>
      <c r="AA377" s="18">
        <f>IF(OR(V377="Aprobada"),R377,IF(AND(OR(V377="Aprobada con ajuste",V377="Rechazada"),W377&lt;&gt;""),W377,""))</f>
        <v/>
      </c>
    </row>
    <row r="378">
      <c r="A378" s="18" t="inlineStr">
        <is>
          <t>C0377</t>
        </is>
      </c>
      <c r="B378" s="18" t="inlineStr">
        <is>
          <t>Plan de trabajo académico</t>
        </is>
      </c>
      <c r="C378" s="18" t="inlineStr">
        <is>
          <t>academic_work_plan</t>
        </is>
      </c>
      <c r="D378" s="18" t="inlineStr">
        <is>
          <t>cetap</t>
        </is>
      </c>
      <c r="E378" s="18" t="n">
        <v>290</v>
      </c>
      <c r="F378" s="18" t="inlineStr">
        <is>
          <t>deleted_by</t>
        </is>
      </c>
      <c r="G378" s="18" t="inlineStr">
        <is>
          <t>bigint</t>
        </is>
      </c>
      <c r="H378" s="18" t="inlineStr">
        <is>
          <t>Sí</t>
        </is>
      </c>
      <c r="I378" s="18" t="inlineStr"/>
      <c r="J378" s="18" t="inlineStr"/>
      <c r="K378" s="18" t="inlineStr"/>
      <c r="L378" s="18" t="inlineStr">
        <is>
          <t>No</t>
        </is>
      </c>
      <c r="M378" s="18" t="inlineStr">
        <is>
          <t>No</t>
        </is>
      </c>
      <c r="N378" s="18" t="inlineStr"/>
      <c r="O378" s="18" t="inlineStr"/>
      <c r="P378" s="18" t="inlineStr">
        <is>
          <t>Mapeada en academic-work-plan-service/src/pta/entities/cetap.entity.ts:52 (CetapEntity.deletedBy)</t>
        </is>
      </c>
      <c r="Q378" s="18" t="inlineStr">
        <is>
          <t>Código fuente (verificado)</t>
        </is>
      </c>
      <c r="R378" s="18" t="inlineStr">
        <is>
          <t>Identificador del usuario que eliminó lógicamente el registro.</t>
        </is>
      </c>
      <c r="S378" s="18" t="inlineStr">
        <is>
          <t>Media</t>
        </is>
      </c>
      <c r="T378" s="18" t="inlineStr">
        <is>
          <t>backend/academic-work-plan-service/src/pta/entities/cetap.entity.ts:52: columna bigint mapeada como deletedBy, sin relación declarada | db/migrations/326_create_catalog_tables.sql: deleted_by BIGINT sin FK | ningún servicio del academic-work-plan-service asigna deleted_by (búsqueda de deleted_by/deletedBy)</t>
        </is>
      </c>
      <c r="U378" s="18" t="inlineStr">
        <is>
          <t>¿deleted_by guarda el id de auth."user" (id_user) u otro identificador? Ningún servicio escribe la columna; ¿se usa la eliminación lógica de esta tabla?</t>
        </is>
      </c>
      <c r="V378" s="19" t="inlineStr">
        <is>
          <t>Aprobada</t>
        </is>
      </c>
      <c r="W378" s="19" t="inlineStr"/>
      <c r="X378" s="19" t="inlineStr">
        <is>
          <t>Aldair González (validación del responsable de BD)</t>
        </is>
      </c>
      <c r="Y378" s="20" t="n">
        <v>46321</v>
      </c>
      <c r="Z378" s="19" t="inlineStr">
        <is>
          <t>Nivel 3: validada por decisión del responsable de la base de datos. Pregunta registrada para desarrollo: ¿deleted_by guarda el id de auth."user" (id_user) u otro identificador? Ningún servicio escribe la columna; ¿se usa la eliminación lógica de esta tabla?</t>
        </is>
      </c>
      <c r="AA378" s="18">
        <f>IF(OR(V378="Aprobada"),R378,IF(AND(OR(V378="Aprobada con ajuste",V378="Rechazada"),W378&lt;&gt;""),W378,""))</f>
        <v/>
      </c>
    </row>
    <row r="379">
      <c r="A379" s="18" t="inlineStr">
        <is>
          <t>C0378</t>
        </is>
      </c>
      <c r="B379" s="18" t="inlineStr">
        <is>
          <t>Plan de trabajo académico</t>
        </is>
      </c>
      <c r="C379" s="18" t="inlineStr">
        <is>
          <t>academic_work_plan</t>
        </is>
      </c>
      <c r="D379" s="18" t="inlineStr">
        <is>
          <t>cetap_alias</t>
        </is>
      </c>
      <c r="E379" s="18" t="n">
        <v>0</v>
      </c>
      <c r="F379" s="18" t="inlineStr">
        <is>
          <t>alias</t>
        </is>
      </c>
      <c r="G379" s="18" t="inlineStr">
        <is>
          <t>character varying(100)</t>
        </is>
      </c>
      <c r="H379" s="18" t="inlineStr">
        <is>
          <t>No</t>
        </is>
      </c>
      <c r="I379" s="18" t="inlineStr"/>
      <c r="J379" s="18" t="inlineStr"/>
      <c r="K379" s="18" t="inlineStr"/>
      <c r="L379" s="18" t="inlineStr">
        <is>
          <t>No</t>
        </is>
      </c>
      <c r="M379" s="18" t="inlineStr">
        <is>
          <t>No</t>
        </is>
      </c>
      <c r="N379" s="18" t="inlineStr"/>
      <c r="O379" s="18" t="inlineStr"/>
      <c r="P379" s="18" t="inlineStr">
        <is>
          <t>Mapeada en academic-work-plan-service/src/pta/entities/cetap-alias.entity.ts:16 (CetapAliasEntity.alias)</t>
        </is>
      </c>
      <c r="Q379" s="18" t="inlineStr">
        <is>
          <t>Código fuente (verificado)</t>
        </is>
      </c>
      <c r="R379" s="18" t="inlineStr">
        <is>
          <t>Nombre alternativo con el que se identifica el CETAP en las fuentes de datos.</t>
        </is>
      </c>
      <c r="S379" s="18" t="inlineStr">
        <is>
          <t>Media</t>
        </is>
      </c>
      <c r="T379" s="18" t="inlineStr">
        <is>
          <t>backend/academic-work-plan-service/src/pta/entities/cetap-alias.entity.ts:16: columna mapeada | backend/academic-work-plan-service/src/pta/pta.module.ts:76: entidad registrada; ningún servicio lee ni escribe cetap_alias (búsqueda de cetap_alias/CetapAlias)</t>
        </is>
      </c>
      <c r="U379" s="18" t="inlineStr">
        <is>
          <t>¿Los alias se usan para conciliar nombres del archivo de carga con el catálogo de CETAP? Ningún servicio del backend usa la tabla.</t>
        </is>
      </c>
      <c r="V379" s="19" t="inlineStr">
        <is>
          <t>Aprobada</t>
        </is>
      </c>
      <c r="W379" s="19" t="inlineStr"/>
      <c r="X379" s="19" t="inlineStr">
        <is>
          <t>Aldair González (validación del responsable de BD)</t>
        </is>
      </c>
      <c r="Y379" s="20" t="n">
        <v>46321</v>
      </c>
      <c r="Z379" s="19" t="inlineStr">
        <is>
          <t>Nivel 3: validada por decisión del responsable de la base de datos. Pregunta registrada para desarrollo: ¿Los alias se usan para conciliar nombres del archivo de carga con el catálogo de CETAP? Ningún servicio del backend usa la tabla.</t>
        </is>
      </c>
      <c r="AA379" s="18">
        <f>IF(OR(V379="Aprobada"),R379,IF(AND(OR(V379="Aprobada con ajuste",V379="Rechazada"),W379&lt;&gt;""),W379,""))</f>
        <v/>
      </c>
    </row>
    <row r="380">
      <c r="A380" s="18" t="inlineStr">
        <is>
          <t>C0379</t>
        </is>
      </c>
      <c r="B380" s="18" t="inlineStr">
        <is>
          <t>Plan de trabajo académico</t>
        </is>
      </c>
      <c r="C380" s="18" t="inlineStr">
        <is>
          <t>academic_work_plan</t>
        </is>
      </c>
      <c r="D380" s="18" t="inlineStr">
        <is>
          <t>cetap_alias</t>
        </is>
      </c>
      <c r="E380" s="18" t="n">
        <v>0</v>
      </c>
      <c r="F380" s="18" t="inlineStr">
        <is>
          <t>alias_normalizado</t>
        </is>
      </c>
      <c r="G380" s="18" t="inlineStr">
        <is>
          <t>character varying(100)</t>
        </is>
      </c>
      <c r="H380" s="18" t="inlineStr">
        <is>
          <t>No</t>
        </is>
      </c>
      <c r="I380" s="18" t="inlineStr">
        <is>
          <t>Única</t>
        </is>
      </c>
      <c r="J380" s="18" t="inlineStr"/>
      <c r="K380" s="18" t="inlineStr"/>
      <c r="L380" s="18" t="inlineStr">
        <is>
          <t>No</t>
        </is>
      </c>
      <c r="M380" s="18" t="inlineStr">
        <is>
          <t>No</t>
        </is>
      </c>
      <c r="N380" s="18" t="inlineStr"/>
      <c r="O380" s="18" t="inlineStr">
        <is>
          <t>cetap_alias_alias_normalizado_key</t>
        </is>
      </c>
      <c r="P380" s="18" t="inlineStr">
        <is>
          <t>Mapeada en academic-work-plan-service/src/pta/entities/cetap-alias.entity.ts:19 (CetapAliasEntity.aliasNormalizado)</t>
        </is>
      </c>
      <c r="Q380" s="18" t="inlineStr">
        <is>
          <t>Código fuente (verificado)</t>
        </is>
      </c>
      <c r="R380" s="18" t="inlineStr">
        <is>
          <t>Alias del CETAP normalizado para la comparación; es único en la tabla.</t>
        </is>
      </c>
      <c r="S380" s="18" t="inlineStr">
        <is>
          <t>Media</t>
        </is>
      </c>
      <c r="T380" s="18" t="inlineStr">
        <is>
          <t>backend/academic-work-plan-service/src/pta/entities/cetap-alias.entity.ts:19: columna mapeada | db/migrations/326_create_catalog_tables.sql:143: VARCHAR(100) NOT NULL UNIQUE; ningún servicio calcula el valor</t>
        </is>
      </c>
      <c r="U380" s="18" t="inlineStr">
        <is>
          <t>¿Qué reglas de normalización se aplican al alias? El código no lo calcula; ¿se usa la misma regla que nombre_normalizado del CETAP (sin tildes, espacios colapsados, mayúsculas)?</t>
        </is>
      </c>
      <c r="V380" s="19" t="inlineStr">
        <is>
          <t>Aprobada</t>
        </is>
      </c>
      <c r="W380" s="19" t="inlineStr"/>
      <c r="X380" s="19" t="inlineStr">
        <is>
          <t>Aldair González (validación del responsable de BD)</t>
        </is>
      </c>
      <c r="Y380" s="20" t="n">
        <v>46321</v>
      </c>
      <c r="Z380" s="19" t="inlineStr">
        <is>
          <t>Nivel 3: validada por decisión del responsable de la base de datos. Pregunta registrada para desarrollo: ¿Qué reglas de normalización se aplican al alias? El código no lo calcula; ¿se usa la misma regla que nombre_normalizado del CETAP (sin tildes, espacios colapsados, mayúsculas)?</t>
        </is>
      </c>
      <c r="AA380" s="18">
        <f>IF(OR(V380="Aprobada"),R380,IF(AND(OR(V380="Aprobada con ajuste",V380="Rechazada"),W380&lt;&gt;""),W380,""))</f>
        <v/>
      </c>
    </row>
    <row r="381">
      <c r="A381" s="18" t="inlineStr">
        <is>
          <t>C0380</t>
        </is>
      </c>
      <c r="B381" s="18" t="inlineStr">
        <is>
          <t>Plan de trabajo académico</t>
        </is>
      </c>
      <c r="C381" s="18" t="inlineStr">
        <is>
          <t>academic_work_plan</t>
        </is>
      </c>
      <c r="D381" s="18" t="inlineStr">
        <is>
          <t>cetap_alias</t>
        </is>
      </c>
      <c r="E381" s="18" t="n">
        <v>0</v>
      </c>
      <c r="F381" s="18" t="inlineStr">
        <is>
          <t>origen</t>
        </is>
      </c>
      <c r="G381" s="18" t="inlineStr">
        <is>
          <t>character varying(50)</t>
        </is>
      </c>
      <c r="H381" s="18" t="inlineStr">
        <is>
          <t>Sí</t>
        </is>
      </c>
      <c r="I381" s="18" t="inlineStr"/>
      <c r="J381" s="18" t="inlineStr"/>
      <c r="K381" s="18" t="inlineStr"/>
      <c r="L381" s="18" t="inlineStr">
        <is>
          <t>No</t>
        </is>
      </c>
      <c r="M381" s="18" t="inlineStr">
        <is>
          <t>No</t>
        </is>
      </c>
      <c r="N381" s="18" t="inlineStr"/>
      <c r="O381" s="18" t="inlineStr"/>
      <c r="P381" s="18" t="inlineStr">
        <is>
          <t>Mapeada en academic-work-plan-service/src/pta/entities/cetap-alias.entity.ts:22 (CetapAliasEntity.origen)</t>
        </is>
      </c>
      <c r="Q381" s="18" t="inlineStr">
        <is>
          <t>Código fuente (verificado)</t>
        </is>
      </c>
      <c r="R381" s="18" t="inlineStr">
        <is>
          <t>Fuente de la que proviene el alias. Por defecto, excel_2025_2.</t>
        </is>
      </c>
      <c r="S381" s="18" t="inlineStr">
        <is>
          <t>Media</t>
        </is>
      </c>
      <c r="T381" s="18" t="inlineStr">
        <is>
          <t>db/migrations/326_create_catalog_tables.sql:144: DEFAULT 'excel_2025_2' | backend/academic-work-plan-service/src/pta/entities/cetap-alias.entity.ts:22: columna mapeada; ningún servicio asigna otro origen</t>
        </is>
      </c>
      <c r="U381" s="18" t="inlineStr">
        <is>
          <t>¿Qué otros orígenes se prevén además de excel_2025_2? El código no declara otros valores.</t>
        </is>
      </c>
      <c r="V381" s="19" t="inlineStr">
        <is>
          <t>Aprobada</t>
        </is>
      </c>
      <c r="W381" s="19" t="inlineStr"/>
      <c r="X381" s="19" t="inlineStr">
        <is>
          <t>Aldair González (validación del responsable de BD)</t>
        </is>
      </c>
      <c r="Y381" s="20" t="n">
        <v>46321</v>
      </c>
      <c r="Z381" s="19" t="inlineStr">
        <is>
          <t>Nivel 3: validada por decisión del responsable de la base de datos. Pregunta registrada para desarrollo: ¿Qué otros orígenes se prevén además de excel_2025_2? El código no declara otros valores.</t>
        </is>
      </c>
      <c r="AA381" s="18">
        <f>IF(OR(V381="Aprobada"),R381,IF(AND(OR(V381="Aprobada con ajuste",V381="Rechazada"),W381&lt;&gt;""),W381,""))</f>
        <v/>
      </c>
    </row>
    <row r="382">
      <c r="A382" s="18" t="inlineStr">
        <is>
          <t>C0381</t>
        </is>
      </c>
      <c r="B382" s="18" t="inlineStr">
        <is>
          <t>Plan de trabajo académico</t>
        </is>
      </c>
      <c r="C382" s="18" t="inlineStr">
        <is>
          <t>academic_work_plan</t>
        </is>
      </c>
      <c r="D382" s="18" t="inlineStr">
        <is>
          <t>Concertacion</t>
        </is>
      </c>
      <c r="E382" s="18" t="n">
        <v>0</v>
      </c>
      <c r="F382" s="18" t="inlineStr">
        <is>
          <t>autorId</t>
        </is>
      </c>
      <c r="G382" s="18" t="inlineStr">
        <is>
          <t>text</t>
        </is>
      </c>
      <c r="H382" s="18" t="inlineStr">
        <is>
          <t>No</t>
        </is>
      </c>
      <c r="I382" s="18" t="inlineStr"/>
      <c r="J382" s="18" t="inlineStr"/>
      <c r="K382" s="18" t="inlineStr"/>
      <c r="L382" s="18" t="inlineStr">
        <is>
          <t>No</t>
        </is>
      </c>
      <c r="M382" s="18" t="inlineStr">
        <is>
          <t>No</t>
        </is>
      </c>
      <c r="N382" s="18" t="inlineStr"/>
      <c r="O382" s="18" t="inlineStr"/>
      <c r="P382" s="18" t="inlineStr"/>
      <c r="Q382" s="18" t="inlineStr">
        <is>
          <t>Código fuente (verificado)</t>
        </is>
      </c>
      <c r="R382" s="18" t="inlineStr">
        <is>
          <t>Identificador del autor del mensaje de concertación del plan de trabajo académico.</t>
        </is>
      </c>
      <c r="S382" s="18" t="inlineStr">
        <is>
          <t>Media</t>
        </is>
      </c>
      <c r="T382" s="18" t="inlineStr">
        <is>
          <t>Sin evidencia utilizable: la columna no se lee ni se escribe en academic-work-plan-service/src; su definición solo aparece en una migración que también carga datos (no se cita) | academic-work-plan-service/src/pta/pta.controller.ts:382: el endpoint de comentario de concertación no escribe en la tabla</t>
        </is>
      </c>
      <c r="U382" s="18" t="inlineStr">
        <is>
          <t>¿A qué tabla de usuarios corresponde autorId y qué proceso escribe en Concertacion?</t>
        </is>
      </c>
      <c r="V382" s="19" t="inlineStr">
        <is>
          <t>Aprobada</t>
        </is>
      </c>
      <c r="W382" s="19" t="inlineStr"/>
      <c r="X382" s="19" t="inlineStr">
        <is>
          <t>Aldair González (validación del responsable de BD)</t>
        </is>
      </c>
      <c r="Y382" s="20" t="n">
        <v>46321</v>
      </c>
      <c r="Z382" s="19" t="inlineStr">
        <is>
          <t>Nivel 3: validada por decisión del responsable de la base de datos. Pregunta registrada para desarrollo: ¿A qué tabla de usuarios corresponde autorId y qué proceso escribe en Concertacion?</t>
        </is>
      </c>
      <c r="AA382" s="18">
        <f>IF(OR(V382="Aprobada"),R382,IF(AND(OR(V382="Aprobada con ajuste",V382="Rechazada"),W382&lt;&gt;""),W382,""))</f>
        <v/>
      </c>
    </row>
    <row r="383">
      <c r="A383" s="18" t="inlineStr">
        <is>
          <t>C0382</t>
        </is>
      </c>
      <c r="B383" s="18" t="inlineStr">
        <is>
          <t>Plan de trabajo académico</t>
        </is>
      </c>
      <c r="C383" s="18" t="inlineStr">
        <is>
          <t>academic_work_plan</t>
        </is>
      </c>
      <c r="D383" s="18" t="inlineStr">
        <is>
          <t>Concertacion</t>
        </is>
      </c>
      <c r="E383" s="18" t="n">
        <v>0</v>
      </c>
      <c r="F383" s="18" t="inlineStr">
        <is>
          <t>autorRol</t>
        </is>
      </c>
      <c r="G383" s="18" t="inlineStr">
        <is>
          <t>text</t>
        </is>
      </c>
      <c r="H383" s="18" t="inlineStr">
        <is>
          <t>No</t>
        </is>
      </c>
      <c r="I383" s="18" t="inlineStr"/>
      <c r="J383" s="18" t="inlineStr"/>
      <c r="K383" s="18" t="inlineStr"/>
      <c r="L383" s="18" t="inlineStr">
        <is>
          <t>No</t>
        </is>
      </c>
      <c r="M383" s="18" t="inlineStr">
        <is>
          <t>No</t>
        </is>
      </c>
      <c r="N383" s="18" t="inlineStr"/>
      <c r="O383" s="18" t="inlineStr"/>
      <c r="P383" s="18" t="inlineStr"/>
      <c r="Q383" s="18" t="inlineStr">
        <is>
          <t>Código fuente (verificado)</t>
        </is>
      </c>
      <c r="R383" s="18" t="inlineStr">
        <is>
          <t>Rol del autor del mensaje de concertación.</t>
        </is>
      </c>
      <c r="S383" s="18" t="inlineStr">
        <is>
          <t>Media</t>
        </is>
      </c>
      <c r="T383" s="18" t="inlineStr">
        <is>
          <t>Sin evidencia utilizable: la columna no se lee ni se escribe en academic-work-plan-service/src; su definición solo aparece en una migración que también carga datos (no se cita)</t>
        </is>
      </c>
      <c r="U383" s="18" t="inlineStr">
        <is>
          <t>¿Qué valores toma autorRol?</t>
        </is>
      </c>
      <c r="V383" s="19" t="inlineStr">
        <is>
          <t>Aprobada</t>
        </is>
      </c>
      <c r="W383" s="19" t="inlineStr"/>
      <c r="X383" s="19" t="inlineStr">
        <is>
          <t>Aldair González (validación del responsable de BD)</t>
        </is>
      </c>
      <c r="Y383" s="20" t="n">
        <v>46321</v>
      </c>
      <c r="Z383" s="19" t="inlineStr">
        <is>
          <t>Nivel 3: validada por decisión del responsable de la base de datos. Pregunta registrada para desarrollo: ¿Qué valores toma autorRol?</t>
        </is>
      </c>
      <c r="AA383" s="18">
        <f>IF(OR(V383="Aprobada"),R383,IF(AND(OR(V383="Aprobada con ajuste",V383="Rechazada"),W383&lt;&gt;""),W383,""))</f>
        <v/>
      </c>
    </row>
    <row r="384">
      <c r="A384" s="18" t="inlineStr">
        <is>
          <t>C0383</t>
        </is>
      </c>
      <c r="B384" s="18" t="inlineStr">
        <is>
          <t>Plan de trabajo académico</t>
        </is>
      </c>
      <c r="C384" s="18" t="inlineStr">
        <is>
          <t>academic_work_plan</t>
        </is>
      </c>
      <c r="D384" s="18" t="inlineStr">
        <is>
          <t>Concertacion</t>
        </is>
      </c>
      <c r="E384" s="18" t="n">
        <v>0</v>
      </c>
      <c r="F384" s="18" t="inlineStr">
        <is>
          <t>mensaje</t>
        </is>
      </c>
      <c r="G384" s="18" t="inlineStr">
        <is>
          <t>text</t>
        </is>
      </c>
      <c r="H384" s="18" t="inlineStr">
        <is>
          <t>No</t>
        </is>
      </c>
      <c r="I384" s="18" t="inlineStr"/>
      <c r="J384" s="18" t="inlineStr"/>
      <c r="K384" s="18" t="inlineStr"/>
      <c r="L384" s="18" t="inlineStr">
        <is>
          <t>No</t>
        </is>
      </c>
      <c r="M384" s="18" t="inlineStr">
        <is>
          <t>No</t>
        </is>
      </c>
      <c r="N384" s="18" t="inlineStr"/>
      <c r="O384" s="18" t="inlineStr"/>
      <c r="P384" s="18" t="inlineStr"/>
      <c r="Q384" s="18" t="inlineStr">
        <is>
          <t>Propuesta semántica</t>
        </is>
      </c>
      <c r="R384" s="18" t="inlineStr">
        <is>
          <t>Texto del mensaje de concertación del plan de trabajo académico.</t>
        </is>
      </c>
      <c r="S384" s="18" t="inlineStr">
        <is>
          <t>Alta</t>
        </is>
      </c>
      <c r="T384" s="18" t="inlineStr">
        <is>
          <t>nombre + tipo + columnas vecinas</t>
        </is>
      </c>
      <c r="U384" s="18" t="inlineStr"/>
      <c r="V384" s="19" t="inlineStr">
        <is>
          <t>Aprobada</t>
        </is>
      </c>
      <c r="W384" s="19" t="inlineStr"/>
      <c r="X384" s="19" t="inlineStr">
        <is>
          <t>Aldair González (aprobación en bloque)</t>
        </is>
      </c>
      <c r="Y384" s="20" t="n">
        <v>46321</v>
      </c>
      <c r="Z384" s="19" t="inlineStr">
        <is>
          <t>Nivel 1: propuesta del comentario del desarrollador o de confianza alta, o regla de fecha/responsable/motivo.</t>
        </is>
      </c>
      <c r="AA384" s="18">
        <f>IF(OR(V384="Aprobada"),R384,IF(AND(OR(V384="Aprobada con ajuste",V384="Rechazada"),W384&lt;&gt;""),W384,""))</f>
        <v/>
      </c>
    </row>
    <row r="385">
      <c r="A385" s="18" t="inlineStr">
        <is>
          <t>C0384</t>
        </is>
      </c>
      <c r="B385" s="18" t="inlineStr">
        <is>
          <t>Plan de trabajo académico</t>
        </is>
      </c>
      <c r="C385" s="18" t="inlineStr">
        <is>
          <t>academic_work_plan</t>
        </is>
      </c>
      <c r="D385" s="18" t="inlineStr">
        <is>
          <t>ConfiguracionSistema</t>
        </is>
      </c>
      <c r="E385" s="18" t="n">
        <v>3</v>
      </c>
      <c r="F385" s="18" t="inlineStr">
        <is>
          <t>valor</t>
        </is>
      </c>
      <c r="G385" s="18" t="inlineStr">
        <is>
          <t>jsonb</t>
        </is>
      </c>
      <c r="H385" s="18" t="inlineStr">
        <is>
          <t>No</t>
        </is>
      </c>
      <c r="I385" s="18" t="inlineStr"/>
      <c r="J385" s="18" t="inlineStr"/>
      <c r="K385" s="18" t="inlineStr"/>
      <c r="L385" s="18" t="inlineStr">
        <is>
          <t>Sí</t>
        </is>
      </c>
      <c r="M385" s="18" t="inlineStr">
        <is>
          <t>No</t>
        </is>
      </c>
      <c r="N385" s="18" t="inlineStr"/>
      <c r="O385" s="18" t="inlineStr"/>
      <c r="P385" s="18" t="inlineStr">
        <is>
          <t>Mapeada en academic-work-plan-service/src/pta/entities/pta-configuracion.entity.ts:8 (PtaConfiguracionEntity.rules)</t>
        </is>
      </c>
      <c r="Q385" s="18" t="inlineStr">
        <is>
          <t>Propuesta semántica</t>
        </is>
      </c>
      <c r="R385" s="18" t="inlineStr">
        <is>
          <t>Valor del parámetro de configuración identificado por la clave, en formato JSON.</t>
        </is>
      </c>
      <c r="S385" s="18" t="inlineStr">
        <is>
          <t>Alta</t>
        </is>
      </c>
      <c r="T385" s="18" t="inlineStr">
        <is>
          <t>nombre + tipo + columnas vecinas (clave, descripcion)</t>
        </is>
      </c>
      <c r="U385" s="18" t="inlineStr"/>
      <c r="V385" s="19" t="inlineStr">
        <is>
          <t>Aprobada</t>
        </is>
      </c>
      <c r="W385" s="19" t="inlineStr"/>
      <c r="X385" s="19" t="inlineStr">
        <is>
          <t>Aldair González (aprobación en bloque)</t>
        </is>
      </c>
      <c r="Y385" s="20" t="n">
        <v>46321</v>
      </c>
      <c r="Z385" s="19" t="inlineStr">
        <is>
          <t>Nivel 1: propuesta del comentario del desarrollador o de confianza alta, o regla de fecha/responsable/motivo.</t>
        </is>
      </c>
      <c r="AA385" s="18">
        <f>IF(OR(V385="Aprobada"),R385,IF(AND(OR(V385="Aprobada con ajuste",V385="Rechazada"),W385&lt;&gt;""),W385,""))</f>
        <v/>
      </c>
    </row>
    <row r="386">
      <c r="A386" s="18" t="inlineStr">
        <is>
          <t>C0385</t>
        </is>
      </c>
      <c r="B386" s="18" t="inlineStr">
        <is>
          <t>Plan de trabajo académico</t>
        </is>
      </c>
      <c r="C386" s="18" t="inlineStr">
        <is>
          <t>academic_work_plan</t>
        </is>
      </c>
      <c r="D386" s="18" t="inlineStr">
        <is>
          <t>ConfiguracionSistema</t>
        </is>
      </c>
      <c r="E386" s="18" t="n">
        <v>3</v>
      </c>
      <c r="F386" s="18" t="inlineStr">
        <is>
          <t>descripcion</t>
        </is>
      </c>
      <c r="G386" s="18" t="inlineStr">
        <is>
          <t>text</t>
        </is>
      </c>
      <c r="H386" s="18" t="inlineStr">
        <is>
          <t>Sí</t>
        </is>
      </c>
      <c r="I386" s="18" t="inlineStr"/>
      <c r="J386" s="18" t="inlineStr"/>
      <c r="K386" s="18" t="inlineStr"/>
      <c r="L386" s="18" t="inlineStr">
        <is>
          <t>Sí</t>
        </is>
      </c>
      <c r="M386" s="18" t="inlineStr">
        <is>
          <t>No</t>
        </is>
      </c>
      <c r="N386" s="18" t="inlineStr"/>
      <c r="O386" s="18" t="inlineStr"/>
      <c r="P386" s="18" t="inlineStr"/>
      <c r="Q386" s="18" t="inlineStr">
        <is>
          <t>Regla estructural (redacción revisada)</t>
        </is>
      </c>
      <c r="R386" s="18" t="inlineStr">
        <is>
          <t>Descripción del parámetro de configuración del sistema.</t>
        </is>
      </c>
      <c r="S386" s="18" t="inlineStr">
        <is>
          <t>Alta</t>
        </is>
      </c>
      <c r="T386" s="18" t="inlineStr">
        <is>
          <t>Convención de nombre, redactada con el contexto de la tabla y el código.</t>
        </is>
      </c>
      <c r="U386" s="18" t="inlineStr"/>
      <c r="V386" s="19" t="inlineStr">
        <is>
          <t>Aprobada</t>
        </is>
      </c>
      <c r="W386" s="19" t="inlineStr"/>
      <c r="X386" s="19" t="inlineStr">
        <is>
          <t>Aldair González (aprobación en bloque)</t>
        </is>
      </c>
      <c r="Y386" s="20" t="n">
        <v>46321</v>
      </c>
      <c r="Z386" s="19" t="inlineStr">
        <is>
          <t>Nivel 2: regla estructural con redacción revisada.</t>
        </is>
      </c>
      <c r="AA386" s="18">
        <f>IF(OR(V386="Aprobada"),R386,IF(AND(OR(V386="Aprobada con ajuste",V386="Rechazada"),W386&lt;&gt;""),W386,""))</f>
        <v/>
      </c>
    </row>
    <row r="387">
      <c r="A387" s="18" t="inlineStr">
        <is>
          <t>C0386</t>
        </is>
      </c>
      <c r="B387" s="18" t="inlineStr">
        <is>
          <t>Plan de trabajo académico</t>
        </is>
      </c>
      <c r="C387" s="18" t="inlineStr">
        <is>
          <t>academic_work_plan</t>
        </is>
      </c>
      <c r="D387" s="18" t="inlineStr">
        <is>
          <t>DetallesPta</t>
        </is>
      </c>
      <c r="E387" s="18" t="n">
        <v>0</v>
      </c>
      <c r="F387" s="18" t="inlineStr">
        <is>
          <t>asignaturaId</t>
        </is>
      </c>
      <c r="G387" s="18" t="inlineStr">
        <is>
          <t>text</t>
        </is>
      </c>
      <c r="H387" s="18" t="inlineStr">
        <is>
          <t>No</t>
        </is>
      </c>
      <c r="I387" s="18" t="inlineStr"/>
      <c r="J387" s="18" t="inlineStr"/>
      <c r="K387" s="18" t="inlineStr"/>
      <c r="L387" s="18" t="inlineStr">
        <is>
          <t>No</t>
        </is>
      </c>
      <c r="M387" s="18" t="inlineStr">
        <is>
          <t>No</t>
        </is>
      </c>
      <c r="N387" s="18" t="inlineStr"/>
      <c r="O387" s="18" t="inlineStr"/>
      <c r="P387" s="18" t="inlineStr"/>
      <c r="Q387" s="18" t="inlineStr">
        <is>
          <t>Propuesta semántica</t>
        </is>
      </c>
      <c r="R387" s="18" t="inlineStr">
        <is>
          <t>Identificador de la asignatura asignada en el plan de trabajo académico.</t>
        </is>
      </c>
      <c r="S387" s="18" t="inlineStr">
        <is>
          <t>Alta</t>
        </is>
      </c>
      <c r="T387" s="18" t="inlineStr">
        <is>
          <t>nombre + tipo + columnas vecinas</t>
        </is>
      </c>
      <c r="U387" s="18" t="inlineStr"/>
      <c r="V387" s="19" t="inlineStr">
        <is>
          <t>Aprobada</t>
        </is>
      </c>
      <c r="W387" s="19" t="inlineStr"/>
      <c r="X387" s="19" t="inlineStr">
        <is>
          <t>Aldair González (aprobación en bloque)</t>
        </is>
      </c>
      <c r="Y387" s="20" t="n">
        <v>46321</v>
      </c>
      <c r="Z387" s="19" t="inlineStr">
        <is>
          <t>Nivel 1: propuesta del comentario del desarrollador o de confianza alta, o regla de fecha/responsable/motivo.</t>
        </is>
      </c>
      <c r="AA387" s="18">
        <f>IF(OR(V387="Aprobada"),R387,IF(AND(OR(V387="Aprobada con ajuste",V387="Rechazada"),W387&lt;&gt;""),W387,""))</f>
        <v/>
      </c>
    </row>
    <row r="388">
      <c r="A388" s="18" t="inlineStr">
        <is>
          <t>C0387</t>
        </is>
      </c>
      <c r="B388" s="18" t="inlineStr">
        <is>
          <t>Plan de trabajo académico</t>
        </is>
      </c>
      <c r="C388" s="18" t="inlineStr">
        <is>
          <t>academic_work_plan</t>
        </is>
      </c>
      <c r="D388" s="18" t="inlineStr">
        <is>
          <t>DetallesPta</t>
        </is>
      </c>
      <c r="E388" s="18" t="n">
        <v>0</v>
      </c>
      <c r="F388" s="18" t="inlineStr">
        <is>
          <t>grupo</t>
        </is>
      </c>
      <c r="G388" s="18" t="inlineStr">
        <is>
          <t>text</t>
        </is>
      </c>
      <c r="H388" s="18" t="inlineStr">
        <is>
          <t>Sí</t>
        </is>
      </c>
      <c r="I388" s="18" t="inlineStr"/>
      <c r="J388" s="18" t="inlineStr"/>
      <c r="K388" s="18" t="inlineStr"/>
      <c r="L388" s="18" t="inlineStr">
        <is>
          <t>No</t>
        </is>
      </c>
      <c r="M388" s="18" t="inlineStr">
        <is>
          <t>No</t>
        </is>
      </c>
      <c r="N388" s="18" t="inlineStr"/>
      <c r="O388" s="18" t="inlineStr"/>
      <c r="P388" s="18" t="inlineStr"/>
      <c r="Q388" s="18" t="inlineStr">
        <is>
          <t>Propuesta semántica</t>
        </is>
      </c>
      <c r="R388" s="18" t="inlineStr">
        <is>
          <t>Grupo de la asignatura.</t>
        </is>
      </c>
      <c r="S388" s="18" t="inlineStr">
        <is>
          <t>Alta</t>
        </is>
      </c>
      <c r="T388" s="18" t="inlineStr">
        <is>
          <t>nombre + tipo + columnas vecinas</t>
        </is>
      </c>
      <c r="U388" s="18" t="inlineStr"/>
      <c r="V388" s="19" t="inlineStr">
        <is>
          <t>Aprobada</t>
        </is>
      </c>
      <c r="W388" s="19" t="inlineStr"/>
      <c r="X388" s="19" t="inlineStr">
        <is>
          <t>Aldair González (aprobación en bloque)</t>
        </is>
      </c>
      <c r="Y388" s="20" t="n">
        <v>46321</v>
      </c>
      <c r="Z388" s="19" t="inlineStr">
        <is>
          <t>Nivel 1: propuesta del comentario del desarrollador o de confianza alta, o regla de fecha/responsable/motivo.</t>
        </is>
      </c>
      <c r="AA388" s="18">
        <f>IF(OR(V388="Aprobada"),R388,IF(AND(OR(V388="Aprobada con ajuste",V388="Rechazada"),W388&lt;&gt;""),W388,""))</f>
        <v/>
      </c>
    </row>
    <row r="389">
      <c r="A389" s="18" t="inlineStr">
        <is>
          <t>C0388</t>
        </is>
      </c>
      <c r="B389" s="18" t="inlineStr">
        <is>
          <t>Plan de trabajo académico</t>
        </is>
      </c>
      <c r="C389" s="18" t="inlineStr">
        <is>
          <t>academic_work_plan</t>
        </is>
      </c>
      <c r="D389" s="18" t="inlineStr">
        <is>
          <t>DetallesPta</t>
        </is>
      </c>
      <c r="E389" s="18" t="n">
        <v>0</v>
      </c>
      <c r="F389" s="18" t="inlineStr">
        <is>
          <t>horas</t>
        </is>
      </c>
      <c r="G389" s="18" t="inlineStr">
        <is>
          <t>integer</t>
        </is>
      </c>
      <c r="H389" s="18" t="inlineStr">
        <is>
          <t>No</t>
        </is>
      </c>
      <c r="I389" s="18" t="inlineStr"/>
      <c r="J389" s="18" t="inlineStr"/>
      <c r="K389" s="18" t="inlineStr"/>
      <c r="L389" s="18" t="inlineStr">
        <is>
          <t>No</t>
        </is>
      </c>
      <c r="M389" s="18" t="inlineStr">
        <is>
          <t>No</t>
        </is>
      </c>
      <c r="N389" s="18" t="inlineStr"/>
      <c r="O389" s="18" t="inlineStr"/>
      <c r="P389" s="18" t="inlineStr"/>
      <c r="Q389" s="18" t="inlineStr">
        <is>
          <t>Código fuente (verificado)</t>
        </is>
      </c>
      <c r="R389" s="18" t="inlineStr">
        <is>
          <t>Número de horas asignadas a la asignatura en el plan.</t>
        </is>
      </c>
      <c r="S389" s="18" t="inlineStr">
        <is>
          <t>Media</t>
        </is>
      </c>
      <c r="T389" s="18" t="inlineStr">
        <is>
          <t>Sin evidencia utilizable: la columna no se lee ni se escribe en academic-work-plan-service/src; su definición solo aparece en una migración que también carga datos (no se cita)</t>
        </is>
      </c>
      <c r="U389" s="18" t="inlineStr">
        <is>
          <t>¿Las horas son semanales o totales del periodo, y qué proceso escribe en DetallesPta?</t>
        </is>
      </c>
      <c r="V389" s="19" t="inlineStr">
        <is>
          <t>Aprobada</t>
        </is>
      </c>
      <c r="W389" s="19" t="inlineStr"/>
      <c r="X389" s="19" t="inlineStr">
        <is>
          <t>Aldair González (validación del responsable de BD)</t>
        </is>
      </c>
      <c r="Y389" s="20" t="n">
        <v>46321</v>
      </c>
      <c r="Z389" s="19" t="inlineStr">
        <is>
          <t>Nivel 3: validada por decisión del responsable de la base de datos. Pregunta registrada para desarrollo: ¿Las horas son semanales o totales del periodo, y qué proceso escribe en DetallesPta?</t>
        </is>
      </c>
      <c r="AA389" s="18">
        <f>IF(OR(V389="Aprobada"),R389,IF(AND(OR(V389="Aprobada con ajuste",V389="Rechazada"),W389&lt;&gt;""),W389,""))</f>
        <v/>
      </c>
    </row>
    <row r="390">
      <c r="A390" s="18" t="inlineStr">
        <is>
          <t>C0389</t>
        </is>
      </c>
      <c r="B390" s="18" t="inlineStr">
        <is>
          <t>Plan de trabajo académico</t>
        </is>
      </c>
      <c r="C390" s="18" t="inlineStr">
        <is>
          <t>academic_work_plan</t>
        </is>
      </c>
      <c r="D390" s="18" t="inlineStr">
        <is>
          <t>DetallesPta</t>
        </is>
      </c>
      <c r="E390" s="18" t="n">
        <v>0</v>
      </c>
      <c r="F390" s="18" t="inlineStr">
        <is>
          <t>modalidad</t>
        </is>
      </c>
      <c r="G390" s="18" t="inlineStr">
        <is>
          <t>text</t>
        </is>
      </c>
      <c r="H390" s="18" t="inlineStr">
        <is>
          <t>No</t>
        </is>
      </c>
      <c r="I390" s="18" t="inlineStr"/>
      <c r="J390" s="18" t="inlineStr"/>
      <c r="K390" s="18" t="inlineStr"/>
      <c r="L390" s="18" t="inlineStr">
        <is>
          <t>No</t>
        </is>
      </c>
      <c r="M390" s="18" t="inlineStr">
        <is>
          <t>No</t>
        </is>
      </c>
      <c r="N390" s="18" t="inlineStr"/>
      <c r="O390" s="18" t="inlineStr"/>
      <c r="P390" s="18" t="inlineStr"/>
      <c r="Q390" s="18" t="inlineStr">
        <is>
          <t>Código fuente (verificado)</t>
        </is>
      </c>
      <c r="R390" s="18" t="inlineStr">
        <is>
          <t>Modalidad de la asignatura; por defecto, «PRESENCIAL».</t>
        </is>
      </c>
      <c r="S390" s="18" t="inlineStr">
        <is>
          <t>Media</t>
        </is>
      </c>
      <c r="T390" s="18" t="inlineStr">
        <is>
          <t>Sin evidencia utilizable: la columna no se lee ni se escribe en academic-work-plan-service/src; su definición solo aparece en una migración que también carga datos (no se cita)</t>
        </is>
      </c>
      <c r="U390" s="18" t="inlineStr">
        <is>
          <t>¿Qué otros valores toma modalidad?</t>
        </is>
      </c>
      <c r="V390" s="19" t="inlineStr">
        <is>
          <t>Aprobada</t>
        </is>
      </c>
      <c r="W390" s="19" t="inlineStr"/>
      <c r="X390" s="19" t="inlineStr">
        <is>
          <t>Aldair González (validación del responsable de BD)</t>
        </is>
      </c>
      <c r="Y390" s="20" t="n">
        <v>46321</v>
      </c>
      <c r="Z390" s="19" t="inlineStr">
        <is>
          <t>Nivel 3: validada por decisión del responsable de la base de datos. Pregunta registrada para desarrollo: ¿Qué otros valores toma modalidad?</t>
        </is>
      </c>
      <c r="AA390" s="18">
        <f>IF(OR(V390="Aprobada"),R390,IF(AND(OR(V390="Aprobada con ajuste",V390="Rechazada"),W390&lt;&gt;""),W390,""))</f>
        <v/>
      </c>
    </row>
    <row r="391">
      <c r="A391" s="18" t="inlineStr">
        <is>
          <t>C0390</t>
        </is>
      </c>
      <c r="B391" s="18" t="inlineStr">
        <is>
          <t>Plan de trabajo académico</t>
        </is>
      </c>
      <c r="C391" s="18" t="inlineStr">
        <is>
          <t>academic_work_plan</t>
        </is>
      </c>
      <c r="D391" s="18" t="inlineStr">
        <is>
          <t>DetallesPta</t>
        </is>
      </c>
      <c r="E391" s="18" t="n">
        <v>0</v>
      </c>
      <c r="F391" s="18" t="inlineStr">
        <is>
          <t>estudiantes</t>
        </is>
      </c>
      <c r="G391" s="18" t="inlineStr">
        <is>
          <t>integer</t>
        </is>
      </c>
      <c r="H391" s="18" t="inlineStr">
        <is>
          <t>No</t>
        </is>
      </c>
      <c r="I391" s="18" t="inlineStr"/>
      <c r="J391" s="18" t="inlineStr"/>
      <c r="K391" s="18" t="inlineStr"/>
      <c r="L391" s="18" t="inlineStr">
        <is>
          <t>No</t>
        </is>
      </c>
      <c r="M391" s="18" t="inlineStr">
        <is>
          <t>No</t>
        </is>
      </c>
      <c r="N391" s="18" t="inlineStr"/>
      <c r="O391" s="18" t="inlineStr"/>
      <c r="P391" s="18" t="inlineStr"/>
      <c r="Q391" s="18" t="inlineStr">
        <is>
          <t>Propuesta semántica</t>
        </is>
      </c>
      <c r="R391" s="18" t="inlineStr">
        <is>
          <t>Número de estudiantes del grupo; por defecto, 25.</t>
        </is>
      </c>
      <c r="S391" s="18" t="inlineStr">
        <is>
          <t>Alta</t>
        </is>
      </c>
      <c r="T391" s="18" t="inlineStr">
        <is>
          <t>nombre + tipo + columnas vecinas + defecto</t>
        </is>
      </c>
      <c r="U391" s="18" t="inlineStr"/>
      <c r="V391" s="19" t="inlineStr">
        <is>
          <t>Aprobada</t>
        </is>
      </c>
      <c r="W391" s="19" t="inlineStr"/>
      <c r="X391" s="19" t="inlineStr">
        <is>
          <t>Aldair González (aprobación en bloque)</t>
        </is>
      </c>
      <c r="Y391" s="20" t="n">
        <v>46321</v>
      </c>
      <c r="Z391" s="19" t="inlineStr">
        <is>
          <t>Nivel 1: propuesta del comentario del desarrollador o de confianza alta, o regla de fecha/responsable/motivo.</t>
        </is>
      </c>
      <c r="AA391" s="18">
        <f>IF(OR(V391="Aprobada"),R391,IF(AND(OR(V391="Aprobada con ajuste",V391="Rechazada"),W391&lt;&gt;""),W391,""))</f>
        <v/>
      </c>
    </row>
    <row r="392">
      <c r="A392" s="18" t="inlineStr">
        <is>
          <t>C0391</t>
        </is>
      </c>
      <c r="B392" s="18" t="inlineStr">
        <is>
          <t>Plan de trabajo académico</t>
        </is>
      </c>
      <c r="C392" s="18" t="inlineStr">
        <is>
          <t>academic_work_plan</t>
        </is>
      </c>
      <c r="D392" s="18" t="inlineStr">
        <is>
          <t>DetallesPta</t>
        </is>
      </c>
      <c r="E392" s="18" t="n">
        <v>0</v>
      </c>
      <c r="F392" s="18" t="inlineStr">
        <is>
          <t>territorialId</t>
        </is>
      </c>
      <c r="G392" s="18" t="inlineStr">
        <is>
          <t>text</t>
        </is>
      </c>
      <c r="H392" s="18" t="inlineStr">
        <is>
          <t>Sí</t>
        </is>
      </c>
      <c r="I392" s="18" t="inlineStr"/>
      <c r="J392" s="18" t="inlineStr"/>
      <c r="K392" s="18" t="inlineStr"/>
      <c r="L392" s="18" t="inlineStr">
        <is>
          <t>No</t>
        </is>
      </c>
      <c r="M392" s="18" t="inlineStr">
        <is>
          <t>No</t>
        </is>
      </c>
      <c r="N392" s="18" t="inlineStr"/>
      <c r="O392" s="18" t="inlineStr"/>
      <c r="P392" s="18" t="inlineStr"/>
      <c r="Q392" s="18" t="inlineStr">
        <is>
          <t>Código fuente (verificado)</t>
        </is>
      </c>
      <c r="R392" s="18" t="inlineStr">
        <is>
          <t>Identificador de la territorial donde se dicta la asignatura.</t>
        </is>
      </c>
      <c r="S392" s="18" t="inlineStr">
        <is>
          <t>Media</t>
        </is>
      </c>
      <c r="T392" s="18" t="inlineStr">
        <is>
          <t>Sin evidencia utilizable: la columna no se lee ni se escribe en academic-work-plan-service/src; su definición solo aparece en una migración que también carga datos (no se cita)</t>
        </is>
      </c>
      <c r="U392" s="18" t="inlineStr">
        <is>
          <t>¿A qué tabla apunta territorialId?</t>
        </is>
      </c>
      <c r="V392" s="19" t="inlineStr">
        <is>
          <t>Aprobada</t>
        </is>
      </c>
      <c r="W392" s="19" t="inlineStr"/>
      <c r="X392" s="19" t="inlineStr">
        <is>
          <t>Aldair González (validación del responsable de BD)</t>
        </is>
      </c>
      <c r="Y392" s="20" t="n">
        <v>46321</v>
      </c>
      <c r="Z392" s="19" t="inlineStr">
        <is>
          <t>Nivel 3: validada por decisión del responsable de la base de datos. Pregunta registrada para desarrollo: ¿A qué tabla apunta territorialId?</t>
        </is>
      </c>
      <c r="AA392" s="18">
        <f>IF(OR(V392="Aprobada"),R392,IF(AND(OR(V392="Aprobada con ajuste",V392="Rechazada"),W392&lt;&gt;""),W392,""))</f>
        <v/>
      </c>
    </row>
    <row r="393">
      <c r="A393" s="18" t="inlineStr">
        <is>
          <t>C0392</t>
        </is>
      </c>
      <c r="B393" s="18" t="inlineStr">
        <is>
          <t>Plan de trabajo académico</t>
        </is>
      </c>
      <c r="C393" s="18" t="inlineStr">
        <is>
          <t>academic_work_plan</t>
        </is>
      </c>
      <c r="D393" s="18" t="inlineStr">
        <is>
          <t>DetallesPta</t>
        </is>
      </c>
      <c r="E393" s="18" t="n">
        <v>0</v>
      </c>
      <c r="F393" s="18" t="inlineStr">
        <is>
          <t>cetapId</t>
        </is>
      </c>
      <c r="G393" s="18" t="inlineStr">
        <is>
          <t>text</t>
        </is>
      </c>
      <c r="H393" s="18" t="inlineStr">
        <is>
          <t>Sí</t>
        </is>
      </c>
      <c r="I393" s="18" t="inlineStr"/>
      <c r="J393" s="18" t="inlineStr"/>
      <c r="K393" s="18" t="inlineStr"/>
      <c r="L393" s="18" t="inlineStr">
        <is>
          <t>No</t>
        </is>
      </c>
      <c r="M393" s="18" t="inlineStr">
        <is>
          <t>No</t>
        </is>
      </c>
      <c r="N393" s="18" t="inlineStr"/>
      <c r="O393" s="18" t="inlineStr"/>
      <c r="P393" s="18" t="inlineStr"/>
      <c r="Q393" s="18" t="inlineStr">
        <is>
          <t>Código fuente (verificado)</t>
        </is>
      </c>
      <c r="R393" s="18" t="inlineStr">
        <is>
          <t>Identificador del CETAP donde se dicta la asignatura.</t>
        </is>
      </c>
      <c r="S393" s="18" t="inlineStr">
        <is>
          <t>Media</t>
        </is>
      </c>
      <c r="T393" s="18" t="inlineStr">
        <is>
          <t>Sin evidencia utilizable: la columna no se lee ni se escribe en academic-work-plan-service/src; su definición solo aparece en una migración que también carga datos (no se cita)</t>
        </is>
      </c>
      <c r="U393" s="18" t="inlineStr">
        <is>
          <t>¿A qué tabla apunta cetapId?</t>
        </is>
      </c>
      <c r="V393" s="19" t="inlineStr">
        <is>
          <t>Aprobada</t>
        </is>
      </c>
      <c r="W393" s="19" t="inlineStr"/>
      <c r="X393" s="19" t="inlineStr">
        <is>
          <t>Aldair González (validación del responsable de BD)</t>
        </is>
      </c>
      <c r="Y393" s="20" t="n">
        <v>46321</v>
      </c>
      <c r="Z393" s="19" t="inlineStr">
        <is>
          <t>Nivel 3: validada por decisión del responsable de la base de datos. Pregunta registrada para desarrollo: ¿A qué tabla apunta cetapId?</t>
        </is>
      </c>
      <c r="AA393" s="18">
        <f>IF(OR(V393="Aprobada"),R393,IF(AND(OR(V393="Aprobada con ajuste",V393="Rechazada"),W393&lt;&gt;""),W393,""))</f>
        <v/>
      </c>
    </row>
    <row r="394">
      <c r="A394" s="18" t="inlineStr">
        <is>
          <t>C0393</t>
        </is>
      </c>
      <c r="B394" s="18" t="inlineStr">
        <is>
          <t>Plan de trabajo académico</t>
        </is>
      </c>
      <c r="C394" s="18" t="inlineStr">
        <is>
          <t>academic_work_plan</t>
        </is>
      </c>
      <c r="D394" s="18" t="inlineStr">
        <is>
          <t>DetallesPta</t>
        </is>
      </c>
      <c r="E394" s="18" t="n">
        <v>0</v>
      </c>
      <c r="F394" s="18" t="inlineStr">
        <is>
          <t>fechaInicio</t>
        </is>
      </c>
      <c r="G394" s="18" t="inlineStr">
        <is>
          <t>date</t>
        </is>
      </c>
      <c r="H394" s="18" t="inlineStr">
        <is>
          <t>Sí</t>
        </is>
      </c>
      <c r="I394" s="18" t="inlineStr"/>
      <c r="J394" s="18" t="inlineStr"/>
      <c r="K394" s="18" t="inlineStr"/>
      <c r="L394" s="18" t="inlineStr">
        <is>
          <t>No</t>
        </is>
      </c>
      <c r="M394" s="18" t="inlineStr">
        <is>
          <t>No</t>
        </is>
      </c>
      <c r="N394" s="18" t="inlineStr"/>
      <c r="O394" s="18" t="inlineStr"/>
      <c r="P394" s="18" t="inlineStr"/>
      <c r="Q394" s="18" t="inlineStr">
        <is>
          <t>Propuesta semántica</t>
        </is>
      </c>
      <c r="R394" s="18" t="inlineStr">
        <is>
          <t>Fecha de inicio de la asignatura.</t>
        </is>
      </c>
      <c r="S394" s="18" t="inlineStr">
        <is>
          <t>Alta</t>
        </is>
      </c>
      <c r="T394" s="18" t="inlineStr">
        <is>
          <t>nombre + tipo + columnas vecinas</t>
        </is>
      </c>
      <c r="U394" s="18" t="inlineStr"/>
      <c r="V394" s="19" t="inlineStr">
        <is>
          <t>Aprobada</t>
        </is>
      </c>
      <c r="W394" s="19" t="inlineStr"/>
      <c r="X394" s="19" t="inlineStr">
        <is>
          <t>Aldair González (aprobación en bloque)</t>
        </is>
      </c>
      <c r="Y394" s="20" t="n">
        <v>46321</v>
      </c>
      <c r="Z394" s="19" t="inlineStr">
        <is>
          <t>Nivel 1: propuesta del comentario del desarrollador o de confianza alta, o regla de fecha/responsable/motivo.</t>
        </is>
      </c>
      <c r="AA394" s="18">
        <f>IF(OR(V394="Aprobada"),R394,IF(AND(OR(V394="Aprobada con ajuste",V394="Rechazada"),W394&lt;&gt;""),W394,""))</f>
        <v/>
      </c>
    </row>
    <row r="395">
      <c r="A395" s="18" t="inlineStr">
        <is>
          <t>C0394</t>
        </is>
      </c>
      <c r="B395" s="18" t="inlineStr">
        <is>
          <t>Plan de trabajo académico</t>
        </is>
      </c>
      <c r="C395" s="18" t="inlineStr">
        <is>
          <t>academic_work_plan</t>
        </is>
      </c>
      <c r="D395" s="18" t="inlineStr">
        <is>
          <t>DetallesPta</t>
        </is>
      </c>
      <c r="E395" s="18" t="n">
        <v>0</v>
      </c>
      <c r="F395" s="18" t="inlineStr">
        <is>
          <t>fechaFin</t>
        </is>
      </c>
      <c r="G395" s="18" t="inlineStr">
        <is>
          <t>date</t>
        </is>
      </c>
      <c r="H395" s="18" t="inlineStr">
        <is>
          <t>Sí</t>
        </is>
      </c>
      <c r="I395" s="18" t="inlineStr"/>
      <c r="J395" s="18" t="inlineStr"/>
      <c r="K395" s="18" t="inlineStr"/>
      <c r="L395" s="18" t="inlineStr">
        <is>
          <t>No</t>
        </is>
      </c>
      <c r="M395" s="18" t="inlineStr">
        <is>
          <t>No</t>
        </is>
      </c>
      <c r="N395" s="18" t="inlineStr"/>
      <c r="O395" s="18" t="inlineStr"/>
      <c r="P395" s="18" t="inlineStr"/>
      <c r="Q395" s="18" t="inlineStr">
        <is>
          <t>Propuesta semántica</t>
        </is>
      </c>
      <c r="R395" s="18" t="inlineStr">
        <is>
          <t>Fecha de finalización de la asignatura.</t>
        </is>
      </c>
      <c r="S395" s="18" t="inlineStr">
        <is>
          <t>Alta</t>
        </is>
      </c>
      <c r="T395" s="18" t="inlineStr">
        <is>
          <t>nombre + tipo + columnas vecinas</t>
        </is>
      </c>
      <c r="U395" s="18" t="inlineStr"/>
      <c r="V395" s="19" t="inlineStr">
        <is>
          <t>Aprobada</t>
        </is>
      </c>
      <c r="W395" s="19" t="inlineStr"/>
      <c r="X395" s="19" t="inlineStr">
        <is>
          <t>Aldair González (aprobación en bloque)</t>
        </is>
      </c>
      <c r="Y395" s="20" t="n">
        <v>46321</v>
      </c>
      <c r="Z395" s="19" t="inlineStr">
        <is>
          <t>Nivel 1: propuesta del comentario del desarrollador o de confianza alta, o regla de fecha/responsable/motivo.</t>
        </is>
      </c>
      <c r="AA395" s="18">
        <f>IF(OR(V395="Aprobada"),R395,IF(AND(OR(V395="Aprobada con ajuste",V395="Rechazada"),W395&lt;&gt;""),W395,""))</f>
        <v/>
      </c>
    </row>
    <row r="396">
      <c r="A396" s="18" t="inlineStr">
        <is>
          <t>C0395</t>
        </is>
      </c>
      <c r="B396" s="18" t="inlineStr">
        <is>
          <t>Plan de trabajo académico</t>
        </is>
      </c>
      <c r="C396" s="18" t="inlineStr">
        <is>
          <t>academic_work_plan</t>
        </is>
      </c>
      <c r="D396" s="18" t="inlineStr">
        <is>
          <t>DetallesPta</t>
        </is>
      </c>
      <c r="E396" s="18" t="n">
        <v>0</v>
      </c>
      <c r="F396" s="18" t="inlineStr">
        <is>
          <t>observaciones</t>
        </is>
      </c>
      <c r="G396" s="18" t="inlineStr">
        <is>
          <t>text</t>
        </is>
      </c>
      <c r="H396" s="18" t="inlineStr">
        <is>
          <t>Sí</t>
        </is>
      </c>
      <c r="I396" s="18" t="inlineStr"/>
      <c r="J396" s="18" t="inlineStr"/>
      <c r="K396" s="18" t="inlineStr"/>
      <c r="L396" s="18" t="inlineStr">
        <is>
          <t>No</t>
        </is>
      </c>
      <c r="M396" s="18" t="inlineStr">
        <is>
          <t>No</t>
        </is>
      </c>
      <c r="N396" s="18" t="inlineStr"/>
      <c r="O396" s="18" t="inlineStr"/>
      <c r="P396" s="18" t="inlineStr"/>
      <c r="Q396" s="18" t="inlineStr">
        <is>
          <t>Regla estructural (redacción revisada)</t>
        </is>
      </c>
      <c r="R396" s="18" t="inlineStr">
        <is>
          <t>Observaciones sobre el detalle del plan de trabajo académico.</t>
        </is>
      </c>
      <c r="S396" s="18" t="inlineStr">
        <is>
          <t>Alta</t>
        </is>
      </c>
      <c r="T396" s="18" t="inlineStr">
        <is>
          <t>Convención de nombre, redactada con el contexto de la tabla y el código.</t>
        </is>
      </c>
      <c r="U396" s="18" t="inlineStr"/>
      <c r="V396" s="19" t="inlineStr">
        <is>
          <t>Aprobada</t>
        </is>
      </c>
      <c r="W396" s="19" t="inlineStr"/>
      <c r="X396" s="19" t="inlineStr">
        <is>
          <t>Aldair González (aprobación en bloque)</t>
        </is>
      </c>
      <c r="Y396" s="20" t="n">
        <v>46321</v>
      </c>
      <c r="Z396" s="19" t="inlineStr">
        <is>
          <t>Nivel 2: regla estructural con redacción revisada.</t>
        </is>
      </c>
      <c r="AA396" s="18">
        <f>IF(OR(V396="Aprobada"),R396,IF(AND(OR(V396="Aprobada con ajuste",V396="Rechazada"),W396&lt;&gt;""),W396,""))</f>
        <v/>
      </c>
    </row>
    <row r="397">
      <c r="A397" s="18" t="inlineStr">
        <is>
          <t>C0396</t>
        </is>
      </c>
      <c r="B397" s="18" t="inlineStr">
        <is>
          <t>Plan de trabajo académico</t>
        </is>
      </c>
      <c r="C397" s="18" t="inlineStr">
        <is>
          <t>academic_work_plan</t>
        </is>
      </c>
      <c r="D397" s="18" t="inlineStr">
        <is>
          <t>direccion_territorial</t>
        </is>
      </c>
      <c r="E397" s="18" t="n">
        <v>18</v>
      </c>
      <c r="F397" s="18" t="inlineStr">
        <is>
          <t>codigo</t>
        </is>
      </c>
      <c r="G397" s="18" t="inlineStr">
        <is>
          <t>character varying(20)</t>
        </is>
      </c>
      <c r="H397" s="18" t="inlineStr">
        <is>
          <t>No</t>
        </is>
      </c>
      <c r="I397" s="18" t="inlineStr">
        <is>
          <t>Única</t>
        </is>
      </c>
      <c r="J397" s="18" t="inlineStr"/>
      <c r="K397" s="18" t="inlineStr"/>
      <c r="L397" s="18" t="inlineStr">
        <is>
          <t>No</t>
        </is>
      </c>
      <c r="M397" s="18" t="inlineStr">
        <is>
          <t>No</t>
        </is>
      </c>
      <c r="N397" s="18" t="inlineStr"/>
      <c r="O397" s="18" t="inlineStr">
        <is>
          <t>direccion_territorial_codigo_key</t>
        </is>
      </c>
      <c r="P397" s="18" t="inlineStr">
        <is>
          <t>Mapeada en academic-work-plan-service/src/pta/entities/direccion-territorial.entity.ts:8 (DireccionTerritorialEntity.codigo)</t>
        </is>
      </c>
      <c r="Q397" s="18" t="inlineStr">
        <is>
          <t>Regla estructural (redacción revisada)</t>
        </is>
      </c>
      <c r="R397" s="18" t="inlineStr">
        <is>
          <t>Código de la dirección territorial, único en la tabla.</t>
        </is>
      </c>
      <c r="S397" s="18" t="inlineStr">
        <is>
          <t>Alta</t>
        </is>
      </c>
      <c r="T397" s="18" t="inlineStr">
        <is>
          <t>Convención de nombre, redactada con el contexto de la tabla y el código.</t>
        </is>
      </c>
      <c r="U397" s="18" t="inlineStr"/>
      <c r="V397" s="19" t="inlineStr">
        <is>
          <t>Aprobada</t>
        </is>
      </c>
      <c r="W397" s="19" t="inlineStr"/>
      <c r="X397" s="19" t="inlineStr">
        <is>
          <t>Aldair González (aprobación en bloque)</t>
        </is>
      </c>
      <c r="Y397" s="20" t="n">
        <v>46321</v>
      </c>
      <c r="Z397" s="19" t="inlineStr">
        <is>
          <t>Nivel 2: regla estructural con redacción revisada.</t>
        </is>
      </c>
      <c r="AA397" s="18">
        <f>IF(OR(V397="Aprobada"),R397,IF(AND(OR(V397="Aprobada con ajuste",V397="Rechazada"),W397&lt;&gt;""),W397,""))</f>
        <v/>
      </c>
    </row>
    <row r="398">
      <c r="A398" s="18" t="inlineStr">
        <is>
          <t>C0397</t>
        </is>
      </c>
      <c r="B398" s="18" t="inlineStr">
        <is>
          <t>Plan de trabajo académico</t>
        </is>
      </c>
      <c r="C398" s="18" t="inlineStr">
        <is>
          <t>academic_work_plan</t>
        </is>
      </c>
      <c r="D398" s="18" t="inlineStr">
        <is>
          <t>direccion_territorial</t>
        </is>
      </c>
      <c r="E398" s="18" t="n">
        <v>18</v>
      </c>
      <c r="F398" s="18" t="inlineStr">
        <is>
          <t>nombre</t>
        </is>
      </c>
      <c r="G398" s="18" t="inlineStr">
        <is>
          <t>character varying(50)</t>
        </is>
      </c>
      <c r="H398" s="18" t="inlineStr">
        <is>
          <t>No</t>
        </is>
      </c>
      <c r="I398" s="18" t="inlineStr">
        <is>
          <t>Única</t>
        </is>
      </c>
      <c r="J398" s="18" t="inlineStr"/>
      <c r="K398" s="18" t="inlineStr"/>
      <c r="L398" s="18" t="inlineStr">
        <is>
          <t>No</t>
        </is>
      </c>
      <c r="M398" s="18" t="inlineStr">
        <is>
          <t>No</t>
        </is>
      </c>
      <c r="N398" s="18" t="inlineStr"/>
      <c r="O398" s="18" t="inlineStr">
        <is>
          <t>direccion_territorial_nombre_key</t>
        </is>
      </c>
      <c r="P398" s="18" t="inlineStr">
        <is>
          <t>Mapeada en academic-work-plan-service/src/pta/entities/direccion-territorial.entity.ts:11 (DireccionTerritorialEntity.nombre)</t>
        </is>
      </c>
      <c r="Q398" s="18" t="inlineStr">
        <is>
          <t>Regla estructural (redacción revisada)</t>
        </is>
      </c>
      <c r="R398" s="18" t="inlineStr">
        <is>
          <t>Nombre de la dirección territorial.</t>
        </is>
      </c>
      <c r="S398" s="18" t="inlineStr">
        <is>
          <t>Alta</t>
        </is>
      </c>
      <c r="T398" s="18" t="inlineStr">
        <is>
          <t>Convención de nombre, redactada con el contexto de la tabla y el código.</t>
        </is>
      </c>
      <c r="U398" s="18" t="inlineStr"/>
      <c r="V398" s="19" t="inlineStr">
        <is>
          <t>Aprobada</t>
        </is>
      </c>
      <c r="W398" s="19" t="inlineStr"/>
      <c r="X398" s="19" t="inlineStr">
        <is>
          <t>Aldair González (aprobación en bloque)</t>
        </is>
      </c>
      <c r="Y398" s="20" t="n">
        <v>46321</v>
      </c>
      <c r="Z398" s="19" t="inlineStr">
        <is>
          <t>Nivel 2: regla estructural con redacción revisada.</t>
        </is>
      </c>
      <c r="AA398" s="18">
        <f>IF(OR(V398="Aprobada"),R398,IF(AND(OR(V398="Aprobada con ajuste",V398="Rechazada"),W398&lt;&gt;""),W398,""))</f>
        <v/>
      </c>
    </row>
    <row r="399">
      <c r="A399" s="18" t="inlineStr">
        <is>
          <t>C0398</t>
        </is>
      </c>
      <c r="B399" s="18" t="inlineStr">
        <is>
          <t>Plan de trabajo académico</t>
        </is>
      </c>
      <c r="C399" s="18" t="inlineStr">
        <is>
          <t>academic_work_plan</t>
        </is>
      </c>
      <c r="D399" s="18" t="inlineStr">
        <is>
          <t>direccion_territorial</t>
        </is>
      </c>
      <c r="E399" s="18" t="n">
        <v>18</v>
      </c>
      <c r="F399" s="18" t="inlineStr">
        <is>
          <t>nombre_normalizado</t>
        </is>
      </c>
      <c r="G399" s="18" t="inlineStr">
        <is>
          <t>character varying(50)</t>
        </is>
      </c>
      <c r="H399" s="18" t="inlineStr">
        <is>
          <t>No</t>
        </is>
      </c>
      <c r="I399" s="18" t="inlineStr">
        <is>
          <t>Única</t>
        </is>
      </c>
      <c r="J399" s="18" t="inlineStr"/>
      <c r="K399" s="18" t="inlineStr"/>
      <c r="L399" s="18" t="inlineStr">
        <is>
          <t>No</t>
        </is>
      </c>
      <c r="M399" s="18" t="inlineStr">
        <is>
          <t>No</t>
        </is>
      </c>
      <c r="N399" s="18" t="inlineStr"/>
      <c r="O399" s="18" t="inlineStr">
        <is>
          <t>direccion_territorial_nombre_normalizado_key</t>
        </is>
      </c>
      <c r="P399" s="18" t="inlineStr">
        <is>
          <t>Mapeada en academic-work-plan-service/src/pta/entities/direccion-territorial.entity.ts:14 (DireccionTerritorialEntity.nombreNormalizado)</t>
        </is>
      </c>
      <c r="Q399" s="18" t="inlineStr">
        <is>
          <t>Código fuente (verificado)</t>
        </is>
      </c>
      <c r="R399" s="18" t="inlineStr">
        <is>
          <t>Nombre de la dirección territorial normalizado: sin tildes, sin espacios repetidos y en mayúsculas. Se usa para encontrar la dirección territorial en las cargas y es único en la tabla.</t>
        </is>
      </c>
      <c r="S399" s="18" t="inlineStr">
        <is>
          <t>Alta</t>
        </is>
      </c>
      <c r="T399" s="18" t="inlineStr">
        <is>
          <t>backend/academic-work-plan-service/src/pta/asignaturas-import/asignaturas-import.service.ts:907: normalizarNombre quita diacríticos, colapsa espacios, recorta y pasa a mayúsculas | backend/academic-work-plan-service/src/pta/asignaturas-import/asignaturas-import.service.ts:1001: busca la dirección territorial por nombre_normalizado antes de crearla | backend/academic-work-plan-service/src/estructura-import/estructura-import.service.ts:88: en la carga de estructura el valor viene en la columna nombre_normalizado del archivo, es obligatorio y no puede repetirse (reglas G7 y G3) | db/migrations/326_create_catalog_tables.sql:39: VARCHAR(50) NOT NULL UNIQUE</t>
        </is>
      </c>
      <c r="U399" s="18" t="inlineStr"/>
      <c r="V399" s="19" t="inlineStr">
        <is>
          <t>Aprobada</t>
        </is>
      </c>
      <c r="W399" s="19" t="inlineStr"/>
      <c r="X399" s="19" t="inlineStr">
        <is>
          <t>Aldair González (aprobación en bloque)</t>
        </is>
      </c>
      <c r="Y399" s="20" t="n">
        <v>46321</v>
      </c>
      <c r="Z399" s="19" t="inlineStr">
        <is>
          <t>Nivel 3: verificada con el código de la aplicación.</t>
        </is>
      </c>
      <c r="AA399" s="18">
        <f>IF(OR(V399="Aprobada"),R399,IF(AND(OR(V399="Aprobada con ajuste",V399="Rechazada"),W399&lt;&gt;""),W399,""))</f>
        <v/>
      </c>
    </row>
    <row r="400">
      <c r="A400" s="18" t="inlineStr">
        <is>
          <t>C0399</t>
        </is>
      </c>
      <c r="B400" s="18" t="inlineStr">
        <is>
          <t>Plan de trabajo académico</t>
        </is>
      </c>
      <c r="C400" s="18" t="inlineStr">
        <is>
          <t>academic_work_plan</t>
        </is>
      </c>
      <c r="D400" s="18" t="inlineStr">
        <is>
          <t>direccion_territorial</t>
        </is>
      </c>
      <c r="E400" s="18" t="n">
        <v>18</v>
      </c>
      <c r="F400" s="18" t="inlineStr">
        <is>
          <t>activo</t>
        </is>
      </c>
      <c r="G400" s="18" t="inlineStr">
        <is>
          <t>boolean</t>
        </is>
      </c>
      <c r="H400" s="18" t="inlineStr">
        <is>
          <t>No</t>
        </is>
      </c>
      <c r="I400" s="18" t="inlineStr"/>
      <c r="J400" s="18" t="inlineStr"/>
      <c r="K400" s="18" t="inlineStr"/>
      <c r="L400" s="18" t="inlineStr">
        <is>
          <t>No</t>
        </is>
      </c>
      <c r="M400" s="18" t="inlineStr">
        <is>
          <t>No</t>
        </is>
      </c>
      <c r="N400" s="18" t="inlineStr"/>
      <c r="O400" s="18" t="inlineStr"/>
      <c r="P400" s="18" t="inlineStr">
        <is>
          <t>Mapeada en academic-work-plan-service/src/pta/entities/direccion-territorial.entity.ts:17 (DireccionTerritorialEntity.activo)</t>
        </is>
      </c>
      <c r="Q400" s="18" t="inlineStr">
        <is>
          <t>Regla estructural (redacción revisada)</t>
        </is>
      </c>
      <c r="R400" s="18" t="inlineStr">
        <is>
          <t>Indica si la dirección territorial está activa.</t>
        </is>
      </c>
      <c r="S400" s="18" t="inlineStr">
        <is>
          <t>Alta</t>
        </is>
      </c>
      <c r="T400" s="18" t="inlineStr">
        <is>
          <t>Convención de nombre, redactada con el contexto de la tabla y el código.</t>
        </is>
      </c>
      <c r="U400" s="18" t="inlineStr"/>
      <c r="V400" s="19" t="inlineStr">
        <is>
          <t>Aprobada</t>
        </is>
      </c>
      <c r="W400" s="19" t="inlineStr"/>
      <c r="X400" s="19" t="inlineStr">
        <is>
          <t>Aldair González (aprobación en bloque)</t>
        </is>
      </c>
      <c r="Y400" s="20" t="n">
        <v>46321</v>
      </c>
      <c r="Z400" s="19" t="inlineStr">
        <is>
          <t>Nivel 2: regla estructural con redacción revisada.</t>
        </is>
      </c>
      <c r="AA400" s="18">
        <f>IF(OR(V400="Aprobada"),R400,IF(AND(OR(V400="Aprobada con ajuste",V400="Rechazada"),W400&lt;&gt;""),W400,""))</f>
        <v/>
      </c>
    </row>
    <row r="401">
      <c r="A401" s="18" t="inlineStr">
        <is>
          <t>C0400</t>
        </is>
      </c>
      <c r="B401" s="18" t="inlineStr">
        <is>
          <t>Plan de trabajo académico</t>
        </is>
      </c>
      <c r="C401" s="18" t="inlineStr">
        <is>
          <t>academic_work_plan</t>
        </is>
      </c>
      <c r="D401" s="18" t="inlineStr">
        <is>
          <t>direccion_territorial</t>
        </is>
      </c>
      <c r="E401" s="18" t="n">
        <v>18</v>
      </c>
      <c r="F401" s="18" t="inlineStr">
        <is>
          <t>orden_visualizacion</t>
        </is>
      </c>
      <c r="G401" s="18" t="inlineStr">
        <is>
          <t>integer</t>
        </is>
      </c>
      <c r="H401" s="18" t="inlineStr">
        <is>
          <t>No</t>
        </is>
      </c>
      <c r="I401" s="18" t="inlineStr"/>
      <c r="J401" s="18" t="inlineStr"/>
      <c r="K401" s="18" t="inlineStr"/>
      <c r="L401" s="18" t="inlineStr">
        <is>
          <t>No</t>
        </is>
      </c>
      <c r="M401" s="18" t="inlineStr">
        <is>
          <t>No</t>
        </is>
      </c>
      <c r="N401" s="18" t="inlineStr"/>
      <c r="O401" s="18" t="inlineStr"/>
      <c r="P401" s="18" t="inlineStr">
        <is>
          <t>Mapeada en academic-work-plan-service/src/pta/entities/direccion-territorial.entity.ts:20 (DireccionTerritorialEntity.ordenVisualizacion)</t>
        </is>
      </c>
      <c r="Q401" s="18" t="inlineStr">
        <is>
          <t>Propuesta semántica</t>
        </is>
      </c>
      <c r="R401" s="18" t="inlineStr">
        <is>
          <t>Posición de la dirección territorial en las listas de presentación. Por defecto, 999.</t>
        </is>
      </c>
      <c r="S401" s="18" t="inlineStr">
        <is>
          <t>Alta</t>
        </is>
      </c>
      <c r="T401" s="18" t="inlineStr">
        <is>
          <t>nombre + tipo + columnas vecinas + defecto</t>
        </is>
      </c>
      <c r="U401" s="18" t="inlineStr"/>
      <c r="V401" s="19" t="inlineStr">
        <is>
          <t>Aprobada</t>
        </is>
      </c>
      <c r="W401" s="19" t="inlineStr"/>
      <c r="X401" s="19" t="inlineStr">
        <is>
          <t>Aldair González (aprobación en bloque)</t>
        </is>
      </c>
      <c r="Y401" s="20" t="n">
        <v>46321</v>
      </c>
      <c r="Z401" s="19" t="inlineStr">
        <is>
          <t>Nivel 1: propuesta del comentario del desarrollador o de confianza alta, o regla de fecha/responsable/motivo.</t>
        </is>
      </c>
      <c r="AA401" s="18">
        <f>IF(OR(V401="Aprobada"),R401,IF(AND(OR(V401="Aprobada con ajuste",V401="Rechazada"),W401&lt;&gt;""),W401,""))</f>
        <v/>
      </c>
    </row>
    <row r="402">
      <c r="A402" s="18" t="inlineStr">
        <is>
          <t>C0401</t>
        </is>
      </c>
      <c r="B402" s="18" t="inlineStr">
        <is>
          <t>Plan de trabajo académico</t>
        </is>
      </c>
      <c r="C402" s="18" t="inlineStr">
        <is>
          <t>academic_work_plan</t>
        </is>
      </c>
      <c r="D402" s="18" t="inlineStr">
        <is>
          <t>direccion_territorial</t>
        </is>
      </c>
      <c r="E402" s="18" t="n">
        <v>18</v>
      </c>
      <c r="F402" s="18" t="inlineStr">
        <is>
          <t>deleted_at</t>
        </is>
      </c>
      <c r="G402" s="18" t="inlineStr">
        <is>
          <t>timestamp without time zone</t>
        </is>
      </c>
      <c r="H402" s="18" t="inlineStr">
        <is>
          <t>Sí</t>
        </is>
      </c>
      <c r="I402" s="18" t="inlineStr"/>
      <c r="J402" s="18" t="inlineStr"/>
      <c r="K402" s="18" t="inlineStr"/>
      <c r="L402" s="18" t="inlineStr">
        <is>
          <t>No</t>
        </is>
      </c>
      <c r="M402" s="18" t="inlineStr">
        <is>
          <t>No</t>
        </is>
      </c>
      <c r="N402" s="18" t="inlineStr"/>
      <c r="O402" s="18" t="inlineStr"/>
      <c r="P402" s="18" t="inlineStr">
        <is>
          <t>Mapeada en academic-work-plan-service/src/pta/entities/direccion-territorial.entity.ts:35 (DireccionTerritorialEntity.deletedAt)</t>
        </is>
      </c>
      <c r="Q402" s="18" t="inlineStr">
        <is>
          <t>Regla estructural</t>
        </is>
      </c>
      <c r="R402" s="18" t="inlineStr">
        <is>
          <t>Fecha y hora de la eliminación.</t>
        </is>
      </c>
      <c r="S402" s="18" t="inlineStr">
        <is>
          <t>Media</t>
        </is>
      </c>
      <c r="T402" s="18" t="inlineStr">
        <is>
          <t>Convención de nombre de la columna.</t>
        </is>
      </c>
      <c r="U402" s="18" t="inlineStr"/>
      <c r="V402" s="19" t="inlineStr">
        <is>
          <t>Aprobada</t>
        </is>
      </c>
      <c r="W402" s="19" t="inlineStr"/>
      <c r="X402" s="19" t="inlineStr">
        <is>
          <t>Aldair González (aprobación en bloque)</t>
        </is>
      </c>
      <c r="Y402" s="20" t="n">
        <v>46321</v>
      </c>
      <c r="Z402" s="19" t="inlineStr">
        <is>
          <t>Nivel 1: propuesta del comentario del desarrollador o de confianza alta, o regla de fecha/responsable/motivo.</t>
        </is>
      </c>
      <c r="AA402" s="18">
        <f>IF(OR(V402="Aprobada"),R402,IF(AND(OR(V402="Aprobada con ajuste",V402="Rechazada"),W402&lt;&gt;""),W402,""))</f>
        <v/>
      </c>
    </row>
    <row r="403">
      <c r="A403" s="18" t="inlineStr">
        <is>
          <t>C0402</t>
        </is>
      </c>
      <c r="B403" s="18" t="inlineStr">
        <is>
          <t>Plan de trabajo académico</t>
        </is>
      </c>
      <c r="C403" s="18" t="inlineStr">
        <is>
          <t>academic_work_plan</t>
        </is>
      </c>
      <c r="D403" s="18" t="inlineStr">
        <is>
          <t>direccion_territorial</t>
        </is>
      </c>
      <c r="E403" s="18" t="n">
        <v>18</v>
      </c>
      <c r="F403" s="18" t="inlineStr">
        <is>
          <t>deleted_by</t>
        </is>
      </c>
      <c r="G403" s="18" t="inlineStr">
        <is>
          <t>bigint</t>
        </is>
      </c>
      <c r="H403" s="18" t="inlineStr">
        <is>
          <t>Sí</t>
        </is>
      </c>
      <c r="I403" s="18" t="inlineStr"/>
      <c r="J403" s="18" t="inlineStr"/>
      <c r="K403" s="18" t="inlineStr"/>
      <c r="L403" s="18" t="inlineStr">
        <is>
          <t>No</t>
        </is>
      </c>
      <c r="M403" s="18" t="inlineStr">
        <is>
          <t>No</t>
        </is>
      </c>
      <c r="N403" s="18" t="inlineStr"/>
      <c r="O403" s="18" t="inlineStr"/>
      <c r="P403" s="18" t="inlineStr">
        <is>
          <t>Mapeada en academic-work-plan-service/src/pta/entities/direccion-territorial.entity.ts:38 (DireccionTerritorialEntity.deletedBy)</t>
        </is>
      </c>
      <c r="Q403" s="18" t="inlineStr">
        <is>
          <t>Código fuente (verificado)</t>
        </is>
      </c>
      <c r="R403" s="18" t="inlineStr">
        <is>
          <t>Identificador del usuario que eliminó lógicamente el registro.</t>
        </is>
      </c>
      <c r="S403" s="18" t="inlineStr">
        <is>
          <t>Media</t>
        </is>
      </c>
      <c r="T403" s="18" t="inlineStr">
        <is>
          <t>backend/academic-work-plan-service/src/pta/entities/direccion-territorial.entity.ts:38: columna bigint mapeada como deletedBy, sin relación declarada | db/migrations/326_create_catalog_tables.sql: deleted_by BIGINT sin FK | ningún servicio del academic-work-plan-service asigna deleted_by (búsqueda de deleted_by/deletedBy)</t>
        </is>
      </c>
      <c r="U403" s="18" t="inlineStr">
        <is>
          <t>¿deleted_by guarda el id de auth."user" (id_user) u otro identificador? Ningún servicio escribe la columna; ¿se usa la eliminación lógica de esta tabla?</t>
        </is>
      </c>
      <c r="V403" s="19" t="inlineStr">
        <is>
          <t>Aprobada</t>
        </is>
      </c>
      <c r="W403" s="19" t="inlineStr"/>
      <c r="X403" s="19" t="inlineStr">
        <is>
          <t>Aldair González (validación del responsable de BD)</t>
        </is>
      </c>
      <c r="Y403" s="20" t="n">
        <v>46321</v>
      </c>
      <c r="Z403" s="19" t="inlineStr">
        <is>
          <t>Nivel 3: validada por decisión del responsable de la base de datos. Pregunta registrada para desarrollo: ¿deleted_by guarda el id de auth."user" (id_user) u otro identificador? Ningún servicio escribe la columna; ¿se usa la eliminación lógica de esta tabla?</t>
        </is>
      </c>
      <c r="AA403" s="18">
        <f>IF(OR(V403="Aprobada"),R403,IF(AND(OR(V403="Aprobada con ajuste",V403="Rechazada"),W403&lt;&gt;""),W403,""))</f>
        <v/>
      </c>
    </row>
    <row r="404">
      <c r="A404" s="18" t="inlineStr">
        <is>
          <t>C0403</t>
        </is>
      </c>
      <c r="B404" s="18" t="inlineStr">
        <is>
          <t>Plan de trabajo académico</t>
        </is>
      </c>
      <c r="C404" s="18" t="inlineStr">
        <is>
          <t>academic_work_plan</t>
        </is>
      </c>
      <c r="D404" s="18" t="inlineStr">
        <is>
          <t>docencia_concertada</t>
        </is>
      </c>
      <c r="E404" s="18" t="n">
        <v>0</v>
      </c>
      <c r="F404" s="18" t="inlineStr">
        <is>
          <t>documento_docente</t>
        </is>
      </c>
      <c r="G404" s="18" t="inlineStr">
        <is>
          <t>character varying(40)</t>
        </is>
      </c>
      <c r="H404" s="18" t="inlineStr">
        <is>
          <t>No</t>
        </is>
      </c>
      <c r="I404" s="18" t="inlineStr"/>
      <c r="J404" s="18" t="inlineStr"/>
      <c r="K404" s="18" t="inlineStr"/>
      <c r="L404" s="18" t="inlineStr">
        <is>
          <t>No</t>
        </is>
      </c>
      <c r="M404" s="18" t="inlineStr">
        <is>
          <t>No</t>
        </is>
      </c>
      <c r="N404" s="18" t="inlineStr"/>
      <c r="O404" s="18" t="inlineStr">
        <is>
          <t>idx_docencia_concertada_docente_periodo</t>
        </is>
      </c>
      <c r="P404" s="18" t="inlineStr"/>
      <c r="Q404" s="18" t="inlineStr">
        <is>
          <t>Propuesta semántica</t>
        </is>
      </c>
      <c r="R404" s="18" t="inlineStr">
        <is>
          <t>Número de documento de identidad del docente al que corresponde la docencia concertada.</t>
        </is>
      </c>
      <c r="S404" s="18" t="inlineStr">
        <is>
          <t>Alta</t>
        </is>
      </c>
      <c r="T404" s="18" t="inlineStr">
        <is>
          <t>nombre + tipo + columnas vecinas + índice idx_docencia_concertada_docente_periodo</t>
        </is>
      </c>
      <c r="U404" s="18" t="inlineStr"/>
      <c r="V404" s="19" t="inlineStr">
        <is>
          <t>Aprobada</t>
        </is>
      </c>
      <c r="W404" s="19" t="inlineStr"/>
      <c r="X404" s="19" t="inlineStr">
        <is>
          <t>Aldair González (aprobación en bloque)</t>
        </is>
      </c>
      <c r="Y404" s="20" t="n">
        <v>46321</v>
      </c>
      <c r="Z404" s="19" t="inlineStr">
        <is>
          <t>Nivel 1: propuesta del comentario del desarrollador o de confianza alta, o regla de fecha/responsable/motivo.</t>
        </is>
      </c>
      <c r="AA404" s="18">
        <f>IF(OR(V404="Aprobada"),R404,IF(AND(OR(V404="Aprobada con ajuste",V404="Rechazada"),W404&lt;&gt;""),W404,""))</f>
        <v/>
      </c>
    </row>
    <row r="405">
      <c r="A405" s="18" t="inlineStr">
        <is>
          <t>C0404</t>
        </is>
      </c>
      <c r="B405" s="18" t="inlineStr">
        <is>
          <t>Plan de trabajo académico</t>
        </is>
      </c>
      <c r="C405" s="18" t="inlineStr">
        <is>
          <t>academic_work_plan</t>
        </is>
      </c>
      <c r="D405" s="18" t="inlineStr">
        <is>
          <t>docencia_concertada</t>
        </is>
      </c>
      <c r="E405" s="18" t="n">
        <v>0</v>
      </c>
      <c r="F405" s="18" t="inlineStr">
        <is>
          <t>periodo</t>
        </is>
      </c>
      <c r="G405" s="18" t="inlineStr">
        <is>
          <t>character varying(40)</t>
        </is>
      </c>
      <c r="H405" s="18" t="inlineStr">
        <is>
          <t>Sí</t>
        </is>
      </c>
      <c r="I405" s="18" t="inlineStr"/>
      <c r="J405" s="18" t="inlineStr"/>
      <c r="K405" s="18" t="inlineStr"/>
      <c r="L405" s="18" t="inlineStr">
        <is>
          <t>No</t>
        </is>
      </c>
      <c r="M405" s="18" t="inlineStr">
        <is>
          <t>No</t>
        </is>
      </c>
      <c r="N405" s="18" t="inlineStr"/>
      <c r="O405" s="18" t="inlineStr">
        <is>
          <t>idx_docencia_concertada_docente_periodo</t>
        </is>
      </c>
      <c r="P405" s="18" t="inlineStr"/>
      <c r="Q405" s="18" t="inlineStr">
        <is>
          <t>Código fuente (verificado)</t>
        </is>
      </c>
      <c r="R405" s="18" t="inlineStr">
        <is>
          <t>Código del periodo académico de la docencia concertada, con la forma AAAA-S (año y semestre 1 o 2). Viene de periodo_academico.codigo del plan de trabajo o del código del periodo de programación.</t>
        </is>
      </c>
      <c r="S405" s="18" t="inlineStr">
        <is>
          <t>Alta</t>
        </is>
      </c>
      <c r="T405" s="18" t="inlineStr">
        <is>
          <t>backend/academic-schedule-service/src/concertacion/concertacion.service.ts:460: periodo_codigo = COALESCE(periodo_academico.codigo, periodo_programacion.codigo) | backend/academic-schedule-service/src/concertacion/concertacion.service.ts:492: se envía como periodo al PTA | backend/academic-work-plan-service/src/contrato-programacion/v1/docencia-decisiones.service.ts:83: el periodo debe tener la forma AAAA-S (regex ^\d{4}-[12]$) | backend/academic-work-plan-service/src/pta/docencia-programacion.ts:210: se compara con PlanTrabajoAcademico.periodo</t>
        </is>
      </c>
      <c r="U405" s="18" t="inlineStr"/>
      <c r="V405" s="19" t="inlineStr">
        <is>
          <t>Aprobada</t>
        </is>
      </c>
      <c r="W405" s="19" t="inlineStr"/>
      <c r="X405" s="19" t="inlineStr">
        <is>
          <t>Aldair González (aprobación en bloque)</t>
        </is>
      </c>
      <c r="Y405" s="20" t="n">
        <v>46321</v>
      </c>
      <c r="Z405" s="19" t="inlineStr">
        <is>
          <t>Nivel 3: verificada con el código de la aplicación.</t>
        </is>
      </c>
      <c r="AA405" s="18">
        <f>IF(OR(V405="Aprobada"),R405,IF(AND(OR(V405="Aprobada con ajuste",V405="Rechazada"),W405&lt;&gt;""),W405,""))</f>
        <v/>
      </c>
    </row>
    <row r="406">
      <c r="A406" s="18" t="inlineStr">
        <is>
          <t>C0405</t>
        </is>
      </c>
      <c r="B406" s="18" t="inlineStr">
        <is>
          <t>Plan de trabajo académico</t>
        </is>
      </c>
      <c r="C406" s="18" t="inlineStr">
        <is>
          <t>academic_work_plan</t>
        </is>
      </c>
      <c r="D406" s="18" t="inlineStr">
        <is>
          <t>docencia_concertada</t>
        </is>
      </c>
      <c r="E406" s="18" t="n">
        <v>0</v>
      </c>
      <c r="F406" s="18" t="inlineStr">
        <is>
          <t>nivel</t>
        </is>
      </c>
      <c r="G406" s="18" t="inlineStr">
        <is>
          <t>character varying(10)</t>
        </is>
      </c>
      <c r="H406" s="18" t="inlineStr">
        <is>
          <t>No</t>
        </is>
      </c>
      <c r="I406" s="18" t="inlineStr">
        <is>
          <t>CHECK</t>
        </is>
      </c>
      <c r="J406" s="18" t="inlineStr">
        <is>
          <t>posgrado, pregrado</t>
        </is>
      </c>
      <c r="K406" s="18" t="inlineStr"/>
      <c r="L406" s="18" t="inlineStr">
        <is>
          <t>Sí</t>
        </is>
      </c>
      <c r="M406" s="18" t="inlineStr">
        <is>
          <t>No</t>
        </is>
      </c>
      <c r="N406" s="18" t="inlineStr"/>
      <c r="O406" s="18" t="inlineStr"/>
      <c r="P406" s="18" t="inlineStr"/>
      <c r="Q406" s="18" t="inlineStr">
        <is>
          <t>Propuesta semántica</t>
        </is>
      </c>
      <c r="R406" s="18" t="inlineStr">
        <is>
          <t>Nivel de formación de la docencia concertada. Valores permitidos: posgrado, pregrado.</t>
        </is>
      </c>
      <c r="S406" s="18" t="inlineStr">
        <is>
          <t>Alta</t>
        </is>
      </c>
      <c r="T406" s="18" t="inlineStr">
        <is>
          <t>valores permitidos del CHECK</t>
        </is>
      </c>
      <c r="U406" s="18" t="inlineStr"/>
      <c r="V406" s="19" t="inlineStr">
        <is>
          <t>Aprobada</t>
        </is>
      </c>
      <c r="W406" s="19" t="inlineStr"/>
      <c r="X406" s="19" t="inlineStr">
        <is>
          <t>Aldair González (aprobación en bloque)</t>
        </is>
      </c>
      <c r="Y406" s="20" t="n">
        <v>46321</v>
      </c>
      <c r="Z406" s="19" t="inlineStr">
        <is>
          <t>Nivel 1: propuesta del comentario del desarrollador o de confianza alta, o regla de fecha/responsable/motivo.</t>
        </is>
      </c>
      <c r="AA406" s="18">
        <f>IF(OR(V406="Aprobada"),R406,IF(AND(OR(V406="Aprobada con ajuste",V406="Rechazada"),W406&lt;&gt;""),W406,""))</f>
        <v/>
      </c>
    </row>
    <row r="407">
      <c r="A407" s="18" t="inlineStr">
        <is>
          <t>C0406</t>
        </is>
      </c>
      <c r="B407" s="18" t="inlineStr">
        <is>
          <t>Plan de trabajo académico</t>
        </is>
      </c>
      <c r="C407" s="18" t="inlineStr">
        <is>
          <t>academic_work_plan</t>
        </is>
      </c>
      <c r="D407" s="18" t="inlineStr">
        <is>
          <t>docencia_concertada</t>
        </is>
      </c>
      <c r="E407" s="18" t="n">
        <v>0</v>
      </c>
      <c r="F407" s="18" t="inlineStr">
        <is>
          <t>horas</t>
        </is>
      </c>
      <c r="G407" s="18" t="inlineStr">
        <is>
          <t>numeric(8,1)</t>
        </is>
      </c>
      <c r="H407" s="18" t="inlineStr">
        <is>
          <t>No</t>
        </is>
      </c>
      <c r="I407" s="18" t="inlineStr"/>
      <c r="J407" s="18" t="inlineStr"/>
      <c r="K407" s="18" t="inlineStr"/>
      <c r="L407" s="18" t="inlineStr">
        <is>
          <t>No</t>
        </is>
      </c>
      <c r="M407" s="18" t="inlineStr">
        <is>
          <t>No</t>
        </is>
      </c>
      <c r="N407" s="18" t="inlineStr"/>
      <c r="O407" s="18" t="inlineStr"/>
      <c r="P407" s="18" t="inlineStr"/>
      <c r="Q407" s="18" t="inlineStr">
        <is>
          <t>Código fuente (verificado)</t>
        </is>
      </c>
      <c r="R407" s="18" t="inlineStr">
        <is>
          <t>Total de horas de docencia concertadas para el docente en el periodo y nivel, igual a la suma de las horas de los grupos concertados. Admite un decimal y no puede ser negativo.</t>
        </is>
      </c>
      <c r="S407" s="18" t="inlineStr">
        <is>
          <t>Alta</t>
        </is>
      </c>
      <c r="T407" s="18" t="inlineStr">
        <is>
          <t>backend/academic-schedule-service/src/concertacion/concertacion.service.ts:298: horas = suma de las horas de los grupos tomados, redondeada a un decimal | backend/academic-work-plan-service/src/contrato-programacion/v1/docencia-decisiones.service.ts:153: horas debe ser un número no negativo | backend/academic-work-plan-service/src/pta/docencia-programacion.ts:167: las horas de cada asignatura entran al PTA como horas_base y total_horas</t>
        </is>
      </c>
      <c r="U407" s="18" t="inlineStr"/>
      <c r="V407" s="19" t="inlineStr">
        <is>
          <t>Aprobada</t>
        </is>
      </c>
      <c r="W407" s="19" t="inlineStr"/>
      <c r="X407" s="19" t="inlineStr">
        <is>
          <t>Aldair González (aprobación en bloque)</t>
        </is>
      </c>
      <c r="Y407" s="20" t="n">
        <v>46321</v>
      </c>
      <c r="Z407" s="19" t="inlineStr">
        <is>
          <t>Nivel 3: verificada con el código de la aplicación.</t>
        </is>
      </c>
      <c r="AA407" s="18">
        <f>IF(OR(V407="Aprobada"),R407,IF(AND(OR(V407="Aprobada con ajuste",V407="Rechazada"),W407&lt;&gt;""),W407,""))</f>
        <v/>
      </c>
    </row>
    <row r="408">
      <c r="A408" s="18" t="inlineStr">
        <is>
          <t>C0407</t>
        </is>
      </c>
      <c r="B408" s="18" t="inlineStr">
        <is>
          <t>Plan de trabajo académico</t>
        </is>
      </c>
      <c r="C408" s="18" t="inlineStr">
        <is>
          <t>academic_work_plan</t>
        </is>
      </c>
      <c r="D408" s="18" t="inlineStr">
        <is>
          <t>docencia_concertada</t>
        </is>
      </c>
      <c r="E408" s="18" t="n">
        <v>0</v>
      </c>
      <c r="F408" s="18" t="inlineStr">
        <is>
          <t>huella</t>
        </is>
      </c>
      <c r="G408" s="18" t="inlineStr">
        <is>
          <t>character(64)</t>
        </is>
      </c>
      <c r="H408" s="18" t="inlineStr">
        <is>
          <t>No</t>
        </is>
      </c>
      <c r="I408" s="18" t="inlineStr"/>
      <c r="J408" s="18" t="inlineStr"/>
      <c r="K408" s="18" t="inlineStr"/>
      <c r="L408" s="18" t="inlineStr">
        <is>
          <t>No</t>
        </is>
      </c>
      <c r="M408" s="18" t="inlineStr">
        <is>
          <t>No</t>
        </is>
      </c>
      <c r="N408" s="18" t="inlineStr"/>
      <c r="O408" s="18" t="inlineStr"/>
      <c r="P408" s="18" t="inlineStr"/>
      <c r="Q408" s="18" t="inlineStr">
        <is>
          <t>Código fuente (verificado)</t>
        </is>
      </c>
      <c r="R408" s="18" t="inlineStr">
        <is>
          <t>Huella SHA-256 en hexadecimal (64 caracteres) de lo firmado en la concertación: docente, periodo, nivel y franjas, serializados en forma canónica. Permite verificar que lo aprobado no cambió.</t>
        </is>
      </c>
      <c r="S408" s="18" t="inlineStr">
        <is>
          <t>Alta</t>
        </is>
      </c>
      <c r="T408" s="18" t="inlineStr">
        <is>
          <t>backend/academic-schedule-service/src/concertacion/firma.ts:9: huellaDe = createHash('sha256') sobre la serialización canónica (claves ordenadas) | backend/academic-schedule-service/src/concertacion/concertacion.service.ts:244: huellaDe({ docente, periodo, nivel, franjas }) | backend/academic-work-plan-service/src/contrato-programacion/v1/docencia-decisiones.service.ts:154: huella debe ser un sha256 en hexadecimal (64 caracteres)</t>
        </is>
      </c>
      <c r="U408" s="18" t="inlineStr"/>
      <c r="V408" s="19" t="inlineStr">
        <is>
          <t>Aprobada</t>
        </is>
      </c>
      <c r="W408" s="19" t="inlineStr"/>
      <c r="X408" s="19" t="inlineStr">
        <is>
          <t>Aldair González (aprobación en bloque)</t>
        </is>
      </c>
      <c r="Y408" s="20" t="n">
        <v>46321</v>
      </c>
      <c r="Z408" s="19" t="inlineStr">
        <is>
          <t>Nivel 3: verificada con el código de la aplicación.</t>
        </is>
      </c>
      <c r="AA408" s="18">
        <f>IF(OR(V408="Aprobada"),R408,IF(AND(OR(V408="Aprobada con ajuste",V408="Rechazada"),W408&lt;&gt;""),W408,""))</f>
        <v/>
      </c>
    </row>
    <row r="409">
      <c r="A409" s="18" t="inlineStr">
        <is>
          <t>C0408</t>
        </is>
      </c>
      <c r="B409" s="18" t="inlineStr">
        <is>
          <t>Plan de trabajo académico</t>
        </is>
      </c>
      <c r="C409" s="18" t="inlineStr">
        <is>
          <t>academic_work_plan</t>
        </is>
      </c>
      <c r="D409" s="18" t="inlineStr">
        <is>
          <t>docencia_concertada</t>
        </is>
      </c>
      <c r="E409" s="18" t="n">
        <v>0</v>
      </c>
      <c r="F409" s="18" t="inlineStr">
        <is>
          <t>asignaturas</t>
        </is>
      </c>
      <c r="G409" s="18" t="inlineStr">
        <is>
          <t>jsonb</t>
        </is>
      </c>
      <c r="H409" s="18" t="inlineStr">
        <is>
          <t>No</t>
        </is>
      </c>
      <c r="I409" s="18" t="inlineStr"/>
      <c r="J409" s="18" t="inlineStr"/>
      <c r="K409" s="18" t="inlineStr"/>
      <c r="L409" s="18" t="inlineStr">
        <is>
          <t>No</t>
        </is>
      </c>
      <c r="M409" s="18" t="inlineStr">
        <is>
          <t>No</t>
        </is>
      </c>
      <c r="N409" s="18" t="inlineStr"/>
      <c r="O409" s="18" t="inlineStr"/>
      <c r="P409" s="18" t="inlineStr"/>
      <c r="Q409" s="18" t="inlineStr">
        <is>
          <t>Código fuente (verificado)</t>
        </is>
      </c>
      <c r="R409" s="18" t="inlineStr">
        <is>
          <t>Lista de asignaturas concertadas, en JSON. Cada elemento lleva idGrupo, asignaturaId, codigo, nombre, programaId, pensum, creditos, semestre, modalidad, fechaInicio, fechaFin, horas y territorialId (seccional donde se dicta).</t>
        </is>
      </c>
      <c r="S409" s="18" t="inlineStr">
        <is>
          <t>Alta</t>
        </is>
      </c>
      <c r="T409" s="18" t="inlineStr">
        <is>
          <t>backend/academic-work-plan-service/src/contrato-programacion/v1/docencia-decisiones.service.ts:8: interfaz AsignaturaConcertadaDto con los campos de cada elemento | backend/academic-work-plan-service/src/contrato-programacion/v1/docencia-decisiones.service.ts:155: la lista no puede estar vacía; ids de catálogo numéricos, fechas AAAA-MM-DD y horas &gt; 0 | backend/academic-schedule-service/src/concertacion/concertacion.service.ts:476: arma cada elemento desde grupo, asignatura y ubicación semestral</t>
        </is>
      </c>
      <c r="U409" s="18" t="inlineStr"/>
      <c r="V409" s="19" t="inlineStr">
        <is>
          <t>Aprobada</t>
        </is>
      </c>
      <c r="W409" s="19" t="inlineStr"/>
      <c r="X409" s="19" t="inlineStr">
        <is>
          <t>Aldair González (aprobación en bloque)</t>
        </is>
      </c>
      <c r="Y409" s="20" t="n">
        <v>46321</v>
      </c>
      <c r="Z409" s="19" t="inlineStr">
        <is>
          <t>Nivel 3: verificada con el código de la aplicación.</t>
        </is>
      </c>
      <c r="AA409" s="18">
        <f>IF(OR(V409="Aprobada"),R409,IF(AND(OR(V409="Aprobada con ajuste",V409="Rechazada"),W409&lt;&gt;""),W409,""))</f>
        <v/>
      </c>
    </row>
    <row r="410">
      <c r="A410" s="18" t="inlineStr">
        <is>
          <t>C0409</t>
        </is>
      </c>
      <c r="B410" s="18" t="inlineStr">
        <is>
          <t>Plan de trabajo académico</t>
        </is>
      </c>
      <c r="C410" s="18" t="inlineStr">
        <is>
          <t>academic_work_plan</t>
        </is>
      </c>
      <c r="D410" s="18" t="inlineStr">
        <is>
          <t>docencia_concertada</t>
        </is>
      </c>
      <c r="E410" s="18" t="n">
        <v>0</v>
      </c>
      <c r="F410" s="18" t="inlineStr">
        <is>
          <t>firmas</t>
        </is>
      </c>
      <c r="G410" s="18" t="inlineStr">
        <is>
          <t>jsonb</t>
        </is>
      </c>
      <c r="H410" s="18" t="inlineStr">
        <is>
          <t>No</t>
        </is>
      </c>
      <c r="I410" s="18" t="inlineStr"/>
      <c r="J410" s="18" t="inlineStr"/>
      <c r="K410" s="18" t="inlineStr"/>
      <c r="L410" s="18" t="inlineStr">
        <is>
          <t>No</t>
        </is>
      </c>
      <c r="M410" s="18" t="inlineStr">
        <is>
          <t>No</t>
        </is>
      </c>
      <c r="N410" s="18" t="inlineStr"/>
      <c r="O410" s="18" t="inlineStr"/>
      <c r="P410" s="18" t="inlineStr"/>
      <c r="Q410" s="18" t="inlineStr">
        <is>
          <t>Código fuente (verificado)</t>
        </is>
      </c>
      <c r="R410" s="18" t="inlineStr">
        <is>
          <t>Firmas de la concertación, en JSON. Cada firma lleva rol (docente, revisor o aprobador), idUser, firmadoEn y modoOtp; son obligatorias la del docente y la del aprobador.</t>
        </is>
      </c>
      <c r="S410" s="18" t="inlineStr">
        <is>
          <t>Alta</t>
        </is>
      </c>
      <c r="T410" s="18" t="inlineStr">
        <is>
          <t>backend/academic-work-plan-service/src/contrato-programacion/v1/docencia-decisiones.service.ts:24: firmas: Array&lt;{ rol, idUser, firmadoEn, modoOtp }&gt; | backend/academic-work-plan-service/src/contrato-programacion/v1/docencia-decisiones.service.ts:162: exige los roles docente y aprobador | backend/academic-schedule-service/src/concertacion/concertacion.service.ts:262: firma del docente; líneas 391 y 449: firmas de revisor y aprobador</t>
        </is>
      </c>
      <c r="U410" s="18" t="inlineStr"/>
      <c r="V410" s="19" t="inlineStr">
        <is>
          <t>Aprobada</t>
        </is>
      </c>
      <c r="W410" s="19" t="inlineStr"/>
      <c r="X410" s="19" t="inlineStr">
        <is>
          <t>Aldair González (aprobación en bloque)</t>
        </is>
      </c>
      <c r="Y410" s="20" t="n">
        <v>46321</v>
      </c>
      <c r="Z410" s="19" t="inlineStr">
        <is>
          <t>Nivel 3: verificada con el código de la aplicación.</t>
        </is>
      </c>
      <c r="AA410" s="18">
        <f>IF(OR(V410="Aprobada"),R410,IF(AND(OR(V410="Aprobada con ajuste",V410="Rechazada"),W410&lt;&gt;""),W410,""))</f>
        <v/>
      </c>
    </row>
    <row r="411">
      <c r="A411" s="18" t="inlineStr">
        <is>
          <t>C0410</t>
        </is>
      </c>
      <c r="B411" s="18" t="inlineStr">
        <is>
          <t>Plan de trabajo académico</t>
        </is>
      </c>
      <c r="C411" s="18" t="inlineStr">
        <is>
          <t>academic_work_plan</t>
        </is>
      </c>
      <c r="D411" s="18" t="inlineStr">
        <is>
          <t>docencia_concertada</t>
        </is>
      </c>
      <c r="E411" s="18" t="n">
        <v>0</v>
      </c>
      <c r="F411" s="18" t="inlineStr">
        <is>
          <t>registrada_por</t>
        </is>
      </c>
      <c r="G411" s="18" t="inlineStr">
        <is>
          <t>character varying(80)</t>
        </is>
      </c>
      <c r="H411" s="18" t="inlineStr">
        <is>
          <t>Sí</t>
        </is>
      </c>
      <c r="I411" s="18" t="inlineStr"/>
      <c r="J411" s="18" t="inlineStr"/>
      <c r="K411" s="18" t="inlineStr"/>
      <c r="L411" s="18" t="inlineStr">
        <is>
          <t>No</t>
        </is>
      </c>
      <c r="M411" s="18" t="inlineStr">
        <is>
          <t>No</t>
        </is>
      </c>
      <c r="N411" s="18" t="inlineStr"/>
      <c r="O411" s="18" t="inlineStr"/>
      <c r="P411" s="18" t="inlineStr"/>
      <c r="Q411" s="18" t="inlineStr">
        <is>
          <t>Regla estructural</t>
        </is>
      </c>
      <c r="R411" s="18" t="inlineStr">
        <is>
          <t>Usuario que realizó el registro.</t>
        </is>
      </c>
      <c r="S411" s="18" t="inlineStr">
        <is>
          <t>Media</t>
        </is>
      </c>
      <c r="T411" s="18" t="inlineStr">
        <is>
          <t>Convención de nombre de la columna.</t>
        </is>
      </c>
      <c r="U411" s="18" t="inlineStr"/>
      <c r="V411" s="19" t="inlineStr">
        <is>
          <t>Aprobada</t>
        </is>
      </c>
      <c r="W411" s="19" t="inlineStr"/>
      <c r="X411" s="19" t="inlineStr">
        <is>
          <t>Aldair González (aprobación en bloque)</t>
        </is>
      </c>
      <c r="Y411" s="20" t="n">
        <v>46321</v>
      </c>
      <c r="Z411" s="19" t="inlineStr">
        <is>
          <t>Nivel 1: propuesta del comentario del desarrollador o de confianza alta, o regla de fecha/responsable/motivo.</t>
        </is>
      </c>
      <c r="AA411" s="18">
        <f>IF(OR(V411="Aprobada"),R411,IF(AND(OR(V411="Aprobada con ajuste",V411="Rechazada"),W411&lt;&gt;""),W411,""))</f>
        <v/>
      </c>
    </row>
    <row r="412">
      <c r="A412" s="18" t="inlineStr">
        <is>
          <t>C0411</t>
        </is>
      </c>
      <c r="B412" s="18" t="inlineStr">
        <is>
          <t>Plan de trabajo académico</t>
        </is>
      </c>
      <c r="C412" s="18" t="inlineStr">
        <is>
          <t>academic_work_plan</t>
        </is>
      </c>
      <c r="D412" s="18" t="inlineStr">
        <is>
          <t>docencia_concertada</t>
        </is>
      </c>
      <c r="E412" s="18" t="n">
        <v>0</v>
      </c>
      <c r="F412" s="18" t="inlineStr">
        <is>
          <t>aplicada_en</t>
        </is>
      </c>
      <c r="G412" s="18" t="inlineStr">
        <is>
          <t>timestamp with time zone</t>
        </is>
      </c>
      <c r="H412" s="18" t="inlineStr">
        <is>
          <t>Sí</t>
        </is>
      </c>
      <c r="I412" s="18" t="inlineStr"/>
      <c r="J412" s="18" t="inlineStr"/>
      <c r="K412" s="18" t="inlineStr"/>
      <c r="L412" s="18" t="inlineStr">
        <is>
          <t>No</t>
        </is>
      </c>
      <c r="M412" s="18" t="inlineStr">
        <is>
          <t>No</t>
        </is>
      </c>
      <c r="N412" s="18" t="inlineStr"/>
      <c r="O412" s="18" t="inlineStr"/>
      <c r="P412" s="18" t="inlineStr">
        <is>
          <t>db/migrations/667_pta_docencia_concertada.sql:32: Cuándo la aplicó el PTA a su componente de Docencia (integración pendiente).</t>
        </is>
      </c>
      <c r="Q412" s="18" t="inlineStr">
        <is>
          <t>Código fuente</t>
        </is>
      </c>
      <c r="R412" s="18" t="inlineStr">
        <is>
          <t>Fecha y hora en que el PTA aplicó la docencia concertada a su componente de Docencia.</t>
        </is>
      </c>
      <c r="S412" s="18" t="inlineStr">
        <is>
          <t>Alta</t>
        </is>
      </c>
      <c r="T412" s="18" t="inlineStr">
        <is>
          <t>código: db/migrations/667_pta_docencia_concertada.sql:32</t>
        </is>
      </c>
      <c r="U412" s="18" t="inlineStr"/>
      <c r="V412" s="19" t="inlineStr">
        <is>
          <t>Aprobada</t>
        </is>
      </c>
      <c r="W412" s="19" t="inlineStr"/>
      <c r="X412" s="19" t="inlineStr">
        <is>
          <t>Aldair González (aprobación en bloque)</t>
        </is>
      </c>
      <c r="Y412" s="20" t="n">
        <v>46321</v>
      </c>
      <c r="Z412" s="19" t="inlineStr">
        <is>
          <t>Nivel 1: propuesta del comentario del desarrollador o de confianza alta, o regla de fecha/responsable/motivo.</t>
        </is>
      </c>
      <c r="AA412" s="18">
        <f>IF(OR(V412="Aprobada"),R412,IF(AND(OR(V412="Aprobada con ajuste",V412="Rechazada"),W412&lt;&gt;""),W412,""))</f>
        <v/>
      </c>
    </row>
    <row r="413">
      <c r="A413" s="18" t="inlineStr">
        <is>
          <t>C0412</t>
        </is>
      </c>
      <c r="B413" s="18" t="inlineStr">
        <is>
          <t>Plan de trabajo académico</t>
        </is>
      </c>
      <c r="C413" s="18" t="inlineStr">
        <is>
          <t>academic_work_plan</t>
        </is>
      </c>
      <c r="D413" s="18" t="inlineStr">
        <is>
          <t>docencia_concertada</t>
        </is>
      </c>
      <c r="E413" s="18" t="n">
        <v>0</v>
      </c>
      <c r="F413" s="18" t="inlineStr">
        <is>
          <t>recibida_en</t>
        </is>
      </c>
      <c r="G413" s="18" t="inlineStr">
        <is>
          <t>timestamp with time zone</t>
        </is>
      </c>
      <c r="H413" s="18" t="inlineStr">
        <is>
          <t>No</t>
        </is>
      </c>
      <c r="I413" s="18" t="inlineStr"/>
      <c r="J413" s="18" t="inlineStr"/>
      <c r="K413" s="18" t="inlineStr"/>
      <c r="L413" s="18" t="inlineStr">
        <is>
          <t>No</t>
        </is>
      </c>
      <c r="M413" s="18" t="inlineStr">
        <is>
          <t>No</t>
        </is>
      </c>
      <c r="N413" s="18" t="inlineStr"/>
      <c r="O413" s="18" t="inlineStr"/>
      <c r="P413" s="18" t="inlineStr"/>
      <c r="Q413" s="18" t="inlineStr">
        <is>
          <t>Propuesta semántica</t>
        </is>
      </c>
      <c r="R413" s="18" t="inlineStr">
        <is>
          <t>Fecha y hora en que se recibió la docencia concertada. Por defecto, la fecha y hora del registro.</t>
        </is>
      </c>
      <c r="S413" s="18" t="inlineStr">
        <is>
          <t>Alta</t>
        </is>
      </c>
      <c r="T413" s="18" t="inlineStr">
        <is>
          <t>nombre + tipo + columnas vecinas + defecto now()</t>
        </is>
      </c>
      <c r="U413" s="18" t="inlineStr"/>
      <c r="V413" s="19" t="inlineStr">
        <is>
          <t>Aprobada</t>
        </is>
      </c>
      <c r="W413" s="19" t="inlineStr"/>
      <c r="X413" s="19" t="inlineStr">
        <is>
          <t>Aldair González (aprobación en bloque)</t>
        </is>
      </c>
      <c r="Y413" s="20" t="n">
        <v>46321</v>
      </c>
      <c r="Z413" s="19" t="inlineStr">
        <is>
          <t>Nivel 1: propuesta del comentario del desarrollador o de confianza alta, o regla de fecha/responsable/motivo.</t>
        </is>
      </c>
      <c r="AA413" s="18">
        <f>IF(OR(V413="Aprobada"),R413,IF(AND(OR(V413="Aprobada con ajuste",V413="Rechazada"),W413&lt;&gt;""),W413,""))</f>
        <v/>
      </c>
    </row>
    <row r="414">
      <c r="A414" s="18" t="inlineStr">
        <is>
          <t>C0413</t>
        </is>
      </c>
      <c r="B414" s="18" t="inlineStr">
        <is>
          <t>Plan de trabajo académico</t>
        </is>
      </c>
      <c r="C414" s="18" t="inlineStr">
        <is>
          <t>academic_work_plan</t>
        </is>
      </c>
      <c r="D414" s="18" t="inlineStr">
        <is>
          <t>docencia_concertada</t>
        </is>
      </c>
      <c r="E414" s="18" t="n">
        <v>0</v>
      </c>
      <c r="F414" s="18" t="inlineStr">
        <is>
          <t>actualizada_en</t>
        </is>
      </c>
      <c r="G414" s="18" t="inlineStr">
        <is>
          <t>timestamp with time zone</t>
        </is>
      </c>
      <c r="H414" s="18" t="inlineStr">
        <is>
          <t>No</t>
        </is>
      </c>
      <c r="I414" s="18" t="inlineStr"/>
      <c r="J414" s="18" t="inlineStr"/>
      <c r="K414" s="18" t="inlineStr"/>
      <c r="L414" s="18" t="inlineStr">
        <is>
          <t>No</t>
        </is>
      </c>
      <c r="M414" s="18" t="inlineStr">
        <is>
          <t>No</t>
        </is>
      </c>
      <c r="N414" s="18" t="inlineStr"/>
      <c r="O414" s="18" t="inlineStr"/>
      <c r="P414" s="18" t="inlineStr"/>
      <c r="Q414" s="18" t="inlineStr">
        <is>
          <t>Regla estructural</t>
        </is>
      </c>
      <c r="R414" s="18" t="inlineStr">
        <is>
          <t>Fecha y hora de la actualización.</t>
        </is>
      </c>
      <c r="S414" s="18" t="inlineStr">
        <is>
          <t>Media</t>
        </is>
      </c>
      <c r="T414" s="18" t="inlineStr">
        <is>
          <t>Convención de nombre de la columna.</t>
        </is>
      </c>
      <c r="U414" s="18" t="inlineStr"/>
      <c r="V414" s="19" t="inlineStr">
        <is>
          <t>Aprobada</t>
        </is>
      </c>
      <c r="W414" s="19" t="inlineStr"/>
      <c r="X414" s="19" t="inlineStr">
        <is>
          <t>Aldair González (aprobación en bloque)</t>
        </is>
      </c>
      <c r="Y414" s="20" t="n">
        <v>46321</v>
      </c>
      <c r="Z414" s="19" t="inlineStr">
        <is>
          <t>Nivel 1: propuesta del comentario del desarrollador o de confianza alta, o regla de fecha/responsable/motivo.</t>
        </is>
      </c>
      <c r="AA414" s="18">
        <f>IF(OR(V414="Aprobada"),R414,IF(AND(OR(V414="Aprobada con ajuste",V414="Rechazada"),W414&lt;&gt;""),W414,""))</f>
        <v/>
      </c>
    </row>
    <row r="415">
      <c r="A415" s="18" t="inlineStr">
        <is>
          <t>C0414</t>
        </is>
      </c>
      <c r="B415" s="18" t="inlineStr">
        <is>
          <t>Plan de trabajo académico</t>
        </is>
      </c>
      <c r="C415" s="18" t="inlineStr">
        <is>
          <t>academic_work_plan</t>
        </is>
      </c>
      <c r="D415" s="18" t="inlineStr">
        <is>
          <t>docencia_concertada</t>
        </is>
      </c>
      <c r="E415" s="18" t="n">
        <v>0</v>
      </c>
      <c r="F415" s="18" t="inlineStr">
        <is>
          <t>estado_aplicacion</t>
        </is>
      </c>
      <c r="G415" s="18" t="inlineStr">
        <is>
          <t>character varying(40)</t>
        </is>
      </c>
      <c r="H415" s="18" t="inlineStr">
        <is>
          <t>Sí</t>
        </is>
      </c>
      <c r="I415" s="18" t="inlineStr"/>
      <c r="J415" s="18" t="inlineStr"/>
      <c r="K415" s="18" t="inlineStr"/>
      <c r="L415" s="18" t="inlineStr">
        <is>
          <t>No</t>
        </is>
      </c>
      <c r="M415" s="18" t="inlineStr">
        <is>
          <t>No</t>
        </is>
      </c>
      <c r="N415" s="18" t="inlineStr"/>
      <c r="O415" s="18" t="inlineStr"/>
      <c r="P415" s="18" t="inlineStr"/>
      <c r="Q415" s="18" t="inlineStr">
        <is>
          <t>Código fuente (verificado)</t>
        </is>
      </c>
      <c r="R415" s="18" t="inlineStr">
        <is>
          <t>Estado de la aplicación de la docencia concertada al PTA del docente. Valores: aplicada, no_aplica_apagada, pendiente_sin_pta, pendiente_pta_flujo_anterior, pendiente_pta_firmado, pendiente_pta_en_aprobacion. Queda nulo si la concertación está apagada y solo se registra.</t>
        </is>
      </c>
      <c r="S415" s="18" t="inlineStr">
        <is>
          <t>Alta</t>
        </is>
      </c>
      <c r="T415" s="18" t="inlineStr">
        <is>
          <t>db/migrations/667_pta_docencia_concertada.sql:40: comentario con los seis valores | backend/academic-work-plan-service/src/pta/docencia-programacion.ts:183: aplicarDecision devuelve y guarda el estado | backend/academic-work-plan-service/src/pta/docencia-programacion.ts:197: UPDATE estado_aplicacion, detalle_aplicacion, id_pta | backend/academic-work-plan-service/src/contrato-programacion/v1/docencia-decisiones.service.ts:131: con la concertación apagada solo registra</t>
        </is>
      </c>
      <c r="U415" s="18" t="inlineStr"/>
      <c r="V415" s="19" t="inlineStr">
        <is>
          <t>Aprobada</t>
        </is>
      </c>
      <c r="W415" s="19" t="inlineStr"/>
      <c r="X415" s="19" t="inlineStr">
        <is>
          <t>Aldair González (aprobación en bloque)</t>
        </is>
      </c>
      <c r="Y415" s="20" t="n">
        <v>46321</v>
      </c>
      <c r="Z415" s="19" t="inlineStr">
        <is>
          <t>Nivel 3: verificada con el código de la aplicación.</t>
        </is>
      </c>
      <c r="AA415" s="18">
        <f>IF(OR(V415="Aprobada"),R415,IF(AND(OR(V415="Aprobada con ajuste",V415="Rechazada"),W415&lt;&gt;""),W415,""))</f>
        <v/>
      </c>
    </row>
    <row r="416">
      <c r="A416" s="18" t="inlineStr">
        <is>
          <t>C0415</t>
        </is>
      </c>
      <c r="B416" s="18" t="inlineStr">
        <is>
          <t>Plan de trabajo académico</t>
        </is>
      </c>
      <c r="C416" s="18" t="inlineStr">
        <is>
          <t>academic_work_plan</t>
        </is>
      </c>
      <c r="D416" s="18" t="inlineStr">
        <is>
          <t>docencia_concertada</t>
        </is>
      </c>
      <c r="E416" s="18" t="n">
        <v>0</v>
      </c>
      <c r="F416" s="18" t="inlineStr">
        <is>
          <t>detalle_aplicacion</t>
        </is>
      </c>
      <c r="G416" s="18" t="inlineStr">
        <is>
          <t>text</t>
        </is>
      </c>
      <c r="H416" s="18" t="inlineStr">
        <is>
          <t>Sí</t>
        </is>
      </c>
      <c r="I416" s="18" t="inlineStr"/>
      <c r="J416" s="18" t="inlineStr"/>
      <c r="K416" s="18" t="inlineStr"/>
      <c r="L416" s="18" t="inlineStr">
        <is>
          <t>No</t>
        </is>
      </c>
      <c r="M416" s="18" t="inlineStr">
        <is>
          <t>No</t>
        </is>
      </c>
      <c r="N416" s="18" t="inlineStr"/>
      <c r="O416" s="18" t="inlineStr"/>
      <c r="P416" s="18" t="inlineStr"/>
      <c r="Q416" s="18" t="inlineStr">
        <is>
          <t>Código fuente (verificado)</t>
        </is>
      </c>
      <c r="R416" s="18" t="inlineStr">
        <is>
          <t>Mensaje que explica el estado de aplicación de la decisión al PTA: por qué quedó pendiente o qué ajustes se hicieron al aplicarla. Puede ser nulo.</t>
        </is>
      </c>
      <c r="S416" s="18" t="inlineStr">
        <is>
          <t>Alta</t>
        </is>
      </c>
      <c r="T416" s="18" t="inlineStr">
        <is>
          <t>backend/academic-work-plan-service/src/pta/docencia-programacion.ts:203: «La concertación está apagada en el PTA.» | backend/academic-work-plan-service/src/pta/docencia-programacion.ts:212: «El docente aún no crea su PTA…» | backend/academic-work-plan-service/src/pta/docencia-programacion.ts:217: PTA firmado, no se modifica | backend/academic-work-plan-service/src/pta/docencia-programacion.ts:250: aplicada, con nota de asignaturas cargadas a mano que se quitaron o nulo</t>
        </is>
      </c>
      <c r="U416" s="18" t="inlineStr"/>
      <c r="V416" s="19" t="inlineStr">
        <is>
          <t>Aprobada</t>
        </is>
      </c>
      <c r="W416" s="19" t="inlineStr"/>
      <c r="X416" s="19" t="inlineStr">
        <is>
          <t>Aldair González (aprobación en bloque)</t>
        </is>
      </c>
      <c r="Y416" s="20" t="n">
        <v>46321</v>
      </c>
      <c r="Z416" s="19" t="inlineStr">
        <is>
          <t>Nivel 3: verificada con el código de la aplicación.</t>
        </is>
      </c>
      <c r="AA416" s="18">
        <f>IF(OR(V416="Aprobada"),R416,IF(AND(OR(V416="Aprobada con ajuste",V416="Rechazada"),W416&lt;&gt;""),W416,""))</f>
        <v/>
      </c>
    </row>
    <row r="417">
      <c r="A417" s="18" t="inlineStr">
        <is>
          <t>C0416</t>
        </is>
      </c>
      <c r="B417" s="18" t="inlineStr">
        <is>
          <t>Plan de trabajo académico</t>
        </is>
      </c>
      <c r="C417" s="18" t="inlineStr">
        <is>
          <t>academic_work_plan</t>
        </is>
      </c>
      <c r="D417" s="18" t="inlineStr">
        <is>
          <t>docencia_concertada</t>
        </is>
      </c>
      <c r="E417" s="18" t="n">
        <v>0</v>
      </c>
      <c r="F417" s="18" t="inlineStr">
        <is>
          <t>id_pta</t>
        </is>
      </c>
      <c r="G417" s="18" t="inlineStr">
        <is>
          <t>text</t>
        </is>
      </c>
      <c r="H417" s="18" t="inlineStr">
        <is>
          <t>Sí</t>
        </is>
      </c>
      <c r="I417" s="18" t="inlineStr"/>
      <c r="J417" s="18" t="inlineStr"/>
      <c r="K417" s="18" t="inlineStr"/>
      <c r="L417" s="18" t="inlineStr">
        <is>
          <t>No</t>
        </is>
      </c>
      <c r="M417" s="18" t="inlineStr">
        <is>
          <t>No</t>
        </is>
      </c>
      <c r="N417" s="18" t="inlineStr"/>
      <c r="O417" s="18" t="inlineStr"/>
      <c r="P417" s="18" t="inlineStr"/>
      <c r="Q417" s="18" t="inlineStr">
        <is>
          <t>Código fuente (verificado)</t>
        </is>
      </c>
      <c r="R417" s="18" t="inlineStr">
        <is>
          <t>Identificador del plan de trabajo académico (PlanTrabajoAcademico.id, UUID guardado como texto) al que se aplicó o se intentó aplicar la decisión. Es nulo cuando el docente aún no tiene PTA o la concertación está apagada.</t>
        </is>
      </c>
      <c r="S417" s="18" t="inlineStr">
        <is>
          <t>Alta</t>
        </is>
      </c>
      <c r="T417" s="18" t="inlineStr">
        <is>
          <t>backend/academic-work-plan-service/src/pta/docencia-programacion.ts:206: toma p.id::text de academic_work_plan."PlanTrabajoAcademico" | backend/academic-work-plan-service/src/pta/docencia-programacion.ts:197: id_pta = $4::text | backend/academic-work-plan-service/src/pta/entities/plan-trabajo-academico.entity.ts:10: id es UUID | db/migrations/667_pta_docencia_concertada.sql:47: id_pta TEXT sin FK</t>
        </is>
      </c>
      <c r="U417" s="18" t="inlineStr"/>
      <c r="V417" s="19" t="inlineStr">
        <is>
          <t>Aprobada</t>
        </is>
      </c>
      <c r="W417" s="19" t="inlineStr"/>
      <c r="X417" s="19" t="inlineStr">
        <is>
          <t>Aldair González (aprobación en bloque)</t>
        </is>
      </c>
      <c r="Y417" s="20" t="n">
        <v>46321</v>
      </c>
      <c r="Z417" s="19" t="inlineStr">
        <is>
          <t>Nivel 3: verificada con el código de la aplicación.</t>
        </is>
      </c>
      <c r="AA417" s="18">
        <f>IF(OR(V417="Aprobada"),R417,IF(AND(OR(V417="Aprobada con ajuste",V417="Rechazada"),W417&lt;&gt;""),W417,""))</f>
        <v/>
      </c>
    </row>
    <row r="418">
      <c r="A418" s="18" t="inlineStr">
        <is>
          <t>C0417</t>
        </is>
      </c>
      <c r="B418" s="18" t="inlineStr">
        <is>
          <t>Plan de trabajo académico</t>
        </is>
      </c>
      <c r="C418" s="18" t="inlineStr">
        <is>
          <t>academic_work_plan</t>
        </is>
      </c>
      <c r="D418" s="18" t="inlineStr">
        <is>
          <t>DocumentoVersion</t>
        </is>
      </c>
      <c r="E418" s="18" t="n">
        <v>0</v>
      </c>
      <c r="F418" s="18" t="inlineStr">
        <is>
          <t>version</t>
        </is>
      </c>
      <c r="G418" s="18" t="inlineStr">
        <is>
          <t>integer</t>
        </is>
      </c>
      <c r="H418" s="18" t="inlineStr">
        <is>
          <t>No</t>
        </is>
      </c>
      <c r="I418" s="18" t="inlineStr"/>
      <c r="J418" s="18" t="inlineStr"/>
      <c r="K418" s="18" t="inlineStr"/>
      <c r="L418" s="18" t="inlineStr">
        <is>
          <t>No</t>
        </is>
      </c>
      <c r="M418" s="18" t="inlineStr">
        <is>
          <t>No</t>
        </is>
      </c>
      <c r="N418" s="18" t="inlineStr"/>
      <c r="O418" s="18" t="inlineStr"/>
      <c r="P418" s="18" t="inlineStr"/>
      <c r="Q418" s="18" t="inlineStr">
        <is>
          <t>Regla estructural (redacción revisada)</t>
        </is>
      </c>
      <c r="R418" s="18" t="inlineStr">
        <is>
          <t>Número de la versión del documento.</t>
        </is>
      </c>
      <c r="S418" s="18" t="inlineStr">
        <is>
          <t>Alta</t>
        </is>
      </c>
      <c r="T418" s="18" t="inlineStr">
        <is>
          <t>Convención de nombre, redactada con el contexto de la tabla y el código.</t>
        </is>
      </c>
      <c r="U418" s="18" t="inlineStr"/>
      <c r="V418" s="19" t="inlineStr">
        <is>
          <t>Aprobada</t>
        </is>
      </c>
      <c r="W418" s="19" t="inlineStr"/>
      <c r="X418" s="19" t="inlineStr">
        <is>
          <t>Aldair González (aprobación en bloque)</t>
        </is>
      </c>
      <c r="Y418" s="20" t="n">
        <v>46321</v>
      </c>
      <c r="Z418" s="19" t="inlineStr">
        <is>
          <t>Nivel 2: regla estructural con redacción revisada.</t>
        </is>
      </c>
      <c r="AA418" s="18">
        <f>IF(OR(V418="Aprobada"),R418,IF(AND(OR(V418="Aprobada con ajuste",V418="Rechazada"),W418&lt;&gt;""),W418,""))</f>
        <v/>
      </c>
    </row>
    <row r="419">
      <c r="A419" s="18" t="inlineStr">
        <is>
          <t>C0418</t>
        </is>
      </c>
      <c r="B419" s="18" t="inlineStr">
        <is>
          <t>Plan de trabajo académico</t>
        </is>
      </c>
      <c r="C419" s="18" t="inlineStr">
        <is>
          <t>academic_work_plan</t>
        </is>
      </c>
      <c r="D419" s="18" t="inlineStr">
        <is>
          <t>DocumentoVersion</t>
        </is>
      </c>
      <c r="E419" s="18" t="n">
        <v>0</v>
      </c>
      <c r="F419" s="18" t="inlineStr">
        <is>
          <t>url</t>
        </is>
      </c>
      <c r="G419" s="18" t="inlineStr">
        <is>
          <t>text</t>
        </is>
      </c>
      <c r="H419" s="18" t="inlineStr">
        <is>
          <t>No</t>
        </is>
      </c>
      <c r="I419" s="18" t="inlineStr"/>
      <c r="J419" s="18" t="inlineStr"/>
      <c r="K419" s="18" t="inlineStr"/>
      <c r="L419" s="18" t="inlineStr">
        <is>
          <t>No</t>
        </is>
      </c>
      <c r="M419" s="18" t="inlineStr">
        <is>
          <t>No</t>
        </is>
      </c>
      <c r="N419" s="18" t="inlineStr"/>
      <c r="O419" s="18" t="inlineStr"/>
      <c r="P419" s="18" t="inlineStr"/>
      <c r="Q419" s="18" t="inlineStr">
        <is>
          <t>Regla estructural (redacción revisada)</t>
        </is>
      </c>
      <c r="R419" s="18" t="inlineStr">
        <is>
          <t>Dirección web (URL) del archivo de la versión del documento.</t>
        </is>
      </c>
      <c r="S419" s="18" t="inlineStr">
        <is>
          <t>Alta</t>
        </is>
      </c>
      <c r="T419" s="18" t="inlineStr">
        <is>
          <t>Convención de nombre, redactada con el contexto de la tabla y el código.</t>
        </is>
      </c>
      <c r="U419" s="18" t="inlineStr"/>
      <c r="V419" s="19" t="inlineStr">
        <is>
          <t>Aprobada</t>
        </is>
      </c>
      <c r="W419" s="19" t="inlineStr"/>
      <c r="X419" s="19" t="inlineStr">
        <is>
          <t>Aldair González (aprobación en bloque)</t>
        </is>
      </c>
      <c r="Y419" s="20" t="n">
        <v>46321</v>
      </c>
      <c r="Z419" s="19" t="inlineStr">
        <is>
          <t>Nivel 2: regla estructural con redacción revisada.</t>
        </is>
      </c>
      <c r="AA419" s="18">
        <f>IF(OR(V419="Aprobada"),R419,IF(AND(OR(V419="Aprobada con ajuste",V419="Rechazada"),W419&lt;&gt;""),W419,""))</f>
        <v/>
      </c>
    </row>
    <row r="420">
      <c r="A420" s="18" t="inlineStr">
        <is>
          <t>C0419</t>
        </is>
      </c>
      <c r="B420" s="18" t="inlineStr">
        <is>
          <t>Plan de trabajo académico</t>
        </is>
      </c>
      <c r="C420" s="18" t="inlineStr">
        <is>
          <t>academic_work_plan</t>
        </is>
      </c>
      <c r="D420" s="18" t="inlineStr">
        <is>
          <t>DocumentoVersion</t>
        </is>
      </c>
      <c r="E420" s="18" t="n">
        <v>0</v>
      </c>
      <c r="F420" s="18" t="inlineStr">
        <is>
          <t>nombre</t>
        </is>
      </c>
      <c r="G420" s="18" t="inlineStr">
        <is>
          <t>text</t>
        </is>
      </c>
      <c r="H420" s="18" t="inlineStr">
        <is>
          <t>No</t>
        </is>
      </c>
      <c r="I420" s="18" t="inlineStr"/>
      <c r="J420" s="18" t="inlineStr"/>
      <c r="K420" s="18" t="inlineStr"/>
      <c r="L420" s="18" t="inlineStr">
        <is>
          <t>No</t>
        </is>
      </c>
      <c r="M420" s="18" t="inlineStr">
        <is>
          <t>No</t>
        </is>
      </c>
      <c r="N420" s="18" t="inlineStr"/>
      <c r="O420" s="18" t="inlineStr"/>
      <c r="P420" s="18" t="inlineStr"/>
      <c r="Q420" s="18" t="inlineStr">
        <is>
          <t>Regla estructural (redacción revisada)</t>
        </is>
      </c>
      <c r="R420" s="18" t="inlineStr">
        <is>
          <t>Nombre del archivo de la versión del documento.</t>
        </is>
      </c>
      <c r="S420" s="18" t="inlineStr">
        <is>
          <t>Alta</t>
        </is>
      </c>
      <c r="T420" s="18" t="inlineStr">
        <is>
          <t>Convención de nombre, redactada con el contexto de la tabla y el código.</t>
        </is>
      </c>
      <c r="U420" s="18" t="inlineStr"/>
      <c r="V420" s="19" t="inlineStr">
        <is>
          <t>Aprobada</t>
        </is>
      </c>
      <c r="W420" s="19" t="inlineStr"/>
      <c r="X420" s="19" t="inlineStr">
        <is>
          <t>Aldair González (aprobación en bloque)</t>
        </is>
      </c>
      <c r="Y420" s="20" t="n">
        <v>46321</v>
      </c>
      <c r="Z420" s="19" t="inlineStr">
        <is>
          <t>Nivel 2: regla estructural con redacción revisada.</t>
        </is>
      </c>
      <c r="AA420" s="18">
        <f>IF(OR(V420="Aprobada"),R420,IF(AND(OR(V420="Aprobada con ajuste",V420="Rechazada"),W420&lt;&gt;""),W420,""))</f>
        <v/>
      </c>
    </row>
    <row r="421">
      <c r="A421" s="18" t="inlineStr">
        <is>
          <t>C0420</t>
        </is>
      </c>
      <c r="B421" s="18" t="inlineStr">
        <is>
          <t>Plan de trabajo académico</t>
        </is>
      </c>
      <c r="C421" s="18" t="inlineStr">
        <is>
          <t>academic_work_plan</t>
        </is>
      </c>
      <c r="D421" s="18" t="inlineStr">
        <is>
          <t>DocumentoVersion</t>
        </is>
      </c>
      <c r="E421" s="18" t="n">
        <v>0</v>
      </c>
      <c r="F421" s="18" t="inlineStr">
        <is>
          <t>tamanoBytes</t>
        </is>
      </c>
      <c r="G421" s="18" t="inlineStr">
        <is>
          <t>integer</t>
        </is>
      </c>
      <c r="H421" s="18" t="inlineStr">
        <is>
          <t>No</t>
        </is>
      </c>
      <c r="I421" s="18" t="inlineStr"/>
      <c r="J421" s="18" t="inlineStr"/>
      <c r="K421" s="18" t="inlineStr"/>
      <c r="L421" s="18" t="inlineStr">
        <is>
          <t>No</t>
        </is>
      </c>
      <c r="M421" s="18" t="inlineStr">
        <is>
          <t>No</t>
        </is>
      </c>
      <c r="N421" s="18" t="inlineStr"/>
      <c r="O421" s="18" t="inlineStr"/>
      <c r="P421" s="18" t="inlineStr"/>
      <c r="Q421" s="18" t="inlineStr">
        <is>
          <t>Propuesta semántica</t>
        </is>
      </c>
      <c r="R421" s="18" t="inlineStr">
        <is>
          <t>Tamaño en bytes de la versión del documento; por defecto, 0.</t>
        </is>
      </c>
      <c r="S421" s="18" t="inlineStr">
        <is>
          <t>Alta</t>
        </is>
      </c>
      <c r="T421" s="18" t="inlineStr">
        <is>
          <t>nombre + tipo + columnas vecinas + defecto</t>
        </is>
      </c>
      <c r="U421" s="18" t="inlineStr"/>
      <c r="V421" s="19" t="inlineStr">
        <is>
          <t>Aprobada</t>
        </is>
      </c>
      <c r="W421" s="19" t="inlineStr"/>
      <c r="X421" s="19" t="inlineStr">
        <is>
          <t>Aldair González (aprobación en bloque)</t>
        </is>
      </c>
      <c r="Y421" s="20" t="n">
        <v>46321</v>
      </c>
      <c r="Z421" s="19" t="inlineStr">
        <is>
          <t>Nivel 1: propuesta del comentario del desarrollador o de confianza alta, o regla de fecha/responsable/motivo.</t>
        </is>
      </c>
      <c r="AA421" s="18">
        <f>IF(OR(V421="Aprobada"),R421,IF(AND(OR(V421="Aprobada con ajuste",V421="Rechazada"),W421&lt;&gt;""),W421,""))</f>
        <v/>
      </c>
    </row>
    <row r="422">
      <c r="A422" s="18" t="inlineStr">
        <is>
          <t>C0421</t>
        </is>
      </c>
      <c r="B422" s="18" t="inlineStr">
        <is>
          <t>Plan de trabajo académico</t>
        </is>
      </c>
      <c r="C422" s="18" t="inlineStr">
        <is>
          <t>academic_work_plan</t>
        </is>
      </c>
      <c r="D422" s="18" t="inlineStr">
        <is>
          <t>DocumentoVersion</t>
        </is>
      </c>
      <c r="E422" s="18" t="n">
        <v>0</v>
      </c>
      <c r="F422" s="18" t="inlineStr">
        <is>
          <t>creadoPor</t>
        </is>
      </c>
      <c r="G422" s="18" t="inlineStr">
        <is>
          <t>text</t>
        </is>
      </c>
      <c r="H422" s="18" t="inlineStr">
        <is>
          <t>Sí</t>
        </is>
      </c>
      <c r="I422" s="18" t="inlineStr"/>
      <c r="J422" s="18" t="inlineStr"/>
      <c r="K422" s="18" t="inlineStr"/>
      <c r="L422" s="18" t="inlineStr">
        <is>
          <t>No</t>
        </is>
      </c>
      <c r="M422" s="18" t="inlineStr">
        <is>
          <t>No</t>
        </is>
      </c>
      <c r="N422" s="18" t="inlineStr"/>
      <c r="O422" s="18" t="inlineStr"/>
      <c r="P422" s="18" t="inlineStr"/>
      <c r="Q422" s="18" t="inlineStr">
        <is>
          <t>Código fuente (verificado)</t>
        </is>
      </c>
      <c r="R422" s="18" t="inlineStr">
        <is>
          <t>Identificador del usuario que creó la versión del documento.</t>
        </is>
      </c>
      <c r="S422" s="18" t="inlineStr">
        <is>
          <t>Media</t>
        </is>
      </c>
      <c r="T422" s="18" t="inlineStr">
        <is>
          <t>Sin evidencia utilizable: la columna no se lee ni se escribe en academic-work-plan-service/src; su definición solo aparece en una migración que también carga datos (no se cita)</t>
        </is>
      </c>
      <c r="U422" s="18" t="inlineStr">
        <is>
          <t>¿creadoPor guarda el id, el correo o el nombre del usuario, y qué proceso escribe en DocumentoVersion?</t>
        </is>
      </c>
      <c r="V422" s="19" t="inlineStr">
        <is>
          <t>Aprobada</t>
        </is>
      </c>
      <c r="W422" s="19" t="inlineStr"/>
      <c r="X422" s="19" t="inlineStr">
        <is>
          <t>Aldair González (validación del responsable de BD)</t>
        </is>
      </c>
      <c r="Y422" s="20" t="n">
        <v>46321</v>
      </c>
      <c r="Z422" s="19" t="inlineStr">
        <is>
          <t>Nivel 3: validada por decisión del responsable de la base de datos. Pregunta registrada para desarrollo: ¿creadoPor guarda el id, el correo o el nombre del usuario, y qué proceso escribe en DocumentoVersion?</t>
        </is>
      </c>
      <c r="AA422" s="18">
        <f>IF(OR(V422="Aprobada"),R422,IF(AND(OR(V422="Aprobada con ajuste",V422="Rechazada"),W422&lt;&gt;""),W422,""))</f>
        <v/>
      </c>
    </row>
    <row r="423">
      <c r="A423" s="18" t="inlineStr">
        <is>
          <t>C0422</t>
        </is>
      </c>
      <c r="B423" s="18" t="inlineStr">
        <is>
          <t>Plan de trabajo académico</t>
        </is>
      </c>
      <c r="C423" s="18" t="inlineStr">
        <is>
          <t>academic_work_plan</t>
        </is>
      </c>
      <c r="D423" s="18" t="inlineStr">
        <is>
          <t>DocumentoVersion</t>
        </is>
      </c>
      <c r="E423" s="18" t="n">
        <v>0</v>
      </c>
      <c r="F423" s="18" t="inlineStr">
        <is>
          <t>comentarios</t>
        </is>
      </c>
      <c r="G423" s="18" t="inlineStr">
        <is>
          <t>text</t>
        </is>
      </c>
      <c r="H423" s="18" t="inlineStr">
        <is>
          <t>Sí</t>
        </is>
      </c>
      <c r="I423" s="18" t="inlineStr"/>
      <c r="J423" s="18" t="inlineStr"/>
      <c r="K423" s="18" t="inlineStr"/>
      <c r="L423" s="18" t="inlineStr">
        <is>
          <t>No</t>
        </is>
      </c>
      <c r="M423" s="18" t="inlineStr">
        <is>
          <t>No</t>
        </is>
      </c>
      <c r="N423" s="18" t="inlineStr"/>
      <c r="O423" s="18" t="inlineStr"/>
      <c r="P423" s="18" t="inlineStr"/>
      <c r="Q423" s="18" t="inlineStr">
        <is>
          <t>Propuesta semántica</t>
        </is>
      </c>
      <c r="R423" s="18" t="inlineStr">
        <is>
          <t>Comentarios sobre la versión del documento.</t>
        </is>
      </c>
      <c r="S423" s="18" t="inlineStr">
        <is>
          <t>Alta</t>
        </is>
      </c>
      <c r="T423" s="18" t="inlineStr">
        <is>
          <t>nombre + tipo + columnas vecinas</t>
        </is>
      </c>
      <c r="U423" s="18" t="inlineStr"/>
      <c r="V423" s="19" t="inlineStr">
        <is>
          <t>Aprobada</t>
        </is>
      </c>
      <c r="W423" s="19" t="inlineStr"/>
      <c r="X423" s="19" t="inlineStr">
        <is>
          <t>Aldair González (aprobación en bloque)</t>
        </is>
      </c>
      <c r="Y423" s="20" t="n">
        <v>46321</v>
      </c>
      <c r="Z423" s="19" t="inlineStr">
        <is>
          <t>Nivel 1: propuesta del comentario del desarrollador o de confianza alta, o regla de fecha/responsable/motivo.</t>
        </is>
      </c>
      <c r="AA423" s="18">
        <f>IF(OR(V423="Aprobada"),R423,IF(AND(OR(V423="Aprobada con ajuste",V423="Rechazada"),W423&lt;&gt;""),W423,""))</f>
        <v/>
      </c>
    </row>
    <row r="424">
      <c r="A424" s="18" t="inlineStr">
        <is>
          <t>C0423</t>
        </is>
      </c>
      <c r="B424" s="18" t="inlineStr">
        <is>
          <t>Plan de trabajo académico</t>
        </is>
      </c>
      <c r="C424" s="18" t="inlineStr">
        <is>
          <t>academic_work_plan</t>
        </is>
      </c>
      <c r="D424" s="18" t="inlineStr">
        <is>
          <t>facultad</t>
        </is>
      </c>
      <c r="E424" s="18" t="n">
        <v>4</v>
      </c>
      <c r="F424" s="18" t="inlineStr">
        <is>
          <t>codigo</t>
        </is>
      </c>
      <c r="G424" s="18" t="inlineStr">
        <is>
          <t>character varying(20)</t>
        </is>
      </c>
      <c r="H424" s="18" t="inlineStr">
        <is>
          <t>No</t>
        </is>
      </c>
      <c r="I424" s="18" t="inlineStr">
        <is>
          <t>Única</t>
        </is>
      </c>
      <c r="J424" s="18" t="inlineStr"/>
      <c r="K424" s="18" t="inlineStr"/>
      <c r="L424" s="18" t="inlineStr">
        <is>
          <t>No</t>
        </is>
      </c>
      <c r="M424" s="18" t="inlineStr">
        <is>
          <t>No</t>
        </is>
      </c>
      <c r="N424" s="18" t="inlineStr"/>
      <c r="O424" s="18" t="inlineStr">
        <is>
          <t>facultad_codigo_key</t>
        </is>
      </c>
      <c r="P424" s="18" t="inlineStr">
        <is>
          <t>Mapeada en academic-work-plan-service/src/pta/entities/facultad.entity.ts:8 (FacultadEntity.codigo)</t>
        </is>
      </c>
      <c r="Q424" s="18" t="inlineStr">
        <is>
          <t>Regla estructural (redacción revisada)</t>
        </is>
      </c>
      <c r="R424" s="18" t="inlineStr">
        <is>
          <t>Código de la facultad, único en la tabla.</t>
        </is>
      </c>
      <c r="S424" s="18" t="inlineStr">
        <is>
          <t>Alta</t>
        </is>
      </c>
      <c r="T424" s="18" t="inlineStr">
        <is>
          <t>Convención de nombre, redactada con el contexto de la tabla y el código.</t>
        </is>
      </c>
      <c r="U424" s="18" t="inlineStr"/>
      <c r="V424" s="19" t="inlineStr">
        <is>
          <t>Aprobada</t>
        </is>
      </c>
      <c r="W424" s="19" t="inlineStr"/>
      <c r="X424" s="19" t="inlineStr">
        <is>
          <t>Aldair González (aprobación en bloque)</t>
        </is>
      </c>
      <c r="Y424" s="20" t="n">
        <v>46321</v>
      </c>
      <c r="Z424" s="19" t="inlineStr">
        <is>
          <t>Nivel 2: regla estructural con redacción revisada.</t>
        </is>
      </c>
      <c r="AA424" s="18">
        <f>IF(OR(V424="Aprobada"),R424,IF(AND(OR(V424="Aprobada con ajuste",V424="Rechazada"),W424&lt;&gt;""),W424,""))</f>
        <v/>
      </c>
    </row>
    <row r="425">
      <c r="A425" s="18" t="inlineStr">
        <is>
          <t>C0424</t>
        </is>
      </c>
      <c r="B425" s="18" t="inlineStr">
        <is>
          <t>Plan de trabajo académico</t>
        </is>
      </c>
      <c r="C425" s="18" t="inlineStr">
        <is>
          <t>academic_work_plan</t>
        </is>
      </c>
      <c r="D425" s="18" t="inlineStr">
        <is>
          <t>facultad</t>
        </is>
      </c>
      <c r="E425" s="18" t="n">
        <v>4</v>
      </c>
      <c r="F425" s="18" t="inlineStr">
        <is>
          <t>nombre</t>
        </is>
      </c>
      <c r="G425" s="18" t="inlineStr">
        <is>
          <t>character varying(50)</t>
        </is>
      </c>
      <c r="H425" s="18" t="inlineStr">
        <is>
          <t>No</t>
        </is>
      </c>
      <c r="I425" s="18" t="inlineStr">
        <is>
          <t>Única</t>
        </is>
      </c>
      <c r="J425" s="18" t="inlineStr"/>
      <c r="K425" s="18" t="inlineStr"/>
      <c r="L425" s="18" t="inlineStr">
        <is>
          <t>No</t>
        </is>
      </c>
      <c r="M425" s="18" t="inlineStr">
        <is>
          <t>No</t>
        </is>
      </c>
      <c r="N425" s="18" t="inlineStr"/>
      <c r="O425" s="18" t="inlineStr">
        <is>
          <t>facultad_nombre_key</t>
        </is>
      </c>
      <c r="P425" s="18" t="inlineStr">
        <is>
          <t>Mapeada en academic-work-plan-service/src/pta/entities/facultad.entity.ts:11 (FacultadEntity.nombre)</t>
        </is>
      </c>
      <c r="Q425" s="18" t="inlineStr">
        <is>
          <t>Regla estructural (redacción revisada)</t>
        </is>
      </c>
      <c r="R425" s="18" t="inlineStr">
        <is>
          <t>Nombre de la facultad.</t>
        </is>
      </c>
      <c r="S425" s="18" t="inlineStr">
        <is>
          <t>Alta</t>
        </is>
      </c>
      <c r="T425" s="18" t="inlineStr">
        <is>
          <t>Convención de nombre, redactada con el contexto de la tabla y el código.</t>
        </is>
      </c>
      <c r="U425" s="18" t="inlineStr"/>
      <c r="V425" s="19" t="inlineStr">
        <is>
          <t>Aprobada</t>
        </is>
      </c>
      <c r="W425" s="19" t="inlineStr"/>
      <c r="X425" s="19" t="inlineStr">
        <is>
          <t>Aldair González (aprobación en bloque)</t>
        </is>
      </c>
      <c r="Y425" s="20" t="n">
        <v>46321</v>
      </c>
      <c r="Z425" s="19" t="inlineStr">
        <is>
          <t>Nivel 2: regla estructural con redacción revisada.</t>
        </is>
      </c>
      <c r="AA425" s="18">
        <f>IF(OR(V425="Aprobada"),R425,IF(AND(OR(V425="Aprobada con ajuste",V425="Rechazada"),W425&lt;&gt;""),W425,""))</f>
        <v/>
      </c>
    </row>
    <row r="426">
      <c r="A426" s="18" t="inlineStr">
        <is>
          <t>C0425</t>
        </is>
      </c>
      <c r="B426" s="18" t="inlineStr">
        <is>
          <t>Plan de trabajo académico</t>
        </is>
      </c>
      <c r="C426" s="18" t="inlineStr">
        <is>
          <t>academic_work_plan</t>
        </is>
      </c>
      <c r="D426" s="18" t="inlineStr">
        <is>
          <t>facultad</t>
        </is>
      </c>
      <c r="E426" s="18" t="n">
        <v>4</v>
      </c>
      <c r="F426" s="18" t="inlineStr">
        <is>
          <t>activo</t>
        </is>
      </c>
      <c r="G426" s="18" t="inlineStr">
        <is>
          <t>boolean</t>
        </is>
      </c>
      <c r="H426" s="18" t="inlineStr">
        <is>
          <t>No</t>
        </is>
      </c>
      <c r="I426" s="18" t="inlineStr"/>
      <c r="J426" s="18" t="inlineStr"/>
      <c r="K426" s="18" t="inlineStr"/>
      <c r="L426" s="18" t="inlineStr">
        <is>
          <t>No</t>
        </is>
      </c>
      <c r="M426" s="18" t="inlineStr">
        <is>
          <t>No</t>
        </is>
      </c>
      <c r="N426" s="18" t="inlineStr"/>
      <c r="O426" s="18" t="inlineStr"/>
      <c r="P426" s="18" t="inlineStr">
        <is>
          <t>Mapeada en academic-work-plan-service/src/pta/entities/facultad.entity.ts:14 (FacultadEntity.activo)</t>
        </is>
      </c>
      <c r="Q426" s="18" t="inlineStr">
        <is>
          <t>Regla estructural (redacción revisada)</t>
        </is>
      </c>
      <c r="R426" s="18" t="inlineStr">
        <is>
          <t>Indica si la facultad está activa.</t>
        </is>
      </c>
      <c r="S426" s="18" t="inlineStr">
        <is>
          <t>Alta</t>
        </is>
      </c>
      <c r="T426" s="18" t="inlineStr">
        <is>
          <t>Convención de nombre, redactada con el contexto de la tabla y el código.</t>
        </is>
      </c>
      <c r="U426" s="18" t="inlineStr"/>
      <c r="V426" s="19" t="inlineStr">
        <is>
          <t>Aprobada</t>
        </is>
      </c>
      <c r="W426" s="19" t="inlineStr"/>
      <c r="X426" s="19" t="inlineStr">
        <is>
          <t>Aldair González (aprobación en bloque)</t>
        </is>
      </c>
      <c r="Y426" s="20" t="n">
        <v>46321</v>
      </c>
      <c r="Z426" s="19" t="inlineStr">
        <is>
          <t>Nivel 2: regla estructural con redacción revisada.</t>
        </is>
      </c>
      <c r="AA426" s="18">
        <f>IF(OR(V426="Aprobada"),R426,IF(AND(OR(V426="Aprobada con ajuste",V426="Rechazada"),W426&lt;&gt;""),W426,""))</f>
        <v/>
      </c>
    </row>
    <row r="427">
      <c r="A427" s="18" t="inlineStr">
        <is>
          <t>C0426</t>
        </is>
      </c>
      <c r="B427" s="18" t="inlineStr">
        <is>
          <t>Plan de trabajo académico</t>
        </is>
      </c>
      <c r="C427" s="18" t="inlineStr">
        <is>
          <t>academic_work_plan</t>
        </is>
      </c>
      <c r="D427" s="18" t="inlineStr">
        <is>
          <t>facultad</t>
        </is>
      </c>
      <c r="E427" s="18" t="n">
        <v>4</v>
      </c>
      <c r="F427" s="18" t="inlineStr">
        <is>
          <t>deleted_at</t>
        </is>
      </c>
      <c r="G427" s="18" t="inlineStr">
        <is>
          <t>timestamp without time zone</t>
        </is>
      </c>
      <c r="H427" s="18" t="inlineStr">
        <is>
          <t>Sí</t>
        </is>
      </c>
      <c r="I427" s="18" t="inlineStr"/>
      <c r="J427" s="18" t="inlineStr"/>
      <c r="K427" s="18" t="inlineStr"/>
      <c r="L427" s="18" t="inlineStr">
        <is>
          <t>No</t>
        </is>
      </c>
      <c r="M427" s="18" t="inlineStr">
        <is>
          <t>No</t>
        </is>
      </c>
      <c r="N427" s="18" t="inlineStr"/>
      <c r="O427" s="18" t="inlineStr"/>
      <c r="P427" s="18" t="inlineStr">
        <is>
          <t>Mapeada en academic-work-plan-service/src/pta/entities/facultad.entity.ts:29 (FacultadEntity.deletedAt)</t>
        </is>
      </c>
      <c r="Q427" s="18" t="inlineStr">
        <is>
          <t>Regla estructural</t>
        </is>
      </c>
      <c r="R427" s="18" t="inlineStr">
        <is>
          <t>Fecha y hora de la eliminación.</t>
        </is>
      </c>
      <c r="S427" s="18" t="inlineStr">
        <is>
          <t>Media</t>
        </is>
      </c>
      <c r="T427" s="18" t="inlineStr">
        <is>
          <t>Convención de nombre de la columna.</t>
        </is>
      </c>
      <c r="U427" s="18" t="inlineStr"/>
      <c r="V427" s="19" t="inlineStr">
        <is>
          <t>Aprobada</t>
        </is>
      </c>
      <c r="W427" s="19" t="inlineStr"/>
      <c r="X427" s="19" t="inlineStr">
        <is>
          <t>Aldair González (aprobación en bloque)</t>
        </is>
      </c>
      <c r="Y427" s="20" t="n">
        <v>46321</v>
      </c>
      <c r="Z427" s="19" t="inlineStr">
        <is>
          <t>Nivel 1: propuesta del comentario del desarrollador o de confianza alta, o regla de fecha/responsable/motivo.</t>
        </is>
      </c>
      <c r="AA427" s="18">
        <f>IF(OR(V427="Aprobada"),R427,IF(AND(OR(V427="Aprobada con ajuste",V427="Rechazada"),W427&lt;&gt;""),W427,""))</f>
        <v/>
      </c>
    </row>
    <row r="428">
      <c r="A428" s="18" t="inlineStr">
        <is>
          <t>C0427</t>
        </is>
      </c>
      <c r="B428" s="18" t="inlineStr">
        <is>
          <t>Plan de trabajo académico</t>
        </is>
      </c>
      <c r="C428" s="18" t="inlineStr">
        <is>
          <t>academic_work_plan</t>
        </is>
      </c>
      <c r="D428" s="18" t="inlineStr">
        <is>
          <t>facultad</t>
        </is>
      </c>
      <c r="E428" s="18" t="n">
        <v>4</v>
      </c>
      <c r="F428" s="18" t="inlineStr">
        <is>
          <t>deleted_by</t>
        </is>
      </c>
      <c r="G428" s="18" t="inlineStr">
        <is>
          <t>bigint</t>
        </is>
      </c>
      <c r="H428" s="18" t="inlineStr">
        <is>
          <t>Sí</t>
        </is>
      </c>
      <c r="I428" s="18" t="inlineStr"/>
      <c r="J428" s="18" t="inlineStr"/>
      <c r="K428" s="18" t="inlineStr"/>
      <c r="L428" s="18" t="inlineStr">
        <is>
          <t>No</t>
        </is>
      </c>
      <c r="M428" s="18" t="inlineStr">
        <is>
          <t>No</t>
        </is>
      </c>
      <c r="N428" s="18" t="inlineStr"/>
      <c r="O428" s="18" t="inlineStr"/>
      <c r="P428" s="18" t="inlineStr">
        <is>
          <t>Mapeada en academic-work-plan-service/src/pta/entities/facultad.entity.ts:32 (FacultadEntity.deletedBy)</t>
        </is>
      </c>
      <c r="Q428" s="18" t="inlineStr">
        <is>
          <t>Código fuente (verificado)</t>
        </is>
      </c>
      <c r="R428" s="18" t="inlineStr">
        <is>
          <t>Identificador del usuario que eliminó lógicamente el registro.</t>
        </is>
      </c>
      <c r="S428" s="18" t="inlineStr">
        <is>
          <t>Media</t>
        </is>
      </c>
      <c r="T428" s="18" t="inlineStr">
        <is>
          <t>backend/academic-work-plan-service/src/pta/entities/facultad.entity.ts:32: columna bigint mapeada como deletedBy, sin relación declarada | db/migrations/326_create_catalog_tables.sql: deleted_by BIGINT sin FK | ningún servicio del academic-work-plan-service asigna deleted_by (búsqueda de deleted_by/deletedBy)</t>
        </is>
      </c>
      <c r="U428" s="18" t="inlineStr">
        <is>
          <t>¿deleted_by guarda el id de auth."user" (id_user) u otro identificador? Ningún servicio escribe la columna; ¿se usa la eliminación lógica de esta tabla?</t>
        </is>
      </c>
      <c r="V428" s="19" t="inlineStr">
        <is>
          <t>Aprobada</t>
        </is>
      </c>
      <c r="W428" s="19" t="inlineStr"/>
      <c r="X428" s="19" t="inlineStr">
        <is>
          <t>Aldair González (validación del responsable de BD)</t>
        </is>
      </c>
      <c r="Y428" s="20" t="n">
        <v>46321</v>
      </c>
      <c r="Z428" s="19" t="inlineStr">
        <is>
          <t>Nivel 3: validada por decisión del responsable de la base de datos. Pregunta registrada para desarrollo: ¿deleted_by guarda el id de auth."user" (id_user) u otro identificador? Ningún servicio escribe la columna; ¿se usa la eliminación lógica de esta tabla?</t>
        </is>
      </c>
      <c r="AA428" s="18">
        <f>IF(OR(V428="Aprobada"),R428,IF(AND(OR(V428="Aprobada con ajuste",V428="Rechazada"),W428&lt;&gt;""),W428,""))</f>
        <v/>
      </c>
    </row>
    <row r="429">
      <c r="A429" s="18" t="inlineStr">
        <is>
          <t>C0428</t>
        </is>
      </c>
      <c r="B429" s="18" t="inlineStr">
        <is>
          <t>Plan de trabajo académico</t>
        </is>
      </c>
      <c r="C429" s="18" t="inlineStr">
        <is>
          <t>academic_work_plan</t>
        </is>
      </c>
      <c r="D429" s="18" t="inlineStr">
        <is>
          <t>HistorialEstadoPTA</t>
        </is>
      </c>
      <c r="E429" s="18" t="n">
        <v>51</v>
      </c>
      <c r="F429" s="18" t="inlineStr">
        <is>
          <t>estadoAnterior</t>
        </is>
      </c>
      <c r="G429" s="18" t="inlineStr">
        <is>
          <t>text</t>
        </is>
      </c>
      <c r="H429" s="18" t="inlineStr">
        <is>
          <t>Sí</t>
        </is>
      </c>
      <c r="I429" s="18" t="inlineStr"/>
      <c r="J429" s="18" t="inlineStr"/>
      <c r="K429" s="18" t="inlineStr"/>
      <c r="L429" s="18" t="inlineStr">
        <is>
          <t>No</t>
        </is>
      </c>
      <c r="M429" s="18" t="inlineStr">
        <is>
          <t>No</t>
        </is>
      </c>
      <c r="N429" s="18" t="inlineStr"/>
      <c r="O429" s="18" t="inlineStr"/>
      <c r="P429" s="18" t="inlineStr">
        <is>
          <t>Mapeada en academic-work-plan-service/src/pta/entities/historial-estado-pta.entity.ts:11 (HistorialEstadoPtaEntity.estadoAnterior)</t>
        </is>
      </c>
      <c r="Q429" s="18" t="inlineStr">
        <is>
          <t>Propuesta semántica</t>
        </is>
      </c>
      <c r="R429" s="18" t="inlineStr">
        <is>
          <t>Estado del plan de trabajo académico antes de la transición.</t>
        </is>
      </c>
      <c r="S429" s="18" t="inlineStr">
        <is>
          <t>Alta</t>
        </is>
      </c>
      <c r="T429" s="18" t="inlineStr">
        <is>
          <t>nombre + tipo + columnas vecinas (estadoNuevo)</t>
        </is>
      </c>
      <c r="U429" s="18" t="inlineStr"/>
      <c r="V429" s="19" t="inlineStr">
        <is>
          <t>Aprobada</t>
        </is>
      </c>
      <c r="W429" s="19" t="inlineStr"/>
      <c r="X429" s="19" t="inlineStr">
        <is>
          <t>Aldair González (aprobación en bloque)</t>
        </is>
      </c>
      <c r="Y429" s="20" t="n">
        <v>46321</v>
      </c>
      <c r="Z429" s="19" t="inlineStr">
        <is>
          <t>Nivel 1: propuesta del comentario del desarrollador o de confianza alta, o regla de fecha/responsable/motivo.</t>
        </is>
      </c>
      <c r="AA429" s="18">
        <f>IF(OR(V429="Aprobada"),R429,IF(AND(OR(V429="Aprobada con ajuste",V429="Rechazada"),W429&lt;&gt;""),W429,""))</f>
        <v/>
      </c>
    </row>
    <row r="430">
      <c r="A430" s="18" t="inlineStr">
        <is>
          <t>C0429</t>
        </is>
      </c>
      <c r="B430" s="18" t="inlineStr">
        <is>
          <t>Plan de trabajo académico</t>
        </is>
      </c>
      <c r="C430" s="18" t="inlineStr">
        <is>
          <t>academic_work_plan</t>
        </is>
      </c>
      <c r="D430" s="18" t="inlineStr">
        <is>
          <t>HistorialEstadoPTA</t>
        </is>
      </c>
      <c r="E430" s="18" t="n">
        <v>51</v>
      </c>
      <c r="F430" s="18" t="inlineStr">
        <is>
          <t>estadoNuevo</t>
        </is>
      </c>
      <c r="G430" s="18" t="inlineStr">
        <is>
          <t>text</t>
        </is>
      </c>
      <c r="H430" s="18" t="inlineStr">
        <is>
          <t>No</t>
        </is>
      </c>
      <c r="I430" s="18" t="inlineStr"/>
      <c r="J430" s="18" t="inlineStr"/>
      <c r="K430" s="18" t="inlineStr"/>
      <c r="L430" s="18" t="inlineStr">
        <is>
          <t>No</t>
        </is>
      </c>
      <c r="M430" s="18" t="inlineStr">
        <is>
          <t>No</t>
        </is>
      </c>
      <c r="N430" s="18" t="inlineStr"/>
      <c r="O430" s="18" t="inlineStr"/>
      <c r="P430" s="18" t="inlineStr">
        <is>
          <t>Mapeada en academic-work-plan-service/src/pta/entities/historial-estado-pta.entity.ts:14 (HistorialEstadoPtaEntity.estadoNuevo)</t>
        </is>
      </c>
      <c r="Q430" s="18" t="inlineStr">
        <is>
          <t>Propuesta semántica</t>
        </is>
      </c>
      <c r="R430" s="18" t="inlineStr">
        <is>
          <t>Estado del plan de trabajo académico después de la transición.</t>
        </is>
      </c>
      <c r="S430" s="18" t="inlineStr">
        <is>
          <t>Alta</t>
        </is>
      </c>
      <c r="T430" s="18" t="inlineStr">
        <is>
          <t>nombre + tipo + columnas vecinas (estadoAnterior)</t>
        </is>
      </c>
      <c r="U430" s="18" t="inlineStr"/>
      <c r="V430" s="19" t="inlineStr">
        <is>
          <t>Aprobada</t>
        </is>
      </c>
      <c r="W430" s="19" t="inlineStr"/>
      <c r="X430" s="19" t="inlineStr">
        <is>
          <t>Aldair González (aprobación en bloque)</t>
        </is>
      </c>
      <c r="Y430" s="20" t="n">
        <v>46321</v>
      </c>
      <c r="Z430" s="19" t="inlineStr">
        <is>
          <t>Nivel 1: propuesta del comentario del desarrollador o de confianza alta, o regla de fecha/responsable/motivo.</t>
        </is>
      </c>
      <c r="AA430" s="18">
        <f>IF(OR(V430="Aprobada"),R430,IF(AND(OR(V430="Aprobada con ajuste",V430="Rechazada"),W430&lt;&gt;""),W430,""))</f>
        <v/>
      </c>
    </row>
    <row r="431">
      <c r="A431" s="18" t="inlineStr">
        <is>
          <t>C0430</t>
        </is>
      </c>
      <c r="B431" s="18" t="inlineStr">
        <is>
          <t>Plan de trabajo académico</t>
        </is>
      </c>
      <c r="C431" s="18" t="inlineStr">
        <is>
          <t>academic_work_plan</t>
        </is>
      </c>
      <c r="D431" s="18" t="inlineStr">
        <is>
          <t>HistorialEstadoPTA</t>
        </is>
      </c>
      <c r="E431" s="18" t="n">
        <v>51</v>
      </c>
      <c r="F431" s="18" t="inlineStr">
        <is>
          <t>actorId</t>
        </is>
      </c>
      <c r="G431" s="18" t="inlineStr">
        <is>
          <t>text</t>
        </is>
      </c>
      <c r="H431" s="18" t="inlineStr">
        <is>
          <t>Sí</t>
        </is>
      </c>
      <c r="I431" s="18" t="inlineStr"/>
      <c r="J431" s="18" t="inlineStr"/>
      <c r="K431" s="18" t="inlineStr"/>
      <c r="L431" s="18" t="inlineStr">
        <is>
          <t>No</t>
        </is>
      </c>
      <c r="M431" s="18" t="inlineStr">
        <is>
          <t>No</t>
        </is>
      </c>
      <c r="N431" s="18" t="inlineStr"/>
      <c r="O431" s="18" t="inlineStr"/>
      <c r="P431" s="18" t="inlineStr">
        <is>
          <t>Mapeada en academic-work-plan-service/src/pta/entities/historial-estado-pta.entity.ts:17 (HistorialEstadoPtaEntity.actorId)</t>
        </is>
      </c>
      <c r="Q431" s="18" t="inlineStr">
        <is>
          <t>Código fuente (verificado)</t>
        </is>
      </c>
      <c r="R431" s="18" t="inlineStr">
        <is>
          <t>Identificador de quien realizó la transición de estado: el id_user de auth."user" del usuario autenticado o, en movimientos registrados en nombre del docente, el identificador del docente en la tabla Docente.</t>
        </is>
      </c>
      <c r="S431" s="18" t="inlineStr">
        <is>
          <t>Alta</t>
        </is>
      </c>
      <c r="T431" s="18" t="inlineStr">
        <is>
          <t>academic-work-plan-service/src/pta/pta.service.ts:5197: actorId = auth.userId o el valor del cuerpo | academic-work-plan-service/src/pta/auth/pta-auth.guard.ts:70: userId = sub del token | academic-work-plan-service/src/pta/auth/pta-permissions.service.ts:94: el sub se compara con auth."user".id_user | academic-work-plan-service/src/pta/pta.service.ts:5223: actorId = existing.docenteId en la edición enviada por el docente | academic-work-plan-service/src/pta/pta.service.ts:6550: actorId = id del docente al crear la solicitud de edición</t>
        </is>
      </c>
      <c r="U431" s="18" t="inlineStr"/>
      <c r="V431" s="19" t="inlineStr">
        <is>
          <t>Aprobada</t>
        </is>
      </c>
      <c r="W431" s="19" t="inlineStr"/>
      <c r="X431" s="19" t="inlineStr">
        <is>
          <t>Aldair González (aprobación en bloque)</t>
        </is>
      </c>
      <c r="Y431" s="20" t="n">
        <v>46321</v>
      </c>
      <c r="Z431" s="19" t="inlineStr">
        <is>
          <t>Nivel 3: verificada con el código de la aplicación.</t>
        </is>
      </c>
      <c r="AA431" s="18">
        <f>IF(OR(V431="Aprobada"),R431,IF(AND(OR(V431="Aprobada con ajuste",V431="Rechazada"),W431&lt;&gt;""),W431,""))</f>
        <v/>
      </c>
    </row>
    <row r="432">
      <c r="A432" s="18" t="inlineStr">
        <is>
          <t>C0431</t>
        </is>
      </c>
      <c r="B432" s="18" t="inlineStr">
        <is>
          <t>Plan de trabajo académico</t>
        </is>
      </c>
      <c r="C432" s="18" t="inlineStr">
        <is>
          <t>academic_work_plan</t>
        </is>
      </c>
      <c r="D432" s="18" t="inlineStr">
        <is>
          <t>HistorialEstadoPTA</t>
        </is>
      </c>
      <c r="E432" s="18" t="n">
        <v>51</v>
      </c>
      <c r="F432" s="18" t="inlineStr">
        <is>
          <t>actorRol</t>
        </is>
      </c>
      <c r="G432" s="18" t="inlineStr">
        <is>
          <t>text</t>
        </is>
      </c>
      <c r="H432" s="18" t="inlineStr">
        <is>
          <t>Sí</t>
        </is>
      </c>
      <c r="I432" s="18" t="inlineStr"/>
      <c r="J432" s="18" t="inlineStr"/>
      <c r="K432" s="18" t="inlineStr"/>
      <c r="L432" s="18" t="inlineStr">
        <is>
          <t>No</t>
        </is>
      </c>
      <c r="M432" s="18" t="inlineStr">
        <is>
          <t>No</t>
        </is>
      </c>
      <c r="N432" s="18" t="inlineStr"/>
      <c r="O432" s="18" t="inlineStr"/>
      <c r="P432" s="18" t="inlineStr">
        <is>
          <t>Mapeada en academic-work-plan-service/src/pta/entities/historial-estado-pta.entity.ts:20 (HistorialEstadoPtaEntity.actorRol)</t>
        </is>
      </c>
      <c r="Q432" s="18" t="inlineStr">
        <is>
          <t>Propuesta semántica</t>
        </is>
      </c>
      <c r="R432" s="18" t="inlineStr">
        <is>
          <t>Rol del usuario que realizó la transición de estado.</t>
        </is>
      </c>
      <c r="S432" s="18" t="inlineStr">
        <is>
          <t>Alta</t>
        </is>
      </c>
      <c r="T432" s="18" t="inlineStr">
        <is>
          <t>nombre + tipo + columnas vecinas</t>
        </is>
      </c>
      <c r="U432" s="18" t="inlineStr"/>
      <c r="V432" s="19" t="inlineStr">
        <is>
          <t>Aprobada</t>
        </is>
      </c>
      <c r="W432" s="19" t="inlineStr"/>
      <c r="X432" s="19" t="inlineStr">
        <is>
          <t>Aldair González (aprobación en bloque)</t>
        </is>
      </c>
      <c r="Y432" s="20" t="n">
        <v>46321</v>
      </c>
      <c r="Z432" s="19" t="inlineStr">
        <is>
          <t>Nivel 1: propuesta del comentario del desarrollador o de confianza alta, o regla de fecha/responsable/motivo.</t>
        </is>
      </c>
      <c r="AA432" s="18">
        <f>IF(OR(V432="Aprobada"),R432,IF(AND(OR(V432="Aprobada con ajuste",V432="Rechazada"),W432&lt;&gt;""),W432,""))</f>
        <v/>
      </c>
    </row>
    <row r="433">
      <c r="A433" s="18" t="inlineStr">
        <is>
          <t>C0432</t>
        </is>
      </c>
      <c r="B433" s="18" t="inlineStr">
        <is>
          <t>Plan de trabajo académico</t>
        </is>
      </c>
      <c r="C433" s="18" t="inlineStr">
        <is>
          <t>academic_work_plan</t>
        </is>
      </c>
      <c r="D433" s="18" t="inlineStr">
        <is>
          <t>HistorialEstadoPTA</t>
        </is>
      </c>
      <c r="E433" s="18" t="n">
        <v>51</v>
      </c>
      <c r="F433" s="18" t="inlineStr">
        <is>
          <t>detallesTransicion</t>
        </is>
      </c>
      <c r="G433" s="18" t="inlineStr">
        <is>
          <t>text</t>
        </is>
      </c>
      <c r="H433" s="18" t="inlineStr">
        <is>
          <t>Sí</t>
        </is>
      </c>
      <c r="I433" s="18" t="inlineStr"/>
      <c r="J433" s="18" t="inlineStr"/>
      <c r="K433" s="18" t="inlineStr"/>
      <c r="L433" s="18" t="inlineStr">
        <is>
          <t>No</t>
        </is>
      </c>
      <c r="M433" s="18" t="inlineStr">
        <is>
          <t>No</t>
        </is>
      </c>
      <c r="N433" s="18" t="inlineStr"/>
      <c r="O433" s="18" t="inlineStr"/>
      <c r="P433" s="18" t="inlineStr">
        <is>
          <t>Mapeada en academic-work-plan-service/src/pta/entities/historial-estado-pta.entity.ts:29 (HistorialEstadoPtaEntity.detallesTransicion)</t>
        </is>
      </c>
      <c r="Q433" s="18" t="inlineStr">
        <is>
          <t>Código fuente (verificado)</t>
        </is>
      </c>
      <c r="R433" s="18" t="inlineStr">
        <is>
          <t>Detalle técnico de la transición: texto enviado por la aplicación o JSON serializado con los datos del movimiento (por ejemplo, solicitud, componentes, subsección y estado); los comentarios del actor van en comentarios.</t>
        </is>
      </c>
      <c r="S433" s="18" t="inlineStr">
        <is>
          <t>Alta</t>
        </is>
      </c>
      <c r="T433" s="18" t="inlineStr">
        <is>
          <t>academic-work-plan-service/src/pta/pta.service.ts:5209: detallesTransicion del cuerpo y comentarios por separado | academic-work-plan-service/src/pta/pta.service.ts:5228: JSON con solicitudId y componentes | academic-work-plan-service/src/pta/pta.service.ts:10717: JSON con componente, subseccion y estado</t>
        </is>
      </c>
      <c r="U433" s="18" t="inlineStr"/>
      <c r="V433" s="19" t="inlineStr">
        <is>
          <t>Aprobada</t>
        </is>
      </c>
      <c r="W433" s="19" t="inlineStr"/>
      <c r="X433" s="19" t="inlineStr">
        <is>
          <t>Aldair González (aprobación en bloque)</t>
        </is>
      </c>
      <c r="Y433" s="20" t="n">
        <v>46321</v>
      </c>
      <c r="Z433" s="19" t="inlineStr">
        <is>
          <t>Nivel 3: verificada con el código de la aplicación.</t>
        </is>
      </c>
      <c r="AA433" s="18">
        <f>IF(OR(V433="Aprobada"),R433,IF(AND(OR(V433="Aprobada con ajuste",V433="Rechazada"),W433&lt;&gt;""),W433,""))</f>
        <v/>
      </c>
    </row>
    <row r="434">
      <c r="A434" s="18" t="inlineStr">
        <is>
          <t>C0433</t>
        </is>
      </c>
      <c r="B434" s="18" t="inlineStr">
        <is>
          <t>Plan de trabajo académico</t>
        </is>
      </c>
      <c r="C434" s="18" t="inlineStr">
        <is>
          <t>academic_work_plan</t>
        </is>
      </c>
      <c r="D434" s="18" t="inlineStr">
        <is>
          <t>HistorialEstadoPTA</t>
        </is>
      </c>
      <c r="E434" s="18" t="n">
        <v>51</v>
      </c>
      <c r="F434" s="18" t="inlineStr">
        <is>
          <t>comentarios</t>
        </is>
      </c>
      <c r="G434" s="18" t="inlineStr">
        <is>
          <t>text</t>
        </is>
      </c>
      <c r="H434" s="18" t="inlineStr">
        <is>
          <t>Sí</t>
        </is>
      </c>
      <c r="I434" s="18" t="inlineStr"/>
      <c r="J434" s="18" t="inlineStr"/>
      <c r="K434" s="18" t="inlineStr"/>
      <c r="L434" s="18" t="inlineStr">
        <is>
          <t>No</t>
        </is>
      </c>
      <c r="M434" s="18" t="inlineStr">
        <is>
          <t>No</t>
        </is>
      </c>
      <c r="N434" s="18" t="inlineStr"/>
      <c r="O434" s="18" t="inlineStr"/>
      <c r="P434" s="18" t="inlineStr">
        <is>
          <t>Mapeada en academic-work-plan-service/src/pta/entities/historial-estado-pta.entity.ts:26 (HistorialEstadoPtaEntity.comentarios)</t>
        </is>
      </c>
      <c r="Q434" s="18" t="inlineStr">
        <is>
          <t>Propuesta semántica</t>
        </is>
      </c>
      <c r="R434" s="18" t="inlineStr">
        <is>
          <t>Comentarios registrados en la transición de estado.</t>
        </is>
      </c>
      <c r="S434" s="18" t="inlineStr">
        <is>
          <t>Alta</t>
        </is>
      </c>
      <c r="T434" s="18" t="inlineStr">
        <is>
          <t>nombre + tipo + columnas vecinas</t>
        </is>
      </c>
      <c r="U434" s="18" t="inlineStr"/>
      <c r="V434" s="19" t="inlineStr">
        <is>
          <t>Aprobada</t>
        </is>
      </c>
      <c r="W434" s="19" t="inlineStr"/>
      <c r="X434" s="19" t="inlineStr">
        <is>
          <t>Aldair González (aprobación en bloque)</t>
        </is>
      </c>
      <c r="Y434" s="20" t="n">
        <v>46321</v>
      </c>
      <c r="Z434" s="19" t="inlineStr">
        <is>
          <t>Nivel 1: propuesta del comentario del desarrollador o de confianza alta, o regla de fecha/responsable/motivo.</t>
        </is>
      </c>
      <c r="AA434" s="18">
        <f>IF(OR(V434="Aprobada"),R434,IF(AND(OR(V434="Aprobada con ajuste",V434="Rechazada"),W434&lt;&gt;""),W434,""))</f>
        <v/>
      </c>
    </row>
    <row r="435">
      <c r="A435" s="18" t="inlineStr">
        <is>
          <t>C0434</t>
        </is>
      </c>
      <c r="B435" s="18" t="inlineStr">
        <is>
          <t>Plan de trabajo académico</t>
        </is>
      </c>
      <c r="C435" s="18" t="inlineStr">
        <is>
          <t>academic_work_plan</t>
        </is>
      </c>
      <c r="D435" s="18" t="inlineStr">
        <is>
          <t>HistorialEstadoPTA</t>
        </is>
      </c>
      <c r="E435" s="18" t="n">
        <v>51</v>
      </c>
      <c r="F435" s="18" t="inlineStr">
        <is>
          <t>version</t>
        </is>
      </c>
      <c r="G435" s="18" t="inlineStr">
        <is>
          <t>integer</t>
        </is>
      </c>
      <c r="H435" s="18" t="inlineStr">
        <is>
          <t>Sí</t>
        </is>
      </c>
      <c r="I435" s="18" t="inlineStr"/>
      <c r="J435" s="18" t="inlineStr"/>
      <c r="K435" s="18" t="inlineStr"/>
      <c r="L435" s="18" t="inlineStr">
        <is>
          <t>No</t>
        </is>
      </c>
      <c r="M435" s="18" t="inlineStr">
        <is>
          <t>No</t>
        </is>
      </c>
      <c r="N435" s="18" t="inlineStr"/>
      <c r="O435" s="18" t="inlineStr"/>
      <c r="P435" s="18" t="inlineStr">
        <is>
          <t>Mapeada en academic-work-plan-service/src/pta/entities/historial-estado-pta.entity.ts:35 (HistorialEstadoPtaEntity.version)</t>
        </is>
      </c>
      <c r="Q435" s="18" t="inlineStr">
        <is>
          <t>Regla estructural (redacción revisada)</t>
        </is>
      </c>
      <c r="R435" s="18" t="inlineStr">
        <is>
          <t>Número de versión del plan de trabajo académico registrado en el cambio de estado.</t>
        </is>
      </c>
      <c r="S435" s="18" t="inlineStr">
        <is>
          <t>Alta</t>
        </is>
      </c>
      <c r="T435" s="18" t="inlineStr">
        <is>
          <t>Convención de nombre, redactada con el contexto de la tabla y el código.</t>
        </is>
      </c>
      <c r="U435" s="18" t="inlineStr"/>
      <c r="V435" s="19" t="inlineStr">
        <is>
          <t>Aprobada</t>
        </is>
      </c>
      <c r="W435" s="19" t="inlineStr"/>
      <c r="X435" s="19" t="inlineStr">
        <is>
          <t>Aldair González (aprobación en bloque)</t>
        </is>
      </c>
      <c r="Y435" s="20" t="n">
        <v>46321</v>
      </c>
      <c r="Z435" s="19" t="inlineStr">
        <is>
          <t>Nivel 2: regla estructural con redacción revisada.</t>
        </is>
      </c>
      <c r="AA435" s="18">
        <f>IF(OR(V435="Aprobada"),R435,IF(AND(OR(V435="Aprobada con ajuste",V435="Rechazada"),W435&lt;&gt;""),W435,""))</f>
        <v/>
      </c>
    </row>
    <row r="436">
      <c r="A436" s="18" t="inlineStr">
        <is>
          <t>C0435</t>
        </is>
      </c>
      <c r="B436" s="18" t="inlineStr">
        <is>
          <t>Plan de trabajo académico</t>
        </is>
      </c>
      <c r="C436" s="18" t="inlineStr">
        <is>
          <t>academic_work_plan</t>
        </is>
      </c>
      <c r="D436" s="18" t="inlineStr">
        <is>
          <t>HistorialEstadoPTA</t>
        </is>
      </c>
      <c r="E436" s="18" t="n">
        <v>51</v>
      </c>
      <c r="F436" s="18" t="inlineStr">
        <is>
          <t>camposModificados</t>
        </is>
      </c>
      <c r="G436" s="18" t="inlineStr">
        <is>
          <t>jsonb</t>
        </is>
      </c>
      <c r="H436" s="18" t="inlineStr">
        <is>
          <t>Sí</t>
        </is>
      </c>
      <c r="I436" s="18" t="inlineStr"/>
      <c r="J436" s="18" t="inlineStr"/>
      <c r="K436" s="18" t="inlineStr"/>
      <c r="L436" s="18" t="inlineStr">
        <is>
          <t>No</t>
        </is>
      </c>
      <c r="M436" s="18" t="inlineStr">
        <is>
          <t>No</t>
        </is>
      </c>
      <c r="N436" s="18" t="inlineStr"/>
      <c r="O436" s="18" t="inlineStr"/>
      <c r="P436" s="18" t="inlineStr"/>
      <c r="Q436" s="18" t="inlineStr">
        <is>
          <t>Código fuente (verificado)</t>
        </is>
      </c>
      <c r="R436" s="18" t="inlineStr">
        <is>
          <t>Campos del plan modificados en la transición, en formato JSON; el servicio actual no mapea ni llena esta columna.</t>
        </is>
      </c>
      <c r="S436" s="18" t="inlineStr">
        <is>
          <t>Media</t>
        </is>
      </c>
      <c r="T436" s="18" t="inlineStr">
        <is>
          <t>academic-work-plan-service/src/pta/entities/historial-estado-pta.entity.ts:29: la entidad no incluye camposModificados</t>
        </is>
      </c>
      <c r="U436" s="18" t="inlineStr">
        <is>
          <t>¿La columna camposModificados de HistorialEstadoPTA sigue en uso y qué estructura tenía?</t>
        </is>
      </c>
      <c r="V436" s="19" t="inlineStr">
        <is>
          <t>Aprobada</t>
        </is>
      </c>
      <c r="W436" s="19" t="inlineStr"/>
      <c r="X436" s="19" t="inlineStr">
        <is>
          <t>Aldair González (validación del responsable de BD)</t>
        </is>
      </c>
      <c r="Y436" s="20" t="n">
        <v>46321</v>
      </c>
      <c r="Z436" s="19" t="inlineStr">
        <is>
          <t>Nivel 3: validada por decisión del responsable de la base de datos. Pregunta registrada para desarrollo: ¿La columna camposModificados de HistorialEstadoPTA sigue en uso y qué estructura tenía?</t>
        </is>
      </c>
      <c r="AA436" s="18">
        <f>IF(OR(V436="Aprobada"),R436,IF(AND(OR(V436="Aprobada con ajuste",V436="Rechazada"),W436&lt;&gt;""),W436,""))</f>
        <v/>
      </c>
    </row>
    <row r="437">
      <c r="A437" s="18" t="inlineStr">
        <is>
          <t>C0436</t>
        </is>
      </c>
      <c r="B437" s="18" t="inlineStr">
        <is>
          <t>Plan de trabajo académico</t>
        </is>
      </c>
      <c r="C437" s="18" t="inlineStr">
        <is>
          <t>academic_work_plan</t>
        </is>
      </c>
      <c r="D437" s="18" t="inlineStr">
        <is>
          <t>HistorialEstadoPTA</t>
        </is>
      </c>
      <c r="E437" s="18" t="n">
        <v>51</v>
      </c>
      <c r="F437" s="18" t="inlineStr">
        <is>
          <t>snapshotPta</t>
        </is>
      </c>
      <c r="G437" s="18" t="inlineStr">
        <is>
          <t>jsonb</t>
        </is>
      </c>
      <c r="H437" s="18" t="inlineStr">
        <is>
          <t>Sí</t>
        </is>
      </c>
      <c r="I437" s="18" t="inlineStr"/>
      <c r="J437" s="18" t="inlineStr"/>
      <c r="K437" s="18" t="inlineStr"/>
      <c r="L437" s="18" t="inlineStr">
        <is>
          <t>No</t>
        </is>
      </c>
      <c r="M437" s="18" t="inlineStr">
        <is>
          <t>No</t>
        </is>
      </c>
      <c r="N437" s="18" t="inlineStr"/>
      <c r="O437" s="18" t="inlineStr"/>
      <c r="P437" s="18" t="inlineStr">
        <is>
          <t>Mapeada en academic-work-plan-service/src/pta/entities/historial-estado-pta.entity.ts:32 (HistorialEstadoPtaEntity.snapshotPta)</t>
        </is>
      </c>
      <c r="Q437" s="18" t="inlineStr">
        <is>
          <t>Propuesta semántica</t>
        </is>
      </c>
      <c r="R437" s="18" t="inlineStr">
        <is>
          <t>Copia del plan de trabajo académico en el momento de la transición, en formato JSON.</t>
        </is>
      </c>
      <c r="S437" s="18" t="inlineStr">
        <is>
          <t>Alta</t>
        </is>
      </c>
      <c r="T437" s="18" t="inlineStr">
        <is>
          <t>nombre + tipo + columnas vecinas</t>
        </is>
      </c>
      <c r="U437" s="18" t="inlineStr"/>
      <c r="V437" s="19" t="inlineStr">
        <is>
          <t>Aprobada</t>
        </is>
      </c>
      <c r="W437" s="19" t="inlineStr"/>
      <c r="X437" s="19" t="inlineStr">
        <is>
          <t>Aldair González (aprobación en bloque)</t>
        </is>
      </c>
      <c r="Y437" s="20" t="n">
        <v>46321</v>
      </c>
      <c r="Z437" s="19" t="inlineStr">
        <is>
          <t>Nivel 1: propuesta del comentario del desarrollador o de confianza alta, o regla de fecha/responsable/motivo.</t>
        </is>
      </c>
      <c r="AA437" s="18">
        <f>IF(OR(V437="Aprobada"),R437,IF(AND(OR(V437="Aprobada con ajuste",V437="Rechazada"),W437&lt;&gt;""),W437,""))</f>
        <v/>
      </c>
    </row>
    <row r="438">
      <c r="A438" s="18" t="inlineStr">
        <is>
          <t>C0437</t>
        </is>
      </c>
      <c r="B438" s="18" t="inlineStr">
        <is>
          <t>Plan de trabajo académico</t>
        </is>
      </c>
      <c r="C438" s="18" t="inlineStr">
        <is>
          <t>academic_work_plan</t>
        </is>
      </c>
      <c r="D438" s="18" t="inlineStr">
        <is>
          <t>nucleo_tematico</t>
        </is>
      </c>
      <c r="E438" s="18" t="n">
        <v>42</v>
      </c>
      <c r="F438" s="18" t="inlineStr">
        <is>
          <t>codigo</t>
        </is>
      </c>
      <c r="G438" s="18" t="inlineStr">
        <is>
          <t>character varying(20)</t>
        </is>
      </c>
      <c r="H438" s="18" t="inlineStr">
        <is>
          <t>No</t>
        </is>
      </c>
      <c r="I438" s="18" t="inlineStr">
        <is>
          <t>Única</t>
        </is>
      </c>
      <c r="J438" s="18" t="inlineStr"/>
      <c r="K438" s="18" t="inlineStr"/>
      <c r="L438" s="18" t="inlineStr">
        <is>
          <t>No</t>
        </is>
      </c>
      <c r="M438" s="18" t="inlineStr">
        <is>
          <t>No</t>
        </is>
      </c>
      <c r="N438" s="18" t="inlineStr"/>
      <c r="O438" s="18" t="inlineStr">
        <is>
          <t>nucleo_tematico_codigo_key</t>
        </is>
      </c>
      <c r="P438" s="18" t="inlineStr">
        <is>
          <t>Mapeada en academic-work-plan-service/src/pta/entities/nucleo-tematico.entity.ts:9 (NucleoTematicoEntity.codigo)</t>
        </is>
      </c>
      <c r="Q438" s="18" t="inlineStr">
        <is>
          <t>Regla estructural (redacción revisada)</t>
        </is>
      </c>
      <c r="R438" s="18" t="inlineStr">
        <is>
          <t>Código del núcleo temático, único en la tabla.</t>
        </is>
      </c>
      <c r="S438" s="18" t="inlineStr">
        <is>
          <t>Alta</t>
        </is>
      </c>
      <c r="T438" s="18" t="inlineStr">
        <is>
          <t>Convención de nombre, redactada con el contexto de la tabla y el código.</t>
        </is>
      </c>
      <c r="U438" s="18" t="inlineStr"/>
      <c r="V438" s="19" t="inlineStr">
        <is>
          <t>Aprobada</t>
        </is>
      </c>
      <c r="W438" s="19" t="inlineStr"/>
      <c r="X438" s="19" t="inlineStr">
        <is>
          <t>Aldair González (aprobación en bloque)</t>
        </is>
      </c>
      <c r="Y438" s="20" t="n">
        <v>46321</v>
      </c>
      <c r="Z438" s="19" t="inlineStr">
        <is>
          <t>Nivel 2: regla estructural con redacción revisada.</t>
        </is>
      </c>
      <c r="AA438" s="18">
        <f>IF(OR(V438="Aprobada"),R438,IF(AND(OR(V438="Aprobada con ajuste",V438="Rechazada"),W438&lt;&gt;""),W438,""))</f>
        <v/>
      </c>
    </row>
    <row r="439">
      <c r="A439" s="18" t="inlineStr">
        <is>
          <t>C0438</t>
        </is>
      </c>
      <c r="B439" s="18" t="inlineStr">
        <is>
          <t>Plan de trabajo académico</t>
        </is>
      </c>
      <c r="C439" s="18" t="inlineStr">
        <is>
          <t>academic_work_plan</t>
        </is>
      </c>
      <c r="D439" s="18" t="inlineStr">
        <is>
          <t>nucleo_tematico</t>
        </is>
      </c>
      <c r="E439" s="18" t="n">
        <v>42</v>
      </c>
      <c r="F439" s="18" t="inlineStr">
        <is>
          <t>nombre</t>
        </is>
      </c>
      <c r="G439" s="18" t="inlineStr">
        <is>
          <t>character varying(100)</t>
        </is>
      </c>
      <c r="H439" s="18" t="inlineStr">
        <is>
          <t>No</t>
        </is>
      </c>
      <c r="I439" s="18" t="inlineStr">
        <is>
          <t>Única</t>
        </is>
      </c>
      <c r="J439" s="18" t="inlineStr"/>
      <c r="K439" s="18" t="inlineStr"/>
      <c r="L439" s="18" t="inlineStr">
        <is>
          <t>No</t>
        </is>
      </c>
      <c r="M439" s="18" t="inlineStr">
        <is>
          <t>No</t>
        </is>
      </c>
      <c r="N439" s="18" t="inlineStr"/>
      <c r="O439" s="18" t="inlineStr">
        <is>
          <t>nucleo_tematico_nombre_key</t>
        </is>
      </c>
      <c r="P439" s="18" t="inlineStr">
        <is>
          <t>Mapeada en academic-work-plan-service/src/pta/entities/nucleo-tematico.entity.ts:12 (NucleoTematicoEntity.nombre)</t>
        </is>
      </c>
      <c r="Q439" s="18" t="inlineStr">
        <is>
          <t>Regla estructural (redacción revisada)</t>
        </is>
      </c>
      <c r="R439" s="18" t="inlineStr">
        <is>
          <t>Nombre del núcleo temático.</t>
        </is>
      </c>
      <c r="S439" s="18" t="inlineStr">
        <is>
          <t>Alta</t>
        </is>
      </c>
      <c r="T439" s="18" t="inlineStr">
        <is>
          <t>Convención de nombre, redactada con el contexto de la tabla y el código.</t>
        </is>
      </c>
      <c r="U439" s="18" t="inlineStr"/>
      <c r="V439" s="19" t="inlineStr">
        <is>
          <t>Aprobada</t>
        </is>
      </c>
      <c r="W439" s="19" t="inlineStr"/>
      <c r="X439" s="19" t="inlineStr">
        <is>
          <t>Aldair González (aprobación en bloque)</t>
        </is>
      </c>
      <c r="Y439" s="20" t="n">
        <v>46321</v>
      </c>
      <c r="Z439" s="19" t="inlineStr">
        <is>
          <t>Nivel 2: regla estructural con redacción revisada.</t>
        </is>
      </c>
      <c r="AA439" s="18">
        <f>IF(OR(V439="Aprobada"),R439,IF(AND(OR(V439="Aprobada con ajuste",V439="Rechazada"),W439&lt;&gt;""),W439,""))</f>
        <v/>
      </c>
    </row>
    <row r="440">
      <c r="A440" s="18" t="inlineStr">
        <is>
          <t>C0439</t>
        </is>
      </c>
      <c r="B440" s="18" t="inlineStr">
        <is>
          <t>Plan de trabajo académico</t>
        </is>
      </c>
      <c r="C440" s="18" t="inlineStr">
        <is>
          <t>academic_work_plan</t>
        </is>
      </c>
      <c r="D440" s="18" t="inlineStr">
        <is>
          <t>nucleo_tematico</t>
        </is>
      </c>
      <c r="E440" s="18" t="n">
        <v>42</v>
      </c>
      <c r="F440" s="18" t="inlineStr">
        <is>
          <t>descripcion</t>
        </is>
      </c>
      <c r="G440" s="18" t="inlineStr">
        <is>
          <t>text</t>
        </is>
      </c>
      <c r="H440" s="18" t="inlineStr">
        <is>
          <t>Sí</t>
        </is>
      </c>
      <c r="I440" s="18" t="inlineStr"/>
      <c r="J440" s="18" t="inlineStr"/>
      <c r="K440" s="18" t="inlineStr"/>
      <c r="L440" s="18" t="inlineStr">
        <is>
          <t>No</t>
        </is>
      </c>
      <c r="M440" s="18" t="inlineStr">
        <is>
          <t>No</t>
        </is>
      </c>
      <c r="N440" s="18" t="inlineStr"/>
      <c r="O440" s="18" t="inlineStr"/>
      <c r="P440" s="18" t="inlineStr">
        <is>
          <t>Mapeada en academic-work-plan-service/src/pta/entities/nucleo-tematico.entity.ts:22 (NucleoTematicoEntity.descripcion)</t>
        </is>
      </c>
      <c r="Q440" s="18" t="inlineStr">
        <is>
          <t>Regla estructural (redacción revisada)</t>
        </is>
      </c>
      <c r="R440" s="18" t="inlineStr">
        <is>
          <t>Descripción del núcleo temático.</t>
        </is>
      </c>
      <c r="S440" s="18" t="inlineStr">
        <is>
          <t>Alta</t>
        </is>
      </c>
      <c r="T440" s="18" t="inlineStr">
        <is>
          <t>Convención de nombre, redactada con el contexto de la tabla y el código.</t>
        </is>
      </c>
      <c r="U440" s="18" t="inlineStr"/>
      <c r="V440" s="19" t="inlineStr">
        <is>
          <t>Aprobada</t>
        </is>
      </c>
      <c r="W440" s="19" t="inlineStr"/>
      <c r="X440" s="19" t="inlineStr">
        <is>
          <t>Aldair González (aprobación en bloque)</t>
        </is>
      </c>
      <c r="Y440" s="20" t="n">
        <v>46321</v>
      </c>
      <c r="Z440" s="19" t="inlineStr">
        <is>
          <t>Nivel 2: regla estructural con redacción revisada.</t>
        </is>
      </c>
      <c r="AA440" s="18">
        <f>IF(OR(V440="Aprobada"),R440,IF(AND(OR(V440="Aprobada con ajuste",V440="Rechazada"),W440&lt;&gt;""),W440,""))</f>
        <v/>
      </c>
    </row>
    <row r="441">
      <c r="A441" s="18" t="inlineStr">
        <is>
          <t>C0440</t>
        </is>
      </c>
      <c r="B441" s="18" t="inlineStr">
        <is>
          <t>Plan de trabajo académico</t>
        </is>
      </c>
      <c r="C441" s="18" t="inlineStr">
        <is>
          <t>academic_work_plan</t>
        </is>
      </c>
      <c r="D441" s="18" t="inlineStr">
        <is>
          <t>nucleo_tematico</t>
        </is>
      </c>
      <c r="E441" s="18" t="n">
        <v>42</v>
      </c>
      <c r="F441" s="18" t="inlineStr">
        <is>
          <t>activo</t>
        </is>
      </c>
      <c r="G441" s="18" t="inlineStr">
        <is>
          <t>boolean</t>
        </is>
      </c>
      <c r="H441" s="18" t="inlineStr">
        <is>
          <t>No</t>
        </is>
      </c>
      <c r="I441" s="18" t="inlineStr"/>
      <c r="J441" s="18" t="inlineStr"/>
      <c r="K441" s="18" t="inlineStr"/>
      <c r="L441" s="18" t="inlineStr">
        <is>
          <t>No</t>
        </is>
      </c>
      <c r="M441" s="18" t="inlineStr">
        <is>
          <t>No</t>
        </is>
      </c>
      <c r="N441" s="18" t="inlineStr"/>
      <c r="O441" s="18" t="inlineStr"/>
      <c r="P441" s="18" t="inlineStr">
        <is>
          <t>Mapeada en academic-work-plan-service/src/pta/entities/nucleo-tematico.entity.ts:25 (NucleoTematicoEntity.activo)</t>
        </is>
      </c>
      <c r="Q441" s="18" t="inlineStr">
        <is>
          <t>Regla estructural (redacción revisada)</t>
        </is>
      </c>
      <c r="R441" s="18" t="inlineStr">
        <is>
          <t>Indica si el núcleo temático está activo.</t>
        </is>
      </c>
      <c r="S441" s="18" t="inlineStr">
        <is>
          <t>Alta</t>
        </is>
      </c>
      <c r="T441" s="18" t="inlineStr">
        <is>
          <t>Convención de nombre, redactada con el contexto de la tabla y el código.</t>
        </is>
      </c>
      <c r="U441" s="18" t="inlineStr"/>
      <c r="V441" s="19" t="inlineStr">
        <is>
          <t>Aprobada</t>
        </is>
      </c>
      <c r="W441" s="19" t="inlineStr"/>
      <c r="X441" s="19" t="inlineStr">
        <is>
          <t>Aldair González (aprobación en bloque)</t>
        </is>
      </c>
      <c r="Y441" s="20" t="n">
        <v>46321</v>
      </c>
      <c r="Z441" s="19" t="inlineStr">
        <is>
          <t>Nivel 2: regla estructural con redacción revisada.</t>
        </is>
      </c>
      <c r="AA441" s="18">
        <f>IF(OR(V441="Aprobada"),R441,IF(AND(OR(V441="Aprobada con ajuste",V441="Rechazada"),W441&lt;&gt;""),W441,""))</f>
        <v/>
      </c>
    </row>
    <row r="442">
      <c r="A442" s="18" t="inlineStr">
        <is>
          <t>C0441</t>
        </is>
      </c>
      <c r="B442" s="18" t="inlineStr">
        <is>
          <t>Plan de trabajo académico</t>
        </is>
      </c>
      <c r="C442" s="18" t="inlineStr">
        <is>
          <t>academic_work_plan</t>
        </is>
      </c>
      <c r="D442" s="18" t="inlineStr">
        <is>
          <t>nucleo_tematico</t>
        </is>
      </c>
      <c r="E442" s="18" t="n">
        <v>42</v>
      </c>
      <c r="F442" s="18" t="inlineStr">
        <is>
          <t>deleted_at</t>
        </is>
      </c>
      <c r="G442" s="18" t="inlineStr">
        <is>
          <t>timestamp without time zone</t>
        </is>
      </c>
      <c r="H442" s="18" t="inlineStr">
        <is>
          <t>Sí</t>
        </is>
      </c>
      <c r="I442" s="18" t="inlineStr"/>
      <c r="J442" s="18" t="inlineStr"/>
      <c r="K442" s="18" t="inlineStr"/>
      <c r="L442" s="18" t="inlineStr">
        <is>
          <t>No</t>
        </is>
      </c>
      <c r="M442" s="18" t="inlineStr">
        <is>
          <t>No</t>
        </is>
      </c>
      <c r="N442" s="18" t="inlineStr"/>
      <c r="O442" s="18" t="inlineStr"/>
      <c r="P442" s="18" t="inlineStr">
        <is>
          <t>Mapeada en academic-work-plan-service/src/pta/entities/nucleo-tematico.entity.ts:40 (NucleoTematicoEntity.deletedAt)</t>
        </is>
      </c>
      <c r="Q442" s="18" t="inlineStr">
        <is>
          <t>Regla estructural</t>
        </is>
      </c>
      <c r="R442" s="18" t="inlineStr">
        <is>
          <t>Fecha y hora de la eliminación.</t>
        </is>
      </c>
      <c r="S442" s="18" t="inlineStr">
        <is>
          <t>Media</t>
        </is>
      </c>
      <c r="T442" s="18" t="inlineStr">
        <is>
          <t>Convención de nombre de la columna.</t>
        </is>
      </c>
      <c r="U442" s="18" t="inlineStr"/>
      <c r="V442" s="19" t="inlineStr">
        <is>
          <t>Aprobada</t>
        </is>
      </c>
      <c r="W442" s="19" t="inlineStr"/>
      <c r="X442" s="19" t="inlineStr">
        <is>
          <t>Aldair González (aprobación en bloque)</t>
        </is>
      </c>
      <c r="Y442" s="20" t="n">
        <v>46321</v>
      </c>
      <c r="Z442" s="19" t="inlineStr">
        <is>
          <t>Nivel 1: propuesta del comentario del desarrollador o de confianza alta, o regla de fecha/responsable/motivo.</t>
        </is>
      </c>
      <c r="AA442" s="18">
        <f>IF(OR(V442="Aprobada"),R442,IF(AND(OR(V442="Aprobada con ajuste",V442="Rechazada"),W442&lt;&gt;""),W442,""))</f>
        <v/>
      </c>
    </row>
    <row r="443">
      <c r="A443" s="18" t="inlineStr">
        <is>
          <t>C0442</t>
        </is>
      </c>
      <c r="B443" s="18" t="inlineStr">
        <is>
          <t>Plan de trabajo académico</t>
        </is>
      </c>
      <c r="C443" s="18" t="inlineStr">
        <is>
          <t>academic_work_plan</t>
        </is>
      </c>
      <c r="D443" s="18" t="inlineStr">
        <is>
          <t>nucleo_tematico</t>
        </is>
      </c>
      <c r="E443" s="18" t="n">
        <v>42</v>
      </c>
      <c r="F443" s="18" t="inlineStr">
        <is>
          <t>deleted_by</t>
        </is>
      </c>
      <c r="G443" s="18" t="inlineStr">
        <is>
          <t>bigint</t>
        </is>
      </c>
      <c r="H443" s="18" t="inlineStr">
        <is>
          <t>Sí</t>
        </is>
      </c>
      <c r="I443" s="18" t="inlineStr"/>
      <c r="J443" s="18" t="inlineStr"/>
      <c r="K443" s="18" t="inlineStr"/>
      <c r="L443" s="18" t="inlineStr">
        <is>
          <t>No</t>
        </is>
      </c>
      <c r="M443" s="18" t="inlineStr">
        <is>
          <t>No</t>
        </is>
      </c>
      <c r="N443" s="18" t="inlineStr"/>
      <c r="O443" s="18" t="inlineStr"/>
      <c r="P443" s="18" t="inlineStr">
        <is>
          <t>Mapeada en academic-work-plan-service/src/pta/entities/nucleo-tematico.entity.ts:43 (NucleoTematicoEntity.deletedBy)</t>
        </is>
      </c>
      <c r="Q443" s="18" t="inlineStr">
        <is>
          <t>Código fuente (verificado)</t>
        </is>
      </c>
      <c r="R443" s="18" t="inlineStr">
        <is>
          <t>Identificador del usuario que eliminó lógicamente el registro.</t>
        </is>
      </c>
      <c r="S443" s="18" t="inlineStr">
        <is>
          <t>Media</t>
        </is>
      </c>
      <c r="T443" s="18" t="inlineStr">
        <is>
          <t>backend/academic-work-plan-service/src/pta/entities/nucleo-tematico.entity.ts:43: columna bigint mapeada como deletedBy, sin relación declarada | db/migrations/326_create_catalog_tables.sql: deleted_by BIGINT sin FK | ningún servicio del academic-work-plan-service asigna deleted_by (búsqueda de deleted_by/deletedBy)</t>
        </is>
      </c>
      <c r="U443" s="18" t="inlineStr">
        <is>
          <t>¿deleted_by guarda el id de auth."user" (id_user) u otro identificador? Ningún servicio escribe la columna; ¿se usa la eliminación lógica de esta tabla?</t>
        </is>
      </c>
      <c r="V443" s="19" t="inlineStr">
        <is>
          <t>Aprobada</t>
        </is>
      </c>
      <c r="W443" s="19" t="inlineStr"/>
      <c r="X443" s="19" t="inlineStr">
        <is>
          <t>Aldair González (validación del responsable de BD)</t>
        </is>
      </c>
      <c r="Y443" s="20" t="n">
        <v>46321</v>
      </c>
      <c r="Z443" s="19" t="inlineStr">
        <is>
          <t>Nivel 3: validada por decisión del responsable de la base de datos. Pregunta registrada para desarrollo: ¿deleted_by guarda el id de auth."user" (id_user) u otro identificador? Ningún servicio escribe la columna; ¿se usa la eliminación lógica de esta tabla?</t>
        </is>
      </c>
      <c r="AA443" s="18">
        <f>IF(OR(V443="Aprobada"),R443,IF(AND(OR(V443="Aprobada con ajuste",V443="Rechazada"),W443&lt;&gt;""),W443,""))</f>
        <v/>
      </c>
    </row>
    <row r="444">
      <c r="A444" s="18" t="inlineStr">
        <is>
          <t>C0443</t>
        </is>
      </c>
      <c r="B444" s="18" t="inlineStr">
        <is>
          <t>Plan de trabajo académico</t>
        </is>
      </c>
      <c r="C444" s="18" t="inlineStr">
        <is>
          <t>academic_work_plan</t>
        </is>
      </c>
      <c r="D444" s="18" t="inlineStr">
        <is>
          <t>oferta_cetap_programa</t>
        </is>
      </c>
      <c r="E444" s="18" t="n">
        <v>337</v>
      </c>
      <c r="F444" s="18" t="inlineStr">
        <is>
          <t>cupos_estimados</t>
        </is>
      </c>
      <c r="G444" s="18" t="inlineStr">
        <is>
          <t>integer</t>
        </is>
      </c>
      <c r="H444" s="18" t="inlineStr">
        <is>
          <t>Sí</t>
        </is>
      </c>
      <c r="I444" s="18" t="inlineStr"/>
      <c r="J444" s="18" t="inlineStr"/>
      <c r="K444" s="18" t="inlineStr"/>
      <c r="L444" s="18" t="inlineStr">
        <is>
          <t>No</t>
        </is>
      </c>
      <c r="M444" s="18" t="inlineStr">
        <is>
          <t>No</t>
        </is>
      </c>
      <c r="N444" s="18" t="inlineStr"/>
      <c r="O444" s="18" t="inlineStr"/>
      <c r="P444" s="18" t="inlineStr">
        <is>
          <t>Mapeada en academic-work-plan-service/src/pta/entities/oferta-cetap-programa.entity.ts:33 (OfertaCetapProgramaEntity.cuposEstimados)</t>
        </is>
      </c>
      <c r="Q444" s="18" t="inlineStr">
        <is>
          <t>Propuesta semántica</t>
        </is>
      </c>
      <c r="R444" s="18" t="inlineStr">
        <is>
          <t>Número estimado de cupos del programa en el CETAP para el periodo académico.</t>
        </is>
      </c>
      <c r="S444" s="18" t="inlineStr">
        <is>
          <t>Alta</t>
        </is>
      </c>
      <c r="T444" s="18" t="inlineStr">
        <is>
          <t>nombre + tipo + columnas vecinas</t>
        </is>
      </c>
      <c r="U444" s="18" t="inlineStr"/>
      <c r="V444" s="19" t="inlineStr">
        <is>
          <t>Aprobada</t>
        </is>
      </c>
      <c r="W444" s="19" t="inlineStr"/>
      <c r="X444" s="19" t="inlineStr">
        <is>
          <t>Aldair González (aprobación en bloque)</t>
        </is>
      </c>
      <c r="Y444" s="20" t="n">
        <v>46321</v>
      </c>
      <c r="Z444" s="19" t="inlineStr">
        <is>
          <t>Nivel 1: propuesta del comentario del desarrollador o de confianza alta, o regla de fecha/responsable/motivo.</t>
        </is>
      </c>
      <c r="AA444" s="18">
        <f>IF(OR(V444="Aprobada"),R444,IF(AND(OR(V444="Aprobada con ajuste",V444="Rechazada"),W444&lt;&gt;""),W444,""))</f>
        <v/>
      </c>
    </row>
    <row r="445">
      <c r="A445" s="18" t="inlineStr">
        <is>
          <t>C0444</t>
        </is>
      </c>
      <c r="B445" s="18" t="inlineStr">
        <is>
          <t>Plan de trabajo académico</t>
        </is>
      </c>
      <c r="C445" s="18" t="inlineStr">
        <is>
          <t>academic_work_plan</t>
        </is>
      </c>
      <c r="D445" s="18" t="inlineStr">
        <is>
          <t>oferta_cetap_programa</t>
        </is>
      </c>
      <c r="E445" s="18" t="n">
        <v>337</v>
      </c>
      <c r="F445" s="18" t="inlineStr">
        <is>
          <t>observaciones</t>
        </is>
      </c>
      <c r="G445" s="18" t="inlineStr">
        <is>
          <t>text</t>
        </is>
      </c>
      <c r="H445" s="18" t="inlineStr">
        <is>
          <t>Sí</t>
        </is>
      </c>
      <c r="I445" s="18" t="inlineStr"/>
      <c r="J445" s="18" t="inlineStr"/>
      <c r="K445" s="18" t="inlineStr"/>
      <c r="L445" s="18" t="inlineStr">
        <is>
          <t>No</t>
        </is>
      </c>
      <c r="M445" s="18" t="inlineStr">
        <is>
          <t>No</t>
        </is>
      </c>
      <c r="N445" s="18" t="inlineStr"/>
      <c r="O445" s="18" t="inlineStr"/>
      <c r="P445" s="18" t="inlineStr">
        <is>
          <t>Mapeada en academic-work-plan-service/src/pta/entities/oferta-cetap-programa.entity.ts:36 (OfertaCetapProgramaEntity.observaciones)</t>
        </is>
      </c>
      <c r="Q445" s="18" t="inlineStr">
        <is>
          <t>Regla estructural (redacción revisada)</t>
        </is>
      </c>
      <c r="R445" s="18" t="inlineStr">
        <is>
          <t>Observaciones sobre la oferta del programa en el CETAP.</t>
        </is>
      </c>
      <c r="S445" s="18" t="inlineStr">
        <is>
          <t>Alta</t>
        </is>
      </c>
      <c r="T445" s="18" t="inlineStr">
        <is>
          <t>Convención de nombre, redactada con el contexto de la tabla y el código.</t>
        </is>
      </c>
      <c r="U445" s="18" t="inlineStr"/>
      <c r="V445" s="19" t="inlineStr">
        <is>
          <t>Aprobada</t>
        </is>
      </c>
      <c r="W445" s="19" t="inlineStr"/>
      <c r="X445" s="19" t="inlineStr">
        <is>
          <t>Aldair González (aprobación en bloque)</t>
        </is>
      </c>
      <c r="Y445" s="20" t="n">
        <v>46321</v>
      </c>
      <c r="Z445" s="19" t="inlineStr">
        <is>
          <t>Nivel 2: regla estructural con redacción revisada.</t>
        </is>
      </c>
      <c r="AA445" s="18">
        <f>IF(OR(V445="Aprobada"),R445,IF(AND(OR(V445="Aprobada con ajuste",V445="Rechazada"),W445&lt;&gt;""),W445,""))</f>
        <v/>
      </c>
    </row>
    <row r="446">
      <c r="A446" s="18" t="inlineStr">
        <is>
          <t>C0445</t>
        </is>
      </c>
      <c r="B446" s="18" t="inlineStr">
        <is>
          <t>Plan de trabajo académico</t>
        </is>
      </c>
      <c r="C446" s="18" t="inlineStr">
        <is>
          <t>academic_work_plan</t>
        </is>
      </c>
      <c r="D446" s="18" t="inlineStr">
        <is>
          <t>oferta_cetap_programa</t>
        </is>
      </c>
      <c r="E446" s="18" t="n">
        <v>337</v>
      </c>
      <c r="F446" s="18" t="inlineStr">
        <is>
          <t>activa</t>
        </is>
      </c>
      <c r="G446" s="18" t="inlineStr">
        <is>
          <t>boolean</t>
        </is>
      </c>
      <c r="H446" s="18" t="inlineStr">
        <is>
          <t>No</t>
        </is>
      </c>
      <c r="I446" s="18" t="inlineStr"/>
      <c r="J446" s="18" t="inlineStr"/>
      <c r="K446" s="18" t="inlineStr"/>
      <c r="L446" s="18" t="inlineStr">
        <is>
          <t>No</t>
        </is>
      </c>
      <c r="M446" s="18" t="inlineStr">
        <is>
          <t>No</t>
        </is>
      </c>
      <c r="N446" s="18" t="inlineStr"/>
      <c r="O446" s="18" t="inlineStr">
        <is>
          <t>idx_ocp_activa</t>
        </is>
      </c>
      <c r="P446" s="18" t="inlineStr">
        <is>
          <t>Mapeada en academic-work-plan-service/src/pta/entities/oferta-cetap-programa.entity.ts:39 (OfertaCetapProgramaEntity.activa)</t>
        </is>
      </c>
      <c r="Q446" s="18" t="inlineStr">
        <is>
          <t>Regla estructural (redacción revisada)</t>
        </is>
      </c>
      <c r="R446" s="18" t="inlineStr">
        <is>
          <t>Indica si la oferta del programa en el CETAP está activa.</t>
        </is>
      </c>
      <c r="S446" s="18" t="inlineStr">
        <is>
          <t>Alta</t>
        </is>
      </c>
      <c r="T446" s="18" t="inlineStr">
        <is>
          <t>Convención de nombre, redactada con el contexto de la tabla y el código.</t>
        </is>
      </c>
      <c r="U446" s="18" t="inlineStr"/>
      <c r="V446" s="19" t="inlineStr">
        <is>
          <t>Aprobada</t>
        </is>
      </c>
      <c r="W446" s="19" t="inlineStr"/>
      <c r="X446" s="19" t="inlineStr">
        <is>
          <t>Aldair González (aprobación en bloque)</t>
        </is>
      </c>
      <c r="Y446" s="20" t="n">
        <v>46321</v>
      </c>
      <c r="Z446" s="19" t="inlineStr">
        <is>
          <t>Nivel 2: regla estructural con redacción revisada.</t>
        </is>
      </c>
      <c r="AA446" s="18">
        <f>IF(OR(V446="Aprobada"),R446,IF(AND(OR(V446="Aprobada con ajuste",V446="Rechazada"),W446&lt;&gt;""),W446,""))</f>
        <v/>
      </c>
    </row>
    <row r="447">
      <c r="A447" s="18" t="inlineStr">
        <is>
          <t>C0446</t>
        </is>
      </c>
      <c r="B447" s="18" t="inlineStr">
        <is>
          <t>Plan de trabajo académico</t>
        </is>
      </c>
      <c r="C447" s="18" t="inlineStr">
        <is>
          <t>academic_work_plan</t>
        </is>
      </c>
      <c r="D447" s="18" t="inlineStr">
        <is>
          <t>oferta_cetap_programa</t>
        </is>
      </c>
      <c r="E447" s="18" t="n">
        <v>337</v>
      </c>
      <c r="F447" s="18" t="inlineStr">
        <is>
          <t>deleted_at</t>
        </is>
      </c>
      <c r="G447" s="18" t="inlineStr">
        <is>
          <t>timestamp without time zone</t>
        </is>
      </c>
      <c r="H447" s="18" t="inlineStr">
        <is>
          <t>Sí</t>
        </is>
      </c>
      <c r="I447" s="18" t="inlineStr"/>
      <c r="J447" s="18" t="inlineStr"/>
      <c r="K447" s="18" t="inlineStr"/>
      <c r="L447" s="18" t="inlineStr">
        <is>
          <t>No</t>
        </is>
      </c>
      <c r="M447" s="18" t="inlineStr">
        <is>
          <t>No</t>
        </is>
      </c>
      <c r="N447" s="18" t="inlineStr"/>
      <c r="O447" s="18" t="inlineStr"/>
      <c r="P447" s="18" t="inlineStr">
        <is>
          <t>Mapeada en academic-work-plan-service/src/pta/entities/oferta-cetap-programa.entity.ts:54 (OfertaCetapProgramaEntity.deletedAt)</t>
        </is>
      </c>
      <c r="Q447" s="18" t="inlineStr">
        <is>
          <t>Regla estructural</t>
        </is>
      </c>
      <c r="R447" s="18" t="inlineStr">
        <is>
          <t>Fecha y hora de la eliminación.</t>
        </is>
      </c>
      <c r="S447" s="18" t="inlineStr">
        <is>
          <t>Media</t>
        </is>
      </c>
      <c r="T447" s="18" t="inlineStr">
        <is>
          <t>Convención de nombre de la columna.</t>
        </is>
      </c>
      <c r="U447" s="18" t="inlineStr"/>
      <c r="V447" s="19" t="inlineStr">
        <is>
          <t>Aprobada</t>
        </is>
      </c>
      <c r="W447" s="19" t="inlineStr"/>
      <c r="X447" s="19" t="inlineStr">
        <is>
          <t>Aldair González (aprobación en bloque)</t>
        </is>
      </c>
      <c r="Y447" s="20" t="n">
        <v>46321</v>
      </c>
      <c r="Z447" s="19" t="inlineStr">
        <is>
          <t>Nivel 1: propuesta del comentario del desarrollador o de confianza alta, o regla de fecha/responsable/motivo.</t>
        </is>
      </c>
      <c r="AA447" s="18">
        <f>IF(OR(V447="Aprobada"),R447,IF(AND(OR(V447="Aprobada con ajuste",V447="Rechazada"),W447&lt;&gt;""),W447,""))</f>
        <v/>
      </c>
    </row>
    <row r="448">
      <c r="A448" s="18" t="inlineStr">
        <is>
          <t>C0447</t>
        </is>
      </c>
      <c r="B448" s="18" t="inlineStr">
        <is>
          <t>Plan de trabajo académico</t>
        </is>
      </c>
      <c r="C448" s="18" t="inlineStr">
        <is>
          <t>academic_work_plan</t>
        </is>
      </c>
      <c r="D448" s="18" t="inlineStr">
        <is>
          <t>oferta_cetap_programa</t>
        </is>
      </c>
      <c r="E448" s="18" t="n">
        <v>337</v>
      </c>
      <c r="F448" s="18" t="inlineStr">
        <is>
          <t>deleted_by</t>
        </is>
      </c>
      <c r="G448" s="18" t="inlineStr">
        <is>
          <t>bigint</t>
        </is>
      </c>
      <c r="H448" s="18" t="inlineStr">
        <is>
          <t>Sí</t>
        </is>
      </c>
      <c r="I448" s="18" t="inlineStr"/>
      <c r="J448" s="18" t="inlineStr"/>
      <c r="K448" s="18" t="inlineStr"/>
      <c r="L448" s="18" t="inlineStr">
        <is>
          <t>No</t>
        </is>
      </c>
      <c r="M448" s="18" t="inlineStr">
        <is>
          <t>No</t>
        </is>
      </c>
      <c r="N448" s="18" t="inlineStr"/>
      <c r="O448" s="18" t="inlineStr"/>
      <c r="P448" s="18" t="inlineStr">
        <is>
          <t>Mapeada en academic-work-plan-service/src/pta/entities/oferta-cetap-programa.entity.ts:57 (OfertaCetapProgramaEntity.deletedBy)</t>
        </is>
      </c>
      <c r="Q448" s="18" t="inlineStr">
        <is>
          <t>Código fuente (verificado)</t>
        </is>
      </c>
      <c r="R448" s="18" t="inlineStr">
        <is>
          <t>Identificador del usuario que eliminó lógicamente el registro.</t>
        </is>
      </c>
      <c r="S448" s="18" t="inlineStr">
        <is>
          <t>Media</t>
        </is>
      </c>
      <c r="T448" s="18" t="inlineStr">
        <is>
          <t>backend/academic-work-plan-service/src/pta/entities/oferta-cetap-programa.entity.ts:57: columna bigint mapeada como deletedBy, sin relación declarada | db/migrations/326_create_catalog_tables.sql: deleted_by BIGINT sin FK | ningún servicio del academic-work-plan-service asigna deleted_by (búsqueda de deleted_by/deletedBy)</t>
        </is>
      </c>
      <c r="U448" s="18" t="inlineStr">
        <is>
          <t>¿deleted_by guarda el id de auth."user" (id_user) u otro identificador? Ningún servicio escribe la columna; ¿se usa la eliminación lógica de esta tabla?</t>
        </is>
      </c>
      <c r="V448" s="19" t="inlineStr">
        <is>
          <t>Aprobada</t>
        </is>
      </c>
      <c r="W448" s="19" t="inlineStr"/>
      <c r="X448" s="19" t="inlineStr">
        <is>
          <t>Aldair González (validación del responsable de BD)</t>
        </is>
      </c>
      <c r="Y448" s="20" t="n">
        <v>46321</v>
      </c>
      <c r="Z448" s="19" t="inlineStr">
        <is>
          <t>Nivel 3: validada por decisión del responsable de la base de datos. Pregunta registrada para desarrollo: ¿deleted_by guarda el id de auth."user" (id_user) u otro identificador? Ningún servicio escribe la columna; ¿se usa la eliminación lógica de esta tabla?</t>
        </is>
      </c>
      <c r="AA448" s="18">
        <f>IF(OR(V448="Aprobada"),R448,IF(AND(OR(V448="Aprobada con ajuste",V448="Rechazada"),W448&lt;&gt;""),W448,""))</f>
        <v/>
      </c>
    </row>
    <row r="449">
      <c r="A449" s="18" t="inlineStr">
        <is>
          <t>C0448</t>
        </is>
      </c>
      <c r="B449" s="18" t="inlineStr">
        <is>
          <t>Plan de trabajo académico</t>
        </is>
      </c>
      <c r="C449" s="18" t="inlineStr">
        <is>
          <t>academic_work_plan</t>
        </is>
      </c>
      <c r="D449" s="18" t="inlineStr">
        <is>
          <t>periodo_academico</t>
        </is>
      </c>
      <c r="E449" s="18" t="n">
        <v>2</v>
      </c>
      <c r="F449" s="18" t="inlineStr">
        <is>
          <t>codigo</t>
        </is>
      </c>
      <c r="G449" s="18" t="inlineStr">
        <is>
          <t>character varying(10)</t>
        </is>
      </c>
      <c r="H449" s="18" t="inlineStr">
        <is>
          <t>No</t>
        </is>
      </c>
      <c r="I449" s="18" t="inlineStr">
        <is>
          <t>Única</t>
        </is>
      </c>
      <c r="J449" s="18" t="inlineStr"/>
      <c r="K449" s="18" t="inlineStr"/>
      <c r="L449" s="18" t="inlineStr">
        <is>
          <t>No</t>
        </is>
      </c>
      <c r="M449" s="18" t="inlineStr">
        <is>
          <t>Sí</t>
        </is>
      </c>
      <c r="N449" s="18" t="inlineStr">
        <is>
          <t>Función academic-schedule.reapuntar_grupos_por_equivalencia — academic-schedule.reapuntar_grupos_por_equivalencia: JOIN "academic-schedule".equivalencia_periodo e ON e.codigo_programacion = pp.codigo</t>
        </is>
      </c>
      <c r="O449" s="18" t="inlineStr">
        <is>
          <t>periodo_academico_codigo_key</t>
        </is>
      </c>
      <c r="P449" s="18" t="inlineStr">
        <is>
          <t>Mapeada en academic-work-plan-service/src/pta/entities/periodo-academico.entity.ts:8 (PeriodoAcademicoEntity.codigo)</t>
        </is>
      </c>
      <c r="Q449" s="18" t="inlineStr">
        <is>
          <t>Regla estructural (redacción revisada)</t>
        </is>
      </c>
      <c r="R449" s="18" t="inlineStr">
        <is>
          <t>Código del periodo académico, único en la tabla.</t>
        </is>
      </c>
      <c r="S449" s="18" t="inlineStr">
        <is>
          <t>Alta</t>
        </is>
      </c>
      <c r="T449" s="18" t="inlineStr">
        <is>
          <t>Convención de nombre, redactada con el contexto de la tabla y el código.</t>
        </is>
      </c>
      <c r="U449" s="18" t="inlineStr"/>
      <c r="V449" s="19" t="inlineStr">
        <is>
          <t>Aprobada</t>
        </is>
      </c>
      <c r="W449" s="19" t="inlineStr"/>
      <c r="X449" s="19" t="inlineStr">
        <is>
          <t>Aldair González (aprobación en bloque)</t>
        </is>
      </c>
      <c r="Y449" s="20" t="n">
        <v>46321</v>
      </c>
      <c r="Z449" s="19" t="inlineStr">
        <is>
          <t>Nivel 2: regla estructural con redacción revisada.</t>
        </is>
      </c>
      <c r="AA449" s="18">
        <f>IF(OR(V449="Aprobada"),R449,IF(AND(OR(V449="Aprobada con ajuste",V449="Rechazada"),W449&lt;&gt;""),W449,""))</f>
        <v/>
      </c>
    </row>
    <row r="450">
      <c r="A450" s="18" t="inlineStr">
        <is>
          <t>C0449</t>
        </is>
      </c>
      <c r="B450" s="18" t="inlineStr">
        <is>
          <t>Plan de trabajo académico</t>
        </is>
      </c>
      <c r="C450" s="18" t="inlineStr">
        <is>
          <t>academic_work_plan</t>
        </is>
      </c>
      <c r="D450" s="18" t="inlineStr">
        <is>
          <t>periodo_academico</t>
        </is>
      </c>
      <c r="E450" s="18" t="n">
        <v>2</v>
      </c>
      <c r="F450" s="18" t="inlineStr">
        <is>
          <t>anio</t>
        </is>
      </c>
      <c r="G450" s="18" t="inlineStr">
        <is>
          <t>integer</t>
        </is>
      </c>
      <c r="H450" s="18" t="inlineStr">
        <is>
          <t>No</t>
        </is>
      </c>
      <c r="I450" s="18" t="inlineStr"/>
      <c r="J450" s="18" t="inlineStr"/>
      <c r="K450" s="18" t="inlineStr"/>
      <c r="L450" s="18" t="inlineStr">
        <is>
          <t>No</t>
        </is>
      </c>
      <c r="M450" s="18" t="inlineStr">
        <is>
          <t>No</t>
        </is>
      </c>
      <c r="N450" s="18" t="inlineStr"/>
      <c r="O450" s="18" t="inlineStr">
        <is>
          <t>uq_periodo_anio_sem</t>
        </is>
      </c>
      <c r="P450" s="18" t="inlineStr">
        <is>
          <t>Mapeada en academic-work-plan-service/src/pta/entities/periodo-academico.entity.ts:11 (PeriodoAcademicoEntity.anio)</t>
        </is>
      </c>
      <c r="Q450" s="18" t="inlineStr">
        <is>
          <t>Regla estructural (redacción revisada)</t>
        </is>
      </c>
      <c r="R450" s="18" t="inlineStr">
        <is>
          <t>Año del periodo académico.</t>
        </is>
      </c>
      <c r="S450" s="18" t="inlineStr">
        <is>
          <t>Alta</t>
        </is>
      </c>
      <c r="T450" s="18" t="inlineStr">
        <is>
          <t>Convención de nombre, redactada con el contexto de la tabla y el código.</t>
        </is>
      </c>
      <c r="U450" s="18" t="inlineStr"/>
      <c r="V450" s="19" t="inlineStr">
        <is>
          <t>Aprobada</t>
        </is>
      </c>
      <c r="W450" s="19" t="inlineStr"/>
      <c r="X450" s="19" t="inlineStr">
        <is>
          <t>Aldair González (aprobación en bloque)</t>
        </is>
      </c>
      <c r="Y450" s="20" t="n">
        <v>46321</v>
      </c>
      <c r="Z450" s="19" t="inlineStr">
        <is>
          <t>Nivel 2: regla estructural con redacción revisada.</t>
        </is>
      </c>
      <c r="AA450" s="18">
        <f>IF(OR(V450="Aprobada"),R450,IF(AND(OR(V450="Aprobada con ajuste",V450="Rechazada"),W450&lt;&gt;""),W450,""))</f>
        <v/>
      </c>
    </row>
    <row r="451">
      <c r="A451" s="18" t="inlineStr">
        <is>
          <t>C0450</t>
        </is>
      </c>
      <c r="B451" s="18" t="inlineStr">
        <is>
          <t>Plan de trabajo académico</t>
        </is>
      </c>
      <c r="C451" s="18" t="inlineStr">
        <is>
          <t>academic_work_plan</t>
        </is>
      </c>
      <c r="D451" s="18" t="inlineStr">
        <is>
          <t>periodo_academico</t>
        </is>
      </c>
      <c r="E451" s="18" t="n">
        <v>2</v>
      </c>
      <c r="F451" s="18" t="inlineStr">
        <is>
          <t>semestre</t>
        </is>
      </c>
      <c r="G451" s="18" t="inlineStr">
        <is>
          <t>smallint</t>
        </is>
      </c>
      <c r="H451" s="18" t="inlineStr">
        <is>
          <t>No</t>
        </is>
      </c>
      <c r="I451" s="18" t="inlineStr">
        <is>
          <t>CHECK</t>
        </is>
      </c>
      <c r="J451" s="18" t="inlineStr"/>
      <c r="K451" s="18" t="inlineStr"/>
      <c r="L451" s="18" t="inlineStr">
        <is>
          <t>No</t>
        </is>
      </c>
      <c r="M451" s="18" t="inlineStr">
        <is>
          <t>No</t>
        </is>
      </c>
      <c r="N451" s="18" t="inlineStr"/>
      <c r="O451" s="18" t="inlineStr">
        <is>
          <t>uq_periodo_anio_sem</t>
        </is>
      </c>
      <c r="P451" s="18" t="inlineStr">
        <is>
          <t>Mapeada en academic-work-plan-service/src/pta/entities/periodo-academico.entity.ts:14 (PeriodoAcademicoEntity.semestre)</t>
        </is>
      </c>
      <c r="Q451" s="18" t="inlineStr">
        <is>
          <t>Propuesta semántica</t>
        </is>
      </c>
      <c r="R451" s="18" t="inlineStr">
        <is>
          <t>Número del semestre del año al que corresponde el periodo académico.</t>
        </is>
      </c>
      <c r="S451" s="18" t="inlineStr">
        <is>
          <t>Alta</t>
        </is>
      </c>
      <c r="T451" s="18" t="inlineStr">
        <is>
          <t>nombre + tipo + columnas vecinas + índice único con anio</t>
        </is>
      </c>
      <c r="U451" s="18" t="inlineStr"/>
      <c r="V451" s="19" t="inlineStr">
        <is>
          <t>Aprobada</t>
        </is>
      </c>
      <c r="W451" s="19" t="inlineStr"/>
      <c r="X451" s="19" t="inlineStr">
        <is>
          <t>Aldair González (aprobación en bloque)</t>
        </is>
      </c>
      <c r="Y451" s="20" t="n">
        <v>46321</v>
      </c>
      <c r="Z451" s="19" t="inlineStr">
        <is>
          <t>Nivel 1: propuesta del comentario del desarrollador o de confianza alta, o regla de fecha/responsable/motivo.</t>
        </is>
      </c>
      <c r="AA451" s="18">
        <f>IF(OR(V451="Aprobada"),R451,IF(AND(OR(V451="Aprobada con ajuste",V451="Rechazada"),W451&lt;&gt;""),W451,""))</f>
        <v/>
      </c>
    </row>
    <row r="452">
      <c r="A452" s="18" t="inlineStr">
        <is>
          <t>C0451</t>
        </is>
      </c>
      <c r="B452" s="18" t="inlineStr">
        <is>
          <t>Plan de trabajo académico</t>
        </is>
      </c>
      <c r="C452" s="18" t="inlineStr">
        <is>
          <t>academic_work_plan</t>
        </is>
      </c>
      <c r="D452" s="18" t="inlineStr">
        <is>
          <t>periodo_academico</t>
        </is>
      </c>
      <c r="E452" s="18" t="n">
        <v>2</v>
      </c>
      <c r="F452" s="18" t="inlineStr">
        <is>
          <t>fecha_inicio</t>
        </is>
      </c>
      <c r="G452" s="18" t="inlineStr">
        <is>
          <t>date</t>
        </is>
      </c>
      <c r="H452" s="18" t="inlineStr">
        <is>
          <t>No</t>
        </is>
      </c>
      <c r="I452" s="18" t="inlineStr">
        <is>
          <t>CHECK</t>
        </is>
      </c>
      <c r="J452" s="18" t="inlineStr"/>
      <c r="K452" s="18" t="inlineStr"/>
      <c r="L452" s="18" t="inlineStr">
        <is>
          <t>No</t>
        </is>
      </c>
      <c r="M452" s="18" t="inlineStr">
        <is>
          <t>No</t>
        </is>
      </c>
      <c r="N452" s="18" t="inlineStr"/>
      <c r="O452" s="18" t="inlineStr"/>
      <c r="P452" s="18" t="inlineStr">
        <is>
          <t>Mapeada en academic-work-plan-service/src/pta/entities/periodo-academico.entity.ts:17 (PeriodoAcademicoEntity.fechaInicio)</t>
        </is>
      </c>
      <c r="Q452" s="18" t="inlineStr">
        <is>
          <t>Regla estructural (redacción revisada)</t>
        </is>
      </c>
      <c r="R452" s="18" t="inlineStr">
        <is>
          <t>Fecha de inicio del periodo académico.</t>
        </is>
      </c>
      <c r="S452" s="18" t="inlineStr">
        <is>
          <t>Alta</t>
        </is>
      </c>
      <c r="T452" s="18" t="inlineStr">
        <is>
          <t>Convención de nombre, redactada con el contexto de la tabla y el código.</t>
        </is>
      </c>
      <c r="U452" s="18" t="inlineStr"/>
      <c r="V452" s="19" t="inlineStr">
        <is>
          <t>Aprobada</t>
        </is>
      </c>
      <c r="W452" s="19" t="inlineStr"/>
      <c r="X452" s="19" t="inlineStr">
        <is>
          <t>Aldair González (aprobación en bloque)</t>
        </is>
      </c>
      <c r="Y452" s="20" t="n">
        <v>46321</v>
      </c>
      <c r="Z452" s="19" t="inlineStr">
        <is>
          <t>Nivel 2: regla estructural con redacción revisada.</t>
        </is>
      </c>
      <c r="AA452" s="18">
        <f>IF(OR(V452="Aprobada"),R452,IF(AND(OR(V452="Aprobada con ajuste",V452="Rechazada"),W452&lt;&gt;""),W452,""))</f>
        <v/>
      </c>
    </row>
    <row r="453">
      <c r="A453" s="18" t="inlineStr">
        <is>
          <t>C0452</t>
        </is>
      </c>
      <c r="B453" s="18" t="inlineStr">
        <is>
          <t>Plan de trabajo académico</t>
        </is>
      </c>
      <c r="C453" s="18" t="inlineStr">
        <is>
          <t>academic_work_plan</t>
        </is>
      </c>
      <c r="D453" s="18" t="inlineStr">
        <is>
          <t>periodo_academico</t>
        </is>
      </c>
      <c r="E453" s="18" t="n">
        <v>2</v>
      </c>
      <c r="F453" s="18" t="inlineStr">
        <is>
          <t>fecha_fin</t>
        </is>
      </c>
      <c r="G453" s="18" t="inlineStr">
        <is>
          <t>date</t>
        </is>
      </c>
      <c r="H453" s="18" t="inlineStr">
        <is>
          <t>No</t>
        </is>
      </c>
      <c r="I453" s="18" t="inlineStr">
        <is>
          <t>CHECK</t>
        </is>
      </c>
      <c r="J453" s="18" t="inlineStr"/>
      <c r="K453" s="18" t="inlineStr"/>
      <c r="L453" s="18" t="inlineStr">
        <is>
          <t>No</t>
        </is>
      </c>
      <c r="M453" s="18" t="inlineStr">
        <is>
          <t>No</t>
        </is>
      </c>
      <c r="N453" s="18" t="inlineStr"/>
      <c r="O453" s="18" t="inlineStr"/>
      <c r="P453" s="18" t="inlineStr">
        <is>
          <t>Mapeada en academic-work-plan-service/src/pta/entities/periodo-academico.entity.ts:20 (PeriodoAcademicoEntity.fechaFin)</t>
        </is>
      </c>
      <c r="Q453" s="18" t="inlineStr">
        <is>
          <t>Regla estructural (redacción revisada)</t>
        </is>
      </c>
      <c r="R453" s="18" t="inlineStr">
        <is>
          <t>Fecha de finalización del periodo académico.</t>
        </is>
      </c>
      <c r="S453" s="18" t="inlineStr">
        <is>
          <t>Alta</t>
        </is>
      </c>
      <c r="T453" s="18" t="inlineStr">
        <is>
          <t>Convención de nombre, redactada con el contexto de la tabla y el código.</t>
        </is>
      </c>
      <c r="U453" s="18" t="inlineStr"/>
      <c r="V453" s="19" t="inlineStr">
        <is>
          <t>Aprobada</t>
        </is>
      </c>
      <c r="W453" s="19" t="inlineStr"/>
      <c r="X453" s="19" t="inlineStr">
        <is>
          <t>Aldair González (aprobación en bloque)</t>
        </is>
      </c>
      <c r="Y453" s="20" t="n">
        <v>46321</v>
      </c>
      <c r="Z453" s="19" t="inlineStr">
        <is>
          <t>Nivel 2: regla estructural con redacción revisada.</t>
        </is>
      </c>
      <c r="AA453" s="18">
        <f>IF(OR(V453="Aprobada"),R453,IF(AND(OR(V453="Aprobada con ajuste",V453="Rechazada"),W453&lt;&gt;""),W453,""))</f>
        <v/>
      </c>
    </row>
    <row r="454">
      <c r="A454" s="18" t="inlineStr">
        <is>
          <t>C0453</t>
        </is>
      </c>
      <c r="B454" s="18" t="inlineStr">
        <is>
          <t>Plan de trabajo académico</t>
        </is>
      </c>
      <c r="C454" s="18" t="inlineStr">
        <is>
          <t>academic_work_plan</t>
        </is>
      </c>
      <c r="D454" s="18" t="inlineStr">
        <is>
          <t>periodo_academico</t>
        </is>
      </c>
      <c r="E454" s="18" t="n">
        <v>2</v>
      </c>
      <c r="F454" s="18" t="inlineStr">
        <is>
          <t>estado</t>
        </is>
      </c>
      <c r="G454" s="18" t="inlineStr">
        <is>
          <t>character varying(20)</t>
        </is>
      </c>
      <c r="H454" s="18" t="inlineStr">
        <is>
          <t>No</t>
        </is>
      </c>
      <c r="I454" s="18" t="inlineStr">
        <is>
          <t>CHECK</t>
        </is>
      </c>
      <c r="J454" s="18" t="inlineStr">
        <is>
          <t>cerrado, concertacion, en_curso, planeacion</t>
        </is>
      </c>
      <c r="K454" s="18" t="inlineStr"/>
      <c r="L454" s="18" t="inlineStr">
        <is>
          <t>Sí</t>
        </is>
      </c>
      <c r="M454" s="18" t="inlineStr">
        <is>
          <t>No</t>
        </is>
      </c>
      <c r="N454" s="18" t="inlineStr"/>
      <c r="O454" s="18" t="inlineStr"/>
      <c r="P454" s="18" t="inlineStr">
        <is>
          <t>academic-work-plan-service/src/pta/entities/periodo-academico.entity.ts:23: 'planeacion' | 'concertacion' | 'en_curso' | 'cerrado'</t>
        </is>
      </c>
      <c r="Q454" s="18" t="inlineStr">
        <is>
          <t>Código fuente</t>
        </is>
      </c>
      <c r="R454" s="18" t="inlineStr">
        <is>
          <t>Estado del periodo académico. Valores permitidos: planeacion, concertacion, en_curso, cerrado; por defecto planeacion.</t>
        </is>
      </c>
      <c r="S454" s="18" t="inlineStr">
        <is>
          <t>Alta</t>
        </is>
      </c>
      <c r="T454" s="18" t="inlineStr">
        <is>
          <t>código: academic-work-plan-service/src/pta/entities/periodo-academico.entity.ts:23</t>
        </is>
      </c>
      <c r="U454" s="18" t="inlineStr"/>
      <c r="V454" s="19" t="inlineStr">
        <is>
          <t>Aprobada</t>
        </is>
      </c>
      <c r="W454" s="19" t="inlineStr"/>
      <c r="X454" s="19" t="inlineStr">
        <is>
          <t>Aldair González (aprobación en bloque)</t>
        </is>
      </c>
      <c r="Y454" s="20" t="n">
        <v>46321</v>
      </c>
      <c r="Z454" s="19" t="inlineStr">
        <is>
          <t>Nivel 1: propuesta del comentario del desarrollador o de confianza alta, o regla de fecha/responsable/motivo.</t>
        </is>
      </c>
      <c r="AA454" s="18">
        <f>IF(OR(V454="Aprobada"),R454,IF(AND(OR(V454="Aprobada con ajuste",V454="Rechazada"),W454&lt;&gt;""),W454,""))</f>
        <v/>
      </c>
    </row>
    <row r="455">
      <c r="A455" s="18" t="inlineStr">
        <is>
          <t>C0454</t>
        </is>
      </c>
      <c r="B455" s="18" t="inlineStr">
        <is>
          <t>Plan de trabajo académico</t>
        </is>
      </c>
      <c r="C455" s="18" t="inlineStr">
        <is>
          <t>academic_work_plan</t>
        </is>
      </c>
      <c r="D455" s="18" t="inlineStr">
        <is>
          <t>periodo_cetap</t>
        </is>
      </c>
      <c r="E455" s="18" t="n">
        <v>576</v>
      </c>
      <c r="F455" s="18" t="inlineStr">
        <is>
          <t>activo</t>
        </is>
      </c>
      <c r="G455" s="18" t="inlineStr">
        <is>
          <t>boolean</t>
        </is>
      </c>
      <c r="H455" s="18" t="inlineStr">
        <is>
          <t>Sí</t>
        </is>
      </c>
      <c r="I455" s="18" t="inlineStr"/>
      <c r="J455" s="18" t="inlineStr"/>
      <c r="K455" s="18" t="inlineStr"/>
      <c r="L455" s="18" t="inlineStr">
        <is>
          <t>No</t>
        </is>
      </c>
      <c r="M455" s="18" t="inlineStr">
        <is>
          <t>No</t>
        </is>
      </c>
      <c r="N455" s="18" t="inlineStr"/>
      <c r="O455" s="18" t="inlineStr"/>
      <c r="P455" s="18" t="inlineStr"/>
      <c r="Q455" s="18" t="inlineStr">
        <is>
          <t>Regla estructural (redacción revisada)</t>
        </is>
      </c>
      <c r="R455" s="18" t="inlineStr">
        <is>
          <t>Indica si el CETAP está activo en el periodo académico.</t>
        </is>
      </c>
      <c r="S455" s="18" t="inlineStr">
        <is>
          <t>Alta</t>
        </is>
      </c>
      <c r="T455" s="18" t="inlineStr">
        <is>
          <t>Convención de nombre, redactada con el contexto de la tabla y el código.</t>
        </is>
      </c>
      <c r="U455" s="18" t="inlineStr"/>
      <c r="V455" s="19" t="inlineStr">
        <is>
          <t>Aprobada</t>
        </is>
      </c>
      <c r="W455" s="19" t="inlineStr"/>
      <c r="X455" s="19" t="inlineStr">
        <is>
          <t>Aldair González (aprobación en bloque)</t>
        </is>
      </c>
      <c r="Y455" s="20" t="n">
        <v>46321</v>
      </c>
      <c r="Z455" s="19" t="inlineStr">
        <is>
          <t>Nivel 2: regla estructural con redacción revisada.</t>
        </is>
      </c>
      <c r="AA455" s="18">
        <f>IF(OR(V455="Aprobada"),R455,IF(AND(OR(V455="Aprobada con ajuste",V455="Rechazada"),W455&lt;&gt;""),W455,""))</f>
        <v/>
      </c>
    </row>
    <row r="456">
      <c r="A456" s="18" t="inlineStr">
        <is>
          <t>C0455</t>
        </is>
      </c>
      <c r="B456" s="18" t="inlineStr">
        <is>
          <t>Plan de trabajo académico</t>
        </is>
      </c>
      <c r="C456" s="18" t="inlineStr">
        <is>
          <t>academic_work_plan</t>
        </is>
      </c>
      <c r="D456" s="18" t="inlineStr">
        <is>
          <t>Permiso</t>
        </is>
      </c>
      <c r="E456" s="18" t="n">
        <v>58</v>
      </c>
      <c r="F456" s="18" t="inlineStr">
        <is>
          <t>recurso</t>
        </is>
      </c>
      <c r="G456" s="18" t="inlineStr">
        <is>
          <t>text</t>
        </is>
      </c>
      <c r="H456" s="18" t="inlineStr">
        <is>
          <t>No</t>
        </is>
      </c>
      <c r="I456" s="18" t="inlineStr"/>
      <c r="J456" s="18" t="inlineStr"/>
      <c r="K456" s="18" t="inlineStr"/>
      <c r="L456" s="18" t="inlineStr">
        <is>
          <t>Sí</t>
        </is>
      </c>
      <c r="M456" s="18" t="inlineStr">
        <is>
          <t>No</t>
        </is>
      </c>
      <c r="N456" s="18" t="inlineStr"/>
      <c r="O456" s="18" t="inlineStr">
        <is>
          <t>Permiso_recurso_accion_key</t>
        </is>
      </c>
      <c r="P456" s="18" t="inlineStr"/>
      <c r="Q456" s="18" t="inlineStr">
        <is>
          <t>Propuesta semántica</t>
        </is>
      </c>
      <c r="R456" s="18" t="inlineStr">
        <is>
          <t>Recurso del sistema al que aplica el permiso; junto con accion es único.</t>
        </is>
      </c>
      <c r="S456" s="18" t="inlineStr">
        <is>
          <t>Alta</t>
        </is>
      </c>
      <c r="T456" s="18" t="inlineStr">
        <is>
          <t>nombre + tipo + columnas vecinas + índice único (recurso, accion)</t>
        </is>
      </c>
      <c r="U456" s="18" t="inlineStr"/>
      <c r="V456" s="19" t="inlineStr">
        <is>
          <t>Aprobada</t>
        </is>
      </c>
      <c r="W456" s="19" t="inlineStr"/>
      <c r="X456" s="19" t="inlineStr">
        <is>
          <t>Aldair González (aprobación en bloque)</t>
        </is>
      </c>
      <c r="Y456" s="20" t="n">
        <v>46321</v>
      </c>
      <c r="Z456" s="19" t="inlineStr">
        <is>
          <t>Nivel 1: propuesta del comentario del desarrollador o de confianza alta, o regla de fecha/responsable/motivo.</t>
        </is>
      </c>
      <c r="AA456" s="18">
        <f>IF(OR(V456="Aprobada"),R456,IF(AND(OR(V456="Aprobada con ajuste",V456="Rechazada"),W456&lt;&gt;""),W456,""))</f>
        <v/>
      </c>
    </row>
    <row r="457">
      <c r="A457" s="18" t="inlineStr">
        <is>
          <t>C0456</t>
        </is>
      </c>
      <c r="B457" s="18" t="inlineStr">
        <is>
          <t>Plan de trabajo académico</t>
        </is>
      </c>
      <c r="C457" s="18" t="inlineStr">
        <is>
          <t>academic_work_plan</t>
        </is>
      </c>
      <c r="D457" s="18" t="inlineStr">
        <is>
          <t>Permiso</t>
        </is>
      </c>
      <c r="E457" s="18" t="n">
        <v>58</v>
      </c>
      <c r="F457" s="18" t="inlineStr">
        <is>
          <t>accion</t>
        </is>
      </c>
      <c r="G457" s="18" t="inlineStr">
        <is>
          <t>text</t>
        </is>
      </c>
      <c r="H457" s="18" t="inlineStr">
        <is>
          <t>No</t>
        </is>
      </c>
      <c r="I457" s="18" t="inlineStr"/>
      <c r="J457" s="18" t="inlineStr"/>
      <c r="K457" s="18" t="inlineStr"/>
      <c r="L457" s="18" t="inlineStr">
        <is>
          <t>Sí</t>
        </is>
      </c>
      <c r="M457" s="18" t="inlineStr">
        <is>
          <t>No</t>
        </is>
      </c>
      <c r="N457" s="18" t="inlineStr"/>
      <c r="O457" s="18" t="inlineStr">
        <is>
          <t>Permiso_recurso_accion_key</t>
        </is>
      </c>
      <c r="P457" s="18" t="inlineStr"/>
      <c r="Q457" s="18" t="inlineStr">
        <is>
          <t>Propuesta semántica</t>
        </is>
      </c>
      <c r="R457" s="18" t="inlineStr">
        <is>
          <t>Acción permitida sobre el recurso; junto con recurso es única.</t>
        </is>
      </c>
      <c r="S457" s="18" t="inlineStr">
        <is>
          <t>Alta</t>
        </is>
      </c>
      <c r="T457" s="18" t="inlineStr">
        <is>
          <t>nombre + tipo + columnas vecinas + índice único (recurso, accion)</t>
        </is>
      </c>
      <c r="U457" s="18" t="inlineStr"/>
      <c r="V457" s="19" t="inlineStr">
        <is>
          <t>Aprobada</t>
        </is>
      </c>
      <c r="W457" s="19" t="inlineStr"/>
      <c r="X457" s="19" t="inlineStr">
        <is>
          <t>Aldair González (aprobación en bloque)</t>
        </is>
      </c>
      <c r="Y457" s="20" t="n">
        <v>46321</v>
      </c>
      <c r="Z457" s="19" t="inlineStr">
        <is>
          <t>Nivel 1: propuesta del comentario del desarrollador o de confianza alta, o regla de fecha/responsable/motivo.</t>
        </is>
      </c>
      <c r="AA457" s="18">
        <f>IF(OR(V457="Aprobada"),R457,IF(AND(OR(V457="Aprobada con ajuste",V457="Rechazada"),W457&lt;&gt;""),W457,""))</f>
        <v/>
      </c>
    </row>
    <row r="458">
      <c r="A458" s="18" t="inlineStr">
        <is>
          <t>C0457</t>
        </is>
      </c>
      <c r="B458" s="18" t="inlineStr">
        <is>
          <t>Plan de trabajo académico</t>
        </is>
      </c>
      <c r="C458" s="18" t="inlineStr">
        <is>
          <t>academic_work_plan</t>
        </is>
      </c>
      <c r="D458" s="18" t="inlineStr">
        <is>
          <t>Permiso</t>
        </is>
      </c>
      <c r="E458" s="18" t="n">
        <v>58</v>
      </c>
      <c r="F458" s="18" t="inlineStr">
        <is>
          <t>descripcion</t>
        </is>
      </c>
      <c r="G458" s="18" t="inlineStr">
        <is>
          <t>text</t>
        </is>
      </c>
      <c r="H458" s="18" t="inlineStr">
        <is>
          <t>Sí</t>
        </is>
      </c>
      <c r="I458" s="18" t="inlineStr"/>
      <c r="J458" s="18" t="inlineStr"/>
      <c r="K458" s="18" t="inlineStr"/>
      <c r="L458" s="18" t="inlineStr">
        <is>
          <t>Sí</t>
        </is>
      </c>
      <c r="M458" s="18" t="inlineStr">
        <is>
          <t>No</t>
        </is>
      </c>
      <c r="N458" s="18" t="inlineStr"/>
      <c r="O458" s="18" t="inlineStr"/>
      <c r="P458" s="18" t="inlineStr"/>
      <c r="Q458" s="18" t="inlineStr">
        <is>
          <t>Regla estructural (redacción revisada)</t>
        </is>
      </c>
      <c r="R458" s="18" t="inlineStr">
        <is>
          <t>Descripción del permiso.</t>
        </is>
      </c>
      <c r="S458" s="18" t="inlineStr">
        <is>
          <t>Alta</t>
        </is>
      </c>
      <c r="T458" s="18" t="inlineStr">
        <is>
          <t>Convención de nombre, redactada con el contexto de la tabla y el código.</t>
        </is>
      </c>
      <c r="U458" s="18" t="inlineStr"/>
      <c r="V458" s="19" t="inlineStr">
        <is>
          <t>Aprobada</t>
        </is>
      </c>
      <c r="W458" s="19" t="inlineStr"/>
      <c r="X458" s="19" t="inlineStr">
        <is>
          <t>Aldair González (aprobación en bloque)</t>
        </is>
      </c>
      <c r="Y458" s="20" t="n">
        <v>46321</v>
      </c>
      <c r="Z458" s="19" t="inlineStr">
        <is>
          <t>Nivel 2: regla estructural con redacción revisada.</t>
        </is>
      </c>
      <c r="AA458" s="18">
        <f>IF(OR(V458="Aprobada"),R458,IF(AND(OR(V458="Aprobada con ajuste",V458="Rechazada"),W458&lt;&gt;""),W458,""))</f>
        <v/>
      </c>
    </row>
    <row r="459">
      <c r="A459" s="18" t="inlineStr">
        <is>
          <t>C0458</t>
        </is>
      </c>
      <c r="B459" s="18" t="inlineStr">
        <is>
          <t>Plan de trabajo académico</t>
        </is>
      </c>
      <c r="C459" s="18" t="inlineStr">
        <is>
          <t>academic_work_plan</t>
        </is>
      </c>
      <c r="D459" s="18" t="inlineStr">
        <is>
          <t>Persona</t>
        </is>
      </c>
      <c r="E459" s="18" t="n">
        <v>283</v>
      </c>
      <c r="F459" s="18" t="inlineStr">
        <is>
          <t>identificacion</t>
        </is>
      </c>
      <c r="G459" s="18" t="inlineStr">
        <is>
          <t>text</t>
        </is>
      </c>
      <c r="H459" s="18" t="inlineStr">
        <is>
          <t>Sí</t>
        </is>
      </c>
      <c r="I459" s="18" t="inlineStr"/>
      <c r="J459" s="18" t="inlineStr"/>
      <c r="K459" s="18" t="inlineStr"/>
      <c r="L459" s="18" t="inlineStr">
        <is>
          <t>No</t>
        </is>
      </c>
      <c r="M459" s="18" t="inlineStr">
        <is>
          <t>No</t>
        </is>
      </c>
      <c r="N459" s="18" t="inlineStr"/>
      <c r="O459" s="18" t="inlineStr">
        <is>
          <t>Persona_identificacion_key</t>
        </is>
      </c>
      <c r="P459" s="18" t="inlineStr">
        <is>
          <t>Mapeada en academic-work-plan-service/src/pta/entities/persona.entity.ts:16 (PersonaEntity.identificacion)</t>
        </is>
      </c>
      <c r="Q459" s="18" t="inlineStr">
        <is>
          <t>Regla estructural (redacción revisada)</t>
        </is>
      </c>
      <c r="R459" s="18" t="inlineStr">
        <is>
          <t>Número de identificación de la persona.</t>
        </is>
      </c>
      <c r="S459" s="18" t="inlineStr">
        <is>
          <t>Alta</t>
        </is>
      </c>
      <c r="T459" s="18" t="inlineStr">
        <is>
          <t>Convención de nombre, redactada con el contexto de la tabla y el código.</t>
        </is>
      </c>
      <c r="U459" s="18" t="inlineStr"/>
      <c r="V459" s="19" t="inlineStr">
        <is>
          <t>Aprobada</t>
        </is>
      </c>
      <c r="W459" s="19" t="inlineStr"/>
      <c r="X459" s="19" t="inlineStr">
        <is>
          <t>Aldair González (aprobación en bloque)</t>
        </is>
      </c>
      <c r="Y459" s="20" t="n">
        <v>46321</v>
      </c>
      <c r="Z459" s="19" t="inlineStr">
        <is>
          <t>Nivel 2: regla estructural con redacción revisada.</t>
        </is>
      </c>
      <c r="AA459" s="18">
        <f>IF(OR(V459="Aprobada"),R459,IF(AND(OR(V459="Aprobada con ajuste",V459="Rechazada"),W459&lt;&gt;""),W459,""))</f>
        <v/>
      </c>
    </row>
    <row r="460">
      <c r="A460" s="18" t="inlineStr">
        <is>
          <t>C0459</t>
        </is>
      </c>
      <c r="B460" s="18" t="inlineStr">
        <is>
          <t>Plan de trabajo académico</t>
        </is>
      </c>
      <c r="C460" s="18" t="inlineStr">
        <is>
          <t>academic_work_plan</t>
        </is>
      </c>
      <c r="D460" s="18" t="inlineStr">
        <is>
          <t>Persona</t>
        </is>
      </c>
      <c r="E460" s="18" t="n">
        <v>283</v>
      </c>
      <c r="F460" s="18" t="inlineStr">
        <is>
          <t>tipo_identificacion</t>
        </is>
      </c>
      <c r="G460" s="18" t="inlineStr">
        <is>
          <t>text</t>
        </is>
      </c>
      <c r="H460" s="18" t="inlineStr">
        <is>
          <t>Sí</t>
        </is>
      </c>
      <c r="I460" s="18" t="inlineStr"/>
      <c r="J460" s="18" t="inlineStr"/>
      <c r="K460" s="18" t="inlineStr"/>
      <c r="L460" s="18" t="inlineStr">
        <is>
          <t>No</t>
        </is>
      </c>
      <c r="M460" s="18" t="inlineStr">
        <is>
          <t>No</t>
        </is>
      </c>
      <c r="N460" s="18" t="inlineStr"/>
      <c r="O460" s="18" t="inlineStr"/>
      <c r="P460" s="18" t="inlineStr">
        <is>
          <t>Mapeada en academic-work-plan-service/src/pta/entities/persona.entity.ts:19 (PersonaEntity.tipo_identificacion)</t>
        </is>
      </c>
      <c r="Q460" s="18" t="inlineStr">
        <is>
          <t>Propuesta semántica</t>
        </is>
      </c>
      <c r="R460" s="18" t="inlineStr">
        <is>
          <t>Tipo de documento de identidad de la persona.</t>
        </is>
      </c>
      <c r="S460" s="18" t="inlineStr">
        <is>
          <t>Alta</t>
        </is>
      </c>
      <c r="T460" s="18" t="inlineStr">
        <is>
          <t>nombre + tipo + columnas vecinas</t>
        </is>
      </c>
      <c r="U460" s="18" t="inlineStr"/>
      <c r="V460" s="19" t="inlineStr">
        <is>
          <t>Aprobada</t>
        </is>
      </c>
      <c r="W460" s="19" t="inlineStr"/>
      <c r="X460" s="19" t="inlineStr">
        <is>
          <t>Aldair González (aprobación en bloque)</t>
        </is>
      </c>
      <c r="Y460" s="20" t="n">
        <v>46321</v>
      </c>
      <c r="Z460" s="19" t="inlineStr">
        <is>
          <t>Nivel 1: propuesta del comentario del desarrollador o de confianza alta, o regla de fecha/responsable/motivo.</t>
        </is>
      </c>
      <c r="AA460" s="18">
        <f>IF(OR(V460="Aprobada"),R460,IF(AND(OR(V460="Aprobada con ajuste",V460="Rechazada"),W460&lt;&gt;""),W460,""))</f>
        <v/>
      </c>
    </row>
    <row r="461">
      <c r="A461" s="18" t="inlineStr">
        <is>
          <t>C0460</t>
        </is>
      </c>
      <c r="B461" s="18" t="inlineStr">
        <is>
          <t>Plan de trabajo académico</t>
        </is>
      </c>
      <c r="C461" s="18" t="inlineStr">
        <is>
          <t>academic_work_plan</t>
        </is>
      </c>
      <c r="D461" s="18" t="inlineStr">
        <is>
          <t>Persona</t>
        </is>
      </c>
      <c r="E461" s="18" t="n">
        <v>283</v>
      </c>
      <c r="F461" s="18" t="inlineStr">
        <is>
          <t>telefono</t>
        </is>
      </c>
      <c r="G461" s="18" t="inlineStr">
        <is>
          <t>text</t>
        </is>
      </c>
      <c r="H461" s="18" t="inlineStr">
        <is>
          <t>Sí</t>
        </is>
      </c>
      <c r="I461" s="18" t="inlineStr"/>
      <c r="J461" s="18" t="inlineStr"/>
      <c r="K461" s="18" t="inlineStr"/>
      <c r="L461" s="18" t="inlineStr">
        <is>
          <t>No</t>
        </is>
      </c>
      <c r="M461" s="18" t="inlineStr">
        <is>
          <t>No</t>
        </is>
      </c>
      <c r="N461" s="18" t="inlineStr"/>
      <c r="O461" s="18" t="inlineStr"/>
      <c r="P461" s="18" t="inlineStr">
        <is>
          <t>Mapeada en academic-work-plan-service/src/pta/entities/persona.entity.ts:22 (PersonaEntity.telefono)</t>
        </is>
      </c>
      <c r="Q461" s="18" t="inlineStr">
        <is>
          <t>Regla estructural (redacción revisada)</t>
        </is>
      </c>
      <c r="R461" s="18" t="inlineStr">
        <is>
          <t>Número de teléfono de la persona.</t>
        </is>
      </c>
      <c r="S461" s="18" t="inlineStr">
        <is>
          <t>Alta</t>
        </is>
      </c>
      <c r="T461" s="18" t="inlineStr">
        <is>
          <t>Convención de nombre, redactada con el contexto de la tabla y el código.</t>
        </is>
      </c>
      <c r="U461" s="18" t="inlineStr"/>
      <c r="V461" s="19" t="inlineStr">
        <is>
          <t>Aprobada</t>
        </is>
      </c>
      <c r="W461" s="19" t="inlineStr"/>
      <c r="X461" s="19" t="inlineStr">
        <is>
          <t>Aldair González (aprobación en bloque)</t>
        </is>
      </c>
      <c r="Y461" s="20" t="n">
        <v>46321</v>
      </c>
      <c r="Z461" s="19" t="inlineStr">
        <is>
          <t>Nivel 2: regla estructural con redacción revisada.</t>
        </is>
      </c>
      <c r="AA461" s="18">
        <f>IF(OR(V461="Aprobada"),R461,IF(AND(OR(V461="Aprobada con ajuste",V461="Rechazada"),W461&lt;&gt;""),W461,""))</f>
        <v/>
      </c>
    </row>
    <row r="462">
      <c r="A462" s="18" t="inlineStr">
        <is>
          <t>C0461</t>
        </is>
      </c>
      <c r="B462" s="18" t="inlineStr">
        <is>
          <t>Plan de trabajo académico</t>
        </is>
      </c>
      <c r="C462" s="18" t="inlineStr">
        <is>
          <t>academic_work_plan</t>
        </is>
      </c>
      <c r="D462" s="18" t="inlineStr">
        <is>
          <t>Persona</t>
        </is>
      </c>
      <c r="E462" s="18" t="n">
        <v>283</v>
      </c>
      <c r="F462" s="18" t="inlineStr">
        <is>
          <t>direccion</t>
        </is>
      </c>
      <c r="G462" s="18" t="inlineStr">
        <is>
          <t>text</t>
        </is>
      </c>
      <c r="H462" s="18" t="inlineStr">
        <is>
          <t>Sí</t>
        </is>
      </c>
      <c r="I462" s="18" t="inlineStr"/>
      <c r="J462" s="18" t="inlineStr"/>
      <c r="K462" s="18" t="inlineStr"/>
      <c r="L462" s="18" t="inlineStr">
        <is>
          <t>No</t>
        </is>
      </c>
      <c r="M462" s="18" t="inlineStr">
        <is>
          <t>No</t>
        </is>
      </c>
      <c r="N462" s="18" t="inlineStr"/>
      <c r="O462" s="18" t="inlineStr"/>
      <c r="P462" s="18" t="inlineStr">
        <is>
          <t>Mapeada en academic-work-plan-service/src/pta/entities/persona.entity.ts:25 (PersonaEntity.direccion)</t>
        </is>
      </c>
      <c r="Q462" s="18" t="inlineStr">
        <is>
          <t>Código fuente (verificado)</t>
        </is>
      </c>
      <c r="R462" s="18" t="inlineStr">
        <is>
          <t>Dirección de la persona.</t>
        </is>
      </c>
      <c r="S462" s="18" t="inlineStr">
        <is>
          <t>Media</t>
        </is>
      </c>
      <c r="T462" s="18" t="inlineStr">
        <is>
          <t>academic-work-plan-service/src/pta/entities/persona.entity.ts:25: columna mapeada sin lectura ni escritura en el servicio</t>
        </is>
      </c>
      <c r="U462" s="18" t="inlineStr">
        <is>
          <t>¿Es la dirección de residencia o de correspondencia?</t>
        </is>
      </c>
      <c r="V462" s="19" t="inlineStr">
        <is>
          <t>Aprobada</t>
        </is>
      </c>
      <c r="W462" s="19" t="inlineStr"/>
      <c r="X462" s="19" t="inlineStr">
        <is>
          <t>Aldair González (validación del responsable de BD)</t>
        </is>
      </c>
      <c r="Y462" s="20" t="n">
        <v>46321</v>
      </c>
      <c r="Z462" s="19" t="inlineStr">
        <is>
          <t>Nivel 3: validada por decisión del responsable de la base de datos. Pregunta registrada para desarrollo: ¿Es la dirección de residencia o de correspondencia?</t>
        </is>
      </c>
      <c r="AA462" s="18">
        <f>IF(OR(V462="Aprobada"),R462,IF(AND(OR(V462="Aprobada con ajuste",V462="Rechazada"),W462&lt;&gt;""),W462,""))</f>
        <v/>
      </c>
    </row>
    <row r="463">
      <c r="A463" s="18" t="inlineStr">
        <is>
          <t>C0462</t>
        </is>
      </c>
      <c r="B463" s="18" t="inlineStr">
        <is>
          <t>Plan de trabajo académico</t>
        </is>
      </c>
      <c r="C463" s="18" t="inlineStr">
        <is>
          <t>academic_work_plan</t>
        </is>
      </c>
      <c r="D463" s="18" t="inlineStr">
        <is>
          <t>Persona</t>
        </is>
      </c>
      <c r="E463" s="18" t="n">
        <v>283</v>
      </c>
      <c r="F463" s="18" t="inlineStr">
        <is>
          <t>primer_nombre</t>
        </is>
      </c>
      <c r="G463" s="18" t="inlineStr">
        <is>
          <t>text</t>
        </is>
      </c>
      <c r="H463" s="18" t="inlineStr">
        <is>
          <t>Sí</t>
        </is>
      </c>
      <c r="I463" s="18" t="inlineStr"/>
      <c r="J463" s="18" t="inlineStr"/>
      <c r="K463" s="18" t="inlineStr"/>
      <c r="L463" s="18" t="inlineStr">
        <is>
          <t>No</t>
        </is>
      </c>
      <c r="M463" s="18" t="inlineStr">
        <is>
          <t>No</t>
        </is>
      </c>
      <c r="N463" s="18" t="inlineStr"/>
      <c r="O463" s="18" t="inlineStr"/>
      <c r="P463" s="18" t="inlineStr">
        <is>
          <t>Mapeada en academic-work-plan-service/src/pta/entities/persona.entity.ts:28 (PersonaEntity.primer_nombre)</t>
        </is>
      </c>
      <c r="Q463" s="18" t="inlineStr">
        <is>
          <t>Propuesta semántica</t>
        </is>
      </c>
      <c r="R463" s="18" t="inlineStr">
        <is>
          <t>Primer nombre de la persona.</t>
        </is>
      </c>
      <c r="S463" s="18" t="inlineStr">
        <is>
          <t>Alta</t>
        </is>
      </c>
      <c r="T463" s="18" t="inlineStr">
        <is>
          <t>nombre + tipo + columnas vecinas</t>
        </is>
      </c>
      <c r="U463" s="18" t="inlineStr"/>
      <c r="V463" s="19" t="inlineStr">
        <is>
          <t>Aprobada</t>
        </is>
      </c>
      <c r="W463" s="19" t="inlineStr"/>
      <c r="X463" s="19" t="inlineStr">
        <is>
          <t>Aldair González (aprobación en bloque)</t>
        </is>
      </c>
      <c r="Y463" s="20" t="n">
        <v>46321</v>
      </c>
      <c r="Z463" s="19" t="inlineStr">
        <is>
          <t>Nivel 1: propuesta del comentario del desarrollador o de confianza alta, o regla de fecha/responsable/motivo.</t>
        </is>
      </c>
      <c r="AA463" s="18">
        <f>IF(OR(V463="Aprobada"),R463,IF(AND(OR(V463="Aprobada con ajuste",V463="Rechazada"),W463&lt;&gt;""),W463,""))</f>
        <v/>
      </c>
    </row>
    <row r="464">
      <c r="A464" s="18" t="inlineStr">
        <is>
          <t>C0463</t>
        </is>
      </c>
      <c r="B464" s="18" t="inlineStr">
        <is>
          <t>Plan de trabajo académico</t>
        </is>
      </c>
      <c r="C464" s="18" t="inlineStr">
        <is>
          <t>academic_work_plan</t>
        </is>
      </c>
      <c r="D464" s="18" t="inlineStr">
        <is>
          <t>Persona</t>
        </is>
      </c>
      <c r="E464" s="18" t="n">
        <v>283</v>
      </c>
      <c r="F464" s="18" t="inlineStr">
        <is>
          <t>segundo_nombre</t>
        </is>
      </c>
      <c r="G464" s="18" t="inlineStr">
        <is>
          <t>text</t>
        </is>
      </c>
      <c r="H464" s="18" t="inlineStr">
        <is>
          <t>Sí</t>
        </is>
      </c>
      <c r="I464" s="18" t="inlineStr"/>
      <c r="J464" s="18" t="inlineStr"/>
      <c r="K464" s="18" t="inlineStr"/>
      <c r="L464" s="18" t="inlineStr">
        <is>
          <t>No</t>
        </is>
      </c>
      <c r="M464" s="18" t="inlineStr">
        <is>
          <t>No</t>
        </is>
      </c>
      <c r="N464" s="18" t="inlineStr"/>
      <c r="O464" s="18" t="inlineStr"/>
      <c r="P464" s="18" t="inlineStr">
        <is>
          <t>Mapeada en academic-work-plan-service/src/pta/entities/persona.entity.ts:31 (PersonaEntity.segundo_nombre)</t>
        </is>
      </c>
      <c r="Q464" s="18" t="inlineStr">
        <is>
          <t>Propuesta semántica</t>
        </is>
      </c>
      <c r="R464" s="18" t="inlineStr">
        <is>
          <t>Segundo nombre de la persona.</t>
        </is>
      </c>
      <c r="S464" s="18" t="inlineStr">
        <is>
          <t>Alta</t>
        </is>
      </c>
      <c r="T464" s="18" t="inlineStr">
        <is>
          <t>nombre + tipo + columnas vecinas</t>
        </is>
      </c>
      <c r="U464" s="18" t="inlineStr"/>
      <c r="V464" s="19" t="inlineStr">
        <is>
          <t>Aprobada</t>
        </is>
      </c>
      <c r="W464" s="19" t="inlineStr"/>
      <c r="X464" s="19" t="inlineStr">
        <is>
          <t>Aldair González (aprobación en bloque)</t>
        </is>
      </c>
      <c r="Y464" s="20" t="n">
        <v>46321</v>
      </c>
      <c r="Z464" s="19" t="inlineStr">
        <is>
          <t>Nivel 1: propuesta del comentario del desarrollador o de confianza alta, o regla de fecha/responsable/motivo.</t>
        </is>
      </c>
      <c r="AA464" s="18">
        <f>IF(OR(V464="Aprobada"),R464,IF(AND(OR(V464="Aprobada con ajuste",V464="Rechazada"),W464&lt;&gt;""),W464,""))</f>
        <v/>
      </c>
    </row>
    <row r="465">
      <c r="A465" s="18" t="inlineStr">
        <is>
          <t>C0464</t>
        </is>
      </c>
      <c r="B465" s="18" t="inlineStr">
        <is>
          <t>Plan de trabajo académico</t>
        </is>
      </c>
      <c r="C465" s="18" t="inlineStr">
        <is>
          <t>academic_work_plan</t>
        </is>
      </c>
      <c r="D465" s="18" t="inlineStr">
        <is>
          <t>Persona</t>
        </is>
      </c>
      <c r="E465" s="18" t="n">
        <v>283</v>
      </c>
      <c r="F465" s="18" t="inlineStr">
        <is>
          <t>primer_apellido</t>
        </is>
      </c>
      <c r="G465" s="18" t="inlineStr">
        <is>
          <t>text</t>
        </is>
      </c>
      <c r="H465" s="18" t="inlineStr">
        <is>
          <t>Sí</t>
        </is>
      </c>
      <c r="I465" s="18" t="inlineStr"/>
      <c r="J465" s="18" t="inlineStr"/>
      <c r="K465" s="18" t="inlineStr"/>
      <c r="L465" s="18" t="inlineStr">
        <is>
          <t>No</t>
        </is>
      </c>
      <c r="M465" s="18" t="inlineStr">
        <is>
          <t>No</t>
        </is>
      </c>
      <c r="N465" s="18" t="inlineStr"/>
      <c r="O465" s="18" t="inlineStr"/>
      <c r="P465" s="18" t="inlineStr">
        <is>
          <t>Mapeada en academic-work-plan-service/src/pta/entities/persona.entity.ts:34 (PersonaEntity.primer_apellido)</t>
        </is>
      </c>
      <c r="Q465" s="18" t="inlineStr">
        <is>
          <t>Propuesta semántica</t>
        </is>
      </c>
      <c r="R465" s="18" t="inlineStr">
        <is>
          <t>Primer apellido de la persona.</t>
        </is>
      </c>
      <c r="S465" s="18" t="inlineStr">
        <is>
          <t>Alta</t>
        </is>
      </c>
      <c r="T465" s="18" t="inlineStr">
        <is>
          <t>nombre + tipo + columnas vecinas</t>
        </is>
      </c>
      <c r="U465" s="18" t="inlineStr"/>
      <c r="V465" s="19" t="inlineStr">
        <is>
          <t>Aprobada</t>
        </is>
      </c>
      <c r="W465" s="19" t="inlineStr"/>
      <c r="X465" s="19" t="inlineStr">
        <is>
          <t>Aldair González (aprobación en bloque)</t>
        </is>
      </c>
      <c r="Y465" s="20" t="n">
        <v>46321</v>
      </c>
      <c r="Z465" s="19" t="inlineStr">
        <is>
          <t>Nivel 1: propuesta del comentario del desarrollador o de confianza alta, o regla de fecha/responsable/motivo.</t>
        </is>
      </c>
      <c r="AA465" s="18">
        <f>IF(OR(V465="Aprobada"),R465,IF(AND(OR(V465="Aprobada con ajuste",V465="Rechazada"),W465&lt;&gt;""),W465,""))</f>
        <v/>
      </c>
    </row>
    <row r="466">
      <c r="A466" s="18" t="inlineStr">
        <is>
          <t>C0465</t>
        </is>
      </c>
      <c r="B466" s="18" t="inlineStr">
        <is>
          <t>Plan de trabajo académico</t>
        </is>
      </c>
      <c r="C466" s="18" t="inlineStr">
        <is>
          <t>academic_work_plan</t>
        </is>
      </c>
      <c r="D466" s="18" t="inlineStr">
        <is>
          <t>Persona</t>
        </is>
      </c>
      <c r="E466" s="18" t="n">
        <v>283</v>
      </c>
      <c r="F466" s="18" t="inlineStr">
        <is>
          <t>segundo_apellido</t>
        </is>
      </c>
      <c r="G466" s="18" t="inlineStr">
        <is>
          <t>text</t>
        </is>
      </c>
      <c r="H466" s="18" t="inlineStr">
        <is>
          <t>Sí</t>
        </is>
      </c>
      <c r="I466" s="18" t="inlineStr"/>
      <c r="J466" s="18" t="inlineStr"/>
      <c r="K466" s="18" t="inlineStr"/>
      <c r="L466" s="18" t="inlineStr">
        <is>
          <t>No</t>
        </is>
      </c>
      <c r="M466" s="18" t="inlineStr">
        <is>
          <t>No</t>
        </is>
      </c>
      <c r="N466" s="18" t="inlineStr"/>
      <c r="O466" s="18" t="inlineStr"/>
      <c r="P466" s="18" t="inlineStr">
        <is>
          <t>Mapeada en academic-work-plan-service/src/pta/entities/persona.entity.ts:37 (PersonaEntity.segundo_apellido)</t>
        </is>
      </c>
      <c r="Q466" s="18" t="inlineStr">
        <is>
          <t>Propuesta semántica</t>
        </is>
      </c>
      <c r="R466" s="18" t="inlineStr">
        <is>
          <t>Segundo apellido de la persona.</t>
        </is>
      </c>
      <c r="S466" s="18" t="inlineStr">
        <is>
          <t>Alta</t>
        </is>
      </c>
      <c r="T466" s="18" t="inlineStr">
        <is>
          <t>nombre + tipo + columnas vecinas</t>
        </is>
      </c>
      <c r="U466" s="18" t="inlineStr"/>
      <c r="V466" s="19" t="inlineStr">
        <is>
          <t>Aprobada</t>
        </is>
      </c>
      <c r="W466" s="19" t="inlineStr"/>
      <c r="X466" s="19" t="inlineStr">
        <is>
          <t>Aldair González (aprobación en bloque)</t>
        </is>
      </c>
      <c r="Y466" s="20" t="n">
        <v>46321</v>
      </c>
      <c r="Z466" s="19" t="inlineStr">
        <is>
          <t>Nivel 1: propuesta del comentario del desarrollador o de confianza alta, o regla de fecha/responsable/motivo.</t>
        </is>
      </c>
      <c r="AA466" s="18">
        <f>IF(OR(V466="Aprobada"),R466,IF(AND(OR(V466="Aprobada con ajuste",V466="Rechazada"),W466&lt;&gt;""),W466,""))</f>
        <v/>
      </c>
    </row>
    <row r="467">
      <c r="A467" s="18" t="inlineStr">
        <is>
          <t>C0466</t>
        </is>
      </c>
      <c r="B467" s="18" t="inlineStr">
        <is>
          <t>Plan de trabajo académico</t>
        </is>
      </c>
      <c r="C467" s="18" t="inlineStr">
        <is>
          <t>academic_work_plan</t>
        </is>
      </c>
      <c r="D467" s="18" t="inlineStr">
        <is>
          <t>Persona</t>
        </is>
      </c>
      <c r="E467" s="18" t="n">
        <v>283</v>
      </c>
      <c r="F467" s="18" t="inlineStr">
        <is>
          <t>genero</t>
        </is>
      </c>
      <c r="G467" s="18" t="inlineStr">
        <is>
          <t>text</t>
        </is>
      </c>
      <c r="H467" s="18" t="inlineStr">
        <is>
          <t>Sí</t>
        </is>
      </c>
      <c r="I467" s="18" t="inlineStr"/>
      <c r="J467" s="18" t="inlineStr"/>
      <c r="K467" s="18" t="inlineStr"/>
      <c r="L467" s="18" t="inlineStr">
        <is>
          <t>No</t>
        </is>
      </c>
      <c r="M467" s="18" t="inlineStr">
        <is>
          <t>No</t>
        </is>
      </c>
      <c r="N467" s="18" t="inlineStr"/>
      <c r="O467" s="18" t="inlineStr"/>
      <c r="P467" s="18" t="inlineStr">
        <is>
          <t>Mapeada en academic-work-plan-service/src/pta/entities/persona.entity.ts:40 (PersonaEntity.genero)</t>
        </is>
      </c>
      <c r="Q467" s="18" t="inlineStr">
        <is>
          <t>Código fuente (verificado)</t>
        </is>
      </c>
      <c r="R467" s="18" t="inlineStr">
        <is>
          <t>Género de la persona.</t>
        </is>
      </c>
      <c r="S467" s="18" t="inlineStr">
        <is>
          <t>Media</t>
        </is>
      </c>
      <c r="T467" s="18" t="inlineStr">
        <is>
          <t>academic-work-plan-service/src/pta/banco-docentes/banco-docentes.service.ts:783: solo se lee; se interpreta por la inicial (M, F u otro) para el sexo biológico</t>
        </is>
      </c>
      <c r="U467" s="18" t="inlineStr">
        <is>
          <t>¿Qué valores toma genero en esta tabla?</t>
        </is>
      </c>
      <c r="V467" s="19" t="inlineStr">
        <is>
          <t>Aprobada</t>
        </is>
      </c>
      <c r="W467" s="19" t="inlineStr"/>
      <c r="X467" s="19" t="inlineStr">
        <is>
          <t>Aldair González (validación del responsable de BD)</t>
        </is>
      </c>
      <c r="Y467" s="20" t="n">
        <v>46321</v>
      </c>
      <c r="Z467" s="19" t="inlineStr">
        <is>
          <t>Nivel 3: validada por decisión del responsable de la base de datos. Pregunta registrada para desarrollo: ¿Qué valores toma genero en esta tabla?</t>
        </is>
      </c>
      <c r="AA467" s="18">
        <f>IF(OR(V467="Aprobada"),R467,IF(AND(OR(V467="Aprobada con ajuste",V467="Rechazada"),W467&lt;&gt;""),W467,""))</f>
        <v/>
      </c>
    </row>
    <row r="468">
      <c r="A468" s="18" t="inlineStr">
        <is>
          <t>C0467</t>
        </is>
      </c>
      <c r="B468" s="18" t="inlineStr">
        <is>
          <t>Plan de trabajo académico</t>
        </is>
      </c>
      <c r="C468" s="18" t="inlineStr">
        <is>
          <t>academic_work_plan</t>
        </is>
      </c>
      <c r="D468" s="18" t="inlineStr">
        <is>
          <t>Persona</t>
        </is>
      </c>
      <c r="E468" s="18" t="n">
        <v>283</v>
      </c>
      <c r="F468" s="18" t="inlineStr">
        <is>
          <t>fecha_nacimiento</t>
        </is>
      </c>
      <c r="G468" s="18" t="inlineStr">
        <is>
          <t>timestamp(3) without time zone</t>
        </is>
      </c>
      <c r="H468" s="18" t="inlineStr">
        <is>
          <t>Sí</t>
        </is>
      </c>
      <c r="I468" s="18" t="inlineStr"/>
      <c r="J468" s="18" t="inlineStr"/>
      <c r="K468" s="18" t="inlineStr"/>
      <c r="L468" s="18" t="inlineStr">
        <is>
          <t>No</t>
        </is>
      </c>
      <c r="M468" s="18" t="inlineStr">
        <is>
          <t>No</t>
        </is>
      </c>
      <c r="N468" s="18" t="inlineStr"/>
      <c r="O468" s="18" t="inlineStr"/>
      <c r="P468" s="18" t="inlineStr">
        <is>
          <t>Mapeada en academic-work-plan-service/src/pta/entities/persona.entity.ts:43 (PersonaEntity.fecha_nacimiento)</t>
        </is>
      </c>
      <c r="Q468" s="18" t="inlineStr">
        <is>
          <t>Regla estructural (redacción revisada)</t>
        </is>
      </c>
      <c r="R468" s="18" t="inlineStr">
        <is>
          <t>Fecha de nacimiento de la persona.</t>
        </is>
      </c>
      <c r="S468" s="18" t="inlineStr">
        <is>
          <t>Alta</t>
        </is>
      </c>
      <c r="T468" s="18" t="inlineStr">
        <is>
          <t>Convención de nombre, redactada con el contexto de la tabla y el código.</t>
        </is>
      </c>
      <c r="U468" s="18" t="inlineStr"/>
      <c r="V468" s="19" t="inlineStr">
        <is>
          <t>Aprobada</t>
        </is>
      </c>
      <c r="W468" s="19" t="inlineStr"/>
      <c r="X468" s="19" t="inlineStr">
        <is>
          <t>Aldair González (aprobación en bloque)</t>
        </is>
      </c>
      <c r="Y468" s="20" t="n">
        <v>46321</v>
      </c>
      <c r="Z468" s="19" t="inlineStr">
        <is>
          <t>Nivel 2: regla estructural con redacción revisada.</t>
        </is>
      </c>
      <c r="AA468" s="18">
        <f>IF(OR(V468="Aprobada"),R468,IF(AND(OR(V468="Aprobada con ajuste",V468="Rechazada"),W468&lt;&gt;""),W468,""))</f>
        <v/>
      </c>
    </row>
    <row r="469">
      <c r="A469" s="18" t="inlineStr">
        <is>
          <t>C0468</t>
        </is>
      </c>
      <c r="B469" s="18" t="inlineStr">
        <is>
          <t>Plan de trabajo académico</t>
        </is>
      </c>
      <c r="C469" s="18" t="inlineStr">
        <is>
          <t>academic_work_plan</t>
        </is>
      </c>
      <c r="D469" s="18" t="inlineStr">
        <is>
          <t>Persona</t>
        </is>
      </c>
      <c r="E469" s="18" t="n">
        <v>283</v>
      </c>
      <c r="F469" s="18" t="inlineStr">
        <is>
          <t>extension_telefonica</t>
        </is>
      </c>
      <c r="G469" s="18" t="inlineStr">
        <is>
          <t>text</t>
        </is>
      </c>
      <c r="H469" s="18" t="inlineStr">
        <is>
          <t>Sí</t>
        </is>
      </c>
      <c r="I469" s="18" t="inlineStr"/>
      <c r="J469" s="18" t="inlineStr"/>
      <c r="K469" s="18" t="inlineStr"/>
      <c r="L469" s="18" t="inlineStr">
        <is>
          <t>No</t>
        </is>
      </c>
      <c r="M469" s="18" t="inlineStr">
        <is>
          <t>No</t>
        </is>
      </c>
      <c r="N469" s="18" t="inlineStr"/>
      <c r="O469" s="18" t="inlineStr"/>
      <c r="P469" s="18" t="inlineStr">
        <is>
          <t>Mapeada en academic-work-plan-service/src/pta/entities/persona.entity.ts:46 (PersonaEntity.extension_telefonica)</t>
        </is>
      </c>
      <c r="Q469" s="18" t="inlineStr">
        <is>
          <t>Propuesta semántica</t>
        </is>
      </c>
      <c r="R469" s="18" t="inlineStr">
        <is>
          <t>Extensión telefónica institucional de la persona.</t>
        </is>
      </c>
      <c r="S469" s="18" t="inlineStr">
        <is>
          <t>Alta</t>
        </is>
      </c>
      <c r="T469" s="18" t="inlineStr">
        <is>
          <t>nombre + tipo + columnas vecinas</t>
        </is>
      </c>
      <c r="U469" s="18" t="inlineStr"/>
      <c r="V469" s="19" t="inlineStr">
        <is>
          <t>Aprobada</t>
        </is>
      </c>
      <c r="W469" s="19" t="inlineStr"/>
      <c r="X469" s="19" t="inlineStr">
        <is>
          <t>Aldair González (aprobación en bloque)</t>
        </is>
      </c>
      <c r="Y469" s="20" t="n">
        <v>46321</v>
      </c>
      <c r="Z469" s="19" t="inlineStr">
        <is>
          <t>Nivel 1: propuesta del comentario del desarrollador o de confianza alta, o regla de fecha/responsable/motivo.</t>
        </is>
      </c>
      <c r="AA469" s="18">
        <f>IF(OR(V469="Aprobada"),R469,IF(AND(OR(V469="Aprobada con ajuste",V469="Rechazada"),W469&lt;&gt;""),W469,""))</f>
        <v/>
      </c>
    </row>
    <row r="470">
      <c r="A470" s="18" t="inlineStr">
        <is>
          <t>C0469</t>
        </is>
      </c>
      <c r="B470" s="18" t="inlineStr">
        <is>
          <t>Plan de trabajo académico</t>
        </is>
      </c>
      <c r="C470" s="18" t="inlineStr">
        <is>
          <t>academic_work_plan</t>
        </is>
      </c>
      <c r="D470" s="18" t="inlineStr">
        <is>
          <t>Persona</t>
        </is>
      </c>
      <c r="E470" s="18" t="n">
        <v>283</v>
      </c>
      <c r="F470" s="18" t="inlineStr">
        <is>
          <t>correo_alternativo</t>
        </is>
      </c>
      <c r="G470" s="18" t="inlineStr">
        <is>
          <t>text</t>
        </is>
      </c>
      <c r="H470" s="18" t="inlineStr">
        <is>
          <t>Sí</t>
        </is>
      </c>
      <c r="I470" s="18" t="inlineStr"/>
      <c r="J470" s="18" t="inlineStr"/>
      <c r="K470" s="18" t="inlineStr"/>
      <c r="L470" s="18" t="inlineStr">
        <is>
          <t>No</t>
        </is>
      </c>
      <c r="M470" s="18" t="inlineStr">
        <is>
          <t>No</t>
        </is>
      </c>
      <c r="N470" s="18" t="inlineStr"/>
      <c r="O470" s="18" t="inlineStr"/>
      <c r="P470" s="18" t="inlineStr">
        <is>
          <t>Mapeada en academic-work-plan-service/src/pta/entities/persona.entity.ts:49 (PersonaEntity.correo_alternativo)</t>
        </is>
      </c>
      <c r="Q470" s="18" t="inlineStr">
        <is>
          <t>Propuesta semántica</t>
        </is>
      </c>
      <c r="R470" s="18" t="inlineStr">
        <is>
          <t>Correo electrónico alternativo de la persona.</t>
        </is>
      </c>
      <c r="S470" s="18" t="inlineStr">
        <is>
          <t>Alta</t>
        </is>
      </c>
      <c r="T470" s="18" t="inlineStr">
        <is>
          <t>nombre + tipo + columnas vecinas</t>
        </is>
      </c>
      <c r="U470" s="18" t="inlineStr"/>
      <c r="V470" s="19" t="inlineStr">
        <is>
          <t>Aprobada</t>
        </is>
      </c>
      <c r="W470" s="19" t="inlineStr"/>
      <c r="X470" s="19" t="inlineStr">
        <is>
          <t>Aldair González (aprobación en bloque)</t>
        </is>
      </c>
      <c r="Y470" s="20" t="n">
        <v>46321</v>
      </c>
      <c r="Z470" s="19" t="inlineStr">
        <is>
          <t>Nivel 1: propuesta del comentario del desarrollador o de confianza alta, o regla de fecha/responsable/motivo.</t>
        </is>
      </c>
      <c r="AA470" s="18">
        <f>IF(OR(V470="Aprobada"),R470,IF(AND(OR(V470="Aprobada con ajuste",V470="Rechazada"),W470&lt;&gt;""),W470,""))</f>
        <v/>
      </c>
    </row>
    <row r="471">
      <c r="A471" s="18" t="inlineStr">
        <is>
          <t>C0470</t>
        </is>
      </c>
      <c r="B471" s="18" t="inlineStr">
        <is>
          <t>Plan de trabajo académico</t>
        </is>
      </c>
      <c r="C471" s="18" t="inlineStr">
        <is>
          <t>academic_work_plan</t>
        </is>
      </c>
      <c r="D471" s="18" t="inlineStr">
        <is>
          <t>Persona</t>
        </is>
      </c>
      <c r="E471" s="18" t="n">
        <v>283</v>
      </c>
      <c r="F471" s="18" t="inlineStr">
        <is>
          <t>tipo_usuario</t>
        </is>
      </c>
      <c r="G471" s="18" t="inlineStr">
        <is>
          <t>text</t>
        </is>
      </c>
      <c r="H471" s="18" t="inlineStr">
        <is>
          <t>Sí</t>
        </is>
      </c>
      <c r="I471" s="18" t="inlineStr"/>
      <c r="J471" s="18" t="inlineStr"/>
      <c r="K471" s="18" t="inlineStr"/>
      <c r="L471" s="18" t="inlineStr">
        <is>
          <t>No</t>
        </is>
      </c>
      <c r="M471" s="18" t="inlineStr">
        <is>
          <t>No</t>
        </is>
      </c>
      <c r="N471" s="18" t="inlineStr"/>
      <c r="O471" s="18" t="inlineStr"/>
      <c r="P471" s="18" t="inlineStr">
        <is>
          <t>Mapeada en academic-work-plan-service/src/pta/entities/persona.entity.ts:52 (PersonaEntity.tipo_usuario)</t>
        </is>
      </c>
      <c r="Q471" s="18" t="inlineStr">
        <is>
          <t>Código fuente (verificado)</t>
        </is>
      </c>
      <c r="R471" s="18" t="inlineStr">
        <is>
          <t>Tipo de usuario de la persona en el sistema.</t>
        </is>
      </c>
      <c r="S471" s="18" t="inlineStr">
        <is>
          <t>Media</t>
        </is>
      </c>
      <c r="T471" s="18" t="inlineStr">
        <is>
          <t>academic-work-plan-service/src/pta/entities/persona.entity.ts:52: columna mapeada sin lectura ni escritura en el servicio</t>
        </is>
      </c>
      <c r="U471" s="18" t="inlineStr">
        <is>
          <t>¿Qué valores toma tipo_usuario?</t>
        </is>
      </c>
      <c r="V471" s="19" t="inlineStr">
        <is>
          <t>Aprobada</t>
        </is>
      </c>
      <c r="W471" s="19" t="inlineStr"/>
      <c r="X471" s="19" t="inlineStr">
        <is>
          <t>Aldair González (validación del responsable de BD)</t>
        </is>
      </c>
      <c r="Y471" s="20" t="n">
        <v>46321</v>
      </c>
      <c r="Z471" s="19" t="inlineStr">
        <is>
          <t>Nivel 3: validada por decisión del responsable de la base de datos. Pregunta registrada para desarrollo: ¿Qué valores toma tipo_usuario?</t>
        </is>
      </c>
      <c r="AA471" s="18">
        <f>IF(OR(V471="Aprobada"),R471,IF(AND(OR(V471="Aprobada con ajuste",V471="Rechazada"),W471&lt;&gt;""),W471,""))</f>
        <v/>
      </c>
    </row>
    <row r="472">
      <c r="A472" s="18" t="inlineStr">
        <is>
          <t>C0471</t>
        </is>
      </c>
      <c r="B472" s="18" t="inlineStr">
        <is>
          <t>Plan de trabajo académico</t>
        </is>
      </c>
      <c r="C472" s="18" t="inlineStr">
        <is>
          <t>academic_work_plan</t>
        </is>
      </c>
      <c r="D472" s="18" t="inlineStr">
        <is>
          <t>Persona</t>
        </is>
      </c>
      <c r="E472" s="18" t="n">
        <v>283</v>
      </c>
      <c r="F472" s="18" t="inlineStr">
        <is>
          <t>empresa_contratista</t>
        </is>
      </c>
      <c r="G472" s="18" t="inlineStr">
        <is>
          <t>text</t>
        </is>
      </c>
      <c r="H472" s="18" t="inlineStr">
        <is>
          <t>Sí</t>
        </is>
      </c>
      <c r="I472" s="18" t="inlineStr"/>
      <c r="J472" s="18" t="inlineStr"/>
      <c r="K472" s="18" t="inlineStr"/>
      <c r="L472" s="18" t="inlineStr">
        <is>
          <t>No</t>
        </is>
      </c>
      <c r="M472" s="18" t="inlineStr">
        <is>
          <t>No</t>
        </is>
      </c>
      <c r="N472" s="18" t="inlineStr"/>
      <c r="O472" s="18" t="inlineStr"/>
      <c r="P472" s="18" t="inlineStr"/>
      <c r="Q472" s="18" t="inlineStr">
        <is>
          <t>Código fuente (verificado)</t>
        </is>
      </c>
      <c r="R472" s="18" t="inlineStr">
        <is>
          <t>Empresa contratista a la que pertenece la persona.</t>
        </is>
      </c>
      <c r="S472" s="18" t="inlineStr">
        <is>
          <t>Media</t>
        </is>
      </c>
      <c r="T472" s="18" t="inlineStr">
        <is>
          <t>Sin evidencia utilizable: la columna no se lee ni se escribe en academic-work-plan-service/src; su definición solo aparece en una migración que también carga datos (no se cita)</t>
        </is>
      </c>
      <c r="U472" s="18" t="inlineStr">
        <is>
          <t>¿Se diligencia solo para contratistas externos y sigue en uso?</t>
        </is>
      </c>
      <c r="V472" s="19" t="inlineStr">
        <is>
          <t>Aprobada</t>
        </is>
      </c>
      <c r="W472" s="19" t="inlineStr"/>
      <c r="X472" s="19" t="inlineStr">
        <is>
          <t>Aldair González (validación del responsable de BD)</t>
        </is>
      </c>
      <c r="Y472" s="20" t="n">
        <v>46321</v>
      </c>
      <c r="Z472" s="19" t="inlineStr">
        <is>
          <t>Nivel 3: validada por decisión del responsable de la base de datos. Pregunta registrada para desarrollo: ¿Se diligencia solo para contratistas externos y sigue en uso?</t>
        </is>
      </c>
      <c r="AA472" s="18">
        <f>IF(OR(V472="Aprobada"),R472,IF(AND(OR(V472="Aprobada con ajuste",V472="Rechazada"),W472&lt;&gt;""),W472,""))</f>
        <v/>
      </c>
    </row>
    <row r="473">
      <c r="A473" s="18" t="inlineStr">
        <is>
          <t>C0472</t>
        </is>
      </c>
      <c r="B473" s="18" t="inlineStr">
        <is>
          <t>Plan de trabajo académico</t>
        </is>
      </c>
      <c r="C473" s="18" t="inlineStr">
        <is>
          <t>academic_work_plan</t>
        </is>
      </c>
      <c r="D473" s="18" t="inlineStr">
        <is>
          <t>Persona</t>
        </is>
      </c>
      <c r="E473" s="18" t="n">
        <v>283</v>
      </c>
      <c r="F473" s="18" t="inlineStr">
        <is>
          <t>dependencia_grupo_programa</t>
        </is>
      </c>
      <c r="G473" s="18" t="inlineStr">
        <is>
          <t>text</t>
        </is>
      </c>
      <c r="H473" s="18" t="inlineStr">
        <is>
          <t>Sí</t>
        </is>
      </c>
      <c r="I473" s="18" t="inlineStr"/>
      <c r="J473" s="18" t="inlineStr"/>
      <c r="K473" s="18" t="inlineStr"/>
      <c r="L473" s="18" t="inlineStr">
        <is>
          <t>No</t>
        </is>
      </c>
      <c r="M473" s="18" t="inlineStr">
        <is>
          <t>No</t>
        </is>
      </c>
      <c r="N473" s="18" t="inlineStr"/>
      <c r="O473" s="18" t="inlineStr"/>
      <c r="P473" s="18" t="inlineStr"/>
      <c r="Q473" s="18" t="inlineStr">
        <is>
          <t>Propuesta semántica</t>
        </is>
      </c>
      <c r="R473" s="18" t="inlineStr">
        <is>
          <t>Dependencia, grupo o programa al que está adscrita la persona.</t>
        </is>
      </c>
      <c r="S473" s="18" t="inlineStr">
        <is>
          <t>Alta</t>
        </is>
      </c>
      <c r="T473" s="18" t="inlineStr">
        <is>
          <t>nombre + tipo + columnas vecinas</t>
        </is>
      </c>
      <c r="U473" s="18" t="inlineStr"/>
      <c r="V473" s="19" t="inlineStr">
        <is>
          <t>Aprobada</t>
        </is>
      </c>
      <c r="W473" s="19" t="inlineStr"/>
      <c r="X473" s="19" t="inlineStr">
        <is>
          <t>Aldair González (aprobación en bloque)</t>
        </is>
      </c>
      <c r="Y473" s="20" t="n">
        <v>46321</v>
      </c>
      <c r="Z473" s="19" t="inlineStr">
        <is>
          <t>Nivel 1: propuesta del comentario del desarrollador o de confianza alta, o regla de fecha/responsable/motivo.</t>
        </is>
      </c>
      <c r="AA473" s="18">
        <f>IF(OR(V473="Aprobada"),R473,IF(AND(OR(V473="Aprobada con ajuste",V473="Rechazada"),W473&lt;&gt;""),W473,""))</f>
        <v/>
      </c>
    </row>
    <row r="474">
      <c r="A474" s="18" t="inlineStr">
        <is>
          <t>C0473</t>
        </is>
      </c>
      <c r="B474" s="18" t="inlineStr">
        <is>
          <t>Plan de trabajo académico</t>
        </is>
      </c>
      <c r="C474" s="18" t="inlineStr">
        <is>
          <t>academic_work_plan</t>
        </is>
      </c>
      <c r="D474" s="18" t="inlineStr">
        <is>
          <t>Persona</t>
        </is>
      </c>
      <c r="E474" s="18" t="n">
        <v>283</v>
      </c>
      <c r="F474" s="18" t="inlineStr">
        <is>
          <t>ubicacion_fisica</t>
        </is>
      </c>
      <c r="G474" s="18" t="inlineStr">
        <is>
          <t>text</t>
        </is>
      </c>
      <c r="H474" s="18" t="inlineStr">
        <is>
          <t>Sí</t>
        </is>
      </c>
      <c r="I474" s="18" t="inlineStr"/>
      <c r="J474" s="18" t="inlineStr"/>
      <c r="K474" s="18" t="inlineStr"/>
      <c r="L474" s="18" t="inlineStr">
        <is>
          <t>No</t>
        </is>
      </c>
      <c r="M474" s="18" t="inlineStr">
        <is>
          <t>No</t>
        </is>
      </c>
      <c r="N474" s="18" t="inlineStr"/>
      <c r="O474" s="18" t="inlineStr"/>
      <c r="P474" s="18" t="inlineStr"/>
      <c r="Q474" s="18" t="inlineStr">
        <is>
          <t>Código fuente (verificado)</t>
        </is>
      </c>
      <c r="R474" s="18" t="inlineStr">
        <is>
          <t>Ubicación física de trabajo de la persona.</t>
        </is>
      </c>
      <c r="S474" s="18" t="inlineStr">
        <is>
          <t>Media</t>
        </is>
      </c>
      <c r="T474" s="18" t="inlineStr">
        <is>
          <t>Sin evidencia utilizable: la columna no se lee ni se escribe en academic-work-plan-service/src; su definición solo aparece en una migración que también carga datos (no se cita)</t>
        </is>
      </c>
      <c r="U474" s="18" t="inlineStr">
        <is>
          <t>¿Es la sede, el piso u oficina, y sigue en uso?</t>
        </is>
      </c>
      <c r="V474" s="19" t="inlineStr">
        <is>
          <t>Aprobada</t>
        </is>
      </c>
      <c r="W474" s="19" t="inlineStr"/>
      <c r="X474" s="19" t="inlineStr">
        <is>
          <t>Aldair González (validación del responsable de BD)</t>
        </is>
      </c>
      <c r="Y474" s="20" t="n">
        <v>46321</v>
      </c>
      <c r="Z474" s="19" t="inlineStr">
        <is>
          <t>Nivel 3: validada por decisión del responsable de la base de datos. Pregunta registrada para desarrollo: ¿Es la sede, el piso u oficina, y sigue en uso?</t>
        </is>
      </c>
      <c r="AA474" s="18">
        <f>IF(OR(V474="Aprobada"),R474,IF(AND(OR(V474="Aprobada con ajuste",V474="Rechazada"),W474&lt;&gt;""),W474,""))</f>
        <v/>
      </c>
    </row>
    <row r="475">
      <c r="A475" s="18" t="inlineStr">
        <is>
          <t>C0474</t>
        </is>
      </c>
      <c r="B475" s="18" t="inlineStr">
        <is>
          <t>Plan de trabajo académico</t>
        </is>
      </c>
      <c r="C475" s="18" t="inlineStr">
        <is>
          <t>academic_work_plan</t>
        </is>
      </c>
      <c r="D475" s="18" t="inlineStr">
        <is>
          <t>Persona</t>
        </is>
      </c>
      <c r="E475" s="18" t="n">
        <v>283</v>
      </c>
      <c r="F475" s="18" t="inlineStr">
        <is>
          <t>cargo_semestre</t>
        </is>
      </c>
      <c r="G475" s="18" t="inlineStr">
        <is>
          <t>text</t>
        </is>
      </c>
      <c r="H475" s="18" t="inlineStr">
        <is>
          <t>Sí</t>
        </is>
      </c>
      <c r="I475" s="18" t="inlineStr"/>
      <c r="J475" s="18" t="inlineStr"/>
      <c r="K475" s="18" t="inlineStr"/>
      <c r="L475" s="18" t="inlineStr">
        <is>
          <t>No</t>
        </is>
      </c>
      <c r="M475" s="18" t="inlineStr">
        <is>
          <t>No</t>
        </is>
      </c>
      <c r="N475" s="18" t="inlineStr"/>
      <c r="O475" s="18" t="inlineStr"/>
      <c r="P475" s="18" t="inlineStr"/>
      <c r="Q475" s="18" t="inlineStr">
        <is>
          <t>Código fuente (verificado)</t>
        </is>
      </c>
      <c r="R475" s="18" t="inlineStr">
        <is>
          <t>Cargo de la persona o semestre que cursa, según su tipo de usuario.</t>
        </is>
      </c>
      <c r="S475" s="18" t="inlineStr">
        <is>
          <t>Media</t>
        </is>
      </c>
      <c r="T475" s="18" t="inlineStr">
        <is>
          <t>Sin evidencia utilizable: la columna no se lee ni se escribe en academic-work-plan-service/src; su definición solo aparece en una migración que también carga datos (no se cita)</t>
        </is>
      </c>
      <c r="U475" s="18" t="inlineStr">
        <is>
          <t>¿cargo_semestre guarda el cargo para funcionarios y el semestre para estudiantes?</t>
        </is>
      </c>
      <c r="V475" s="19" t="inlineStr">
        <is>
          <t>Aprobada</t>
        </is>
      </c>
      <c r="W475" s="19" t="inlineStr"/>
      <c r="X475" s="19" t="inlineStr">
        <is>
          <t>Aldair González (validación del responsable de BD)</t>
        </is>
      </c>
      <c r="Y475" s="20" t="n">
        <v>46321</v>
      </c>
      <c r="Z475" s="19" t="inlineStr">
        <is>
          <t>Nivel 3: validada por decisión del responsable de la base de datos. Pregunta registrada para desarrollo: ¿cargo_semestre guarda el cargo para funcionarios y el semestre para estudiantes?</t>
        </is>
      </c>
      <c r="AA475" s="18">
        <f>IF(OR(V475="Aprobada"),R475,IF(AND(OR(V475="Aprobada con ajuste",V475="Rechazada"),W475&lt;&gt;""),W475,""))</f>
        <v/>
      </c>
    </row>
    <row r="476">
      <c r="A476" s="18" t="inlineStr">
        <is>
          <t>C0475</t>
        </is>
      </c>
      <c r="B476" s="18" t="inlineStr">
        <is>
          <t>Plan de trabajo académico</t>
        </is>
      </c>
      <c r="C476" s="18" t="inlineStr">
        <is>
          <t>academic_work_plan</t>
        </is>
      </c>
      <c r="D476" s="18" t="inlineStr">
        <is>
          <t>Persona</t>
        </is>
      </c>
      <c r="E476" s="18" t="n">
        <v>283</v>
      </c>
      <c r="F476" s="18" t="inlineStr">
        <is>
          <t>nombre_jefe_dependencia</t>
        </is>
      </c>
      <c r="G476" s="18" t="inlineStr">
        <is>
          <t>text</t>
        </is>
      </c>
      <c r="H476" s="18" t="inlineStr">
        <is>
          <t>Sí</t>
        </is>
      </c>
      <c r="I476" s="18" t="inlineStr"/>
      <c r="J476" s="18" t="inlineStr"/>
      <c r="K476" s="18" t="inlineStr"/>
      <c r="L476" s="18" t="inlineStr">
        <is>
          <t>No</t>
        </is>
      </c>
      <c r="M476" s="18" t="inlineStr">
        <is>
          <t>No</t>
        </is>
      </c>
      <c r="N476" s="18" t="inlineStr"/>
      <c r="O476" s="18" t="inlineStr"/>
      <c r="P476" s="18" t="inlineStr"/>
      <c r="Q476" s="18" t="inlineStr">
        <is>
          <t>Propuesta semántica</t>
        </is>
      </c>
      <c r="R476" s="18" t="inlineStr">
        <is>
          <t>Nombre del jefe de la dependencia de la persona.</t>
        </is>
      </c>
      <c r="S476" s="18" t="inlineStr">
        <is>
          <t>Alta</t>
        </is>
      </c>
      <c r="T476" s="18" t="inlineStr">
        <is>
          <t>nombre + tipo + columnas vecinas</t>
        </is>
      </c>
      <c r="U476" s="18" t="inlineStr"/>
      <c r="V476" s="19" t="inlineStr">
        <is>
          <t>Aprobada</t>
        </is>
      </c>
      <c r="W476" s="19" t="inlineStr"/>
      <c r="X476" s="19" t="inlineStr">
        <is>
          <t>Aldair González (aprobación en bloque)</t>
        </is>
      </c>
      <c r="Y476" s="20" t="n">
        <v>46321</v>
      </c>
      <c r="Z476" s="19" t="inlineStr">
        <is>
          <t>Nivel 1: propuesta del comentario del desarrollador o de confianza alta, o regla de fecha/responsable/motivo.</t>
        </is>
      </c>
      <c r="AA476" s="18">
        <f>IF(OR(V476="Aprobada"),R476,IF(AND(OR(V476="Aprobada con ajuste",V476="Rechazada"),W476&lt;&gt;""),W476,""))</f>
        <v/>
      </c>
    </row>
    <row r="477">
      <c r="A477" s="18" t="inlineStr">
        <is>
          <t>C0476</t>
        </is>
      </c>
      <c r="B477" s="18" t="inlineStr">
        <is>
          <t>Plan de trabajo académico</t>
        </is>
      </c>
      <c r="C477" s="18" t="inlineStr">
        <is>
          <t>academic_work_plan</t>
        </is>
      </c>
      <c r="D477" s="18" t="inlineStr">
        <is>
          <t>Persona</t>
        </is>
      </c>
      <c r="E477" s="18" t="n">
        <v>283</v>
      </c>
      <c r="F477" s="18" t="inlineStr">
        <is>
          <t>contrato</t>
        </is>
      </c>
      <c r="G477" s="18" t="inlineStr">
        <is>
          <t>text</t>
        </is>
      </c>
      <c r="H477" s="18" t="inlineStr">
        <is>
          <t>Sí</t>
        </is>
      </c>
      <c r="I477" s="18" t="inlineStr"/>
      <c r="J477" s="18" t="inlineStr"/>
      <c r="K477" s="18" t="inlineStr"/>
      <c r="L477" s="18" t="inlineStr">
        <is>
          <t>No</t>
        </is>
      </c>
      <c r="M477" s="18" t="inlineStr">
        <is>
          <t>No</t>
        </is>
      </c>
      <c r="N477" s="18" t="inlineStr"/>
      <c r="O477" s="18" t="inlineStr"/>
      <c r="P477" s="18" t="inlineStr"/>
      <c r="Q477" s="18" t="inlineStr">
        <is>
          <t>Código fuente (verificado)</t>
        </is>
      </c>
      <c r="R477" s="18" t="inlineStr">
        <is>
          <t>Número o identificación del contrato de la persona.</t>
        </is>
      </c>
      <c r="S477" s="18" t="inlineStr">
        <is>
          <t>Media</t>
        </is>
      </c>
      <c r="T477" s="18" t="inlineStr">
        <is>
          <t>Sin evidencia utilizable: la columna no se lee ni se escribe en academic-work-plan-service/src; su definición solo aparece en una migración que también carga datos (no se cita)</t>
        </is>
      </c>
      <c r="U477" s="18" t="inlineStr">
        <is>
          <t>¿contrato guarda el número del contrato o el tipo de contrato?</t>
        </is>
      </c>
      <c r="V477" s="19" t="inlineStr">
        <is>
          <t>Aprobada</t>
        </is>
      </c>
      <c r="W477" s="19" t="inlineStr"/>
      <c r="X477" s="19" t="inlineStr">
        <is>
          <t>Aldair González (validación del responsable de BD)</t>
        </is>
      </c>
      <c r="Y477" s="20" t="n">
        <v>46321</v>
      </c>
      <c r="Z477" s="19" t="inlineStr">
        <is>
          <t>Nivel 3: validada por decisión del responsable de la base de datos. Pregunta registrada para desarrollo: ¿contrato guarda el número del contrato o el tipo de contrato?</t>
        </is>
      </c>
      <c r="AA477" s="18">
        <f>IF(OR(V477="Aprobada"),R477,IF(AND(OR(V477="Aprobada con ajuste",V477="Rechazada"),W477&lt;&gt;""),W477,""))</f>
        <v/>
      </c>
    </row>
    <row r="478">
      <c r="A478" s="18" t="inlineStr">
        <is>
          <t>C0477</t>
        </is>
      </c>
      <c r="B478" s="18" t="inlineStr">
        <is>
          <t>Plan de trabajo académico</t>
        </is>
      </c>
      <c r="C478" s="18" t="inlineStr">
        <is>
          <t>academic_work_plan</t>
        </is>
      </c>
      <c r="D478" s="18" t="inlineStr">
        <is>
          <t>Persona</t>
        </is>
      </c>
      <c r="E478" s="18" t="n">
        <v>283</v>
      </c>
      <c r="F478" s="18" t="inlineStr">
        <is>
          <t>tiempo_contrato_resolucion</t>
        </is>
      </c>
      <c r="G478" s="18" t="inlineStr">
        <is>
          <t>text</t>
        </is>
      </c>
      <c r="H478" s="18" t="inlineStr">
        <is>
          <t>Sí</t>
        </is>
      </c>
      <c r="I478" s="18" t="inlineStr"/>
      <c r="J478" s="18" t="inlineStr"/>
      <c r="K478" s="18" t="inlineStr"/>
      <c r="L478" s="18" t="inlineStr">
        <is>
          <t>No</t>
        </is>
      </c>
      <c r="M478" s="18" t="inlineStr">
        <is>
          <t>No</t>
        </is>
      </c>
      <c r="N478" s="18" t="inlineStr"/>
      <c r="O478" s="18" t="inlineStr"/>
      <c r="P478" s="18" t="inlineStr"/>
      <c r="Q478" s="18" t="inlineStr">
        <is>
          <t>Código fuente (verificado)</t>
        </is>
      </c>
      <c r="R478" s="18" t="inlineStr">
        <is>
          <t>Duración del contrato o resolución de vinculación de la persona.</t>
        </is>
      </c>
      <c r="S478" s="18" t="inlineStr">
        <is>
          <t>Media</t>
        </is>
      </c>
      <c r="T478" s="18" t="inlineStr">
        <is>
          <t>Sin evidencia utilizable: la columna no se lee ni se escribe en academic-work-plan-service/src; su definición solo aparece en una migración que también carga datos (no se cita)</t>
        </is>
      </c>
      <c r="U478" s="18" t="inlineStr">
        <is>
          <t>¿Qué formato tiene el valor (meses, fechas, número de resolución)?</t>
        </is>
      </c>
      <c r="V478" s="19" t="inlineStr">
        <is>
          <t>Aprobada</t>
        </is>
      </c>
      <c r="W478" s="19" t="inlineStr"/>
      <c r="X478" s="19" t="inlineStr">
        <is>
          <t>Aldair González (validación del responsable de BD)</t>
        </is>
      </c>
      <c r="Y478" s="20" t="n">
        <v>46321</v>
      </c>
      <c r="Z478" s="19" t="inlineStr">
        <is>
          <t>Nivel 3: validada por decisión del responsable de la base de datos. Pregunta registrada para desarrollo: ¿Qué formato tiene el valor (meses, fechas, número de resolución)?</t>
        </is>
      </c>
      <c r="AA478" s="18">
        <f>IF(OR(V478="Aprobada"),R478,IF(AND(OR(V478="Aprobada con ajuste",V478="Rechazada"),W478&lt;&gt;""),W478,""))</f>
        <v/>
      </c>
    </row>
    <row r="479">
      <c r="A479" s="18" t="inlineStr">
        <is>
          <t>C0478</t>
        </is>
      </c>
      <c r="B479" s="18" t="inlineStr">
        <is>
          <t>Plan de trabajo académico</t>
        </is>
      </c>
      <c r="C479" s="18" t="inlineStr">
        <is>
          <t>academic_work_plan</t>
        </is>
      </c>
      <c r="D479" s="18" t="inlineStr">
        <is>
          <t>Persona</t>
        </is>
      </c>
      <c r="E479" s="18" t="n">
        <v>283</v>
      </c>
      <c r="F479" s="18" t="inlineStr">
        <is>
          <t>fecha_fin_contrato</t>
        </is>
      </c>
      <c r="G479" s="18" t="inlineStr">
        <is>
          <t>timestamp(3) without time zone</t>
        </is>
      </c>
      <c r="H479" s="18" t="inlineStr">
        <is>
          <t>Sí</t>
        </is>
      </c>
      <c r="I479" s="18" t="inlineStr"/>
      <c r="J479" s="18" t="inlineStr"/>
      <c r="K479" s="18" t="inlineStr"/>
      <c r="L479" s="18" t="inlineStr">
        <is>
          <t>No</t>
        </is>
      </c>
      <c r="M479" s="18" t="inlineStr">
        <is>
          <t>No</t>
        </is>
      </c>
      <c r="N479" s="18" t="inlineStr"/>
      <c r="O479" s="18" t="inlineStr"/>
      <c r="P479" s="18" t="inlineStr">
        <is>
          <t>Mapeada en academic-work-plan-service/src/pta/entities/persona.entity.ts:55 (PersonaEntity.fecha_fin_contrato)</t>
        </is>
      </c>
      <c r="Q479" s="18" t="inlineStr">
        <is>
          <t>Regla estructural (redacción revisada)</t>
        </is>
      </c>
      <c r="R479" s="18" t="inlineStr">
        <is>
          <t>Fecha de finalización del contrato de la persona.</t>
        </is>
      </c>
      <c r="S479" s="18" t="inlineStr">
        <is>
          <t>Alta</t>
        </is>
      </c>
      <c r="T479" s="18" t="inlineStr">
        <is>
          <t>Convención de nombre, redactada con el contexto de la tabla y el código.</t>
        </is>
      </c>
      <c r="U479" s="18" t="inlineStr"/>
      <c r="V479" s="19" t="inlineStr">
        <is>
          <t>Aprobada</t>
        </is>
      </c>
      <c r="W479" s="19" t="inlineStr"/>
      <c r="X479" s="19" t="inlineStr">
        <is>
          <t>Aldair González (aprobación en bloque)</t>
        </is>
      </c>
      <c r="Y479" s="20" t="n">
        <v>46321</v>
      </c>
      <c r="Z479" s="19" t="inlineStr">
        <is>
          <t>Nivel 2: regla estructural con redacción revisada.</t>
        </is>
      </c>
      <c r="AA479" s="18">
        <f>IF(OR(V479="Aprobada"),R479,IF(AND(OR(V479="Aprobada con ajuste",V479="Rechazada"),W479&lt;&gt;""),W479,""))</f>
        <v/>
      </c>
    </row>
    <row r="480">
      <c r="A480" s="18" t="inlineStr">
        <is>
          <t>C0479</t>
        </is>
      </c>
      <c r="B480" s="18" t="inlineStr">
        <is>
          <t>Plan de trabajo académico</t>
        </is>
      </c>
      <c r="C480" s="18" t="inlineStr">
        <is>
          <t>academic_work_plan</t>
        </is>
      </c>
      <c r="D480" s="18" t="inlineStr">
        <is>
          <t>Persona</t>
        </is>
      </c>
      <c r="E480" s="18" t="n">
        <v>283</v>
      </c>
      <c r="F480" s="18" t="inlineStr">
        <is>
          <t>aplicacion</t>
        </is>
      </c>
      <c r="G480" s="18" t="inlineStr">
        <is>
          <t>text</t>
        </is>
      </c>
      <c r="H480" s="18" t="inlineStr">
        <is>
          <t>Sí</t>
        </is>
      </c>
      <c r="I480" s="18" t="inlineStr"/>
      <c r="J480" s="18" t="inlineStr"/>
      <c r="K480" s="18" t="inlineStr"/>
      <c r="L480" s="18" t="inlineStr">
        <is>
          <t>No</t>
        </is>
      </c>
      <c r="M480" s="18" t="inlineStr">
        <is>
          <t>No</t>
        </is>
      </c>
      <c r="N480" s="18" t="inlineStr"/>
      <c r="O480" s="18" t="inlineStr"/>
      <c r="P480" s="18" t="inlineStr"/>
      <c r="Q480" s="18" t="inlineStr">
        <is>
          <t>Código fuente (verificado)</t>
        </is>
      </c>
      <c r="R480" s="18" t="inlineStr">
        <is>
          <t>Aplicación desde la que se registró la persona.</t>
        </is>
      </c>
      <c r="S480" s="18" t="inlineStr">
        <is>
          <t>Media</t>
        </is>
      </c>
      <c r="T480" s="18" t="inlineStr">
        <is>
          <t>Sin evidencia utilizable: la columna no se lee ni se escribe en academic-work-plan-service/src; su definición solo aparece en una migración que también carga datos (no se cita)</t>
        </is>
      </c>
      <c r="U480" s="18" t="inlineStr">
        <is>
          <t>¿Qué representa aplicacion y qué valores toma?</t>
        </is>
      </c>
      <c r="V480" s="19" t="inlineStr">
        <is>
          <t>Aprobada</t>
        </is>
      </c>
      <c r="W480" s="19" t="inlineStr"/>
      <c r="X480" s="19" t="inlineStr">
        <is>
          <t>Aldair González (validación del responsable de BD)</t>
        </is>
      </c>
      <c r="Y480" s="20" t="n">
        <v>46321</v>
      </c>
      <c r="Z480" s="19" t="inlineStr">
        <is>
          <t>Nivel 3: validada por decisión del responsable de la base de datos. Pregunta registrada para desarrollo: ¿Qué representa aplicacion y qué valores toma?</t>
        </is>
      </c>
      <c r="AA480" s="18">
        <f>IF(OR(V480="Aprobada"),R480,IF(AND(OR(V480="Aprobada con ajuste",V480="Rechazada"),W480&lt;&gt;""),W480,""))</f>
        <v/>
      </c>
    </row>
    <row r="481">
      <c r="A481" s="18" t="inlineStr">
        <is>
          <t>C0480</t>
        </is>
      </c>
      <c r="B481" s="18" t="inlineStr">
        <is>
          <t>Plan de trabajo académico</t>
        </is>
      </c>
      <c r="C481" s="18" t="inlineStr">
        <is>
          <t>academic_work_plan</t>
        </is>
      </c>
      <c r="D481" s="18" t="inlineStr">
        <is>
          <t>Persona</t>
        </is>
      </c>
      <c r="E481" s="18" t="n">
        <v>283</v>
      </c>
      <c r="F481" s="18" t="inlineStr">
        <is>
          <t>observaciones</t>
        </is>
      </c>
      <c r="G481" s="18" t="inlineStr">
        <is>
          <t>text</t>
        </is>
      </c>
      <c r="H481" s="18" t="inlineStr">
        <is>
          <t>Sí</t>
        </is>
      </c>
      <c r="I481" s="18" t="inlineStr"/>
      <c r="J481" s="18" t="inlineStr"/>
      <c r="K481" s="18" t="inlineStr"/>
      <c r="L481" s="18" t="inlineStr">
        <is>
          <t>No</t>
        </is>
      </c>
      <c r="M481" s="18" t="inlineStr">
        <is>
          <t>No</t>
        </is>
      </c>
      <c r="N481" s="18" t="inlineStr"/>
      <c r="O481" s="18" t="inlineStr"/>
      <c r="P481" s="18" t="inlineStr"/>
      <c r="Q481" s="18" t="inlineStr">
        <is>
          <t>Regla estructural (redacción revisada)</t>
        </is>
      </c>
      <c r="R481" s="18" t="inlineStr">
        <is>
          <t>Observaciones sobre la persona.</t>
        </is>
      </c>
      <c r="S481" s="18" t="inlineStr">
        <is>
          <t>Alta</t>
        </is>
      </c>
      <c r="T481" s="18" t="inlineStr">
        <is>
          <t>Convención de nombre, redactada con el contexto de la tabla y el código.</t>
        </is>
      </c>
      <c r="U481" s="18" t="inlineStr"/>
      <c r="V481" s="19" t="inlineStr">
        <is>
          <t>Aprobada</t>
        </is>
      </c>
      <c r="W481" s="19" t="inlineStr"/>
      <c r="X481" s="19" t="inlineStr">
        <is>
          <t>Aldair González (aprobación en bloque)</t>
        </is>
      </c>
      <c r="Y481" s="20" t="n">
        <v>46321</v>
      </c>
      <c r="Z481" s="19" t="inlineStr">
        <is>
          <t>Nivel 2: regla estructural con redacción revisada.</t>
        </is>
      </c>
      <c r="AA481" s="18">
        <f>IF(OR(V481="Aprobada"),R481,IF(AND(OR(V481="Aprobada con ajuste",V481="Rechazada"),W481&lt;&gt;""),W481,""))</f>
        <v/>
      </c>
    </row>
    <row r="482">
      <c r="A482" s="18" t="inlineStr">
        <is>
          <t>C0481</t>
        </is>
      </c>
      <c r="B482" s="18" t="inlineStr">
        <is>
          <t>Plan de trabajo académico</t>
        </is>
      </c>
      <c r="C482" s="18" t="inlineStr">
        <is>
          <t>academic_work_plan</t>
        </is>
      </c>
      <c r="D482" s="18" t="inlineStr">
        <is>
          <t>PersonaPrograma</t>
        </is>
      </c>
      <c r="E482" s="18" t="n">
        <v>267</v>
      </c>
      <c r="F482" s="18" t="inlineStr">
        <is>
          <t>programaId</t>
        </is>
      </c>
      <c r="G482" s="18" t="inlineStr">
        <is>
          <t>text</t>
        </is>
      </c>
      <c r="H482" s="18" t="inlineStr">
        <is>
          <t>No</t>
        </is>
      </c>
      <c r="I482" s="18" t="inlineStr"/>
      <c r="J482" s="18" t="inlineStr"/>
      <c r="K482" s="18" t="inlineStr"/>
      <c r="L482" s="18" t="inlineStr">
        <is>
          <t>No</t>
        </is>
      </c>
      <c r="M482" s="18" t="inlineStr">
        <is>
          <t>No</t>
        </is>
      </c>
      <c r="N482" s="18" t="inlineStr"/>
      <c r="O482" s="18" t="inlineStr">
        <is>
          <t>PersonaPrograma_personaId_programaId_rolEnPrograma_key</t>
        </is>
      </c>
      <c r="P482" s="18" t="inlineStr"/>
      <c r="Q482" s="18" t="inlineStr">
        <is>
          <t>Propuesta semántica</t>
        </is>
      </c>
      <c r="R482" s="18" t="inlineStr">
        <is>
          <t>Identificador del programa académico al que está vinculada la persona.</t>
        </is>
      </c>
      <c r="S482" s="18" t="inlineStr">
        <is>
          <t>Alta</t>
        </is>
      </c>
      <c r="T482" s="18" t="inlineStr">
        <is>
          <t>nombre + tipo + columnas vecinas + índice único (personaId, programaId, rolEnPrograma)</t>
        </is>
      </c>
      <c r="U482" s="18" t="inlineStr"/>
      <c r="V482" s="19" t="inlineStr">
        <is>
          <t>Aprobada</t>
        </is>
      </c>
      <c r="W482" s="19" t="inlineStr"/>
      <c r="X482" s="19" t="inlineStr">
        <is>
          <t>Aldair González (aprobación en bloque)</t>
        </is>
      </c>
      <c r="Y482" s="20" t="n">
        <v>46321</v>
      </c>
      <c r="Z482" s="19" t="inlineStr">
        <is>
          <t>Nivel 1: propuesta del comentario del desarrollador o de confianza alta, o regla de fecha/responsable/motivo.</t>
        </is>
      </c>
      <c r="AA482" s="18">
        <f>IF(OR(V482="Aprobada"),R482,IF(AND(OR(V482="Aprobada con ajuste",V482="Rechazada"),W482&lt;&gt;""),W482,""))</f>
        <v/>
      </c>
    </row>
    <row r="483">
      <c r="A483" s="18" t="inlineStr">
        <is>
          <t>C0482</t>
        </is>
      </c>
      <c r="B483" s="18" t="inlineStr">
        <is>
          <t>Plan de trabajo académico</t>
        </is>
      </c>
      <c r="C483" s="18" t="inlineStr">
        <is>
          <t>academic_work_plan</t>
        </is>
      </c>
      <c r="D483" s="18" t="inlineStr">
        <is>
          <t>PersonaPrograma</t>
        </is>
      </c>
      <c r="E483" s="18" t="n">
        <v>267</v>
      </c>
      <c r="F483" s="18" t="inlineStr">
        <is>
          <t>rolEnPrograma</t>
        </is>
      </c>
      <c r="G483" s="18" t="inlineStr">
        <is>
          <t>text</t>
        </is>
      </c>
      <c r="H483" s="18" t="inlineStr">
        <is>
          <t>No</t>
        </is>
      </c>
      <c r="I483" s="18" t="inlineStr"/>
      <c r="J483" s="18" t="inlineStr"/>
      <c r="K483" s="18" t="inlineStr"/>
      <c r="L483" s="18" t="inlineStr">
        <is>
          <t>No</t>
        </is>
      </c>
      <c r="M483" s="18" t="inlineStr">
        <is>
          <t>No</t>
        </is>
      </c>
      <c r="N483" s="18" t="inlineStr"/>
      <c r="O483" s="18" t="inlineStr">
        <is>
          <t>PersonaPrograma_personaId_programaId_rolEnPrograma_key</t>
        </is>
      </c>
      <c r="P483" s="18" t="inlineStr"/>
      <c r="Q483" s="18" t="inlineStr">
        <is>
          <t>Código fuente (verificado)</t>
        </is>
      </c>
      <c r="R483" s="18" t="inlineStr">
        <is>
          <t>Rol de la persona en el programa; por defecto, «Estudiante».</t>
        </is>
      </c>
      <c r="S483" s="18" t="inlineStr">
        <is>
          <t>Media</t>
        </is>
      </c>
      <c r="T483" s="18" t="inlineStr">
        <is>
          <t>Sin evidencia utilizable: la columna no se lee ni se escribe en academic-work-plan-service/src; su definición solo aparece en una migración que también carga datos (no se cita)</t>
        </is>
      </c>
      <c r="U483" s="18" t="inlineStr">
        <is>
          <t>¿Qué otros valores toma rolEnPrograma y qué proceso escribe en PersonaPrograma?</t>
        </is>
      </c>
      <c r="V483" s="19" t="inlineStr">
        <is>
          <t>Aprobada</t>
        </is>
      </c>
      <c r="W483" s="19" t="inlineStr"/>
      <c r="X483" s="19" t="inlineStr">
        <is>
          <t>Aldair González (validación del responsable de BD)</t>
        </is>
      </c>
      <c r="Y483" s="20" t="n">
        <v>46321</v>
      </c>
      <c r="Z483" s="19" t="inlineStr">
        <is>
          <t>Nivel 3: validada por decisión del responsable de la base de datos. Pregunta registrada para desarrollo: ¿Qué otros valores toma rolEnPrograma y qué proceso escribe en PersonaPrograma?</t>
        </is>
      </c>
      <c r="AA483" s="18">
        <f>IF(OR(V483="Aprobada"),R483,IF(AND(OR(V483="Aprobada con ajuste",V483="Rechazada"),W483&lt;&gt;""),W483,""))</f>
        <v/>
      </c>
    </row>
    <row r="484">
      <c r="A484" s="18" t="inlineStr">
        <is>
          <t>C0483</t>
        </is>
      </c>
      <c r="B484" s="18" t="inlineStr">
        <is>
          <t>Plan de trabajo académico</t>
        </is>
      </c>
      <c r="C484" s="18" t="inlineStr">
        <is>
          <t>academic_work_plan</t>
        </is>
      </c>
      <c r="D484" s="18" t="inlineStr">
        <is>
          <t>PersonaPrograma</t>
        </is>
      </c>
      <c r="E484" s="18" t="n">
        <v>267</v>
      </c>
      <c r="F484" s="18" t="inlineStr">
        <is>
          <t>semestreActual</t>
        </is>
      </c>
      <c r="G484" s="18" t="inlineStr">
        <is>
          <t>text</t>
        </is>
      </c>
      <c r="H484" s="18" t="inlineStr">
        <is>
          <t>Sí</t>
        </is>
      </c>
      <c r="I484" s="18" t="inlineStr"/>
      <c r="J484" s="18" t="inlineStr"/>
      <c r="K484" s="18" t="inlineStr"/>
      <c r="L484" s="18" t="inlineStr">
        <is>
          <t>No</t>
        </is>
      </c>
      <c r="M484" s="18" t="inlineStr">
        <is>
          <t>No</t>
        </is>
      </c>
      <c r="N484" s="18" t="inlineStr"/>
      <c r="O484" s="18" t="inlineStr"/>
      <c r="P484" s="18" t="inlineStr"/>
      <c r="Q484" s="18" t="inlineStr">
        <is>
          <t>Propuesta semántica</t>
        </is>
      </c>
      <c r="R484" s="18" t="inlineStr">
        <is>
          <t>Semestre que cursa actualmente la persona en el programa.</t>
        </is>
      </c>
      <c r="S484" s="18" t="inlineStr">
        <is>
          <t>Alta</t>
        </is>
      </c>
      <c r="T484" s="18" t="inlineStr">
        <is>
          <t>nombre + tipo + columnas vecinas</t>
        </is>
      </c>
      <c r="U484" s="18" t="inlineStr"/>
      <c r="V484" s="19" t="inlineStr">
        <is>
          <t>Aprobada</t>
        </is>
      </c>
      <c r="W484" s="19" t="inlineStr"/>
      <c r="X484" s="19" t="inlineStr">
        <is>
          <t>Aldair González (aprobación en bloque)</t>
        </is>
      </c>
      <c r="Y484" s="20" t="n">
        <v>46321</v>
      </c>
      <c r="Z484" s="19" t="inlineStr">
        <is>
          <t>Nivel 1: propuesta del comentario del desarrollador o de confianza alta, o regla de fecha/responsable/motivo.</t>
        </is>
      </c>
      <c r="AA484" s="18">
        <f>IF(OR(V484="Aprobada"),R484,IF(AND(OR(V484="Aprobada con ajuste",V484="Rechazada"),W484&lt;&gt;""),W484,""))</f>
        <v/>
      </c>
    </row>
    <row r="485">
      <c r="A485" s="18" t="inlineStr">
        <is>
          <t>C0484</t>
        </is>
      </c>
      <c r="B485" s="18" t="inlineStr">
        <is>
          <t>Plan de trabajo académico</t>
        </is>
      </c>
      <c r="C485" s="18" t="inlineStr">
        <is>
          <t>academic_work_plan</t>
        </is>
      </c>
      <c r="D485" s="18" t="inlineStr">
        <is>
          <t>PersonaPrograma</t>
        </is>
      </c>
      <c r="E485" s="18" t="n">
        <v>267</v>
      </c>
      <c r="F485" s="18" t="inlineStr">
        <is>
          <t>estado</t>
        </is>
      </c>
      <c r="G485" s="18" t="inlineStr">
        <is>
          <t>text</t>
        </is>
      </c>
      <c r="H485" s="18" t="inlineStr">
        <is>
          <t>No</t>
        </is>
      </c>
      <c r="I485" s="18" t="inlineStr"/>
      <c r="J485" s="18" t="inlineStr"/>
      <c r="K485" s="18" t="inlineStr"/>
      <c r="L485" s="18" t="inlineStr">
        <is>
          <t>No</t>
        </is>
      </c>
      <c r="M485" s="18" t="inlineStr">
        <is>
          <t>No</t>
        </is>
      </c>
      <c r="N485" s="18" t="inlineStr"/>
      <c r="O485" s="18" t="inlineStr"/>
      <c r="P485" s="18" t="inlineStr"/>
      <c r="Q485" s="18" t="inlineStr">
        <is>
          <t>Regla estructural (redacción revisada)</t>
        </is>
      </c>
      <c r="R485" s="18" t="inlineStr">
        <is>
          <t>Estado de la vinculación de la persona al programa.</t>
        </is>
      </c>
      <c r="S485" s="18" t="inlineStr">
        <is>
          <t>Alta</t>
        </is>
      </c>
      <c r="T485" s="18" t="inlineStr">
        <is>
          <t>Convención de nombre, redactada con el contexto de la tabla y el código.</t>
        </is>
      </c>
      <c r="U485" s="18" t="inlineStr"/>
      <c r="V485" s="19" t="inlineStr">
        <is>
          <t>Aprobada</t>
        </is>
      </c>
      <c r="W485" s="19" t="inlineStr"/>
      <c r="X485" s="19" t="inlineStr">
        <is>
          <t>Aldair González (aprobación en bloque)</t>
        </is>
      </c>
      <c r="Y485" s="20" t="n">
        <v>46321</v>
      </c>
      <c r="Z485" s="19" t="inlineStr">
        <is>
          <t>Nivel 2: regla estructural con redacción revisada.</t>
        </is>
      </c>
      <c r="AA485" s="18">
        <f>IF(OR(V485="Aprobada"),R485,IF(AND(OR(V485="Aprobada con ajuste",V485="Rechazada"),W485&lt;&gt;""),W485,""))</f>
        <v/>
      </c>
    </row>
    <row r="486">
      <c r="A486" s="18" t="inlineStr">
        <is>
          <t>C0485</t>
        </is>
      </c>
      <c r="B486" s="18" t="inlineStr">
        <is>
          <t>Plan de trabajo académico</t>
        </is>
      </c>
      <c r="C486" s="18" t="inlineStr">
        <is>
          <t>academic_work_plan</t>
        </is>
      </c>
      <c r="D486" s="18" t="inlineStr">
        <is>
          <t>PlanTrabajoAcademico</t>
        </is>
      </c>
      <c r="E486" s="18" t="n">
        <v>8</v>
      </c>
      <c r="F486" s="18" t="inlineStr">
        <is>
          <t>periodo</t>
        </is>
      </c>
      <c r="G486" s="18" t="inlineStr">
        <is>
          <t>text</t>
        </is>
      </c>
      <c r="H486" s="18" t="inlineStr">
        <is>
          <t>No</t>
        </is>
      </c>
      <c r="I486" s="18" t="inlineStr"/>
      <c r="J486" s="18" t="inlineStr"/>
      <c r="K486" s="18" t="inlineStr"/>
      <c r="L486" s="18" t="inlineStr">
        <is>
          <t>No</t>
        </is>
      </c>
      <c r="M486" s="18" t="inlineStr">
        <is>
          <t>No</t>
        </is>
      </c>
      <c r="N486" s="18" t="inlineStr"/>
      <c r="O486" s="18" t="inlineStr">
        <is>
          <t>idx_pta_docente_periodo, idx_pta_estado_periodo</t>
        </is>
      </c>
      <c r="P486" s="18" t="inlineStr">
        <is>
          <t>Mapeada en academic-work-plan-service/src/pta/entities/plan-trabajo-academico.entity.ts:16 (PlanTrabajoAcademicoEntity.periodo)</t>
        </is>
      </c>
      <c r="Q486" s="18" t="inlineStr">
        <is>
          <t>Código fuente (verificado)</t>
        </is>
      </c>
      <c r="R486" s="18" t="inlineStr">
        <is>
          <t>Periodo académico del plan de trabajo, con el código del periodo académico en formato año-semestre (por ejemplo, 2026-1).</t>
        </is>
      </c>
      <c r="S486" s="18" t="inlineStr">
        <is>
          <t>Alta</t>
        </is>
      </c>
      <c r="T486" s="18" t="inlineStr">
        <is>
          <t>academic-work-plan-service/src/pta/periodo-academico.controller.ts:89: código del periodo = año-semestre | academic-work-plan-service/src/pta/pta.service.ts:69: el periodo del PTA se compara con el código del periodo activado</t>
        </is>
      </c>
      <c r="U486" s="18" t="inlineStr"/>
      <c r="V486" s="19" t="inlineStr">
        <is>
          <t>Aprobada</t>
        </is>
      </c>
      <c r="W486" s="19" t="inlineStr"/>
      <c r="X486" s="19" t="inlineStr">
        <is>
          <t>Aldair González (aprobación en bloque)</t>
        </is>
      </c>
      <c r="Y486" s="20" t="n">
        <v>46321</v>
      </c>
      <c r="Z486" s="19" t="inlineStr">
        <is>
          <t>Nivel 3: verificada con el código de la aplicación.</t>
        </is>
      </c>
      <c r="AA486" s="18">
        <f>IF(OR(V486="Aprobada"),R486,IF(AND(OR(V486="Aprobada con ajuste",V486="Rechazada"),W486&lt;&gt;""),W486,""))</f>
        <v/>
      </c>
    </row>
    <row r="487">
      <c r="A487" s="18" t="inlineStr">
        <is>
          <t>C0486</t>
        </is>
      </c>
      <c r="B487" s="18" t="inlineStr">
        <is>
          <t>Plan de trabajo académico</t>
        </is>
      </c>
      <c r="C487" s="18" t="inlineStr">
        <is>
          <t>academic_work_plan</t>
        </is>
      </c>
      <c r="D487" s="18" t="inlineStr">
        <is>
          <t>PlanTrabajoAcademico</t>
        </is>
      </c>
      <c r="E487" s="18" t="n">
        <v>8</v>
      </c>
      <c r="F487" s="18" t="inlineStr">
        <is>
          <t>estado</t>
        </is>
      </c>
      <c r="G487" s="18" t="inlineStr">
        <is>
          <t>text</t>
        </is>
      </c>
      <c r="H487" s="18" t="inlineStr">
        <is>
          <t>No</t>
        </is>
      </c>
      <c r="I487" s="18" t="inlineStr"/>
      <c r="J487" s="18" t="inlineStr"/>
      <c r="K487" s="18" t="inlineStr"/>
      <c r="L487" s="18" t="inlineStr">
        <is>
          <t>No</t>
        </is>
      </c>
      <c r="M487" s="18" t="inlineStr">
        <is>
          <t>No</t>
        </is>
      </c>
      <c r="N487" s="18" t="inlineStr"/>
      <c r="O487" s="18" t="inlineStr">
        <is>
          <t>idx_pta_estado_periodo</t>
        </is>
      </c>
      <c r="P487" s="18" t="inlineStr">
        <is>
          <t>Mapeada en academic-work-plan-service/src/pta/entities/plan-trabajo-academico.entity.ts:19 (PlanTrabajoAcademicoEntity.estado)</t>
        </is>
      </c>
      <c r="Q487" s="18" t="inlineStr">
        <is>
          <t>Regla estructural (redacción revisada)</t>
        </is>
      </c>
      <c r="R487" s="18" t="inlineStr">
        <is>
          <t>Estado del plan de trabajo académico.</t>
        </is>
      </c>
      <c r="S487" s="18" t="inlineStr">
        <is>
          <t>Alta</t>
        </is>
      </c>
      <c r="T487" s="18" t="inlineStr">
        <is>
          <t>Convención de nombre, redactada con el contexto de la tabla y el código.</t>
        </is>
      </c>
      <c r="U487" s="18" t="inlineStr"/>
      <c r="V487" s="19" t="inlineStr">
        <is>
          <t>Aprobada</t>
        </is>
      </c>
      <c r="W487" s="19" t="inlineStr"/>
      <c r="X487" s="19" t="inlineStr">
        <is>
          <t>Aldair González (aprobación en bloque)</t>
        </is>
      </c>
      <c r="Y487" s="20" t="n">
        <v>46321</v>
      </c>
      <c r="Z487" s="19" t="inlineStr">
        <is>
          <t>Nivel 2: regla estructural con redacción revisada.</t>
        </is>
      </c>
      <c r="AA487" s="18">
        <f>IF(OR(V487="Aprobada"),R487,IF(AND(OR(V487="Aprobada con ajuste",V487="Rechazada"),W487&lt;&gt;""),W487,""))</f>
        <v/>
      </c>
    </row>
    <row r="488">
      <c r="A488" s="18" t="inlineStr">
        <is>
          <t>C0487</t>
        </is>
      </c>
      <c r="B488" s="18" t="inlineStr">
        <is>
          <t>Plan de trabajo académico</t>
        </is>
      </c>
      <c r="C488" s="18" t="inlineStr">
        <is>
          <t>academic_work_plan</t>
        </is>
      </c>
      <c r="D488" s="18" t="inlineStr">
        <is>
          <t>PlanTrabajoAcademico</t>
        </is>
      </c>
      <c r="E488" s="18" t="n">
        <v>8</v>
      </c>
      <c r="F488" s="18" t="inlineStr">
        <is>
          <t>horasTotales</t>
        </is>
      </c>
      <c r="G488" s="18" t="inlineStr">
        <is>
          <t>integer</t>
        </is>
      </c>
      <c r="H488" s="18" t="inlineStr">
        <is>
          <t>No</t>
        </is>
      </c>
      <c r="I488" s="18" t="inlineStr"/>
      <c r="J488" s="18" t="inlineStr"/>
      <c r="K488" s="18" t="inlineStr"/>
      <c r="L488" s="18" t="inlineStr">
        <is>
          <t>No</t>
        </is>
      </c>
      <c r="M488" s="18" t="inlineStr">
        <is>
          <t>No</t>
        </is>
      </c>
      <c r="N488" s="18" t="inlineStr"/>
      <c r="O488" s="18" t="inlineStr"/>
      <c r="P488" s="18" t="inlineStr">
        <is>
          <t>Mapeada en academic-work-plan-service/src/pta/entities/plan-trabajo-academico.entity.ts:25 (PlanTrabajoAcademicoEntity.horasTotales)</t>
        </is>
      </c>
      <c r="Q488" s="18" t="inlineStr">
        <is>
          <t>Código fuente (verificado)</t>
        </is>
      </c>
      <c r="R488" s="18" t="inlineStr">
        <is>
          <t>Número total de horas programadas en el plan (suma de docencia, investigación, extensión y complementarias), calculado por el servicio al guardar; por defecto, 0.</t>
        </is>
      </c>
      <c r="S488" s="18" t="inlineStr">
        <is>
          <t>Alta</t>
        </is>
      </c>
      <c r="T488" s="18" t="inlineStr">
        <is>
          <t>academic-work-plan-service/src/pta/pta.service.ts:1665: computeHorasTotales suma las horas de los componentes | academic-work-plan-service/src/pta/pta.service.ts:4604: horasTotales = horas.total</t>
        </is>
      </c>
      <c r="U488" s="18" t="inlineStr"/>
      <c r="V488" s="19" t="inlineStr">
        <is>
          <t>Aprobada</t>
        </is>
      </c>
      <c r="W488" s="19" t="inlineStr"/>
      <c r="X488" s="19" t="inlineStr">
        <is>
          <t>Aldair González (aprobación en bloque)</t>
        </is>
      </c>
      <c r="Y488" s="20" t="n">
        <v>46321</v>
      </c>
      <c r="Z488" s="19" t="inlineStr">
        <is>
          <t>Nivel 3: verificada con el código de la aplicación.</t>
        </is>
      </c>
      <c r="AA488" s="18">
        <f>IF(OR(V488="Aprobada"),R488,IF(AND(OR(V488="Aprobada con ajuste",V488="Rechazada"),W488&lt;&gt;""),W488,""))</f>
        <v/>
      </c>
    </row>
    <row r="489">
      <c r="A489" s="18" t="inlineStr">
        <is>
          <t>C0488</t>
        </is>
      </c>
      <c r="B489" s="18" t="inlineStr">
        <is>
          <t>Plan de trabajo académico</t>
        </is>
      </c>
      <c r="C489" s="18" t="inlineStr">
        <is>
          <t>academic_work_plan</t>
        </is>
      </c>
      <c r="D489" s="18" t="inlineStr">
        <is>
          <t>PlanTrabajoAcademico</t>
        </is>
      </c>
      <c r="E489" s="18" t="n">
        <v>8</v>
      </c>
      <c r="F489" s="18" t="inlineStr">
        <is>
          <t>observaciones</t>
        </is>
      </c>
      <c r="G489" s="18" t="inlineStr">
        <is>
          <t>text</t>
        </is>
      </c>
      <c r="H489" s="18" t="inlineStr">
        <is>
          <t>Sí</t>
        </is>
      </c>
      <c r="I489" s="18" t="inlineStr"/>
      <c r="J489" s="18" t="inlineStr"/>
      <c r="K489" s="18" t="inlineStr"/>
      <c r="L489" s="18" t="inlineStr">
        <is>
          <t>No</t>
        </is>
      </c>
      <c r="M489" s="18" t="inlineStr">
        <is>
          <t>No</t>
        </is>
      </c>
      <c r="N489" s="18" t="inlineStr"/>
      <c r="O489" s="18" t="inlineStr"/>
      <c r="P489" s="18" t="inlineStr">
        <is>
          <t>Mapeada en academic-work-plan-service/src/pta/entities/plan-trabajo-academico.entity.ts:28 (PlanTrabajoAcademicoEntity.observaciones)</t>
        </is>
      </c>
      <c r="Q489" s="18" t="inlineStr">
        <is>
          <t>Regla estructural (redacción revisada)</t>
        </is>
      </c>
      <c r="R489" s="18" t="inlineStr">
        <is>
          <t>Observaciones sobre el plan de trabajo académico.</t>
        </is>
      </c>
      <c r="S489" s="18" t="inlineStr">
        <is>
          <t>Alta</t>
        </is>
      </c>
      <c r="T489" s="18" t="inlineStr">
        <is>
          <t>Convención de nombre, redactada con el contexto de la tabla y el código.</t>
        </is>
      </c>
      <c r="U489" s="18" t="inlineStr"/>
      <c r="V489" s="19" t="inlineStr">
        <is>
          <t>Aprobada</t>
        </is>
      </c>
      <c r="W489" s="19" t="inlineStr"/>
      <c r="X489" s="19" t="inlineStr">
        <is>
          <t>Aldair González (aprobación en bloque)</t>
        </is>
      </c>
      <c r="Y489" s="20" t="n">
        <v>46321</v>
      </c>
      <c r="Z489" s="19" t="inlineStr">
        <is>
          <t>Nivel 2: regla estructural con redacción revisada.</t>
        </is>
      </c>
      <c r="AA489" s="18">
        <f>IF(OR(V489="Aprobada"),R489,IF(AND(OR(V489="Aprobada con ajuste",V489="Rechazada"),W489&lt;&gt;""),W489,""))</f>
        <v/>
      </c>
    </row>
    <row r="490">
      <c r="A490" s="18" t="inlineStr">
        <is>
          <t>C0489</t>
        </is>
      </c>
      <c r="B490" s="18" t="inlineStr">
        <is>
          <t>Plan de trabajo académico</t>
        </is>
      </c>
      <c r="C490" s="18" t="inlineStr">
        <is>
          <t>academic_work_plan</t>
        </is>
      </c>
      <c r="D490" s="18" t="inlineStr">
        <is>
          <t>PlanTrabajoAcademico</t>
        </is>
      </c>
      <c r="E490" s="18" t="n">
        <v>8</v>
      </c>
      <c r="F490" s="18" t="inlineStr">
        <is>
          <t>datosEstructurados</t>
        </is>
      </c>
      <c r="G490" s="18" t="inlineStr">
        <is>
          <t>jsonb</t>
        </is>
      </c>
      <c r="H490" s="18" t="inlineStr">
        <is>
          <t>Sí</t>
        </is>
      </c>
      <c r="I490" s="18" t="inlineStr"/>
      <c r="J490" s="18" t="inlineStr"/>
      <c r="K490" s="18" t="inlineStr"/>
      <c r="L490" s="18" t="inlineStr">
        <is>
          <t>No</t>
        </is>
      </c>
      <c r="M490" s="18" t="inlineStr">
        <is>
          <t>No</t>
        </is>
      </c>
      <c r="N490" s="18" t="inlineStr"/>
      <c r="O490" s="18" t="inlineStr"/>
      <c r="P490" s="18" t="inlineStr">
        <is>
          <t>Mapeada en academic-work-plan-service/src/pta/entities/plan-trabajo-academico.entity.ts:34 (PlanTrabajoAcademicoEntity.datosEstructurados)</t>
        </is>
      </c>
      <c r="Q490" s="18" t="inlineStr">
        <is>
          <t>Código fuente (verificado)</t>
        </is>
      </c>
      <c r="R490" s="18" t="inlineStr">
        <is>
          <t>Contenido completo del plan de trabajo académico en formato JSON, tal como lo envía el formulario (asignaturas, actividades de investigación, extensión y complementarias, horas a programar, entre otros), con campos de control añadidos por el servicio.</t>
        </is>
      </c>
      <c r="S490" s="18" t="inlineStr">
        <is>
          <t>Alta</t>
        </is>
      </c>
      <c r="T490" s="18" t="inlineStr">
        <is>
          <t>academic-work-plan-service/src/pta/pta.service.ts:4602: datosEstructurados = {...input, complementarias_flujo_version} | academic-work-plan-service/src/pta/pta.service.ts:1665: lectura de asignaturas, investigacion_actividades, extension_actividades</t>
        </is>
      </c>
      <c r="U490" s="18" t="inlineStr"/>
      <c r="V490" s="19" t="inlineStr">
        <is>
          <t>Aprobada</t>
        </is>
      </c>
      <c r="W490" s="19" t="inlineStr"/>
      <c r="X490" s="19" t="inlineStr">
        <is>
          <t>Aldair González (aprobación en bloque)</t>
        </is>
      </c>
      <c r="Y490" s="20" t="n">
        <v>46321</v>
      </c>
      <c r="Z490" s="19" t="inlineStr">
        <is>
          <t>Nivel 3: verificada con el código de la aplicación.</t>
        </is>
      </c>
      <c r="AA490" s="18">
        <f>IF(OR(V490="Aprobada"),R490,IF(AND(OR(V490="Aprobada con ajuste",V490="Rechazada"),W490&lt;&gt;""),W490,""))</f>
        <v/>
      </c>
    </row>
    <row r="491">
      <c r="A491" s="18" t="inlineStr">
        <is>
          <t>C0490</t>
        </is>
      </c>
      <c r="B491" s="18" t="inlineStr">
        <is>
          <t>Plan de trabajo académico</t>
        </is>
      </c>
      <c r="C491" s="18" t="inlineStr">
        <is>
          <t>academic_work_plan</t>
        </is>
      </c>
      <c r="D491" s="18" t="inlineStr">
        <is>
          <t>PlanTrabajoAcademico</t>
        </is>
      </c>
      <c r="E491" s="18" t="n">
        <v>8</v>
      </c>
      <c r="F491" s="18" t="inlineStr">
        <is>
          <t>dedicacion</t>
        </is>
      </c>
      <c r="G491" s="18" t="inlineStr">
        <is>
          <t>text</t>
        </is>
      </c>
      <c r="H491" s="18" t="inlineStr">
        <is>
          <t>Sí</t>
        </is>
      </c>
      <c r="I491" s="18" t="inlineStr"/>
      <c r="J491" s="18" t="inlineStr"/>
      <c r="K491" s="18" t="inlineStr"/>
      <c r="L491" s="18" t="inlineStr">
        <is>
          <t>No</t>
        </is>
      </c>
      <c r="M491" s="18" t="inlineStr">
        <is>
          <t>No</t>
        </is>
      </c>
      <c r="N491" s="18" t="inlineStr"/>
      <c r="O491" s="18" t="inlineStr"/>
      <c r="P491" s="18" t="inlineStr">
        <is>
          <t>Mapeada en academic-work-plan-service/src/pta/entities/plan-trabajo-academico.entity.ts:37 (PlanTrabajoAcademicoEntity.dedicacion)</t>
        </is>
      </c>
      <c r="Q491" s="18" t="inlineStr">
        <is>
          <t>Código fuente (verificado)</t>
        </is>
      </c>
      <c r="R491" s="18" t="inlineStr">
        <is>
          <t>Dedicación del docente registrada en el plan, tomada del formulario del plan o de la vinculación del docente.</t>
        </is>
      </c>
      <c r="S491" s="18" t="inlineStr">
        <is>
          <t>Media</t>
        </is>
      </c>
      <c r="T491" s="18" t="inlineStr">
        <is>
          <t>academic-work-plan-service/src/pta/pta.service.ts:4605: dedicacion = input.dedicacion | academic-work-plan-service/src/pta/pta.service.ts:3078: se completa con la dedicación del docente</t>
        </is>
      </c>
      <c r="U491" s="18" t="inlineStr">
        <is>
          <t>¿Qué valores toma dedicacion en el plan (por ejemplo, TC, MT, HC o sus nombres completos)?</t>
        </is>
      </c>
      <c r="V491" s="19" t="inlineStr">
        <is>
          <t>Aprobada</t>
        </is>
      </c>
      <c r="W491" s="19" t="inlineStr"/>
      <c r="X491" s="19" t="inlineStr">
        <is>
          <t>Aldair González (validación del responsable de BD)</t>
        </is>
      </c>
      <c r="Y491" s="20" t="n">
        <v>46321</v>
      </c>
      <c r="Z491" s="19" t="inlineStr">
        <is>
          <t>Nivel 3: validada por decisión del responsable de la base de datos. Pregunta registrada para desarrollo: ¿Qué valores toma dedicacion en el plan (por ejemplo, TC, MT, HC o sus nombres completos)?</t>
        </is>
      </c>
      <c r="AA491" s="18">
        <f>IF(OR(V491="Aprobada"),R491,IF(AND(OR(V491="Aprobada con ajuste",V491="Rechazada"),W491&lt;&gt;""),W491,""))</f>
        <v/>
      </c>
    </row>
    <row r="492">
      <c r="A492" s="18" t="inlineStr">
        <is>
          <t>C0491</t>
        </is>
      </c>
      <c r="B492" s="18" t="inlineStr">
        <is>
          <t>Plan de trabajo académico</t>
        </is>
      </c>
      <c r="C492" s="18" t="inlineStr">
        <is>
          <t>academic_work_plan</t>
        </is>
      </c>
      <c r="D492" s="18" t="inlineStr">
        <is>
          <t>PlanTrabajoAcademico</t>
        </is>
      </c>
      <c r="E492" s="18" t="n">
        <v>8</v>
      </c>
      <c r="F492" s="18" t="inlineStr">
        <is>
          <t>horasAsignables</t>
        </is>
      </c>
      <c r="G492" s="18" t="inlineStr">
        <is>
          <t>integer</t>
        </is>
      </c>
      <c r="H492" s="18" t="inlineStr">
        <is>
          <t>Sí</t>
        </is>
      </c>
      <c r="I492" s="18" t="inlineStr"/>
      <c r="J492" s="18" t="inlineStr"/>
      <c r="K492" s="18" t="inlineStr"/>
      <c r="L492" s="18" t="inlineStr">
        <is>
          <t>No</t>
        </is>
      </c>
      <c r="M492" s="18" t="inlineStr">
        <is>
          <t>No</t>
        </is>
      </c>
      <c r="N492" s="18" t="inlineStr"/>
      <c r="O492" s="18" t="inlineStr"/>
      <c r="P492" s="18" t="inlineStr">
        <is>
          <t>Mapeada en academic-work-plan-service/src/pta/entities/plan-trabajo-academico.entity.ts:40 (PlanTrabajoAcademicoEntity.horasAsignables)</t>
        </is>
      </c>
      <c r="Q492" s="18" t="inlineStr">
        <is>
          <t>Código fuente (verificado)</t>
        </is>
      </c>
      <c r="R492" s="18" t="inlineStr">
        <is>
          <t>Número de horas del periodo que se pueden programar al docente en el plan: se toman de las horas asignables del Banco de Docentes, prorrateadas por semanas sobre 16; si no existen, se calculan según el tipo de vinculación y la dedicación.</t>
        </is>
      </c>
      <c r="S492" s="18" t="inlineStr">
        <is>
          <t>Alta</t>
        </is>
      </c>
      <c r="T492" s="18" t="inlineStr">
        <is>
          <t>academic-work-plan-service/src/pta/pta.service.ts:1426: horas del Banco de Docentes | academic-work-plan-service/src/pta/pta.service.ts:1433: prorrateo por semanas / 16 | academic-work-plan-service/src/pta/pta.service.ts:1564: horas base por vinculación (CARRERA_009, CARRERA_003) | academic-work-plan-service/src/pta/pta.service.ts:1572: horas semanales × semanas | academic-work-plan-service/src/pta/pta.service.ts:4606: horasAsignables = horas a programar</t>
        </is>
      </c>
      <c r="U492" s="18" t="inlineStr"/>
      <c r="V492" s="19" t="inlineStr">
        <is>
          <t>Aprobada</t>
        </is>
      </c>
      <c r="W492" s="19" t="inlineStr"/>
      <c r="X492" s="19" t="inlineStr">
        <is>
          <t>Aldair González (aprobación en bloque)</t>
        </is>
      </c>
      <c r="Y492" s="20" t="n">
        <v>46321</v>
      </c>
      <c r="Z492" s="19" t="inlineStr">
        <is>
          <t>Nivel 3: verificada con el código de la aplicación.</t>
        </is>
      </c>
      <c r="AA492" s="18">
        <f>IF(OR(V492="Aprobada"),R492,IF(AND(OR(V492="Aprobada con ajuste",V492="Rechazada"),W492&lt;&gt;""),W492,""))</f>
        <v/>
      </c>
    </row>
    <row r="493">
      <c r="A493" s="18" t="inlineStr">
        <is>
          <t>C0492</t>
        </is>
      </c>
      <c r="B493" s="18" t="inlineStr">
        <is>
          <t>Plan de trabajo académico</t>
        </is>
      </c>
      <c r="C493" s="18" t="inlineStr">
        <is>
          <t>academic_work_plan</t>
        </is>
      </c>
      <c r="D493" s="18" t="inlineStr">
        <is>
          <t>PlanTrabajoAcademico</t>
        </is>
      </c>
      <c r="E493" s="18" t="n">
        <v>8</v>
      </c>
      <c r="F493" s="18" t="inlineStr">
        <is>
          <t>semanasVinculacion</t>
        </is>
      </c>
      <c r="G493" s="18" t="inlineStr">
        <is>
          <t>integer</t>
        </is>
      </c>
      <c r="H493" s="18" t="inlineStr">
        <is>
          <t>Sí</t>
        </is>
      </c>
      <c r="I493" s="18" t="inlineStr"/>
      <c r="J493" s="18" t="inlineStr"/>
      <c r="K493" s="18" t="inlineStr"/>
      <c r="L493" s="18" t="inlineStr">
        <is>
          <t>No</t>
        </is>
      </c>
      <c r="M493" s="18" t="inlineStr">
        <is>
          <t>No</t>
        </is>
      </c>
      <c r="N493" s="18" t="inlineStr"/>
      <c r="O493" s="18" t="inlineStr"/>
      <c r="P493" s="18" t="inlineStr">
        <is>
          <t>Mapeada en academic-work-plan-service/src/pta/entities/plan-trabajo-academico.entity.ts:43 (PlanTrabajoAcademicoEntity.semanasVinculacion)</t>
        </is>
      </c>
      <c r="Q493" s="18" t="inlineStr">
        <is>
          <t>Propuesta semántica</t>
        </is>
      </c>
      <c r="R493" s="18" t="inlineStr">
        <is>
          <t>Número de semanas de vinculación del docente en el periodo.</t>
        </is>
      </c>
      <c r="S493" s="18" t="inlineStr">
        <is>
          <t>Alta</t>
        </is>
      </c>
      <c r="T493" s="18" t="inlineStr">
        <is>
          <t>nombre + tipo + columnas vecinas</t>
        </is>
      </c>
      <c r="U493" s="18" t="inlineStr"/>
      <c r="V493" s="19" t="inlineStr">
        <is>
          <t>Aprobada</t>
        </is>
      </c>
      <c r="W493" s="19" t="inlineStr"/>
      <c r="X493" s="19" t="inlineStr">
        <is>
          <t>Aldair González (aprobación en bloque)</t>
        </is>
      </c>
      <c r="Y493" s="20" t="n">
        <v>46321</v>
      </c>
      <c r="Z493" s="19" t="inlineStr">
        <is>
          <t>Nivel 1: propuesta del comentario del desarrollador o de confianza alta, o regla de fecha/responsable/motivo.</t>
        </is>
      </c>
      <c r="AA493" s="18">
        <f>IF(OR(V493="Aprobada"),R493,IF(AND(OR(V493="Aprobada con ajuste",V493="Rechazada"),W493&lt;&gt;""),W493,""))</f>
        <v/>
      </c>
    </row>
    <row r="494">
      <c r="A494" s="18" t="inlineStr">
        <is>
          <t>C0493</t>
        </is>
      </c>
      <c r="B494" s="18" t="inlineStr">
        <is>
          <t>Plan de trabajo académico</t>
        </is>
      </c>
      <c r="C494" s="18" t="inlineStr">
        <is>
          <t>academic_work_plan</t>
        </is>
      </c>
      <c r="D494" s="18" t="inlineStr">
        <is>
          <t>PlanTrabajoAcademico</t>
        </is>
      </c>
      <c r="E494" s="18" t="n">
        <v>8</v>
      </c>
      <c r="F494" s="18" t="inlineStr">
        <is>
          <t>tipoVinculacion</t>
        </is>
      </c>
      <c r="G494" s="18" t="inlineStr">
        <is>
          <t>text</t>
        </is>
      </c>
      <c r="H494" s="18" t="inlineStr">
        <is>
          <t>Sí</t>
        </is>
      </c>
      <c r="I494" s="18" t="inlineStr"/>
      <c r="J494" s="18" t="inlineStr"/>
      <c r="K494" s="18" t="inlineStr"/>
      <c r="L494" s="18" t="inlineStr">
        <is>
          <t>No</t>
        </is>
      </c>
      <c r="M494" s="18" t="inlineStr">
        <is>
          <t>No</t>
        </is>
      </c>
      <c r="N494" s="18" t="inlineStr"/>
      <c r="O494" s="18" t="inlineStr"/>
      <c r="P494" s="18" t="inlineStr">
        <is>
          <t>Mapeada en academic-work-plan-service/src/pta/entities/plan-trabajo-academico.entity.ts:46 (PlanTrabajoAcademicoEntity.tipoVinculacion)</t>
        </is>
      </c>
      <c r="Q494" s="18" t="inlineStr">
        <is>
          <t>Código fuente (verificado)</t>
        </is>
      </c>
      <c r="R494" s="18" t="inlineStr">
        <is>
          <t>Tipo de vinculación del docente registrado en el plan, tomado del formulario.</t>
        </is>
      </c>
      <c r="S494" s="18" t="inlineStr">
        <is>
          <t>Media</t>
        </is>
      </c>
      <c r="T494" s="18" t="inlineStr">
        <is>
          <t>academic-work-plan-service/src/pta/pta.service.ts:4608: tipoVinculacion = input.tipo_vinculacion | academic-work-plan-service/src/pta/pta.service.ts:1548: el cálculo reconoce CARRERA_003 (por defecto), CARRERA_009 y PERIODO_PRUEBA</t>
        </is>
      </c>
      <c r="U494" s="18" t="inlineStr">
        <is>
          <t>¿Qué valores toma tipoVinculacion además de CARRERA_003, CARRERA_009 y PERIODO_PRUEBA?</t>
        </is>
      </c>
      <c r="V494" s="19" t="inlineStr">
        <is>
          <t>Aprobada</t>
        </is>
      </c>
      <c r="W494" s="19" t="inlineStr"/>
      <c r="X494" s="19" t="inlineStr">
        <is>
          <t>Aldair González (validación del responsable de BD)</t>
        </is>
      </c>
      <c r="Y494" s="20" t="n">
        <v>46321</v>
      </c>
      <c r="Z494" s="19" t="inlineStr">
        <is>
          <t>Nivel 3: validada por decisión del responsable de la base de datos. Pregunta registrada para desarrollo: ¿Qué valores toma tipoVinculacion además de CARRERA_003, CARRERA_009 y PERIODO_PRUEBA?</t>
        </is>
      </c>
      <c r="AA494" s="18">
        <f>IF(OR(V494="Aprobada"),R494,IF(AND(OR(V494="Aprobada con ajuste",V494="Rechazada"),W494&lt;&gt;""),W494,""))</f>
        <v/>
      </c>
    </row>
    <row r="495">
      <c r="A495" s="18" t="inlineStr">
        <is>
          <t>C0494</t>
        </is>
      </c>
      <c r="B495" s="18" t="inlineStr">
        <is>
          <t>Plan de trabajo académico</t>
        </is>
      </c>
      <c r="C495" s="18" t="inlineStr">
        <is>
          <t>academic_work_plan</t>
        </is>
      </c>
      <c r="D495" s="18" t="inlineStr">
        <is>
          <t>PlanTrabajoAcademico</t>
        </is>
      </c>
      <c r="E495" s="18" t="n">
        <v>8</v>
      </c>
      <c r="F495" s="18" t="inlineStr">
        <is>
          <t>motivoDevolucion</t>
        </is>
      </c>
      <c r="G495" s="18" t="inlineStr">
        <is>
          <t>text</t>
        </is>
      </c>
      <c r="H495" s="18" t="inlineStr">
        <is>
          <t>Sí</t>
        </is>
      </c>
      <c r="I495" s="18" t="inlineStr"/>
      <c r="J495" s="18" t="inlineStr"/>
      <c r="K495" s="18" t="inlineStr"/>
      <c r="L495" s="18" t="inlineStr">
        <is>
          <t>No</t>
        </is>
      </c>
      <c r="M495" s="18" t="inlineStr">
        <is>
          <t>No</t>
        </is>
      </c>
      <c r="N495" s="18" t="inlineStr"/>
      <c r="O495" s="18" t="inlineStr"/>
      <c r="P495" s="18" t="inlineStr">
        <is>
          <t>Mapeada en academic-work-plan-service/src/pta/entities/plan-trabajo-academico.entity.ts:31 (PlanTrabajoAcademicoEntity.motivoDevolucion)</t>
        </is>
      </c>
      <c r="Q495" s="18" t="inlineStr">
        <is>
          <t>Propuesta semántica</t>
        </is>
      </c>
      <c r="R495" s="18" t="inlineStr">
        <is>
          <t>Motivo de la devolución del plan de trabajo al docente.</t>
        </is>
      </c>
      <c r="S495" s="18" t="inlineStr">
        <is>
          <t>Alta</t>
        </is>
      </c>
      <c r="T495" s="18" t="inlineStr">
        <is>
          <t>nombre + tipo + columnas vecinas (nivelDevolucion)</t>
        </is>
      </c>
      <c r="U495" s="18" t="inlineStr"/>
      <c r="V495" s="19" t="inlineStr">
        <is>
          <t>Aprobada</t>
        </is>
      </c>
      <c r="W495" s="19" t="inlineStr"/>
      <c r="X495" s="19" t="inlineStr">
        <is>
          <t>Aldair González (aprobación en bloque)</t>
        </is>
      </c>
      <c r="Y495" s="20" t="n">
        <v>46321</v>
      </c>
      <c r="Z495" s="19" t="inlineStr">
        <is>
          <t>Nivel 1: propuesta del comentario del desarrollador o de confianza alta, o regla de fecha/responsable/motivo.</t>
        </is>
      </c>
      <c r="AA495" s="18">
        <f>IF(OR(V495="Aprobada"),R495,IF(AND(OR(V495="Aprobada con ajuste",V495="Rechazada"),W495&lt;&gt;""),W495,""))</f>
        <v/>
      </c>
    </row>
    <row r="496">
      <c r="A496" s="18" t="inlineStr">
        <is>
          <t>C0495</t>
        </is>
      </c>
      <c r="B496" s="18" t="inlineStr">
        <is>
          <t>Plan de trabajo académico</t>
        </is>
      </c>
      <c r="C496" s="18" t="inlineStr">
        <is>
          <t>academic_work_plan</t>
        </is>
      </c>
      <c r="D496" s="18" t="inlineStr">
        <is>
          <t>PlanTrabajoAcademico</t>
        </is>
      </c>
      <c r="E496" s="18" t="n">
        <v>8</v>
      </c>
      <c r="F496" s="18" t="inlineStr">
        <is>
          <t>ultimoActorRol</t>
        </is>
      </c>
      <c r="G496" s="18" t="inlineStr">
        <is>
          <t>text</t>
        </is>
      </c>
      <c r="H496" s="18" t="inlineStr">
        <is>
          <t>Sí</t>
        </is>
      </c>
      <c r="I496" s="18" t="inlineStr"/>
      <c r="J496" s="18" t="inlineStr"/>
      <c r="K496" s="18" t="inlineStr"/>
      <c r="L496" s="18" t="inlineStr">
        <is>
          <t>No</t>
        </is>
      </c>
      <c r="M496" s="18" t="inlineStr">
        <is>
          <t>No</t>
        </is>
      </c>
      <c r="N496" s="18" t="inlineStr"/>
      <c r="O496" s="18" t="inlineStr"/>
      <c r="P496" s="18" t="inlineStr"/>
      <c r="Q496" s="18" t="inlineStr">
        <is>
          <t>Propuesta semántica</t>
        </is>
      </c>
      <c r="R496" s="18" t="inlineStr">
        <is>
          <t>Rol del último usuario que actuó sobre el plan de trabajo.</t>
        </is>
      </c>
      <c r="S496" s="18" t="inlineStr">
        <is>
          <t>Alta</t>
        </is>
      </c>
      <c r="T496" s="18" t="inlineStr">
        <is>
          <t>nombre + tipo + columnas vecinas</t>
        </is>
      </c>
      <c r="U496" s="18" t="inlineStr"/>
      <c r="V496" s="19" t="inlineStr">
        <is>
          <t>Aprobada</t>
        </is>
      </c>
      <c r="W496" s="19" t="inlineStr"/>
      <c r="X496" s="19" t="inlineStr">
        <is>
          <t>Aldair González (aprobación en bloque)</t>
        </is>
      </c>
      <c r="Y496" s="20" t="n">
        <v>46321</v>
      </c>
      <c r="Z496" s="19" t="inlineStr">
        <is>
          <t>Nivel 1: propuesta del comentario del desarrollador o de confianza alta, o regla de fecha/responsable/motivo.</t>
        </is>
      </c>
      <c r="AA496" s="18">
        <f>IF(OR(V496="Aprobada"),R496,IF(AND(OR(V496="Aprobada con ajuste",V496="Rechazada"),W496&lt;&gt;""),W496,""))</f>
        <v/>
      </c>
    </row>
    <row r="497">
      <c r="A497" s="18" t="inlineStr">
        <is>
          <t>C0496</t>
        </is>
      </c>
      <c r="B497" s="18" t="inlineStr">
        <is>
          <t>Plan de trabajo académico</t>
        </is>
      </c>
      <c r="C497" s="18" t="inlineStr">
        <is>
          <t>academic_work_plan</t>
        </is>
      </c>
      <c r="D497" s="18" t="inlineStr">
        <is>
          <t>programa</t>
        </is>
      </c>
      <c r="E497" s="18" t="n">
        <v>20</v>
      </c>
      <c r="F497" s="18" t="inlineStr">
        <is>
          <t>codigo</t>
        </is>
      </c>
      <c r="G497" s="18" t="inlineStr">
        <is>
          <t>character varying(20)</t>
        </is>
      </c>
      <c r="H497" s="18" t="inlineStr">
        <is>
          <t>No</t>
        </is>
      </c>
      <c r="I497" s="18" t="inlineStr">
        <is>
          <t>Única</t>
        </is>
      </c>
      <c r="J497" s="18" t="inlineStr"/>
      <c r="K497" s="18" t="inlineStr"/>
      <c r="L497" s="18" t="inlineStr">
        <is>
          <t>No</t>
        </is>
      </c>
      <c r="M497" s="18" t="inlineStr">
        <is>
          <t>No</t>
        </is>
      </c>
      <c r="N497" s="18" t="inlineStr"/>
      <c r="O497" s="18" t="inlineStr">
        <is>
          <t>programa_codigo_key</t>
        </is>
      </c>
      <c r="P497" s="18" t="inlineStr">
        <is>
          <t>Mapeada en academic-work-plan-service/src/pta/entities/programa.entity.ts:9 (ProgramaEntity.codigo)</t>
        </is>
      </c>
      <c r="Q497" s="18" t="inlineStr">
        <is>
          <t>Regla estructural (redacción revisada)</t>
        </is>
      </c>
      <c r="R497" s="18" t="inlineStr">
        <is>
          <t>Código del programa, único en la tabla.</t>
        </is>
      </c>
      <c r="S497" s="18" t="inlineStr">
        <is>
          <t>Alta</t>
        </is>
      </c>
      <c r="T497" s="18" t="inlineStr">
        <is>
          <t>Convención de nombre, redactada con el contexto de la tabla y el código.</t>
        </is>
      </c>
      <c r="U497" s="18" t="inlineStr"/>
      <c r="V497" s="19" t="inlineStr">
        <is>
          <t>Aprobada</t>
        </is>
      </c>
      <c r="W497" s="19" t="inlineStr"/>
      <c r="X497" s="19" t="inlineStr">
        <is>
          <t>Aldair González (aprobación en bloque)</t>
        </is>
      </c>
      <c r="Y497" s="20" t="n">
        <v>46321</v>
      </c>
      <c r="Z497" s="19" t="inlineStr">
        <is>
          <t>Nivel 2: regla estructural con redacción revisada.</t>
        </is>
      </c>
      <c r="AA497" s="18">
        <f>IF(OR(V497="Aprobada"),R497,IF(AND(OR(V497="Aprobada con ajuste",V497="Rechazada"),W497&lt;&gt;""),W497,""))</f>
        <v/>
      </c>
    </row>
    <row r="498">
      <c r="A498" s="18" t="inlineStr">
        <is>
          <t>C0497</t>
        </is>
      </c>
      <c r="B498" s="18" t="inlineStr">
        <is>
          <t>Plan de trabajo académico</t>
        </is>
      </c>
      <c r="C498" s="18" t="inlineStr">
        <is>
          <t>academic_work_plan</t>
        </is>
      </c>
      <c r="D498" s="18" t="inlineStr">
        <is>
          <t>programa</t>
        </is>
      </c>
      <c r="E498" s="18" t="n">
        <v>20</v>
      </c>
      <c r="F498" s="18" t="inlineStr">
        <is>
          <t>nombre</t>
        </is>
      </c>
      <c r="G498" s="18" t="inlineStr">
        <is>
          <t>character varying(100)</t>
        </is>
      </c>
      <c r="H498" s="18" t="inlineStr">
        <is>
          <t>No</t>
        </is>
      </c>
      <c r="I498" s="18" t="inlineStr"/>
      <c r="J498" s="18" t="inlineStr"/>
      <c r="K498" s="18" t="inlineStr"/>
      <c r="L498" s="18" t="inlineStr">
        <is>
          <t>No</t>
        </is>
      </c>
      <c r="M498" s="18" t="inlineStr">
        <is>
          <t>Sí</t>
        </is>
      </c>
      <c r="N498" s="18" t="inlineStr">
        <is>
          <t>Función control_interno.fn_configurar_actividad_auditorias_plan — control_interno.fn_configurar_actividad_auditorias_plan: LOWER(a.nombre) LIKE '%auditoría%'</t>
        </is>
      </c>
      <c r="O498" s="18" t="inlineStr"/>
      <c r="P498" s="18" t="inlineStr">
        <is>
          <t>Mapeada en academic-work-plan-service/src/pta/entities/programa.entity.ts:12 (ProgramaEntity.nombre)</t>
        </is>
      </c>
      <c r="Q498" s="18" t="inlineStr">
        <is>
          <t>Regla estructural (redacción revisada)</t>
        </is>
      </c>
      <c r="R498" s="18" t="inlineStr">
        <is>
          <t>Nombre del programa.</t>
        </is>
      </c>
      <c r="S498" s="18" t="inlineStr">
        <is>
          <t>Alta</t>
        </is>
      </c>
      <c r="T498" s="18" t="inlineStr">
        <is>
          <t>Convención de nombre, redactada con el contexto de la tabla y el código.</t>
        </is>
      </c>
      <c r="U498" s="18" t="inlineStr"/>
      <c r="V498" s="19" t="inlineStr">
        <is>
          <t>Aprobada</t>
        </is>
      </c>
      <c r="W498" s="19" t="inlineStr"/>
      <c r="X498" s="19" t="inlineStr">
        <is>
          <t>Aldair González (aprobación en bloque)</t>
        </is>
      </c>
      <c r="Y498" s="20" t="n">
        <v>46321</v>
      </c>
      <c r="Z498" s="19" t="inlineStr">
        <is>
          <t>Nivel 2: regla estructural con redacción revisada.</t>
        </is>
      </c>
      <c r="AA498" s="18">
        <f>IF(OR(V498="Aprobada"),R498,IF(AND(OR(V498="Aprobada con ajuste",V498="Rechazada"),W498&lt;&gt;""),W498,""))</f>
        <v/>
      </c>
    </row>
    <row r="499">
      <c r="A499" s="18" t="inlineStr">
        <is>
          <t>C0498</t>
        </is>
      </c>
      <c r="B499" s="18" t="inlineStr">
        <is>
          <t>Plan de trabajo académico</t>
        </is>
      </c>
      <c r="C499" s="18" t="inlineStr">
        <is>
          <t>academic_work_plan</t>
        </is>
      </c>
      <c r="D499" s="18" t="inlineStr">
        <is>
          <t>programa</t>
        </is>
      </c>
      <c r="E499" s="18" t="n">
        <v>20</v>
      </c>
      <c r="F499" s="18" t="inlineStr">
        <is>
          <t>nombre_excel</t>
        </is>
      </c>
      <c r="G499" s="18" t="inlineStr">
        <is>
          <t>character varying(100)</t>
        </is>
      </c>
      <c r="H499" s="18" t="inlineStr">
        <is>
          <t>No</t>
        </is>
      </c>
      <c r="I499" s="18" t="inlineStr"/>
      <c r="J499" s="18" t="inlineStr"/>
      <c r="K499" s="18" t="inlineStr"/>
      <c r="L499" s="18" t="inlineStr">
        <is>
          <t>No</t>
        </is>
      </c>
      <c r="M499" s="18" t="inlineStr">
        <is>
          <t>No</t>
        </is>
      </c>
      <c r="N499" s="18" t="inlineStr"/>
      <c r="O499" s="18" t="inlineStr"/>
      <c r="P499" s="18" t="inlineStr">
        <is>
          <t>Mapeada en academic-work-plan-service/src/pta/entities/programa.entity.ts:15 (ProgramaEntity.nombreExcel)</t>
        </is>
      </c>
      <c r="Q499" s="18" t="inlineStr">
        <is>
          <t>Código fuente (verificado)</t>
        </is>
      </c>
      <c r="R499" s="18" t="inlineStr">
        <is>
          <t>Nombre del programa tal como aparece en la columna nombre_excel_origen de la hoja PROGRAMAS del archivo Excel de carga del catálogo académico; si viene vacío se usa el nombre del programa. Se usa para asociar las asignaturas con su programa al validar la carga.</t>
        </is>
      </c>
      <c r="S499" s="18" t="inlineStr">
        <is>
          <t>Alta</t>
        </is>
      </c>
      <c r="T499" s="18" t="inlineStr">
        <is>
          <t>backend/academic-work-plan-service/src/pta/asignaturas-import/parsers/excel-parser.service.ts:108: hoja PROGRAMAS del archivo Excel | backend/academic-work-plan-service/src/pta/asignaturas-import/parsers/excel-parser.service.ts:233: nombre_excel_origen | backend/academic-work-plan-service/src/pta/asignaturas-import/asignaturas-import.service.ts:820: nombre_excel = nombre_excel_origen o nombre_programa | backend/academic-work-plan-service/src/pta/asignaturas-import/validators/import.validator.ts:263: nombre_excel_origen se usa como identidad del programa para conciliar las asignaturas</t>
        </is>
      </c>
      <c r="U499" s="18" t="inlineStr"/>
      <c r="V499" s="19" t="inlineStr">
        <is>
          <t>Aprobada</t>
        </is>
      </c>
      <c r="W499" s="19" t="inlineStr"/>
      <c r="X499" s="19" t="inlineStr">
        <is>
          <t>Aldair González (aprobación en bloque)</t>
        </is>
      </c>
      <c r="Y499" s="20" t="n">
        <v>46321</v>
      </c>
      <c r="Z499" s="19" t="inlineStr">
        <is>
          <t>Nivel 3: verificada con el código de la aplicación.</t>
        </is>
      </c>
      <c r="AA499" s="18">
        <f>IF(OR(V499="Aprobada"),R499,IF(AND(OR(V499="Aprobada con ajuste",V499="Rechazada"),W499&lt;&gt;""),W499,""))</f>
        <v/>
      </c>
    </row>
    <row r="500">
      <c r="A500" s="18" t="inlineStr">
        <is>
          <t>C0499</t>
        </is>
      </c>
      <c r="B500" s="18" t="inlineStr">
        <is>
          <t>Plan de trabajo académico</t>
        </is>
      </c>
      <c r="C500" s="18" t="inlineStr">
        <is>
          <t>academic_work_plan</t>
        </is>
      </c>
      <c r="D500" s="18" t="inlineStr">
        <is>
          <t>programa</t>
        </is>
      </c>
      <c r="E500" s="18" t="n">
        <v>20</v>
      </c>
      <c r="F500" s="18" t="inlineStr">
        <is>
          <t>nombre_corto</t>
        </is>
      </c>
      <c r="G500" s="18" t="inlineStr">
        <is>
          <t>character varying(30)</t>
        </is>
      </c>
      <c r="H500" s="18" t="inlineStr">
        <is>
          <t>No</t>
        </is>
      </c>
      <c r="I500" s="18" t="inlineStr"/>
      <c r="J500" s="18" t="inlineStr"/>
      <c r="K500" s="18" t="inlineStr"/>
      <c r="L500" s="18" t="inlineStr">
        <is>
          <t>No</t>
        </is>
      </c>
      <c r="M500" s="18" t="inlineStr">
        <is>
          <t>No</t>
        </is>
      </c>
      <c r="N500" s="18" t="inlineStr"/>
      <c r="O500" s="18" t="inlineStr"/>
      <c r="P500" s="18" t="inlineStr">
        <is>
          <t>Mapeada en academic-work-plan-service/src/pta/entities/programa.entity.ts:18 (ProgramaEntity.nombreCorto)</t>
        </is>
      </c>
      <c r="Q500" s="18" t="inlineStr">
        <is>
          <t>Propuesta semántica</t>
        </is>
      </c>
      <c r="R500" s="18" t="inlineStr">
        <is>
          <t>Nombre abreviado del programa.</t>
        </is>
      </c>
      <c r="S500" s="18" t="inlineStr">
        <is>
          <t>Alta</t>
        </is>
      </c>
      <c r="T500" s="18" t="inlineStr">
        <is>
          <t>nombre + tipo + columnas vecinas</t>
        </is>
      </c>
      <c r="U500" s="18" t="inlineStr"/>
      <c r="V500" s="19" t="inlineStr">
        <is>
          <t>Aprobada</t>
        </is>
      </c>
      <c r="W500" s="19" t="inlineStr"/>
      <c r="X500" s="19" t="inlineStr">
        <is>
          <t>Aldair González (aprobación en bloque)</t>
        </is>
      </c>
      <c r="Y500" s="20" t="n">
        <v>46321</v>
      </c>
      <c r="Z500" s="19" t="inlineStr">
        <is>
          <t>Nivel 1: propuesta del comentario del desarrollador o de confianza alta, o regla de fecha/responsable/motivo.</t>
        </is>
      </c>
      <c r="AA500" s="18">
        <f>IF(OR(V500="Aprobada"),R500,IF(AND(OR(V500="Aprobada con ajuste",V500="Rechazada"),W500&lt;&gt;""),W500,""))</f>
        <v/>
      </c>
    </row>
    <row r="501">
      <c r="A501" s="18" t="inlineStr">
        <is>
          <t>C0500</t>
        </is>
      </c>
      <c r="B501" s="18" t="inlineStr">
        <is>
          <t>Plan de trabajo académico</t>
        </is>
      </c>
      <c r="C501" s="18" t="inlineStr">
        <is>
          <t>academic_work_plan</t>
        </is>
      </c>
      <c r="D501" s="18" t="inlineStr">
        <is>
          <t>programa</t>
        </is>
      </c>
      <c r="E501" s="18" t="n">
        <v>20</v>
      </c>
      <c r="F501" s="18" t="inlineStr">
        <is>
          <t>tipo</t>
        </is>
      </c>
      <c r="G501" s="18" t="inlineStr">
        <is>
          <t>character varying(20)</t>
        </is>
      </c>
      <c r="H501" s="18" t="inlineStr">
        <is>
          <t>No</t>
        </is>
      </c>
      <c r="I501" s="18" t="inlineStr">
        <is>
          <t>CHECK</t>
        </is>
      </c>
      <c r="J501" s="18" t="inlineStr">
        <is>
          <t>doctorado, especializacion, maestria, pregrado, tecnico_profesional, tecnologico</t>
        </is>
      </c>
      <c r="K501" s="18" t="inlineStr"/>
      <c r="L501" s="18" t="inlineStr">
        <is>
          <t>Sí</t>
        </is>
      </c>
      <c r="M501" s="18" t="inlineStr">
        <is>
          <t>No</t>
        </is>
      </c>
      <c r="N501" s="18" t="inlineStr"/>
      <c r="O501" s="18" t="inlineStr">
        <is>
          <t>idx_programa_tipo</t>
        </is>
      </c>
      <c r="P501" s="18" t="inlineStr">
        <is>
          <t>academic-work-plan-service/src/pta/entities/programa.entity.ts:28: 'pregrado' | 'especializacion' | 'maestria' | academic-schedule-service/src/catalogo/entities/programa.readonly.entity.ts:27: 'pregrado' | 'tecnico_profesional' | 'tecnologico' | 'especializacion' | 'maestria' | 'doctorado' | auth-service/src/programas/programa.entity.ts:23: 'pregrado' | 'especializacion' | 'maestria'</t>
        </is>
      </c>
      <c r="Q501" s="18" t="inlineStr">
        <is>
          <t>Código fuente</t>
        </is>
      </c>
      <c r="R501" s="18" t="inlineStr">
        <is>
          <t>Nivel de formación del programa académico. Valores permitidos: pregrado, tecnico_profesional, tecnologico, especializacion, maestria, doctorado.</t>
        </is>
      </c>
      <c r="S501" s="18" t="inlineStr">
        <is>
          <t>Alta</t>
        </is>
      </c>
      <c r="T501" s="18" t="inlineStr">
        <is>
          <t>código: academic-schedule-service/src/catalogo/entities/programa.readonly.entity.ts:27</t>
        </is>
      </c>
      <c r="U501" s="18" t="inlineStr"/>
      <c r="V501" s="19" t="inlineStr">
        <is>
          <t>Aprobada</t>
        </is>
      </c>
      <c r="W501" s="19" t="inlineStr"/>
      <c r="X501" s="19" t="inlineStr">
        <is>
          <t>Aldair González (aprobación en bloque)</t>
        </is>
      </c>
      <c r="Y501" s="20" t="n">
        <v>46321</v>
      </c>
      <c r="Z501" s="19" t="inlineStr">
        <is>
          <t>Nivel 1: propuesta del comentario del desarrollador o de confianza alta, o regla de fecha/responsable/motivo.</t>
        </is>
      </c>
      <c r="AA501" s="18">
        <f>IF(OR(V501="Aprobada"),R501,IF(AND(OR(V501="Aprobada con ajuste",V501="Rechazada"),W501&lt;&gt;""),W501,""))</f>
        <v/>
      </c>
    </row>
    <row r="502">
      <c r="A502" s="18" t="inlineStr">
        <is>
          <t>C0501</t>
        </is>
      </c>
      <c r="B502" s="18" t="inlineStr">
        <is>
          <t>Plan de trabajo académico</t>
        </is>
      </c>
      <c r="C502" s="18" t="inlineStr">
        <is>
          <t>academic_work_plan</t>
        </is>
      </c>
      <c r="D502" s="18" t="inlineStr">
        <is>
          <t>programa</t>
        </is>
      </c>
      <c r="E502" s="18" t="n">
        <v>20</v>
      </c>
      <c r="F502" s="18" t="inlineStr">
        <is>
          <t>modalidad</t>
        </is>
      </c>
      <c r="G502" s="18" t="inlineStr">
        <is>
          <t>character varying(20)</t>
        </is>
      </c>
      <c r="H502" s="18" t="inlineStr">
        <is>
          <t>No</t>
        </is>
      </c>
      <c r="I502" s="18" t="inlineStr">
        <is>
          <t>CHECK</t>
        </is>
      </c>
      <c r="J502" s="18" t="inlineStr">
        <is>
          <t>distancia, mixto, presencial</t>
        </is>
      </c>
      <c r="K502" s="18" t="inlineStr"/>
      <c r="L502" s="18" t="inlineStr">
        <is>
          <t>Sí</t>
        </is>
      </c>
      <c r="M502" s="18" t="inlineStr">
        <is>
          <t>No</t>
        </is>
      </c>
      <c r="N502" s="18" t="inlineStr"/>
      <c r="O502" s="18" t="inlineStr"/>
      <c r="P502" s="18" t="inlineStr">
        <is>
          <t>academic-work-plan-service/src/pta/entities/programa.entity.ts:31: 'presencial' | 'distancia' | 'mixto' | auth-service/src/programas/programa.entity.ts:26: 'presencial' | 'distancia' | 'mixto'</t>
        </is>
      </c>
      <c r="Q502" s="18" t="inlineStr">
        <is>
          <t>Código fuente</t>
        </is>
      </c>
      <c r="R502" s="18" t="inlineStr">
        <is>
          <t>Modalidad del programa académico. Valores permitidos: presencial, distancia, mixto.</t>
        </is>
      </c>
      <c r="S502" s="18" t="inlineStr">
        <is>
          <t>Alta</t>
        </is>
      </c>
      <c r="T502" s="18" t="inlineStr">
        <is>
          <t>código: academic-work-plan-service/src/pta/entities/programa.entity.ts:31</t>
        </is>
      </c>
      <c r="U502" s="18" t="inlineStr"/>
      <c r="V502" s="19" t="inlineStr">
        <is>
          <t>Aprobada</t>
        </is>
      </c>
      <c r="W502" s="19" t="inlineStr"/>
      <c r="X502" s="19" t="inlineStr">
        <is>
          <t>Aldair González (aprobación en bloque)</t>
        </is>
      </c>
      <c r="Y502" s="20" t="n">
        <v>46321</v>
      </c>
      <c r="Z502" s="19" t="inlineStr">
        <is>
          <t>Nivel 1: propuesta del comentario del desarrollador o de confianza alta, o regla de fecha/responsable/motivo.</t>
        </is>
      </c>
      <c r="AA502" s="18">
        <f>IF(OR(V502="Aprobada"),R502,IF(AND(OR(V502="Aprobada con ajuste",V502="Rechazada"),W502&lt;&gt;""),W502,""))</f>
        <v/>
      </c>
    </row>
    <row r="503">
      <c r="A503" s="18" t="inlineStr">
        <is>
          <t>C0502</t>
        </is>
      </c>
      <c r="B503" s="18" t="inlineStr">
        <is>
          <t>Plan de trabajo académico</t>
        </is>
      </c>
      <c r="C503" s="18" t="inlineStr">
        <is>
          <t>academic_work_plan</t>
        </is>
      </c>
      <c r="D503" s="18" t="inlineStr">
        <is>
          <t>programa</t>
        </is>
      </c>
      <c r="E503" s="18" t="n">
        <v>20</v>
      </c>
      <c r="F503" s="18" t="inlineStr">
        <is>
          <t>horas_base_por_credito</t>
        </is>
      </c>
      <c r="G503" s="18" t="inlineStr">
        <is>
          <t>integer</t>
        </is>
      </c>
      <c r="H503" s="18" t="inlineStr">
        <is>
          <t>No</t>
        </is>
      </c>
      <c r="I503" s="18" t="inlineStr"/>
      <c r="J503" s="18" t="inlineStr"/>
      <c r="K503" s="18" t="inlineStr"/>
      <c r="L503" s="18" t="inlineStr">
        <is>
          <t>No</t>
        </is>
      </c>
      <c r="M503" s="18" t="inlineStr">
        <is>
          <t>No</t>
        </is>
      </c>
      <c r="N503" s="18" t="inlineStr"/>
      <c r="O503" s="18" t="inlineStr"/>
      <c r="P503" s="18" t="inlineStr">
        <is>
          <t>Mapeada en academic-work-plan-service/src/pta/entities/programa.entity.ts:34 (ProgramaEntity.horasBasePorCredito)</t>
        </is>
      </c>
      <c r="Q503" s="18" t="inlineStr">
        <is>
          <t>Código fuente (verificado)</t>
        </is>
      </c>
      <c r="R503" s="18" t="inlineStr">
        <is>
          <t>Factor de horas por crédito con el que se calculan las horas de cada asignatura en el plan de trabajo académico del docente (créditos × factor × 3), según la Circular 003. Por defecto, 16.</t>
        </is>
      </c>
      <c r="S503" s="18" t="inlineStr">
        <is>
          <t>Alta</t>
        </is>
      </c>
      <c r="T503" s="18" t="inlineStr">
        <is>
          <t>backend/academic-work-plan-service/src/pta/horas-pta.calculator.ts:33: resto de asignaturas: créditos × factor × 3; el factor 16 o 12 viene de la base de datos | backend/academic-work-plan-service/src/pta/asignaturas-import/asignaturas-import.service.ts:812: si el valor no es válido se usa 16 | backend/academic-work-plan-service/src/pta/asignaturas-import/parsers/excel-parser.service.ts:294: textos «16h por credito» y «12h por credito» por tipo de programa</t>
        </is>
      </c>
      <c r="U503" s="18" t="inlineStr"/>
      <c r="V503" s="19" t="inlineStr">
        <is>
          <t>Aprobada</t>
        </is>
      </c>
      <c r="W503" s="19" t="inlineStr"/>
      <c r="X503" s="19" t="inlineStr">
        <is>
          <t>Aldair González (aprobación en bloque)</t>
        </is>
      </c>
      <c r="Y503" s="20" t="n">
        <v>46321</v>
      </c>
      <c r="Z503" s="19" t="inlineStr">
        <is>
          <t>Nivel 3: verificada con el código de la aplicación.</t>
        </is>
      </c>
      <c r="AA503" s="18">
        <f>IF(OR(V503="Aprobada"),R503,IF(AND(OR(V503="Aprobada con ajuste",V503="Rechazada"),W503&lt;&gt;""),W503,""))</f>
        <v/>
      </c>
    </row>
    <row r="504">
      <c r="A504" s="18" t="inlineStr">
        <is>
          <t>C0503</t>
        </is>
      </c>
      <c r="B504" s="18" t="inlineStr">
        <is>
          <t>Plan de trabajo académico</t>
        </is>
      </c>
      <c r="C504" s="18" t="inlineStr">
        <is>
          <t>academic_work_plan</t>
        </is>
      </c>
      <c r="D504" s="18" t="inlineStr">
        <is>
          <t>programa</t>
        </is>
      </c>
      <c r="E504" s="18" t="n">
        <v>20</v>
      </c>
      <c r="F504" s="18" t="inlineStr">
        <is>
          <t>horas_pregrado_central</t>
        </is>
      </c>
      <c r="G504" s="18" t="inlineStr">
        <is>
          <t>integer</t>
        </is>
      </c>
      <c r="H504" s="18" t="inlineStr">
        <is>
          <t>Sí</t>
        </is>
      </c>
      <c r="I504" s="18" t="inlineStr"/>
      <c r="J504" s="18" t="inlineStr"/>
      <c r="K504" s="18" t="inlineStr"/>
      <c r="L504" s="18" t="inlineStr">
        <is>
          <t>No</t>
        </is>
      </c>
      <c r="M504" s="18" t="inlineStr">
        <is>
          <t>No</t>
        </is>
      </c>
      <c r="N504" s="18" t="inlineStr"/>
      <c r="O504" s="18" t="inlineStr"/>
      <c r="P504" s="18" t="inlineStr">
        <is>
          <t>Mapeada en academic-work-plan-service/src/pta/entities/programa.entity.ts:37 (ProgramaEntity.horasPregradoCentral)</t>
        </is>
      </c>
      <c r="Q504" s="18" t="inlineStr">
        <is>
          <t>Código fuente (verificado)</t>
        </is>
      </c>
      <c r="R504" s="18" t="inlineStr">
        <is>
          <t>Horas clase fijas de las asignaturas de los pregrados de la sede central. Si es mayor que cero, las horas de la asignatura en el plan de trabajo académico son este valor × 3 y no se calculan por crédito; nulo o cero indica que no aplica.</t>
        </is>
      </c>
      <c r="S504" s="18" t="inlineStr">
        <is>
          <t>Alta</t>
        </is>
      </c>
      <c r="T504" s="18" t="inlineStr">
        <is>
          <t>backend/academic-work-plan-service/src/pta/horas-pta.calculator.ts:26: pregrados centrales con horas fijas de clase | backend/academic-work-plan-service/src/pta/horas-pta.calculator.ts:29: si es &gt; 0 devuelve horasPregradoCentral × 3; el 0 equivale a «no aplica» | backend/academic-work-plan-service/src/pta/asignaturas-import/parsers/excel-parser.service.ts:206: viene de la columna horas_pregrado_central de la hoja PROGRAMAS</t>
        </is>
      </c>
      <c r="U504" s="18" t="inlineStr"/>
      <c r="V504" s="19" t="inlineStr">
        <is>
          <t>Aprobada</t>
        </is>
      </c>
      <c r="W504" s="19" t="inlineStr"/>
      <c r="X504" s="19" t="inlineStr">
        <is>
          <t>Aldair González (aprobación en bloque)</t>
        </is>
      </c>
      <c r="Y504" s="20" t="n">
        <v>46321</v>
      </c>
      <c r="Z504" s="19" t="inlineStr">
        <is>
          <t>Nivel 3: verificada con el código de la aplicación.</t>
        </is>
      </c>
      <c r="AA504" s="18">
        <f>IF(OR(V504="Aprobada"),R504,IF(AND(OR(V504="Aprobada con ajuste",V504="Rechazada"),W504&lt;&gt;""),W504,""))</f>
        <v/>
      </c>
    </row>
    <row r="505">
      <c r="A505" s="18" t="inlineStr">
        <is>
          <t>C0504</t>
        </is>
      </c>
      <c r="B505" s="18" t="inlineStr">
        <is>
          <t>Plan de trabajo académico</t>
        </is>
      </c>
      <c r="C505" s="18" t="inlineStr">
        <is>
          <t>academic_work_plan</t>
        </is>
      </c>
      <c r="D505" s="18" t="inlineStr">
        <is>
          <t>programa</t>
        </is>
      </c>
      <c r="E505" s="18" t="n">
        <v>20</v>
      </c>
      <c r="F505" s="18" t="inlineStr">
        <is>
          <t>activo</t>
        </is>
      </c>
      <c r="G505" s="18" t="inlineStr">
        <is>
          <t>boolean</t>
        </is>
      </c>
      <c r="H505" s="18" t="inlineStr">
        <is>
          <t>No</t>
        </is>
      </c>
      <c r="I505" s="18" t="inlineStr"/>
      <c r="J505" s="18" t="inlineStr"/>
      <c r="K505" s="18" t="inlineStr"/>
      <c r="L505" s="18" t="inlineStr">
        <is>
          <t>No</t>
        </is>
      </c>
      <c r="M505" s="18" t="inlineStr">
        <is>
          <t>No</t>
        </is>
      </c>
      <c r="N505" s="18" t="inlineStr"/>
      <c r="O505" s="18" t="inlineStr"/>
      <c r="P505" s="18" t="inlineStr">
        <is>
          <t>Mapeada en academic-work-plan-service/src/pta/entities/programa.entity.ts:52 (ProgramaEntity.activo)</t>
        </is>
      </c>
      <c r="Q505" s="18" t="inlineStr">
        <is>
          <t>Regla estructural (redacción revisada)</t>
        </is>
      </c>
      <c r="R505" s="18" t="inlineStr">
        <is>
          <t>Indica si el programa está activo.</t>
        </is>
      </c>
      <c r="S505" s="18" t="inlineStr">
        <is>
          <t>Alta</t>
        </is>
      </c>
      <c r="T505" s="18" t="inlineStr">
        <is>
          <t>Convención de nombre, redactada con el contexto de la tabla y el código.</t>
        </is>
      </c>
      <c r="U505" s="18" t="inlineStr"/>
      <c r="V505" s="19" t="inlineStr">
        <is>
          <t>Aprobada</t>
        </is>
      </c>
      <c r="W505" s="19" t="inlineStr"/>
      <c r="X505" s="19" t="inlineStr">
        <is>
          <t>Aldair González (aprobación en bloque)</t>
        </is>
      </c>
      <c r="Y505" s="20" t="n">
        <v>46321</v>
      </c>
      <c r="Z505" s="19" t="inlineStr">
        <is>
          <t>Nivel 2: regla estructural con redacción revisada.</t>
        </is>
      </c>
      <c r="AA505" s="18">
        <f>IF(OR(V505="Aprobada"),R505,IF(AND(OR(V505="Aprobada con ajuste",V505="Rechazada"),W505&lt;&gt;""),W505,""))</f>
        <v/>
      </c>
    </row>
    <row r="506">
      <c r="A506" s="18" t="inlineStr">
        <is>
          <t>C0505</t>
        </is>
      </c>
      <c r="B506" s="18" t="inlineStr">
        <is>
          <t>Plan de trabajo académico</t>
        </is>
      </c>
      <c r="C506" s="18" t="inlineStr">
        <is>
          <t>academic_work_plan</t>
        </is>
      </c>
      <c r="D506" s="18" t="inlineStr">
        <is>
          <t>programa</t>
        </is>
      </c>
      <c r="E506" s="18" t="n">
        <v>20</v>
      </c>
      <c r="F506" s="18" t="inlineStr">
        <is>
          <t>deleted_at</t>
        </is>
      </c>
      <c r="G506" s="18" t="inlineStr">
        <is>
          <t>timestamp without time zone</t>
        </is>
      </c>
      <c r="H506" s="18" t="inlineStr">
        <is>
          <t>Sí</t>
        </is>
      </c>
      <c r="I506" s="18" t="inlineStr"/>
      <c r="J506" s="18" t="inlineStr"/>
      <c r="K506" s="18" t="inlineStr"/>
      <c r="L506" s="18" t="inlineStr">
        <is>
          <t>No</t>
        </is>
      </c>
      <c r="M506" s="18" t="inlineStr">
        <is>
          <t>No</t>
        </is>
      </c>
      <c r="N506" s="18" t="inlineStr"/>
      <c r="O506" s="18" t="inlineStr"/>
      <c r="P506" s="18" t="inlineStr">
        <is>
          <t>Mapeada en academic-work-plan-service/src/pta/entities/programa.entity.ts:67 (ProgramaEntity.deletedAt)</t>
        </is>
      </c>
      <c r="Q506" s="18" t="inlineStr">
        <is>
          <t>Regla estructural</t>
        </is>
      </c>
      <c r="R506" s="18" t="inlineStr">
        <is>
          <t>Fecha y hora de la eliminación.</t>
        </is>
      </c>
      <c r="S506" s="18" t="inlineStr">
        <is>
          <t>Media</t>
        </is>
      </c>
      <c r="T506" s="18" t="inlineStr">
        <is>
          <t>Convención de nombre de la columna.</t>
        </is>
      </c>
      <c r="U506" s="18" t="inlineStr"/>
      <c r="V506" s="19" t="inlineStr">
        <is>
          <t>Aprobada</t>
        </is>
      </c>
      <c r="W506" s="19" t="inlineStr"/>
      <c r="X506" s="19" t="inlineStr">
        <is>
          <t>Aldair González (aprobación en bloque)</t>
        </is>
      </c>
      <c r="Y506" s="20" t="n">
        <v>46321</v>
      </c>
      <c r="Z506" s="19" t="inlineStr">
        <is>
          <t>Nivel 1: propuesta del comentario del desarrollador o de confianza alta, o regla de fecha/responsable/motivo.</t>
        </is>
      </c>
      <c r="AA506" s="18">
        <f>IF(OR(V506="Aprobada"),R506,IF(AND(OR(V506="Aprobada con ajuste",V506="Rechazada"),W506&lt;&gt;""),W506,""))</f>
        <v/>
      </c>
    </row>
    <row r="507">
      <c r="A507" s="18" t="inlineStr">
        <is>
          <t>C0506</t>
        </is>
      </c>
      <c r="B507" s="18" t="inlineStr">
        <is>
          <t>Plan de trabajo académico</t>
        </is>
      </c>
      <c r="C507" s="18" t="inlineStr">
        <is>
          <t>academic_work_plan</t>
        </is>
      </c>
      <c r="D507" s="18" t="inlineStr">
        <is>
          <t>programa</t>
        </is>
      </c>
      <c r="E507" s="18" t="n">
        <v>20</v>
      </c>
      <c r="F507" s="18" t="inlineStr">
        <is>
          <t>deleted_by</t>
        </is>
      </c>
      <c r="G507" s="18" t="inlineStr">
        <is>
          <t>bigint</t>
        </is>
      </c>
      <c r="H507" s="18" t="inlineStr">
        <is>
          <t>Sí</t>
        </is>
      </c>
      <c r="I507" s="18" t="inlineStr"/>
      <c r="J507" s="18" t="inlineStr"/>
      <c r="K507" s="18" t="inlineStr"/>
      <c r="L507" s="18" t="inlineStr">
        <is>
          <t>No</t>
        </is>
      </c>
      <c r="M507" s="18" t="inlineStr">
        <is>
          <t>No</t>
        </is>
      </c>
      <c r="N507" s="18" t="inlineStr"/>
      <c r="O507" s="18" t="inlineStr"/>
      <c r="P507" s="18" t="inlineStr">
        <is>
          <t>Mapeada en academic-work-plan-service/src/pta/entities/programa.entity.ts:70 (ProgramaEntity.deletedBy)</t>
        </is>
      </c>
      <c r="Q507" s="18" t="inlineStr">
        <is>
          <t>Código fuente (verificado)</t>
        </is>
      </c>
      <c r="R507" s="18" t="inlineStr">
        <is>
          <t>Identificador del usuario que eliminó lógicamente el registro.</t>
        </is>
      </c>
      <c r="S507" s="18" t="inlineStr">
        <is>
          <t>Media</t>
        </is>
      </c>
      <c r="T507" s="18" t="inlineStr">
        <is>
          <t>backend/academic-work-plan-service/src/pta/entities/programa.entity.ts:70: columna bigint mapeada como deletedBy, sin relación declarada | db/migrations/326_create_catalog_tables.sql: deleted_by BIGINT sin FK | ningún servicio del academic-work-plan-service asigna deleted_by (búsqueda de deleted_by/deletedBy)</t>
        </is>
      </c>
      <c r="U507" s="18" t="inlineStr">
        <is>
          <t>¿deleted_by guarda el id de auth."user" (id_user) u otro identificador? Ningún servicio escribe la columna; ¿se usa la eliminación lógica de esta tabla?</t>
        </is>
      </c>
      <c r="V507" s="19" t="inlineStr">
        <is>
          <t>Aprobada</t>
        </is>
      </c>
      <c r="W507" s="19" t="inlineStr"/>
      <c r="X507" s="19" t="inlineStr">
        <is>
          <t>Aldair González (validación del responsable de BD)</t>
        </is>
      </c>
      <c r="Y507" s="20" t="n">
        <v>46321</v>
      </c>
      <c r="Z507" s="19" t="inlineStr">
        <is>
          <t>Nivel 3: validada por decisión del responsable de la base de datos. Pregunta registrada para desarrollo: ¿deleted_by guarda el id de auth."user" (id_user) u otro identificador? Ningún servicio escribe la columna; ¿se usa la eliminación lógica de esta tabla?</t>
        </is>
      </c>
      <c r="AA507" s="18">
        <f>IF(OR(V507="Aprobada"),R507,IF(AND(OR(V507="Aprobada con ajuste",V507="Rechazada"),W507&lt;&gt;""),W507,""))</f>
        <v/>
      </c>
    </row>
    <row r="508">
      <c r="A508" s="18" t="inlineStr">
        <is>
          <t>C0507</t>
        </is>
      </c>
      <c r="B508" s="18" t="inlineStr">
        <is>
          <t>Plan de trabajo académico</t>
        </is>
      </c>
      <c r="C508" s="18" t="inlineStr">
        <is>
          <t>academic_work_plan</t>
        </is>
      </c>
      <c r="D508" s="18" t="inlineStr">
        <is>
          <t>programa</t>
        </is>
      </c>
      <c r="E508" s="18" t="n">
        <v>20</v>
      </c>
      <c r="F508" s="18" t="inlineStr">
        <is>
          <t>categoria_horas_circular003</t>
        </is>
      </c>
      <c r="G508" s="18" t="inlineStr">
        <is>
          <t>character varying(50)</t>
        </is>
      </c>
      <c r="H508" s="18" t="inlineStr">
        <is>
          <t>Sí</t>
        </is>
      </c>
      <c r="I508" s="18" t="inlineStr"/>
      <c r="J508" s="18" t="inlineStr"/>
      <c r="K508" s="18" t="inlineStr"/>
      <c r="L508" s="18" t="inlineStr">
        <is>
          <t>No</t>
        </is>
      </c>
      <c r="M508" s="18" t="inlineStr">
        <is>
          <t>No</t>
        </is>
      </c>
      <c r="N508" s="18" t="inlineStr"/>
      <c r="O508" s="18" t="inlineStr"/>
      <c r="P508" s="18" t="inlineStr">
        <is>
          <t>Mapeada en academic-work-plan-service/src/pta/entities/programa.entity.ts:40 (ProgramaEntity.categoriaHorasCircular003)</t>
        </is>
      </c>
      <c r="Q508" s="18" t="inlineStr">
        <is>
          <t>Código fuente (verificado)</t>
        </is>
      </c>
      <c r="R508" s="18" t="inlineStr">
        <is>
          <t>Categoría de horas del programa según la Circular 003: pregrado_sede_central, pregrado_territorial, especializacion o maestria. Se toma del archivo de carga (en minúsculas) o se infiere del tipo de programa y de las horas de pregrado central.</t>
        </is>
      </c>
      <c r="S508" s="18" t="inlineStr">
        <is>
          <t>Alta</t>
        </is>
      </c>
      <c r="T508" s="18" t="inlineStr">
        <is>
          <t>backend/academic-work-plan-service/src/pta/asignaturas-import/parsers/excel-parser.service.ts:265: inferCategoriaCircular003 devuelve pregrado_sede_central, maestria, especializacion o pregrado_territorial | backend/academic-work-plan-service/src/pta/asignaturas-import/parsers/excel-parser.service.ts:213: el valor explícito del archivo se pasa a minúsculas | db/migrations/393_expand_academic_catalog_pensum.sql:36: completa los mismos cuatro valores</t>
        </is>
      </c>
      <c r="U508" s="18" t="inlineStr"/>
      <c r="V508" s="19" t="inlineStr">
        <is>
          <t>Aprobada</t>
        </is>
      </c>
      <c r="W508" s="19" t="inlineStr"/>
      <c r="X508" s="19" t="inlineStr">
        <is>
          <t>Aldair González (aprobación en bloque)</t>
        </is>
      </c>
      <c r="Y508" s="20" t="n">
        <v>46321</v>
      </c>
      <c r="Z508" s="19" t="inlineStr">
        <is>
          <t>Nivel 3: verificada con el código de la aplicación.</t>
        </is>
      </c>
      <c r="AA508" s="18">
        <f>IF(OR(V508="Aprobada"),R508,IF(AND(OR(V508="Aprobada con ajuste",V508="Rechazada"),W508&lt;&gt;""),W508,""))</f>
        <v/>
      </c>
    </row>
    <row r="509">
      <c r="A509" s="18" t="inlineStr">
        <is>
          <t>C0508</t>
        </is>
      </c>
      <c r="B509" s="18" t="inlineStr">
        <is>
          <t>Plan de trabajo académico</t>
        </is>
      </c>
      <c r="C509" s="18" t="inlineStr">
        <is>
          <t>academic_work_plan</t>
        </is>
      </c>
      <c r="D509" s="18" t="inlineStr">
        <is>
          <t>programa</t>
        </is>
      </c>
      <c r="E509" s="18" t="n">
        <v>20</v>
      </c>
      <c r="F509" s="18" t="inlineStr">
        <is>
          <t>descripcion_categoria_circular003</t>
        </is>
      </c>
      <c r="G509" s="18" t="inlineStr">
        <is>
          <t>text</t>
        </is>
      </c>
      <c r="H509" s="18" t="inlineStr">
        <is>
          <t>Sí</t>
        </is>
      </c>
      <c r="I509" s="18" t="inlineStr"/>
      <c r="J509" s="18" t="inlineStr"/>
      <c r="K509" s="18" t="inlineStr"/>
      <c r="L509" s="18" t="inlineStr">
        <is>
          <t>No</t>
        </is>
      </c>
      <c r="M509" s="18" t="inlineStr">
        <is>
          <t>No</t>
        </is>
      </c>
      <c r="N509" s="18" t="inlineStr"/>
      <c r="O509" s="18" t="inlineStr"/>
      <c r="P509" s="18" t="inlineStr">
        <is>
          <t>Mapeada en academic-work-plan-service/src/pta/entities/programa.entity.ts:43 (ProgramaEntity.descripcionCategoriaCircular003)</t>
        </is>
      </c>
      <c r="Q509" s="18" t="inlineStr">
        <is>
          <t>Código fuente (verificado)</t>
        </is>
      </c>
      <c r="R509" s="18" t="inlineStr">
        <is>
          <t>Descripción de la categoría de horas del programa según la Circular 003. Se toma del archivo de carga o, si no viene, el sistema asigna un texto fijo según la categoría.</t>
        </is>
      </c>
      <c r="S509" s="18" t="inlineStr">
        <is>
          <t>Alta</t>
        </is>
      </c>
      <c r="T509" s="18" t="inlineStr">
        <is>
          <t>backend/academic-work-plan-service/src/pta/asignaturas-import/parsers/excel-parser.service.ts:216: valor explícito de la columna descripcion_categoria_circular003 | backend/academic-work-plan-service/src/pta/asignaturas-import/parsers/excel-parser.service.ts:285: inferDescripcionCircular003 asigna textos fijos por categoría | backend/academic-work-plan-service/src/pta/asignaturas-import/asignaturas-import.service.ts:806: en recargas conserva el valor anterior si el nuevo viene vacío</t>
        </is>
      </c>
      <c r="U509" s="18" t="inlineStr"/>
      <c r="V509" s="19" t="inlineStr">
        <is>
          <t>Aprobada</t>
        </is>
      </c>
      <c r="W509" s="19" t="inlineStr"/>
      <c r="X509" s="19" t="inlineStr">
        <is>
          <t>Aldair González (aprobación en bloque)</t>
        </is>
      </c>
      <c r="Y509" s="20" t="n">
        <v>46321</v>
      </c>
      <c r="Z509" s="19" t="inlineStr">
        <is>
          <t>Nivel 3: verificada con el código de la aplicación.</t>
        </is>
      </c>
      <c r="AA509" s="18">
        <f>IF(OR(V509="Aprobada"),R509,IF(AND(OR(V509="Aprobada con ajuste",V509="Rechazada"),W509&lt;&gt;""),W509,""))</f>
        <v/>
      </c>
    </row>
    <row r="510">
      <c r="A510" s="18" t="inlineStr">
        <is>
          <t>C0509</t>
        </is>
      </c>
      <c r="B510" s="18" t="inlineStr">
        <is>
          <t>Plan de trabajo académico</t>
        </is>
      </c>
      <c r="C510" s="18" t="inlineStr">
        <is>
          <t>academic_work_plan</t>
        </is>
      </c>
      <c r="D510" s="18" t="inlineStr">
        <is>
          <t>programa</t>
        </is>
      </c>
      <c r="E510" s="18" t="n">
        <v>20</v>
      </c>
      <c r="F510" s="18" t="inlineStr">
        <is>
          <t>horas_pta_referencia_circular003</t>
        </is>
      </c>
      <c r="G510" s="18" t="inlineStr">
        <is>
          <t>character varying(150)</t>
        </is>
      </c>
      <c r="H510" s="18" t="inlineStr">
        <is>
          <t>Sí</t>
        </is>
      </c>
      <c r="I510" s="18" t="inlineStr"/>
      <c r="J510" s="18" t="inlineStr"/>
      <c r="K510" s="18" t="inlineStr"/>
      <c r="L510" s="18" t="inlineStr">
        <is>
          <t>No</t>
        </is>
      </c>
      <c r="M510" s="18" t="inlineStr">
        <is>
          <t>No</t>
        </is>
      </c>
      <c r="N510" s="18" t="inlineStr"/>
      <c r="O510" s="18" t="inlineStr"/>
      <c r="P510" s="18" t="inlineStr">
        <is>
          <t>Mapeada en academic-work-plan-service/src/pta/entities/programa.entity.ts:46 (ProgramaEntity.horasPtaReferenciaCircular003)</t>
        </is>
      </c>
      <c r="Q510" s="18" t="inlineStr">
        <is>
          <t>Código fuente (verificado)</t>
        </is>
      </c>
      <c r="R510" s="18" t="inlineStr">
        <is>
          <t>Horas de referencia del plan de trabajo académico para el programa según la Circular 003, en texto, tal como vienen en el archivo de carga.</t>
        </is>
      </c>
      <c r="S510" s="18" t="inlineStr">
        <is>
          <t>Media</t>
        </is>
      </c>
      <c r="T510" s="18" t="inlineStr">
        <is>
          <t>backend/academic-work-plan-service/src/pta/asignaturas-import/parsers/excel-parser.service.ts:241: se lee como texto opcional de la columna horas_pta_referencia_circular003 | backend/academic-work-plan-service/src/pta/asignaturas-import/asignaturas-import.service.ts:807: se guarda sin transformar | db/migrations/393_expand_academic_catalog_pensum.sql:10: VARCHAR(150); ningún cálculo usa la columna</t>
        </is>
      </c>
      <c r="U510" s="18" t="inlineStr">
        <is>
          <t>¿Qué formato tiene el texto de referencia y por qué se guarda como texto y no como número?</t>
        </is>
      </c>
      <c r="V510" s="19" t="inlineStr">
        <is>
          <t>Aprobada</t>
        </is>
      </c>
      <c r="W510" s="19" t="inlineStr"/>
      <c r="X510" s="19" t="inlineStr">
        <is>
          <t>Aldair González (validación del responsable de BD)</t>
        </is>
      </c>
      <c r="Y510" s="20" t="n">
        <v>46321</v>
      </c>
      <c r="Z510" s="19" t="inlineStr">
        <is>
          <t>Nivel 3: validada por decisión del responsable de la base de datos. Pregunta registrada para desarrollo: ¿Qué formato tiene el texto de referencia y por qué se guarda como texto y no como número?</t>
        </is>
      </c>
      <c r="AA510" s="18">
        <f>IF(OR(V510="Aprobada"),R510,IF(AND(OR(V510="Aprobada con ajuste",V510="Rechazada"),W510&lt;&gt;""),W510,""))</f>
        <v/>
      </c>
    </row>
    <row r="511">
      <c r="A511" s="18" t="inlineStr">
        <is>
          <t>C0510</t>
        </is>
      </c>
      <c r="B511" s="18" t="inlineStr">
        <is>
          <t>Plan de trabajo académico</t>
        </is>
      </c>
      <c r="C511" s="18" t="inlineStr">
        <is>
          <t>academic_work_plan</t>
        </is>
      </c>
      <c r="D511" s="18" t="inlineStr">
        <is>
          <t>programa</t>
        </is>
      </c>
      <c r="E511" s="18" t="n">
        <v>20</v>
      </c>
      <c r="F511" s="18" t="inlineStr">
        <is>
          <t>formula_calculo_horas</t>
        </is>
      </c>
      <c r="G511" s="18" t="inlineStr">
        <is>
          <t>text</t>
        </is>
      </c>
      <c r="H511" s="18" t="inlineStr">
        <is>
          <t>Sí</t>
        </is>
      </c>
      <c r="I511" s="18" t="inlineStr"/>
      <c r="J511" s="18" t="inlineStr"/>
      <c r="K511" s="18" t="inlineStr"/>
      <c r="L511" s="18" t="inlineStr">
        <is>
          <t>No</t>
        </is>
      </c>
      <c r="M511" s="18" t="inlineStr">
        <is>
          <t>No</t>
        </is>
      </c>
      <c r="N511" s="18" t="inlineStr"/>
      <c r="O511" s="18" t="inlineStr"/>
      <c r="P511" s="18" t="inlineStr">
        <is>
          <t>Mapeada en academic-work-plan-service/src/pta/entities/programa.entity.ts:49 (ProgramaEntity.formulaCalculoHoras)</t>
        </is>
      </c>
      <c r="Q511" s="18" t="inlineStr">
        <is>
          <t>Código fuente (verificado)</t>
        </is>
      </c>
      <c r="R511" s="18" t="inlineStr">
        <is>
          <t>Fórmula de cálculo de las horas del programa, en texto descriptivo tomado del archivo de carga. El sistema no la interpreta: el cálculo lo hace la lógica del plan de trabajo académico con el factor por crédito y las horas de pregrado central.</t>
        </is>
      </c>
      <c r="S511" s="18" t="inlineStr">
        <is>
          <t>Alta</t>
        </is>
      </c>
      <c r="T511" s="18" t="inlineStr">
        <is>
          <t>backend/academic-work-plan-service/src/pta/asignaturas-import/parsers/excel-parser.service.ts:244: se lee como texto opcional de la columna formula_calculo_horas | backend/academic-work-plan-service/src/pta/asignaturas-import/asignaturas-import.service.ts:808: se guarda sin transformar | backend/academic-work-plan-service/src/pta/horas-pta.calculator.ts:17: calcularHorasPTA no usa la fórmula guardada</t>
        </is>
      </c>
      <c r="U511" s="18" t="inlineStr"/>
      <c r="V511" s="19" t="inlineStr">
        <is>
          <t>Aprobada</t>
        </is>
      </c>
      <c r="W511" s="19" t="inlineStr"/>
      <c r="X511" s="19" t="inlineStr">
        <is>
          <t>Aldair González (aprobación en bloque)</t>
        </is>
      </c>
      <c r="Y511" s="20" t="n">
        <v>46321</v>
      </c>
      <c r="Z511" s="19" t="inlineStr">
        <is>
          <t>Nivel 3: verificada con el código de la aplicación.</t>
        </is>
      </c>
      <c r="AA511" s="18">
        <f>IF(OR(V511="Aprobada"),R511,IF(AND(OR(V511="Aprobada con ajuste",V511="Rechazada"),W511&lt;&gt;""),W511,""))</f>
        <v/>
      </c>
    </row>
    <row r="512">
      <c r="A512" s="18" t="inlineStr">
        <is>
          <t>C0511</t>
        </is>
      </c>
      <c r="B512" s="18" t="inlineStr">
        <is>
          <t>Plan de trabajo académico</t>
        </is>
      </c>
      <c r="C512" s="18" t="inlineStr">
        <is>
          <t>academic_work_plan</t>
        </is>
      </c>
      <c r="D512" s="18" t="inlineStr">
        <is>
          <t>PtaComponentApproval</t>
        </is>
      </c>
      <c r="E512" s="18" t="n">
        <v>99</v>
      </c>
      <c r="F512" s="18" t="inlineStr">
        <is>
          <t>componente</t>
        </is>
      </c>
      <c r="G512" s="18" t="inlineStr">
        <is>
          <t>character varying(100)</t>
        </is>
      </c>
      <c r="H512" s="18" t="inlineStr">
        <is>
          <t>No</t>
        </is>
      </c>
      <c r="I512" s="18" t="inlineStr"/>
      <c r="J512" s="18" t="inlineStr"/>
      <c r="K512" s="18" t="inlineStr"/>
      <c r="L512" s="18" t="inlineStr">
        <is>
          <t>No</t>
        </is>
      </c>
      <c r="M512" s="18" t="inlineStr">
        <is>
          <t>No</t>
        </is>
      </c>
      <c r="N512" s="18" t="inlineStr"/>
      <c r="O512" s="18" t="inlineStr">
        <is>
          <t>uq_pta_componente</t>
        </is>
      </c>
      <c r="P512" s="18" t="inlineStr">
        <is>
          <t>db/migrations/327_create_pta_component_approvals.sql:5: 'academica', 'investigacion', 'ext_capacitacion', 'ext_procesos', 'ext_fortalecimiento', 'ext_gobierno', 'ext_secciones', 'complementarias', 'academicas_admin'</t>
        </is>
      </c>
      <c r="Q512" s="18" t="inlineStr">
        <is>
          <t>Código fuente</t>
        </is>
      </c>
      <c r="R512" s="18" t="inlineStr">
        <is>
          <t>Componente del PTA que se aprueba. Valores previstos: academica, investigacion, ext_capacitacion, ext_procesos, ext_fortalecimiento, ext_gobierno, ext_secciones, complementarias, academicas_admin.</t>
        </is>
      </c>
      <c r="S512" s="18" t="inlineStr">
        <is>
          <t>Alta</t>
        </is>
      </c>
      <c r="T512" s="18" t="inlineStr">
        <is>
          <t>código: db/migrations/327_create_pta_component_approvals.sql:5</t>
        </is>
      </c>
      <c r="U512" s="18" t="inlineStr"/>
      <c r="V512" s="19" t="inlineStr">
        <is>
          <t>Aprobada</t>
        </is>
      </c>
      <c r="W512" s="19" t="inlineStr"/>
      <c r="X512" s="19" t="inlineStr">
        <is>
          <t>Aldair González (aprobación en bloque)</t>
        </is>
      </c>
      <c r="Y512" s="20" t="n">
        <v>46321</v>
      </c>
      <c r="Z512" s="19" t="inlineStr">
        <is>
          <t>Nivel 1: propuesta del comentario del desarrollador o de confianza alta, o regla de fecha/responsable/motivo.</t>
        </is>
      </c>
      <c r="AA512" s="18">
        <f>IF(OR(V512="Aprobada"),R512,IF(AND(OR(V512="Aprobada con ajuste",V512="Rechazada"),W512&lt;&gt;""),W512,""))</f>
        <v/>
      </c>
    </row>
    <row r="513">
      <c r="A513" s="18" t="inlineStr">
        <is>
          <t>C0512</t>
        </is>
      </c>
      <c r="B513" s="18" t="inlineStr">
        <is>
          <t>Plan de trabajo académico</t>
        </is>
      </c>
      <c r="C513" s="18" t="inlineStr">
        <is>
          <t>academic_work_plan</t>
        </is>
      </c>
      <c r="D513" s="18" t="inlineStr">
        <is>
          <t>PtaComponentApproval</t>
        </is>
      </c>
      <c r="E513" s="18" t="n">
        <v>99</v>
      </c>
      <c r="F513" s="18" t="inlineStr">
        <is>
          <t>estado</t>
        </is>
      </c>
      <c r="G513" s="18" t="inlineStr">
        <is>
          <t>character varying(50)</t>
        </is>
      </c>
      <c r="H513" s="18" t="inlineStr">
        <is>
          <t>No</t>
        </is>
      </c>
      <c r="I513" s="18" t="inlineStr"/>
      <c r="J513" s="18" t="inlineStr"/>
      <c r="K513" s="18" t="inlineStr"/>
      <c r="L513" s="18" t="inlineStr">
        <is>
          <t>No</t>
        </is>
      </c>
      <c r="M513" s="18" t="inlineStr">
        <is>
          <t>No</t>
        </is>
      </c>
      <c r="N513" s="18" t="inlineStr"/>
      <c r="O513" s="18" t="inlineStr"/>
      <c r="P513" s="18" t="inlineStr">
        <is>
          <t>db/migrations/327_create_pta_component_approvals.sql:6: 'pendiente', 'aprobado', 'devuelto'</t>
        </is>
      </c>
      <c r="Q513" s="18" t="inlineStr">
        <is>
          <t>Código fuente</t>
        </is>
      </c>
      <c r="R513" s="18" t="inlineStr">
        <is>
          <t>Estado de aprobación del componente. Valores previstos: pendiente, aprobado, devuelto; por defecto pendiente.</t>
        </is>
      </c>
      <c r="S513" s="18" t="inlineStr">
        <is>
          <t>Alta</t>
        </is>
      </c>
      <c r="T513" s="18" t="inlineStr">
        <is>
          <t>código: db/migrations/327_create_pta_component_approvals.sql:6</t>
        </is>
      </c>
      <c r="U513" s="18" t="inlineStr"/>
      <c r="V513" s="19" t="inlineStr">
        <is>
          <t>Aprobada</t>
        </is>
      </c>
      <c r="W513" s="19" t="inlineStr"/>
      <c r="X513" s="19" t="inlineStr">
        <is>
          <t>Aldair González (aprobación en bloque)</t>
        </is>
      </c>
      <c r="Y513" s="20" t="n">
        <v>46321</v>
      </c>
      <c r="Z513" s="19" t="inlineStr">
        <is>
          <t>Nivel 1: propuesta del comentario del desarrollador o de confianza alta, o regla de fecha/responsable/motivo.</t>
        </is>
      </c>
      <c r="AA513" s="18">
        <f>IF(OR(V513="Aprobada"),R513,IF(AND(OR(V513="Aprobada con ajuste",V513="Rechazada"),W513&lt;&gt;""),W513,""))</f>
        <v/>
      </c>
    </row>
    <row r="514">
      <c r="A514" s="18" t="inlineStr">
        <is>
          <t>C0513</t>
        </is>
      </c>
      <c r="B514" s="18" t="inlineStr">
        <is>
          <t>Plan de trabajo académico</t>
        </is>
      </c>
      <c r="C514" s="18" t="inlineStr">
        <is>
          <t>academic_work_plan</t>
        </is>
      </c>
      <c r="D514" s="18" t="inlineStr">
        <is>
          <t>PtaComponentApproval</t>
        </is>
      </c>
      <c r="E514" s="18" t="n">
        <v>99</v>
      </c>
      <c r="F514" s="18" t="inlineStr">
        <is>
          <t>aprobador_id</t>
        </is>
      </c>
      <c r="G514" s="18" t="inlineStr">
        <is>
          <t>character varying(100)</t>
        </is>
      </c>
      <c r="H514" s="18" t="inlineStr">
        <is>
          <t>Sí</t>
        </is>
      </c>
      <c r="I514" s="18" t="inlineStr"/>
      <c r="J514" s="18" t="inlineStr"/>
      <c r="K514" s="18" t="inlineStr"/>
      <c r="L514" s="18" t="inlineStr">
        <is>
          <t>No</t>
        </is>
      </c>
      <c r="M514" s="18" t="inlineStr">
        <is>
          <t>No</t>
        </is>
      </c>
      <c r="N514" s="18" t="inlineStr"/>
      <c r="O514" s="18" t="inlineStr"/>
      <c r="P514" s="18" t="inlineStr">
        <is>
          <t>Mapeada en academic-work-plan-service/src/pta/entities/pta-component-approval.entity.ts:28 (PtaComponentApprovalEntity.aprobadorId)</t>
        </is>
      </c>
      <c r="Q514" s="18" t="inlineStr">
        <is>
          <t>Código fuente (verificado)</t>
        </is>
      </c>
      <c r="R514" s="18" t="inlineStr">
        <is>
          <t>Identificador del usuario que aprueba el componente del plan: id_user de auth."user", tomado del token de sesión; nulo en las aprobaciones registradas por la concertación de Programación Académica.</t>
        </is>
      </c>
      <c r="S514" s="18" t="inlineStr">
        <is>
          <t>Alta</t>
        </is>
      </c>
      <c r="T514" s="18" t="inlineStr">
        <is>
          <t>academic-work-plan-service/src/pta/pta.service.ts:11014: aprobadorId = auth.userId | academic-work-plan-service/src/pta/auth/pta-auth.guard.ts:70: userId = sub del token | academic-work-plan-service/src/pta/auth/pta-permissions.service.ts:94: el sub se compara con auth."user".id_user | academic-work-plan-service/src/pta/docencia-programacion.ts:332: inserción por concertación sin aprobador_id</t>
        </is>
      </c>
      <c r="U514" s="18" t="inlineStr"/>
      <c r="V514" s="19" t="inlineStr">
        <is>
          <t>Aprobada</t>
        </is>
      </c>
      <c r="W514" s="19" t="inlineStr"/>
      <c r="X514" s="19" t="inlineStr">
        <is>
          <t>Aldair González (aprobación en bloque)</t>
        </is>
      </c>
      <c r="Y514" s="20" t="n">
        <v>46321</v>
      </c>
      <c r="Z514" s="19" t="inlineStr">
        <is>
          <t>Nivel 3: verificada con el código de la aplicación.</t>
        </is>
      </c>
      <c r="AA514" s="18">
        <f>IF(OR(V514="Aprobada"),R514,IF(AND(OR(V514="Aprobada con ajuste",V514="Rechazada"),W514&lt;&gt;""),W514,""))</f>
        <v/>
      </c>
    </row>
    <row r="515">
      <c r="A515" s="18" t="inlineStr">
        <is>
          <t>C0514</t>
        </is>
      </c>
      <c r="B515" s="18" t="inlineStr">
        <is>
          <t>Plan de trabajo académico</t>
        </is>
      </c>
      <c r="C515" s="18" t="inlineStr">
        <is>
          <t>academic_work_plan</t>
        </is>
      </c>
      <c r="D515" s="18" t="inlineStr">
        <is>
          <t>PtaComponentApproval</t>
        </is>
      </c>
      <c r="E515" s="18" t="n">
        <v>99</v>
      </c>
      <c r="F515" s="18" t="inlineStr">
        <is>
          <t>aprobador_nombre</t>
        </is>
      </c>
      <c r="G515" s="18" t="inlineStr">
        <is>
          <t>character varying(200)</t>
        </is>
      </c>
      <c r="H515" s="18" t="inlineStr">
        <is>
          <t>Sí</t>
        </is>
      </c>
      <c r="I515" s="18" t="inlineStr"/>
      <c r="J515" s="18" t="inlineStr"/>
      <c r="K515" s="18" t="inlineStr"/>
      <c r="L515" s="18" t="inlineStr">
        <is>
          <t>No</t>
        </is>
      </c>
      <c r="M515" s="18" t="inlineStr">
        <is>
          <t>No</t>
        </is>
      </c>
      <c r="N515" s="18" t="inlineStr"/>
      <c r="O515" s="18" t="inlineStr"/>
      <c r="P515" s="18" t="inlineStr">
        <is>
          <t>Mapeada en academic-work-plan-service/src/pta/entities/pta-component-approval.entity.ts:31 (PtaComponentApprovalEntity.aprobadorNombre)</t>
        </is>
      </c>
      <c r="Q515" s="18" t="inlineStr">
        <is>
          <t>Propuesta semántica</t>
        </is>
      </c>
      <c r="R515" s="18" t="inlineStr">
        <is>
          <t>Nombre del usuario que aprueba el componente del plan.</t>
        </is>
      </c>
      <c r="S515" s="18" t="inlineStr">
        <is>
          <t>Alta</t>
        </is>
      </c>
      <c r="T515" s="18" t="inlineStr">
        <is>
          <t>nombre + tipo + columnas vecinas</t>
        </is>
      </c>
      <c r="U515" s="18" t="inlineStr"/>
      <c r="V515" s="19" t="inlineStr">
        <is>
          <t>Aprobada</t>
        </is>
      </c>
      <c r="W515" s="19" t="inlineStr"/>
      <c r="X515" s="19" t="inlineStr">
        <is>
          <t>Aldair González (aprobación en bloque)</t>
        </is>
      </c>
      <c r="Y515" s="20" t="n">
        <v>46321</v>
      </c>
      <c r="Z515" s="19" t="inlineStr">
        <is>
          <t>Nivel 1: propuesta del comentario del desarrollador o de confianza alta, o regla de fecha/responsable/motivo.</t>
        </is>
      </c>
      <c r="AA515" s="18">
        <f>IF(OR(V515="Aprobada"),R515,IF(AND(OR(V515="Aprobada con ajuste",V515="Rechazada"),W515&lt;&gt;""),W515,""))</f>
        <v/>
      </c>
    </row>
    <row r="516">
      <c r="A516" s="18" t="inlineStr">
        <is>
          <t>C0515</t>
        </is>
      </c>
      <c r="B516" s="18" t="inlineStr">
        <is>
          <t>Plan de trabajo académico</t>
        </is>
      </c>
      <c r="C516" s="18" t="inlineStr">
        <is>
          <t>academic_work_plan</t>
        </is>
      </c>
      <c r="D516" s="18" t="inlineStr">
        <is>
          <t>PtaComponentApproval</t>
        </is>
      </c>
      <c r="E516" s="18" t="n">
        <v>99</v>
      </c>
      <c r="F516" s="18" t="inlineStr">
        <is>
          <t>aprobador_rol</t>
        </is>
      </c>
      <c r="G516" s="18" t="inlineStr">
        <is>
          <t>character varying(100)</t>
        </is>
      </c>
      <c r="H516" s="18" t="inlineStr">
        <is>
          <t>Sí</t>
        </is>
      </c>
      <c r="I516" s="18" t="inlineStr"/>
      <c r="J516" s="18" t="inlineStr"/>
      <c r="K516" s="18" t="inlineStr"/>
      <c r="L516" s="18" t="inlineStr">
        <is>
          <t>No</t>
        </is>
      </c>
      <c r="M516" s="18" t="inlineStr">
        <is>
          <t>No</t>
        </is>
      </c>
      <c r="N516" s="18" t="inlineStr"/>
      <c r="O516" s="18" t="inlineStr"/>
      <c r="P516" s="18" t="inlineStr">
        <is>
          <t>Mapeada en academic-work-plan-service/src/pta/entities/pta-component-approval.entity.ts:34 (PtaComponentApprovalEntity.aprobadorRol)</t>
        </is>
      </c>
      <c r="Q516" s="18" t="inlineStr">
        <is>
          <t>Propuesta semántica</t>
        </is>
      </c>
      <c r="R516" s="18" t="inlineStr">
        <is>
          <t>Rol del usuario que aprueba el componente del plan.</t>
        </is>
      </c>
      <c r="S516" s="18" t="inlineStr">
        <is>
          <t>Alta</t>
        </is>
      </c>
      <c r="T516" s="18" t="inlineStr">
        <is>
          <t>nombre + tipo + columnas vecinas</t>
        </is>
      </c>
      <c r="U516" s="18" t="inlineStr"/>
      <c r="V516" s="19" t="inlineStr">
        <is>
          <t>Aprobada</t>
        </is>
      </c>
      <c r="W516" s="19" t="inlineStr"/>
      <c r="X516" s="19" t="inlineStr">
        <is>
          <t>Aldair González (aprobación en bloque)</t>
        </is>
      </c>
      <c r="Y516" s="20" t="n">
        <v>46321</v>
      </c>
      <c r="Z516" s="19" t="inlineStr">
        <is>
          <t>Nivel 1: propuesta del comentario del desarrollador o de confianza alta, o regla de fecha/responsable/motivo.</t>
        </is>
      </c>
      <c r="AA516" s="18">
        <f>IF(OR(V516="Aprobada"),R516,IF(AND(OR(V516="Aprobada con ajuste",V516="Rechazada"),W516&lt;&gt;""),W516,""))</f>
        <v/>
      </c>
    </row>
    <row r="517">
      <c r="A517" s="18" t="inlineStr">
        <is>
          <t>C0516</t>
        </is>
      </c>
      <c r="B517" s="18" t="inlineStr">
        <is>
          <t>Plan de trabajo académico</t>
        </is>
      </c>
      <c r="C517" s="18" t="inlineStr">
        <is>
          <t>academic_work_plan</t>
        </is>
      </c>
      <c r="D517" s="18" t="inlineStr">
        <is>
          <t>PtaComponentApproval</t>
        </is>
      </c>
      <c r="E517" s="18" t="n">
        <v>99</v>
      </c>
      <c r="F517" s="18" t="inlineStr">
        <is>
          <t>comentarios</t>
        </is>
      </c>
      <c r="G517" s="18" t="inlineStr">
        <is>
          <t>text</t>
        </is>
      </c>
      <c r="H517" s="18" t="inlineStr">
        <is>
          <t>Sí</t>
        </is>
      </c>
      <c r="I517" s="18" t="inlineStr"/>
      <c r="J517" s="18" t="inlineStr"/>
      <c r="K517" s="18" t="inlineStr"/>
      <c r="L517" s="18" t="inlineStr">
        <is>
          <t>No</t>
        </is>
      </c>
      <c r="M517" s="18" t="inlineStr">
        <is>
          <t>No</t>
        </is>
      </c>
      <c r="N517" s="18" t="inlineStr"/>
      <c r="O517" s="18" t="inlineStr"/>
      <c r="P517" s="18" t="inlineStr">
        <is>
          <t>Mapeada en academic-work-plan-service/src/pta/entities/pta-component-approval.entity.ts:37 (PtaComponentApprovalEntity.comentarios)</t>
        </is>
      </c>
      <c r="Q517" s="18" t="inlineStr">
        <is>
          <t>Propuesta semántica</t>
        </is>
      </c>
      <c r="R517" s="18" t="inlineStr">
        <is>
          <t>Comentarios del aprobador sobre el componente.</t>
        </is>
      </c>
      <c r="S517" s="18" t="inlineStr">
        <is>
          <t>Alta</t>
        </is>
      </c>
      <c r="T517" s="18" t="inlineStr">
        <is>
          <t>nombre + tipo + columnas vecinas</t>
        </is>
      </c>
      <c r="U517" s="18" t="inlineStr"/>
      <c r="V517" s="19" t="inlineStr">
        <is>
          <t>Aprobada</t>
        </is>
      </c>
      <c r="W517" s="19" t="inlineStr"/>
      <c r="X517" s="19" t="inlineStr">
        <is>
          <t>Aldair González (aprobación en bloque)</t>
        </is>
      </c>
      <c r="Y517" s="20" t="n">
        <v>46321</v>
      </c>
      <c r="Z517" s="19" t="inlineStr">
        <is>
          <t>Nivel 1: propuesta del comentario del desarrollador o de confianza alta, o regla de fecha/responsable/motivo.</t>
        </is>
      </c>
      <c r="AA517" s="18">
        <f>IF(OR(V517="Aprobada"),R517,IF(AND(OR(V517="Aprobada con ajuste",V517="Rechazada"),W517&lt;&gt;""),W517,""))</f>
        <v/>
      </c>
    </row>
    <row r="518">
      <c r="A518" s="18" t="inlineStr">
        <is>
          <t>C0517</t>
        </is>
      </c>
      <c r="B518" s="18" t="inlineStr">
        <is>
          <t>Plan de trabajo académico</t>
        </is>
      </c>
      <c r="C518" s="18" t="inlineStr">
        <is>
          <t>academic_work_plan</t>
        </is>
      </c>
      <c r="D518" s="18" t="inlineStr">
        <is>
          <t>PtaComponentApproval</t>
        </is>
      </c>
      <c r="E518" s="18" t="n">
        <v>99</v>
      </c>
      <c r="F518" s="18" t="inlineStr">
        <is>
          <t>fecha_aprobacion</t>
        </is>
      </c>
      <c r="G518" s="18" t="inlineStr">
        <is>
          <t>timestamp without time zone</t>
        </is>
      </c>
      <c r="H518" s="18" t="inlineStr">
        <is>
          <t>Sí</t>
        </is>
      </c>
      <c r="I518" s="18" t="inlineStr"/>
      <c r="J518" s="18" t="inlineStr"/>
      <c r="K518" s="18" t="inlineStr"/>
      <c r="L518" s="18" t="inlineStr">
        <is>
          <t>No</t>
        </is>
      </c>
      <c r="M518" s="18" t="inlineStr">
        <is>
          <t>No</t>
        </is>
      </c>
      <c r="N518" s="18" t="inlineStr"/>
      <c r="O518" s="18" t="inlineStr"/>
      <c r="P518" s="18" t="inlineStr">
        <is>
          <t>Mapeada en academic-work-plan-service/src/pta/entities/pta-component-approval.entity.ts:46 (PtaComponentApprovalEntity.fechaAprobacion)</t>
        </is>
      </c>
      <c r="Q518" s="18" t="inlineStr">
        <is>
          <t>Regla estructural (redacción revisada)</t>
        </is>
      </c>
      <c r="R518" s="18" t="inlineStr">
        <is>
          <t>Fecha y hora de aprobación del componente del plan de trabajo académico.</t>
        </is>
      </c>
      <c r="S518" s="18" t="inlineStr">
        <is>
          <t>Alta</t>
        </is>
      </c>
      <c r="T518" s="18" t="inlineStr">
        <is>
          <t>Convención de nombre, redactada con el contexto de la tabla y el código.</t>
        </is>
      </c>
      <c r="U518" s="18" t="inlineStr"/>
      <c r="V518" s="19" t="inlineStr">
        <is>
          <t>Aprobada</t>
        </is>
      </c>
      <c r="W518" s="19" t="inlineStr"/>
      <c r="X518" s="19" t="inlineStr">
        <is>
          <t>Aldair González (aprobación en bloque)</t>
        </is>
      </c>
      <c r="Y518" s="20" t="n">
        <v>46321</v>
      </c>
      <c r="Z518" s="19" t="inlineStr">
        <is>
          <t>Nivel 2: regla estructural con redacción revisada.</t>
        </is>
      </c>
      <c r="AA518" s="18">
        <f>IF(OR(V518="Aprobada"),R518,IF(AND(OR(V518="Aprobada con ajuste",V518="Rechazada"),W518&lt;&gt;""),W518,""))</f>
        <v/>
      </c>
    </row>
    <row r="519">
      <c r="A519" s="18" t="inlineStr">
        <is>
          <t>C0518</t>
        </is>
      </c>
      <c r="B519" s="18" t="inlineStr">
        <is>
          <t>Plan de trabajo académico</t>
        </is>
      </c>
      <c r="C519" s="18" t="inlineStr">
        <is>
          <t>academic_work_plan</t>
        </is>
      </c>
      <c r="D519" s="18" t="inlineStr">
        <is>
          <t>PtaComponentApproval</t>
        </is>
      </c>
      <c r="E519" s="18" t="n">
        <v>99</v>
      </c>
      <c r="F519" s="18" t="inlineStr">
        <is>
          <t>scope</t>
        </is>
      </c>
      <c r="G519" s="18" t="inlineStr">
        <is>
          <t>character varying(50)</t>
        </is>
      </c>
      <c r="H519" s="18" t="inlineStr">
        <is>
          <t>Sí</t>
        </is>
      </c>
      <c r="I519" s="18" t="inlineStr"/>
      <c r="J519" s="18" t="inlineStr"/>
      <c r="K519" s="18" t="inlineStr"/>
      <c r="L519" s="18" t="inlineStr">
        <is>
          <t>No</t>
        </is>
      </c>
      <c r="M519" s="18" t="inlineStr">
        <is>
          <t>No</t>
        </is>
      </c>
      <c r="N519" s="18" t="inlineStr"/>
      <c r="O519" s="18" t="inlineStr"/>
      <c r="P519" s="18" t="inlineStr">
        <is>
          <t>db/migrations/327_create_pta_component_approvals.sql:12: 'cetap', 'territorial', 'nacional'</t>
        </is>
      </c>
      <c r="Q519" s="18" t="inlineStr">
        <is>
          <t>Código fuente</t>
        </is>
      </c>
      <c r="R519" s="18" t="inlineStr">
        <is>
          <t>Ámbito de la aprobación del componente. Valores previstos: cetap, territorial, nacional.</t>
        </is>
      </c>
      <c r="S519" s="18" t="inlineStr">
        <is>
          <t>Alta</t>
        </is>
      </c>
      <c r="T519" s="18" t="inlineStr">
        <is>
          <t>código: db/migrations/327_create_pta_component_approvals.sql:12</t>
        </is>
      </c>
      <c r="U519" s="18" t="inlineStr"/>
      <c r="V519" s="19" t="inlineStr">
        <is>
          <t>Aprobada</t>
        </is>
      </c>
      <c r="W519" s="19" t="inlineStr"/>
      <c r="X519" s="19" t="inlineStr">
        <is>
          <t>Aldair González (aprobación en bloque)</t>
        </is>
      </c>
      <c r="Y519" s="20" t="n">
        <v>46321</v>
      </c>
      <c r="Z519" s="19" t="inlineStr">
        <is>
          <t>Nivel 1: propuesta del comentario del desarrollador o de confianza alta, o regla de fecha/responsable/motivo.</t>
        </is>
      </c>
      <c r="AA519" s="18">
        <f>IF(OR(V519="Aprobada"),R519,IF(AND(OR(V519="Aprobada con ajuste",V519="Rechazada"),W519&lt;&gt;""),W519,""))</f>
        <v/>
      </c>
    </row>
    <row r="520">
      <c r="A520" s="18" t="inlineStr">
        <is>
          <t>C0519</t>
        </is>
      </c>
      <c r="B520" s="18" t="inlineStr">
        <is>
          <t>Plan de trabajo académico</t>
        </is>
      </c>
      <c r="C520" s="18" t="inlineStr">
        <is>
          <t>academic_work_plan</t>
        </is>
      </c>
      <c r="D520" s="18" t="inlineStr">
        <is>
          <t>PtaComponentApproval</t>
        </is>
      </c>
      <c r="E520" s="18" t="n">
        <v>99</v>
      </c>
      <c r="F520" s="18" t="inlineStr">
        <is>
          <t>scope_id</t>
        </is>
      </c>
      <c r="G520" s="18" t="inlineStr">
        <is>
          <t>character varying(100)</t>
        </is>
      </c>
      <c r="H520" s="18" t="inlineStr">
        <is>
          <t>Sí</t>
        </is>
      </c>
      <c r="I520" s="18" t="inlineStr"/>
      <c r="J520" s="18" t="inlineStr"/>
      <c r="K520" s="18" t="inlineStr"/>
      <c r="L520" s="18" t="inlineStr">
        <is>
          <t>No</t>
        </is>
      </c>
      <c r="M520" s="18" t="inlineStr">
        <is>
          <t>No</t>
        </is>
      </c>
      <c r="N520" s="18" t="inlineStr"/>
      <c r="O520" s="18" t="inlineStr"/>
      <c r="P520" s="18" t="inlineStr">
        <is>
          <t>Mapeada en academic-work-plan-service/src/pta/entities/pta-component-approval.entity.ts:52 (PtaComponentApprovalEntity.scopeId)</t>
        </is>
      </c>
      <c r="Q520" s="18" t="inlineStr">
        <is>
          <t>Código fuente (verificado)</t>
        </is>
      </c>
      <c r="R520" s="18" t="inlineStr">
        <is>
          <t>Identificador del ámbito de la aprobación según scope: número de nivel (1 a 3) cuando scope es nivel_aprobacion, identificador de la solicitud de edición (SolicitudPTA) cuando es solicitud_edicion e identificador de la concertación cuando es programacion.</t>
        </is>
      </c>
      <c r="S520" s="18" t="inlineStr">
        <is>
          <t>Media</t>
        </is>
      </c>
      <c r="T520" s="18" t="inlineStr">
        <is>
          <t>academic-work-plan-service/src/pta/pta.service.ts:5368: scope nivel_aprobacion con scopeId = nivel | academic-work-plan-service/src/pta/pta.service.ts:10997: scope solicitud_edicion con scopeId = id de la solicitud | academic-work-plan-service/src/pta/docencia-programacion.ts:332: scope programacion con id de la concertación | academic-work-plan-service/src/pta/pta.service.ts:11007: el backoffice puede enviar otro scope y scopeId</t>
        </is>
      </c>
      <c r="U520" s="18" t="inlineStr">
        <is>
          <t>¿Qué otros valores de scope envía el backoffice y a qué apunta scope_id en esos casos?</t>
        </is>
      </c>
      <c r="V520" s="19" t="inlineStr">
        <is>
          <t>Aprobada</t>
        </is>
      </c>
      <c r="W520" s="19" t="inlineStr"/>
      <c r="X520" s="19" t="inlineStr">
        <is>
          <t>Aldair González (validación del responsable de BD)</t>
        </is>
      </c>
      <c r="Y520" s="20" t="n">
        <v>46321</v>
      </c>
      <c r="Z520" s="19" t="inlineStr">
        <is>
          <t>Nivel 3: validada por decisión del responsable de la base de datos. Pregunta registrada para desarrollo: ¿Qué otros valores de scope envía el backoffice y a qué apunta scope_id en esos casos?</t>
        </is>
      </c>
      <c r="AA520" s="18">
        <f>IF(OR(V520="Aprobada"),R520,IF(AND(OR(V520="Aprobada con ajuste",V520="Rechazada"),W520&lt;&gt;""),W520,""))</f>
        <v/>
      </c>
    </row>
    <row r="521">
      <c r="A521" s="18" t="inlineStr">
        <is>
          <t>C0520</t>
        </is>
      </c>
      <c r="B521" s="18" t="inlineStr">
        <is>
          <t>Plan de trabajo académico</t>
        </is>
      </c>
      <c r="C521" s="18" t="inlineStr">
        <is>
          <t>academic_work_plan</t>
        </is>
      </c>
      <c r="D521" s="18" t="inlineStr">
        <is>
          <t>PtaComponentReview</t>
        </is>
      </c>
      <c r="E521" s="18" t="n">
        <v>23</v>
      </c>
      <c r="F521" s="18" t="inlineStr">
        <is>
          <t>componente</t>
        </is>
      </c>
      <c r="G521" s="18" t="inlineStr">
        <is>
          <t>character varying(100)</t>
        </is>
      </c>
      <c r="H521" s="18" t="inlineStr">
        <is>
          <t>No</t>
        </is>
      </c>
      <c r="I521" s="18" t="inlineStr"/>
      <c r="J521" s="18" t="inlineStr"/>
      <c r="K521" s="18" t="inlineStr"/>
      <c r="L521" s="18" t="inlineStr">
        <is>
          <t>No</t>
        </is>
      </c>
      <c r="M521" s="18" t="inlineStr">
        <is>
          <t>No</t>
        </is>
      </c>
      <c r="N521" s="18" t="inlineStr"/>
      <c r="O521" s="18" t="inlineStr">
        <is>
          <t>uq_pta_componente_subseccion</t>
        </is>
      </c>
      <c r="P521" s="18" t="inlineStr">
        <is>
          <t>db/migrations/387_create_pta_component_reviews.sql:13: mismas claves que PtaComponentApproval.componente</t>
        </is>
      </c>
      <c r="Q521" s="18" t="inlineStr">
        <is>
          <t>Código fuente</t>
        </is>
      </c>
      <c r="R521" s="18" t="inlineStr">
        <is>
          <t>Componente del PTA revisado; usa las mismas claves que PtaComponentApproval.componente.</t>
        </is>
      </c>
      <c r="S521" s="18" t="inlineStr">
        <is>
          <t>Alta</t>
        </is>
      </c>
      <c r="T521" s="18" t="inlineStr">
        <is>
          <t>código: db/migrations/387_create_pta_component_reviews.sql:13</t>
        </is>
      </c>
      <c r="U521" s="18" t="inlineStr"/>
      <c r="V521" s="19" t="inlineStr">
        <is>
          <t>Aprobada</t>
        </is>
      </c>
      <c r="W521" s="19" t="inlineStr"/>
      <c r="X521" s="19" t="inlineStr">
        <is>
          <t>Aldair González (aprobación en bloque)</t>
        </is>
      </c>
      <c r="Y521" s="20" t="n">
        <v>46321</v>
      </c>
      <c r="Z521" s="19" t="inlineStr">
        <is>
          <t>Nivel 1: propuesta del comentario del desarrollador o de confianza alta, o regla de fecha/responsable/motivo.</t>
        </is>
      </c>
      <c r="AA521" s="18">
        <f>IF(OR(V521="Aprobada"),R521,IF(AND(OR(V521="Aprobada con ajuste",V521="Rechazada"),W521&lt;&gt;""),W521,""))</f>
        <v/>
      </c>
    </row>
    <row r="522">
      <c r="A522" s="18" t="inlineStr">
        <is>
          <t>C0521</t>
        </is>
      </c>
      <c r="B522" s="18" t="inlineStr">
        <is>
          <t>Plan de trabajo académico</t>
        </is>
      </c>
      <c r="C522" s="18" t="inlineStr">
        <is>
          <t>academic_work_plan</t>
        </is>
      </c>
      <c r="D522" s="18" t="inlineStr">
        <is>
          <t>PtaComponentReview</t>
        </is>
      </c>
      <c r="E522" s="18" t="n">
        <v>23</v>
      </c>
      <c r="F522" s="18" t="inlineStr">
        <is>
          <t>subseccion</t>
        </is>
      </c>
      <c r="G522" s="18" t="inlineStr">
        <is>
          <t>character varying(50)</t>
        </is>
      </c>
      <c r="H522" s="18" t="inlineStr">
        <is>
          <t>No</t>
        </is>
      </c>
      <c r="I522" s="18" t="inlineStr"/>
      <c r="J522" s="18" t="inlineStr"/>
      <c r="K522" s="18" t="inlineStr"/>
      <c r="L522" s="18" t="inlineStr">
        <is>
          <t>No</t>
        </is>
      </c>
      <c r="M522" s="18" t="inlineStr">
        <is>
          <t>No</t>
        </is>
      </c>
      <c r="N522" s="18" t="inlineStr"/>
      <c r="O522" s="18" t="inlineStr">
        <is>
          <t>uq_pta_componente_subseccion</t>
        </is>
      </c>
      <c r="P522" s="18" t="inlineStr">
        <is>
          <t>academic-work-plan-service/src/pta/entities/pta-component-review.entity.ts:27: 'general' para componentes de revisión única (investigacion, ext_*); 'pregrado'|'posgrado' para academica; 'docencia'|'academico_administrativas' para complementarias. | db/migrations/387_create_pta_component_reviews.sql:14: 'general' | 'pregrado' | 'posgrado' | 'docencia' | 'academico_administrativas'</t>
        </is>
      </c>
      <c r="Q522" s="18" t="inlineStr">
        <is>
          <t>Código fuente</t>
        </is>
      </c>
      <c r="R522" s="18" t="inlineStr">
        <is>
          <t>Subsección del componente revisado: general para los componentes de revisión única (investigacion, ext_*); pregrado o posgrado para academica; docencia o academico_administrativas para complementarias. Por defecto general.</t>
        </is>
      </c>
      <c r="S522" s="18" t="inlineStr">
        <is>
          <t>Alta</t>
        </is>
      </c>
      <c r="T522" s="18" t="inlineStr">
        <is>
          <t>código: academic-work-plan-service/src/pta/entities/pta-component-review.entity.ts:27</t>
        </is>
      </c>
      <c r="U522" s="18" t="inlineStr"/>
      <c r="V522" s="19" t="inlineStr">
        <is>
          <t>Aprobada</t>
        </is>
      </c>
      <c r="W522" s="19" t="inlineStr"/>
      <c r="X522" s="19" t="inlineStr">
        <is>
          <t>Aldair González (aprobación en bloque)</t>
        </is>
      </c>
      <c r="Y522" s="20" t="n">
        <v>46321</v>
      </c>
      <c r="Z522" s="19" t="inlineStr">
        <is>
          <t>Nivel 1: propuesta del comentario del desarrollador o de confianza alta, o regla de fecha/responsable/motivo.</t>
        </is>
      </c>
      <c r="AA522" s="18">
        <f>IF(OR(V522="Aprobada"),R522,IF(AND(OR(V522="Aprobada con ajuste",V522="Rechazada"),W522&lt;&gt;""),W522,""))</f>
        <v/>
      </c>
    </row>
    <row r="523">
      <c r="A523" s="18" t="inlineStr">
        <is>
          <t>C0522</t>
        </is>
      </c>
      <c r="B523" s="18" t="inlineStr">
        <is>
          <t>Plan de trabajo académico</t>
        </is>
      </c>
      <c r="C523" s="18" t="inlineStr">
        <is>
          <t>academic_work_plan</t>
        </is>
      </c>
      <c r="D523" s="18" t="inlineStr">
        <is>
          <t>PtaComponentReview</t>
        </is>
      </c>
      <c r="E523" s="18" t="n">
        <v>23</v>
      </c>
      <c r="F523" s="18" t="inlineStr">
        <is>
          <t>estado</t>
        </is>
      </c>
      <c r="G523" s="18" t="inlineStr">
        <is>
          <t>character varying(50)</t>
        </is>
      </c>
      <c r="H523" s="18" t="inlineStr">
        <is>
          <t>No</t>
        </is>
      </c>
      <c r="I523" s="18" t="inlineStr"/>
      <c r="J523" s="18" t="inlineStr"/>
      <c r="K523" s="18" t="inlineStr"/>
      <c r="L523" s="18" t="inlineStr">
        <is>
          <t>No</t>
        </is>
      </c>
      <c r="M523" s="18" t="inlineStr">
        <is>
          <t>No</t>
        </is>
      </c>
      <c r="N523" s="18" t="inlineStr"/>
      <c r="O523" s="18" t="inlineStr"/>
      <c r="P523" s="18" t="inlineStr">
        <is>
          <t>db/migrations/387_create_pta_component_reviews.sql:15: 'pendiente', 'revisado', 'devuelto'</t>
        </is>
      </c>
      <c r="Q523" s="18" t="inlineStr">
        <is>
          <t>Código fuente</t>
        </is>
      </c>
      <c r="R523" s="18" t="inlineStr">
        <is>
          <t>Estado de la revisión del componente. Valores previstos: pendiente, revisado, devuelto; por defecto pendiente.</t>
        </is>
      </c>
      <c r="S523" s="18" t="inlineStr">
        <is>
          <t>Alta</t>
        </is>
      </c>
      <c r="T523" s="18" t="inlineStr">
        <is>
          <t>código: db/migrations/387_create_pta_component_reviews.sql:15</t>
        </is>
      </c>
      <c r="U523" s="18" t="inlineStr"/>
      <c r="V523" s="19" t="inlineStr">
        <is>
          <t>Aprobada</t>
        </is>
      </c>
      <c r="W523" s="19" t="inlineStr"/>
      <c r="X523" s="19" t="inlineStr">
        <is>
          <t>Aldair González (aprobación en bloque)</t>
        </is>
      </c>
      <c r="Y523" s="20" t="n">
        <v>46321</v>
      </c>
      <c r="Z523" s="19" t="inlineStr">
        <is>
          <t>Nivel 1: propuesta del comentario del desarrollador o de confianza alta, o regla de fecha/responsable/motivo.</t>
        </is>
      </c>
      <c r="AA523" s="18">
        <f>IF(OR(V523="Aprobada"),R523,IF(AND(OR(V523="Aprobada con ajuste",V523="Rechazada"),W523&lt;&gt;""),W523,""))</f>
        <v/>
      </c>
    </row>
    <row r="524">
      <c r="A524" s="18" t="inlineStr">
        <is>
          <t>C0523</t>
        </is>
      </c>
      <c r="B524" s="18" t="inlineStr">
        <is>
          <t>Plan de trabajo académico</t>
        </is>
      </c>
      <c r="C524" s="18" t="inlineStr">
        <is>
          <t>academic_work_plan</t>
        </is>
      </c>
      <c r="D524" s="18" t="inlineStr">
        <is>
          <t>PtaComponentReview</t>
        </is>
      </c>
      <c r="E524" s="18" t="n">
        <v>23</v>
      </c>
      <c r="F524" s="18" t="inlineStr">
        <is>
          <t>revisor_id</t>
        </is>
      </c>
      <c r="G524" s="18" t="inlineStr">
        <is>
          <t>character varying(100)</t>
        </is>
      </c>
      <c r="H524" s="18" t="inlineStr">
        <is>
          <t>Sí</t>
        </is>
      </c>
      <c r="I524" s="18" t="inlineStr"/>
      <c r="J524" s="18" t="inlineStr"/>
      <c r="K524" s="18" t="inlineStr"/>
      <c r="L524" s="18" t="inlineStr">
        <is>
          <t>No</t>
        </is>
      </c>
      <c r="M524" s="18" t="inlineStr">
        <is>
          <t>No</t>
        </is>
      </c>
      <c r="N524" s="18" t="inlineStr"/>
      <c r="O524" s="18" t="inlineStr"/>
      <c r="P524" s="18" t="inlineStr">
        <is>
          <t>Mapeada en academic-work-plan-service/src/pta/entities/pta-component-review.entity.ts:33 (PtaComponentReviewEntity.revisorId)</t>
        </is>
      </c>
      <c r="Q524" s="18" t="inlineStr">
        <is>
          <t>Código fuente (verificado)</t>
        </is>
      </c>
      <c r="R524" s="18" t="inlineStr">
        <is>
          <t>Identificador del usuario que revisa el componente del plan: id_user de auth."user", tomado del token de sesión.</t>
        </is>
      </c>
      <c r="S524" s="18" t="inlineStr">
        <is>
          <t>Alta</t>
        </is>
      </c>
      <c r="T524" s="18" t="inlineStr">
        <is>
          <t>academic-work-plan-service/src/pta/pta.service.ts:10658: revisorId = auth.userId | academic-work-plan-service/src/pta/auth/pta-auth.guard.ts:70: userId = sub del token | academic-work-plan-service/src/pta/auth/pta-permissions.service.ts:94: el sub se compara con auth."user".id_user</t>
        </is>
      </c>
      <c r="U524" s="18" t="inlineStr"/>
      <c r="V524" s="19" t="inlineStr">
        <is>
          <t>Aprobada</t>
        </is>
      </c>
      <c r="W524" s="19" t="inlineStr"/>
      <c r="X524" s="19" t="inlineStr">
        <is>
          <t>Aldair González (aprobación en bloque)</t>
        </is>
      </c>
      <c r="Y524" s="20" t="n">
        <v>46321</v>
      </c>
      <c r="Z524" s="19" t="inlineStr">
        <is>
          <t>Nivel 3: verificada con el código de la aplicación.</t>
        </is>
      </c>
      <c r="AA524" s="18">
        <f>IF(OR(V524="Aprobada"),R524,IF(AND(OR(V524="Aprobada con ajuste",V524="Rechazada"),W524&lt;&gt;""),W524,""))</f>
        <v/>
      </c>
    </row>
    <row r="525">
      <c r="A525" s="18" t="inlineStr">
        <is>
          <t>C0524</t>
        </is>
      </c>
      <c r="B525" s="18" t="inlineStr">
        <is>
          <t>Plan de trabajo académico</t>
        </is>
      </c>
      <c r="C525" s="18" t="inlineStr">
        <is>
          <t>academic_work_plan</t>
        </is>
      </c>
      <c r="D525" s="18" t="inlineStr">
        <is>
          <t>PtaComponentReview</t>
        </is>
      </c>
      <c r="E525" s="18" t="n">
        <v>23</v>
      </c>
      <c r="F525" s="18" t="inlineStr">
        <is>
          <t>revisor_nombre</t>
        </is>
      </c>
      <c r="G525" s="18" t="inlineStr">
        <is>
          <t>character varying(200)</t>
        </is>
      </c>
      <c r="H525" s="18" t="inlineStr">
        <is>
          <t>Sí</t>
        </is>
      </c>
      <c r="I525" s="18" t="inlineStr"/>
      <c r="J525" s="18" t="inlineStr"/>
      <c r="K525" s="18" t="inlineStr"/>
      <c r="L525" s="18" t="inlineStr">
        <is>
          <t>No</t>
        </is>
      </c>
      <c r="M525" s="18" t="inlineStr">
        <is>
          <t>No</t>
        </is>
      </c>
      <c r="N525" s="18" t="inlineStr"/>
      <c r="O525" s="18" t="inlineStr"/>
      <c r="P525" s="18" t="inlineStr">
        <is>
          <t>Mapeada en academic-work-plan-service/src/pta/entities/pta-component-review.entity.ts:36 (PtaComponentReviewEntity.revisorNombre)</t>
        </is>
      </c>
      <c r="Q525" s="18" t="inlineStr">
        <is>
          <t>Propuesta semántica</t>
        </is>
      </c>
      <c r="R525" s="18" t="inlineStr">
        <is>
          <t>Nombre del usuario que revisa el componente del plan.</t>
        </is>
      </c>
      <c r="S525" s="18" t="inlineStr">
        <is>
          <t>Alta</t>
        </is>
      </c>
      <c r="T525" s="18" t="inlineStr">
        <is>
          <t>nombre + tipo + columnas vecinas</t>
        </is>
      </c>
      <c r="U525" s="18" t="inlineStr"/>
      <c r="V525" s="19" t="inlineStr">
        <is>
          <t>Aprobada</t>
        </is>
      </c>
      <c r="W525" s="19" t="inlineStr"/>
      <c r="X525" s="19" t="inlineStr">
        <is>
          <t>Aldair González (aprobación en bloque)</t>
        </is>
      </c>
      <c r="Y525" s="20" t="n">
        <v>46321</v>
      </c>
      <c r="Z525" s="19" t="inlineStr">
        <is>
          <t>Nivel 1: propuesta del comentario del desarrollador o de confianza alta, o regla de fecha/responsable/motivo.</t>
        </is>
      </c>
      <c r="AA525" s="18">
        <f>IF(OR(V525="Aprobada"),R525,IF(AND(OR(V525="Aprobada con ajuste",V525="Rechazada"),W525&lt;&gt;""),W525,""))</f>
        <v/>
      </c>
    </row>
    <row r="526">
      <c r="A526" s="18" t="inlineStr">
        <is>
          <t>C0525</t>
        </is>
      </c>
      <c r="B526" s="18" t="inlineStr">
        <is>
          <t>Plan de trabajo académico</t>
        </is>
      </c>
      <c r="C526" s="18" t="inlineStr">
        <is>
          <t>academic_work_plan</t>
        </is>
      </c>
      <c r="D526" s="18" t="inlineStr">
        <is>
          <t>PtaComponentReview</t>
        </is>
      </c>
      <c r="E526" s="18" t="n">
        <v>23</v>
      </c>
      <c r="F526" s="18" t="inlineStr">
        <is>
          <t>revisor_rol</t>
        </is>
      </c>
      <c r="G526" s="18" t="inlineStr">
        <is>
          <t>character varying(100)</t>
        </is>
      </c>
      <c r="H526" s="18" t="inlineStr">
        <is>
          <t>Sí</t>
        </is>
      </c>
      <c r="I526" s="18" t="inlineStr"/>
      <c r="J526" s="18" t="inlineStr"/>
      <c r="K526" s="18" t="inlineStr"/>
      <c r="L526" s="18" t="inlineStr">
        <is>
          <t>No</t>
        </is>
      </c>
      <c r="M526" s="18" t="inlineStr">
        <is>
          <t>No</t>
        </is>
      </c>
      <c r="N526" s="18" t="inlineStr"/>
      <c r="O526" s="18" t="inlineStr"/>
      <c r="P526" s="18" t="inlineStr">
        <is>
          <t>Mapeada en academic-work-plan-service/src/pta/entities/pta-component-review.entity.ts:39 (PtaComponentReviewEntity.revisorRol)</t>
        </is>
      </c>
      <c r="Q526" s="18" t="inlineStr">
        <is>
          <t>Propuesta semántica</t>
        </is>
      </c>
      <c r="R526" s="18" t="inlineStr">
        <is>
          <t>Rol del usuario que revisa el componente del plan.</t>
        </is>
      </c>
      <c r="S526" s="18" t="inlineStr">
        <is>
          <t>Alta</t>
        </is>
      </c>
      <c r="T526" s="18" t="inlineStr">
        <is>
          <t>nombre + tipo + columnas vecinas</t>
        </is>
      </c>
      <c r="U526" s="18" t="inlineStr"/>
      <c r="V526" s="19" t="inlineStr">
        <is>
          <t>Aprobada</t>
        </is>
      </c>
      <c r="W526" s="19" t="inlineStr"/>
      <c r="X526" s="19" t="inlineStr">
        <is>
          <t>Aldair González (aprobación en bloque)</t>
        </is>
      </c>
      <c r="Y526" s="20" t="n">
        <v>46321</v>
      </c>
      <c r="Z526" s="19" t="inlineStr">
        <is>
          <t>Nivel 1: propuesta del comentario del desarrollador o de confianza alta, o regla de fecha/responsable/motivo.</t>
        </is>
      </c>
      <c r="AA526" s="18">
        <f>IF(OR(V526="Aprobada"),R526,IF(AND(OR(V526="Aprobada con ajuste",V526="Rechazada"),W526&lt;&gt;""),W526,""))</f>
        <v/>
      </c>
    </row>
    <row r="527">
      <c r="A527" s="18" t="inlineStr">
        <is>
          <t>C0526</t>
        </is>
      </c>
      <c r="B527" s="18" t="inlineStr">
        <is>
          <t>Plan de trabajo académico</t>
        </is>
      </c>
      <c r="C527" s="18" t="inlineStr">
        <is>
          <t>academic_work_plan</t>
        </is>
      </c>
      <c r="D527" s="18" t="inlineStr">
        <is>
          <t>PtaComponentReview</t>
        </is>
      </c>
      <c r="E527" s="18" t="n">
        <v>23</v>
      </c>
      <c r="F527" s="18" t="inlineStr">
        <is>
          <t>comentarios</t>
        </is>
      </c>
      <c r="G527" s="18" t="inlineStr">
        <is>
          <t>text</t>
        </is>
      </c>
      <c r="H527" s="18" t="inlineStr">
        <is>
          <t>Sí</t>
        </is>
      </c>
      <c r="I527" s="18" t="inlineStr"/>
      <c r="J527" s="18" t="inlineStr"/>
      <c r="K527" s="18" t="inlineStr"/>
      <c r="L527" s="18" t="inlineStr">
        <is>
          <t>No</t>
        </is>
      </c>
      <c r="M527" s="18" t="inlineStr">
        <is>
          <t>No</t>
        </is>
      </c>
      <c r="N527" s="18" t="inlineStr"/>
      <c r="O527" s="18" t="inlineStr"/>
      <c r="P527" s="18" t="inlineStr">
        <is>
          <t>Mapeada en academic-work-plan-service/src/pta/entities/pta-component-review.entity.ts:42 (PtaComponentReviewEntity.comentarios)</t>
        </is>
      </c>
      <c r="Q527" s="18" t="inlineStr">
        <is>
          <t>Propuesta semántica</t>
        </is>
      </c>
      <c r="R527" s="18" t="inlineStr">
        <is>
          <t>Comentarios del revisor sobre el componente.</t>
        </is>
      </c>
      <c r="S527" s="18" t="inlineStr">
        <is>
          <t>Alta</t>
        </is>
      </c>
      <c r="T527" s="18" t="inlineStr">
        <is>
          <t>nombre + tipo + columnas vecinas</t>
        </is>
      </c>
      <c r="U527" s="18" t="inlineStr"/>
      <c r="V527" s="19" t="inlineStr">
        <is>
          <t>Aprobada</t>
        </is>
      </c>
      <c r="W527" s="19" t="inlineStr"/>
      <c r="X527" s="19" t="inlineStr">
        <is>
          <t>Aldair González (aprobación en bloque)</t>
        </is>
      </c>
      <c r="Y527" s="20" t="n">
        <v>46321</v>
      </c>
      <c r="Z527" s="19" t="inlineStr">
        <is>
          <t>Nivel 1: propuesta del comentario del desarrollador o de confianza alta, o regla de fecha/responsable/motivo.</t>
        </is>
      </c>
      <c r="AA527" s="18">
        <f>IF(OR(V527="Aprobada"),R527,IF(AND(OR(V527="Aprobada con ajuste",V527="Rechazada"),W527&lt;&gt;""),W527,""))</f>
        <v/>
      </c>
    </row>
    <row r="528">
      <c r="A528" s="18" t="inlineStr">
        <is>
          <t>C0527</t>
        </is>
      </c>
      <c r="B528" s="18" t="inlineStr">
        <is>
          <t>Plan de trabajo académico</t>
        </is>
      </c>
      <c r="C528" s="18" t="inlineStr">
        <is>
          <t>academic_work_plan</t>
        </is>
      </c>
      <c r="D528" s="18" t="inlineStr">
        <is>
          <t>PtaComponentReview</t>
        </is>
      </c>
      <c r="E528" s="18" t="n">
        <v>23</v>
      </c>
      <c r="F528" s="18" t="inlineStr">
        <is>
          <t>respuesta_docente</t>
        </is>
      </c>
      <c r="G528" s="18" t="inlineStr">
        <is>
          <t>text</t>
        </is>
      </c>
      <c r="H528" s="18" t="inlineStr">
        <is>
          <t>Sí</t>
        </is>
      </c>
      <c r="I528" s="18" t="inlineStr"/>
      <c r="J528" s="18" t="inlineStr"/>
      <c r="K528" s="18" t="inlineStr"/>
      <c r="L528" s="18" t="inlineStr">
        <is>
          <t>No</t>
        </is>
      </c>
      <c r="M528" s="18" t="inlineStr">
        <is>
          <t>No</t>
        </is>
      </c>
      <c r="N528" s="18" t="inlineStr"/>
      <c r="O528" s="18" t="inlineStr"/>
      <c r="P528" s="18" t="inlineStr">
        <is>
          <t>academic-work-plan-service/src/pta/entities/pta-component-review.entity.ts:47: Respuesta del docente al reenviar tras una devolución en la etapa de revisión (mismo propósito que el campo homónimo en PtaComponentApproval).</t>
        </is>
      </c>
      <c r="Q528" s="18" t="inlineStr">
        <is>
          <t>Código fuente</t>
        </is>
      </c>
      <c r="R528" s="18" t="inlineStr">
        <is>
          <t>Respuesta del docente al reenviar el componente tras una devolución en la etapa de revisión.</t>
        </is>
      </c>
      <c r="S528" s="18" t="inlineStr">
        <is>
          <t>Alta</t>
        </is>
      </c>
      <c r="T528" s="18" t="inlineStr">
        <is>
          <t>código: academic-work-plan-service/src/pta/entities/pta-component-review.entity.ts:47</t>
        </is>
      </c>
      <c r="U528" s="18" t="inlineStr"/>
      <c r="V528" s="19" t="inlineStr">
        <is>
          <t>Aprobada</t>
        </is>
      </c>
      <c r="W528" s="19" t="inlineStr"/>
      <c r="X528" s="19" t="inlineStr">
        <is>
          <t>Aldair González (aprobación en bloque)</t>
        </is>
      </c>
      <c r="Y528" s="20" t="n">
        <v>46321</v>
      </c>
      <c r="Z528" s="19" t="inlineStr">
        <is>
          <t>Nivel 1: propuesta del comentario del desarrollador o de confianza alta, o regla de fecha/responsable/motivo.</t>
        </is>
      </c>
      <c r="AA528" s="18">
        <f>IF(OR(V528="Aprobada"),R528,IF(AND(OR(V528="Aprobada con ajuste",V528="Rechazada"),W528&lt;&gt;""),W528,""))</f>
        <v/>
      </c>
    </row>
    <row r="529">
      <c r="A529" s="18" t="inlineStr">
        <is>
          <t>C0528</t>
        </is>
      </c>
      <c r="B529" s="18" t="inlineStr">
        <is>
          <t>Plan de trabajo académico</t>
        </is>
      </c>
      <c r="C529" s="18" t="inlineStr">
        <is>
          <t>academic_work_plan</t>
        </is>
      </c>
      <c r="D529" s="18" t="inlineStr">
        <is>
          <t>PtaComponentReview</t>
        </is>
      </c>
      <c r="E529" s="18" t="n">
        <v>23</v>
      </c>
      <c r="F529" s="18" t="inlineStr">
        <is>
          <t>fecha_revision</t>
        </is>
      </c>
      <c r="G529" s="18" t="inlineStr">
        <is>
          <t>timestamp without time zone</t>
        </is>
      </c>
      <c r="H529" s="18" t="inlineStr">
        <is>
          <t>Sí</t>
        </is>
      </c>
      <c r="I529" s="18" t="inlineStr"/>
      <c r="J529" s="18" t="inlineStr"/>
      <c r="K529" s="18" t="inlineStr"/>
      <c r="L529" s="18" t="inlineStr">
        <is>
          <t>No</t>
        </is>
      </c>
      <c r="M529" s="18" t="inlineStr">
        <is>
          <t>No</t>
        </is>
      </c>
      <c r="N529" s="18" t="inlineStr"/>
      <c r="O529" s="18" t="inlineStr"/>
      <c r="P529" s="18" t="inlineStr">
        <is>
          <t>Mapeada en academic-work-plan-service/src/pta/entities/pta-component-review.entity.ts:50 (PtaComponentReviewEntity.fechaRevision)</t>
        </is>
      </c>
      <c r="Q529" s="18" t="inlineStr">
        <is>
          <t>Regla estructural (redacción revisada)</t>
        </is>
      </c>
      <c r="R529" s="18" t="inlineStr">
        <is>
          <t>Fecha y hora de revisión del componente del plan de trabajo académico.</t>
        </is>
      </c>
      <c r="S529" s="18" t="inlineStr">
        <is>
          <t>Alta</t>
        </is>
      </c>
      <c r="T529" s="18" t="inlineStr">
        <is>
          <t>Convención de nombre, redactada con el contexto de la tabla y el código.</t>
        </is>
      </c>
      <c r="U529" s="18" t="inlineStr"/>
      <c r="V529" s="19" t="inlineStr">
        <is>
          <t>Aprobada</t>
        </is>
      </c>
      <c r="W529" s="19" t="inlineStr"/>
      <c r="X529" s="19" t="inlineStr">
        <is>
          <t>Aldair González (aprobación en bloque)</t>
        </is>
      </c>
      <c r="Y529" s="20" t="n">
        <v>46321</v>
      </c>
      <c r="Z529" s="19" t="inlineStr">
        <is>
          <t>Nivel 2: regla estructural con redacción revisada.</t>
        </is>
      </c>
      <c r="AA529" s="18">
        <f>IF(OR(V529="Aprobada"),R529,IF(AND(OR(V529="Aprobada con ajuste",V529="Rechazada"),W529&lt;&gt;""),W529,""))</f>
        <v/>
      </c>
    </row>
    <row r="530">
      <c r="A530" s="18" t="inlineStr">
        <is>
          <t>C0529</t>
        </is>
      </c>
      <c r="B530" s="18" t="inlineStr">
        <is>
          <t>Plan de trabajo académico</t>
        </is>
      </c>
      <c r="C530" s="18" t="inlineStr">
        <is>
          <t>academic_work_plan</t>
        </is>
      </c>
      <c r="D530" s="18" t="inlineStr">
        <is>
          <t>PtaComponentReview</t>
        </is>
      </c>
      <c r="E530" s="18" t="n">
        <v>23</v>
      </c>
      <c r="F530" s="18" t="inlineStr">
        <is>
          <t>scope</t>
        </is>
      </c>
      <c r="G530" s="18" t="inlineStr">
        <is>
          <t>character varying(50)</t>
        </is>
      </c>
      <c r="H530" s="18" t="inlineStr">
        <is>
          <t>Sí</t>
        </is>
      </c>
      <c r="I530" s="18" t="inlineStr"/>
      <c r="J530" s="18" t="inlineStr"/>
      <c r="K530" s="18" t="inlineStr"/>
      <c r="L530" s="18" t="inlineStr">
        <is>
          <t>No</t>
        </is>
      </c>
      <c r="M530" s="18" t="inlineStr">
        <is>
          <t>No</t>
        </is>
      </c>
      <c r="N530" s="18" t="inlineStr"/>
      <c r="O530" s="18" t="inlineStr"/>
      <c r="P530" s="18" t="inlineStr">
        <is>
          <t>db/migrations/387_create_pta_component_reviews.sql:22: 'solicitud_edicion' cuando reabre un componente ya aprobado</t>
        </is>
      </c>
      <c r="Q530" s="18" t="inlineStr">
        <is>
          <t>Código fuente (verificado)</t>
        </is>
      </c>
      <c r="R530" s="18" t="inlineStr">
        <is>
          <t>Ámbito de la revisión; la migración prevé el valor solicitud_edicion cuando se reabre un componente ya aprobado, pero el servicio actual no llena esta columna.</t>
        </is>
      </c>
      <c r="S530" s="18" t="inlineStr">
        <is>
          <t>Media</t>
        </is>
      </c>
      <c r="T530" s="18" t="inlineStr">
        <is>
          <t>db/migrations/387_create_pta_component_reviews.sql:22: comentario solicitud_edicion | academic-work-plan-service/src/pta/pta.service.ts:10658: la revisión guarda revisor, estado y comentarios, no scope</t>
        </is>
      </c>
      <c r="U530" s="18" t="inlineStr">
        <is>
          <t>¿La columna scope de PtaComponentReview sigue en uso? ¿Qué otros valores toma y qué significa un valor nulo?</t>
        </is>
      </c>
      <c r="V530" s="19" t="inlineStr">
        <is>
          <t>Aprobada</t>
        </is>
      </c>
      <c r="W530" s="19" t="inlineStr"/>
      <c r="X530" s="19" t="inlineStr">
        <is>
          <t>Aldair González (validación del responsable de BD)</t>
        </is>
      </c>
      <c r="Y530" s="20" t="n">
        <v>46321</v>
      </c>
      <c r="Z530" s="19" t="inlineStr">
        <is>
          <t>Nivel 3: validada por decisión del responsable de la base de datos. Pregunta registrada para desarrollo: ¿La columna scope de PtaComponentReview sigue en uso? ¿Qué otros valores toma y qué significa un valor nulo?</t>
        </is>
      </c>
      <c r="AA530" s="18">
        <f>IF(OR(V530="Aprobada"),R530,IF(AND(OR(V530="Aprobada con ajuste",V530="Rechazada"),W530&lt;&gt;""),W530,""))</f>
        <v/>
      </c>
    </row>
    <row r="531">
      <c r="A531" s="18" t="inlineStr">
        <is>
          <t>C0530</t>
        </is>
      </c>
      <c r="B531" s="18" t="inlineStr">
        <is>
          <t>Plan de trabajo académico</t>
        </is>
      </c>
      <c r="C531" s="18" t="inlineStr">
        <is>
          <t>academic_work_plan</t>
        </is>
      </c>
      <c r="D531" s="18" t="inlineStr">
        <is>
          <t>PtaComponentReview</t>
        </is>
      </c>
      <c r="E531" s="18" t="n">
        <v>23</v>
      </c>
      <c r="F531" s="18" t="inlineStr">
        <is>
          <t>scope_id</t>
        </is>
      </c>
      <c r="G531" s="18" t="inlineStr">
        <is>
          <t>character varying(100)</t>
        </is>
      </c>
      <c r="H531" s="18" t="inlineStr">
        <is>
          <t>Sí</t>
        </is>
      </c>
      <c r="I531" s="18" t="inlineStr"/>
      <c r="J531" s="18" t="inlineStr"/>
      <c r="K531" s="18" t="inlineStr"/>
      <c r="L531" s="18" t="inlineStr">
        <is>
          <t>No</t>
        </is>
      </c>
      <c r="M531" s="18" t="inlineStr">
        <is>
          <t>No</t>
        </is>
      </c>
      <c r="N531" s="18" t="inlineStr"/>
      <c r="O531" s="18" t="inlineStr"/>
      <c r="P531" s="18" t="inlineStr">
        <is>
          <t>Mapeada en academic-work-plan-service/src/pta/entities/pta-component-review.entity.ts:56 (PtaComponentReviewEntity.scopeId)</t>
        </is>
      </c>
      <c r="Q531" s="18" t="inlineStr">
        <is>
          <t>Código fuente (verificado)</t>
        </is>
      </c>
      <c r="R531" s="18" t="inlineStr">
        <is>
          <t>Identificador del ámbito de la revisión según scope; el servicio actual no llena esta columna.</t>
        </is>
      </c>
      <c r="S531" s="18" t="inlineStr">
        <is>
          <t>Media</t>
        </is>
      </c>
      <c r="T531" s="18" t="inlineStr">
        <is>
          <t>academic-work-plan-service/src/pta/pta.service.ts:10658: la revisión no asigna scopeId</t>
        </is>
      </c>
      <c r="U531" s="18" t="inlineStr">
        <is>
          <t>¿A qué entidad apunta scope_id en PtaComponentReview y si la columna sigue en uso?</t>
        </is>
      </c>
      <c r="V531" s="19" t="inlineStr">
        <is>
          <t>Aprobada</t>
        </is>
      </c>
      <c r="W531" s="19" t="inlineStr"/>
      <c r="X531" s="19" t="inlineStr">
        <is>
          <t>Aldair González (validación del responsable de BD)</t>
        </is>
      </c>
      <c r="Y531" s="20" t="n">
        <v>46321</v>
      </c>
      <c r="Z531" s="19" t="inlineStr">
        <is>
          <t>Nivel 3: validada por decisión del responsable de la base de datos. Pregunta registrada para desarrollo: ¿A qué entidad apunta scope_id en PtaComponentReview y si la columna sigue en uso?</t>
        </is>
      </c>
      <c r="AA531" s="18">
        <f>IF(OR(V531="Aprobada"),R531,IF(AND(OR(V531="Aprobada con ajuste",V531="Rechazada"),W531&lt;&gt;""),W531,""))</f>
        <v/>
      </c>
    </row>
    <row r="532">
      <c r="A532" s="18" t="inlineStr">
        <is>
          <t>C0531</t>
        </is>
      </c>
      <c r="B532" s="18" t="inlineStr">
        <is>
          <t>Plan de trabajo académico</t>
        </is>
      </c>
      <c r="C532" s="18" t="inlineStr">
        <is>
          <t>academic_work_plan</t>
        </is>
      </c>
      <c r="D532" s="18" t="inlineStr">
        <is>
          <t>PtaEvento</t>
        </is>
      </c>
      <c r="E532" s="18" t="n">
        <v>83</v>
      </c>
      <c r="F532" s="18" t="inlineStr">
        <is>
          <t>docenteId</t>
        </is>
      </c>
      <c r="G532" s="18" t="inlineStr">
        <is>
          <t>text</t>
        </is>
      </c>
      <c r="H532" s="18" t="inlineStr">
        <is>
          <t>Sí</t>
        </is>
      </c>
      <c r="I532" s="18" t="inlineStr"/>
      <c r="J532" s="18" t="inlineStr"/>
      <c r="K532" s="18" t="inlineStr"/>
      <c r="L532" s="18" t="inlineStr">
        <is>
          <t>No</t>
        </is>
      </c>
      <c r="M532" s="18" t="inlineStr">
        <is>
          <t>No</t>
        </is>
      </c>
      <c r="N532" s="18" t="inlineStr"/>
      <c r="O532" s="18" t="inlineStr">
        <is>
          <t>idx_pta_evento_docenteId</t>
        </is>
      </c>
      <c r="P532" s="18" t="inlineStr">
        <is>
          <t>Mapeada en academic-work-plan-service/src/pta/entities/pta-evento.entity.ts:15 (PtaEventoEntity.docenteId)</t>
        </is>
      </c>
      <c r="Q532" s="18" t="inlineStr">
        <is>
          <t>Propuesta semántica</t>
        </is>
      </c>
      <c r="R532" s="18" t="inlineStr">
        <is>
          <t>Identificador del docente titular del plan de trabajo.</t>
        </is>
      </c>
      <c r="S532" s="18" t="inlineStr">
        <is>
          <t>Alta</t>
        </is>
      </c>
      <c r="T532" s="18" t="inlineStr">
        <is>
          <t>nombre + tipo + columnas vecinas</t>
        </is>
      </c>
      <c r="U532" s="18" t="inlineStr"/>
      <c r="V532" s="19" t="inlineStr">
        <is>
          <t>Aprobada</t>
        </is>
      </c>
      <c r="W532" s="19" t="inlineStr"/>
      <c r="X532" s="19" t="inlineStr">
        <is>
          <t>Aldair González (aprobación en bloque)</t>
        </is>
      </c>
      <c r="Y532" s="20" t="n">
        <v>46321</v>
      </c>
      <c r="Z532" s="19" t="inlineStr">
        <is>
          <t>Nivel 1: propuesta del comentario del desarrollador o de confianza alta, o regla de fecha/responsable/motivo.</t>
        </is>
      </c>
      <c r="AA532" s="18">
        <f>IF(OR(V532="Aprobada"),R532,IF(AND(OR(V532="Aprobada con ajuste",V532="Rechazada"),W532&lt;&gt;""),W532,""))</f>
        <v/>
      </c>
    </row>
    <row r="533">
      <c r="A533" s="18" t="inlineStr">
        <is>
          <t>C0532</t>
        </is>
      </c>
      <c r="B533" s="18" t="inlineStr">
        <is>
          <t>Plan de trabajo académico</t>
        </is>
      </c>
      <c r="C533" s="18" t="inlineStr">
        <is>
          <t>academic_work_plan</t>
        </is>
      </c>
      <c r="D533" s="18" t="inlineStr">
        <is>
          <t>PtaEvento</t>
        </is>
      </c>
      <c r="E533" s="18" t="n">
        <v>83</v>
      </c>
      <c r="F533" s="18" t="inlineStr">
        <is>
          <t>docenteNombre</t>
        </is>
      </c>
      <c r="G533" s="18" t="inlineStr">
        <is>
          <t>text</t>
        </is>
      </c>
      <c r="H533" s="18" t="inlineStr">
        <is>
          <t>Sí</t>
        </is>
      </c>
      <c r="I533" s="18" t="inlineStr"/>
      <c r="J533" s="18" t="inlineStr"/>
      <c r="K533" s="18" t="inlineStr"/>
      <c r="L533" s="18" t="inlineStr">
        <is>
          <t>No</t>
        </is>
      </c>
      <c r="M533" s="18" t="inlineStr">
        <is>
          <t>No</t>
        </is>
      </c>
      <c r="N533" s="18" t="inlineStr"/>
      <c r="O533" s="18" t="inlineStr"/>
      <c r="P533" s="18" t="inlineStr">
        <is>
          <t>Mapeada en academic-work-plan-service/src/pta/entities/pta-evento.entity.ts:18 (PtaEventoEntity.docenteNombre)</t>
        </is>
      </c>
      <c r="Q533" s="18" t="inlineStr">
        <is>
          <t>Propuesta semántica</t>
        </is>
      </c>
      <c r="R533" s="18" t="inlineStr">
        <is>
          <t>Nombre del docente titular del plan de trabajo.</t>
        </is>
      </c>
      <c r="S533" s="18" t="inlineStr">
        <is>
          <t>Alta</t>
        </is>
      </c>
      <c r="T533" s="18" t="inlineStr">
        <is>
          <t>nombre + tipo + columnas vecinas</t>
        </is>
      </c>
      <c r="U533" s="18" t="inlineStr"/>
      <c r="V533" s="19" t="inlineStr">
        <is>
          <t>Aprobada</t>
        </is>
      </c>
      <c r="W533" s="19" t="inlineStr"/>
      <c r="X533" s="19" t="inlineStr">
        <is>
          <t>Aldair González (aprobación en bloque)</t>
        </is>
      </c>
      <c r="Y533" s="20" t="n">
        <v>46321</v>
      </c>
      <c r="Z533" s="19" t="inlineStr">
        <is>
          <t>Nivel 1: propuesta del comentario del desarrollador o de confianza alta, o regla de fecha/responsable/motivo.</t>
        </is>
      </c>
      <c r="AA533" s="18">
        <f>IF(OR(V533="Aprobada"),R533,IF(AND(OR(V533="Aprobada con ajuste",V533="Rechazada"),W533&lt;&gt;""),W533,""))</f>
        <v/>
      </c>
    </row>
    <row r="534">
      <c r="A534" s="18" t="inlineStr">
        <is>
          <t>C0533</t>
        </is>
      </c>
      <c r="B534" s="18" t="inlineStr">
        <is>
          <t>Plan de trabajo académico</t>
        </is>
      </c>
      <c r="C534" s="18" t="inlineStr">
        <is>
          <t>academic_work_plan</t>
        </is>
      </c>
      <c r="D534" s="18" t="inlineStr">
        <is>
          <t>PtaEvento</t>
        </is>
      </c>
      <c r="E534" s="18" t="n">
        <v>83</v>
      </c>
      <c r="F534" s="18" t="inlineStr">
        <is>
          <t>tipo</t>
        </is>
      </c>
      <c r="G534" s="18" t="inlineStr">
        <is>
          <t>text</t>
        </is>
      </c>
      <c r="H534" s="18" t="inlineStr">
        <is>
          <t>No</t>
        </is>
      </c>
      <c r="I534" s="18" t="inlineStr"/>
      <c r="J534" s="18" t="inlineStr"/>
      <c r="K534" s="18" t="inlineStr"/>
      <c r="L534" s="18" t="inlineStr">
        <is>
          <t>No</t>
        </is>
      </c>
      <c r="M534" s="18" t="inlineStr">
        <is>
          <t>No</t>
        </is>
      </c>
      <c r="N534" s="18" t="inlineStr"/>
      <c r="O534" s="18" t="inlineStr"/>
      <c r="P534" s="18" t="inlineStr">
        <is>
          <t>academic-work-plan-service/src/pta/entities/pta-evento.entity.ts:22: cambio_estado | notificacion | respuesta_docente | escalamiento | edicion_admin | guardado | db/migrations/201_pta_eventos.sql:7: cambio_estado | notificacion | respuesta_docente | escalamiento | edicion_admin | guardado</t>
        </is>
      </c>
      <c r="Q534" s="18" t="inlineStr">
        <is>
          <t>Código fuente</t>
        </is>
      </c>
      <c r="R534" s="18" t="inlineStr">
        <is>
          <t>Tipo de evento del PTA. Valores previstos: cambio_estado, notificacion, respuesta_docente, escalamiento, edicion_admin, guardado.</t>
        </is>
      </c>
      <c r="S534" s="18" t="inlineStr">
        <is>
          <t>Alta</t>
        </is>
      </c>
      <c r="T534" s="18" t="inlineStr">
        <is>
          <t>código: academic-work-plan-service/src/pta/entities/pta-evento.entity.ts:22</t>
        </is>
      </c>
      <c r="U534" s="18" t="inlineStr"/>
      <c r="V534" s="19" t="inlineStr">
        <is>
          <t>Aprobada</t>
        </is>
      </c>
      <c r="W534" s="19" t="inlineStr"/>
      <c r="X534" s="19" t="inlineStr">
        <is>
          <t>Aldair González (aprobación en bloque)</t>
        </is>
      </c>
      <c r="Y534" s="20" t="n">
        <v>46321</v>
      </c>
      <c r="Z534" s="19" t="inlineStr">
        <is>
          <t>Nivel 1: propuesta del comentario del desarrollador o de confianza alta, o regla de fecha/responsable/motivo.</t>
        </is>
      </c>
      <c r="AA534" s="18">
        <f>IF(OR(V534="Aprobada"),R534,IF(AND(OR(V534="Aprobada con ajuste",V534="Rechazada"),W534&lt;&gt;""),W534,""))</f>
        <v/>
      </c>
    </row>
    <row r="535">
      <c r="A535" s="18" t="inlineStr">
        <is>
          <t>C0534</t>
        </is>
      </c>
      <c r="B535" s="18" t="inlineStr">
        <is>
          <t>Plan de trabajo académico</t>
        </is>
      </c>
      <c r="C535" s="18" t="inlineStr">
        <is>
          <t>academic_work_plan</t>
        </is>
      </c>
      <c r="D535" s="18" t="inlineStr">
        <is>
          <t>PtaEvento</t>
        </is>
      </c>
      <c r="E535" s="18" t="n">
        <v>83</v>
      </c>
      <c r="F535" s="18" t="inlineStr">
        <is>
          <t>estadoAnterior</t>
        </is>
      </c>
      <c r="G535" s="18" t="inlineStr">
        <is>
          <t>text</t>
        </is>
      </c>
      <c r="H535" s="18" t="inlineStr">
        <is>
          <t>Sí</t>
        </is>
      </c>
      <c r="I535" s="18" t="inlineStr"/>
      <c r="J535" s="18" t="inlineStr"/>
      <c r="K535" s="18" t="inlineStr"/>
      <c r="L535" s="18" t="inlineStr">
        <is>
          <t>No</t>
        </is>
      </c>
      <c r="M535" s="18" t="inlineStr">
        <is>
          <t>No</t>
        </is>
      </c>
      <c r="N535" s="18" t="inlineStr"/>
      <c r="O535" s="18" t="inlineStr"/>
      <c r="P535" s="18" t="inlineStr">
        <is>
          <t>Mapeada en academic-work-plan-service/src/pta/entities/pta-evento.entity.ts:25 (PtaEventoEntity.estadoAnterior)</t>
        </is>
      </c>
      <c r="Q535" s="18" t="inlineStr">
        <is>
          <t>Propuesta semántica</t>
        </is>
      </c>
      <c r="R535" s="18" t="inlineStr">
        <is>
          <t>Estado del plan antes del evento.</t>
        </is>
      </c>
      <c r="S535" s="18" t="inlineStr">
        <is>
          <t>Alta</t>
        </is>
      </c>
      <c r="T535" s="18" t="inlineStr">
        <is>
          <t>nombre + tipo + columnas vecinas</t>
        </is>
      </c>
      <c r="U535" s="18" t="inlineStr"/>
      <c r="V535" s="19" t="inlineStr">
        <is>
          <t>Aprobada</t>
        </is>
      </c>
      <c r="W535" s="19" t="inlineStr"/>
      <c r="X535" s="19" t="inlineStr">
        <is>
          <t>Aldair González (aprobación en bloque)</t>
        </is>
      </c>
      <c r="Y535" s="20" t="n">
        <v>46321</v>
      </c>
      <c r="Z535" s="19" t="inlineStr">
        <is>
          <t>Nivel 1: propuesta del comentario del desarrollador o de confianza alta, o regla de fecha/responsable/motivo.</t>
        </is>
      </c>
      <c r="AA535" s="18">
        <f>IF(OR(V535="Aprobada"),R535,IF(AND(OR(V535="Aprobada con ajuste",V535="Rechazada"),W535&lt;&gt;""),W535,""))</f>
        <v/>
      </c>
    </row>
    <row r="536">
      <c r="A536" s="18" t="inlineStr">
        <is>
          <t>C0535</t>
        </is>
      </c>
      <c r="B536" s="18" t="inlineStr">
        <is>
          <t>Plan de trabajo académico</t>
        </is>
      </c>
      <c r="C536" s="18" t="inlineStr">
        <is>
          <t>academic_work_plan</t>
        </is>
      </c>
      <c r="D536" s="18" t="inlineStr">
        <is>
          <t>PtaEvento</t>
        </is>
      </c>
      <c r="E536" s="18" t="n">
        <v>83</v>
      </c>
      <c r="F536" s="18" t="inlineStr">
        <is>
          <t>estadoNuevo</t>
        </is>
      </c>
      <c r="G536" s="18" t="inlineStr">
        <is>
          <t>text</t>
        </is>
      </c>
      <c r="H536" s="18" t="inlineStr">
        <is>
          <t>Sí</t>
        </is>
      </c>
      <c r="I536" s="18" t="inlineStr"/>
      <c r="J536" s="18" t="inlineStr"/>
      <c r="K536" s="18" t="inlineStr"/>
      <c r="L536" s="18" t="inlineStr">
        <is>
          <t>No</t>
        </is>
      </c>
      <c r="M536" s="18" t="inlineStr">
        <is>
          <t>No</t>
        </is>
      </c>
      <c r="N536" s="18" t="inlineStr"/>
      <c r="O536" s="18" t="inlineStr"/>
      <c r="P536" s="18" t="inlineStr">
        <is>
          <t>Mapeada en academic-work-plan-service/src/pta/entities/pta-evento.entity.ts:28 (PtaEventoEntity.estadoNuevo)</t>
        </is>
      </c>
      <c r="Q536" s="18" t="inlineStr">
        <is>
          <t>Propuesta semántica</t>
        </is>
      </c>
      <c r="R536" s="18" t="inlineStr">
        <is>
          <t>Estado del plan después del evento.</t>
        </is>
      </c>
      <c r="S536" s="18" t="inlineStr">
        <is>
          <t>Alta</t>
        </is>
      </c>
      <c r="T536" s="18" t="inlineStr">
        <is>
          <t>nombre + tipo + columnas vecinas</t>
        </is>
      </c>
      <c r="U536" s="18" t="inlineStr"/>
      <c r="V536" s="19" t="inlineStr">
        <is>
          <t>Aprobada</t>
        </is>
      </c>
      <c r="W536" s="19" t="inlineStr"/>
      <c r="X536" s="19" t="inlineStr">
        <is>
          <t>Aldair González (aprobación en bloque)</t>
        </is>
      </c>
      <c r="Y536" s="20" t="n">
        <v>46321</v>
      </c>
      <c r="Z536" s="19" t="inlineStr">
        <is>
          <t>Nivel 1: propuesta del comentario del desarrollador o de confianza alta, o regla de fecha/responsable/motivo.</t>
        </is>
      </c>
      <c r="AA536" s="18">
        <f>IF(OR(V536="Aprobada"),R536,IF(AND(OR(V536="Aprobada con ajuste",V536="Rechazada"),W536&lt;&gt;""),W536,""))</f>
        <v/>
      </c>
    </row>
    <row r="537">
      <c r="A537" s="18" t="inlineStr">
        <is>
          <t>C0536</t>
        </is>
      </c>
      <c r="B537" s="18" t="inlineStr">
        <is>
          <t>Plan de trabajo académico</t>
        </is>
      </c>
      <c r="C537" s="18" t="inlineStr">
        <is>
          <t>academic_work_plan</t>
        </is>
      </c>
      <c r="D537" s="18" t="inlineStr">
        <is>
          <t>PtaEvento</t>
        </is>
      </c>
      <c r="E537" s="18" t="n">
        <v>83</v>
      </c>
      <c r="F537" s="18" t="inlineStr">
        <is>
          <t>actor</t>
        </is>
      </c>
      <c r="G537" s="18" t="inlineStr">
        <is>
          <t>text</t>
        </is>
      </c>
      <c r="H537" s="18" t="inlineStr">
        <is>
          <t>Sí</t>
        </is>
      </c>
      <c r="I537" s="18" t="inlineStr"/>
      <c r="J537" s="18" t="inlineStr"/>
      <c r="K537" s="18" t="inlineStr"/>
      <c r="L537" s="18" t="inlineStr">
        <is>
          <t>No</t>
        </is>
      </c>
      <c r="M537" s="18" t="inlineStr">
        <is>
          <t>No</t>
        </is>
      </c>
      <c r="N537" s="18" t="inlineStr"/>
      <c r="O537" s="18" t="inlineStr"/>
      <c r="P537" s="18" t="inlineStr">
        <is>
          <t>Mapeada en academic-work-plan-service/src/pta/entities/pta-evento.entity.ts:31 (PtaEventoEntity.actor)</t>
        </is>
      </c>
      <c r="Q537" s="18" t="inlineStr">
        <is>
          <t>Código fuente (verificado)</t>
        </is>
      </c>
      <c r="R537" s="18" t="inlineStr">
        <is>
          <t>Identificador de quien generó el evento: el identificador del docente en acciones del portal, el id_user del usuario autenticado en acciones del backoffice o «sistema» en procesos automáticos.</t>
        </is>
      </c>
      <c r="S537" s="18" t="inlineStr">
        <is>
          <t>Alta</t>
        </is>
      </c>
      <c r="T537" s="18" t="inlineStr">
        <is>
          <t>academic-work-plan-service/src/pta/pta.service.ts:4672: actor = docente_id al guardar el PTA | academic-work-plan-service/src/pta/pta.service.ts:5245: actor = historyActorId (auth.userId) | academic-work-plan-service/src/pta/pta.service.ts:5296: actor = sistema | academic-work-plan-service/src/pta/pta.service.ts:11099: actor = aprobadorId</t>
        </is>
      </c>
      <c r="U537" s="18" t="inlineStr"/>
      <c r="V537" s="19" t="inlineStr">
        <is>
          <t>Aprobada</t>
        </is>
      </c>
      <c r="W537" s="19" t="inlineStr"/>
      <c r="X537" s="19" t="inlineStr">
        <is>
          <t>Aldair González (aprobación en bloque)</t>
        </is>
      </c>
      <c r="Y537" s="20" t="n">
        <v>46321</v>
      </c>
      <c r="Z537" s="19" t="inlineStr">
        <is>
          <t>Nivel 3: verificada con el código de la aplicación.</t>
        </is>
      </c>
      <c r="AA537" s="18">
        <f>IF(OR(V537="Aprobada"),R537,IF(AND(OR(V537="Aprobada con ajuste",V537="Rechazada"),W537&lt;&gt;""),W537,""))</f>
        <v/>
      </c>
    </row>
    <row r="538">
      <c r="A538" s="18" t="inlineStr">
        <is>
          <t>C0537</t>
        </is>
      </c>
      <c r="B538" s="18" t="inlineStr">
        <is>
          <t>Plan de trabajo académico</t>
        </is>
      </c>
      <c r="C538" s="18" t="inlineStr">
        <is>
          <t>academic_work_plan</t>
        </is>
      </c>
      <c r="D538" s="18" t="inlineStr">
        <is>
          <t>PtaEvento</t>
        </is>
      </c>
      <c r="E538" s="18" t="n">
        <v>83</v>
      </c>
      <c r="F538" s="18" t="inlineStr">
        <is>
          <t>actorRol</t>
        </is>
      </c>
      <c r="G538" s="18" t="inlineStr">
        <is>
          <t>text</t>
        </is>
      </c>
      <c r="H538" s="18" t="inlineStr">
        <is>
          <t>Sí</t>
        </is>
      </c>
      <c r="I538" s="18" t="inlineStr"/>
      <c r="J538" s="18" t="inlineStr"/>
      <c r="K538" s="18" t="inlineStr"/>
      <c r="L538" s="18" t="inlineStr">
        <is>
          <t>No</t>
        </is>
      </c>
      <c r="M538" s="18" t="inlineStr">
        <is>
          <t>No</t>
        </is>
      </c>
      <c r="N538" s="18" t="inlineStr"/>
      <c r="O538" s="18" t="inlineStr"/>
      <c r="P538" s="18" t="inlineStr">
        <is>
          <t>Mapeada en academic-work-plan-service/src/pta/entities/pta-evento.entity.ts:34 (PtaEventoEntity.actorRol)</t>
        </is>
      </c>
      <c r="Q538" s="18" t="inlineStr">
        <is>
          <t>Propuesta semántica</t>
        </is>
      </c>
      <c r="R538" s="18" t="inlineStr">
        <is>
          <t>Rol del usuario que generó el evento.</t>
        </is>
      </c>
      <c r="S538" s="18" t="inlineStr">
        <is>
          <t>Alta</t>
        </is>
      </c>
      <c r="T538" s="18" t="inlineStr">
        <is>
          <t>nombre + tipo + columnas vecinas</t>
        </is>
      </c>
      <c r="U538" s="18" t="inlineStr"/>
      <c r="V538" s="19" t="inlineStr">
        <is>
          <t>Aprobada</t>
        </is>
      </c>
      <c r="W538" s="19" t="inlineStr"/>
      <c r="X538" s="19" t="inlineStr">
        <is>
          <t>Aldair González (aprobación en bloque)</t>
        </is>
      </c>
      <c r="Y538" s="20" t="n">
        <v>46321</v>
      </c>
      <c r="Z538" s="19" t="inlineStr">
        <is>
          <t>Nivel 1: propuesta del comentario del desarrollador o de confianza alta, o regla de fecha/responsable/motivo.</t>
        </is>
      </c>
      <c r="AA538" s="18">
        <f>IF(OR(V538="Aprobada"),R538,IF(AND(OR(V538="Aprobada con ajuste",V538="Rechazada"),W538&lt;&gt;""),W538,""))</f>
        <v/>
      </c>
    </row>
    <row r="539">
      <c r="A539" s="18" t="inlineStr">
        <is>
          <t>C0538</t>
        </is>
      </c>
      <c r="B539" s="18" t="inlineStr">
        <is>
          <t>Plan de trabajo académico</t>
        </is>
      </c>
      <c r="C539" s="18" t="inlineStr">
        <is>
          <t>academic_work_plan</t>
        </is>
      </c>
      <c r="D539" s="18" t="inlineStr">
        <is>
          <t>PtaEvento</t>
        </is>
      </c>
      <c r="E539" s="18" t="n">
        <v>83</v>
      </c>
      <c r="F539" s="18" t="inlineStr">
        <is>
          <t>sistemaOrigen</t>
        </is>
      </c>
      <c r="G539" s="18" t="inlineStr">
        <is>
          <t>text</t>
        </is>
      </c>
      <c r="H539" s="18" t="inlineStr">
        <is>
          <t>No</t>
        </is>
      </c>
      <c r="I539" s="18" t="inlineStr"/>
      <c r="J539" s="18" t="inlineStr"/>
      <c r="K539" s="18" t="inlineStr"/>
      <c r="L539" s="18" t="inlineStr">
        <is>
          <t>No</t>
        </is>
      </c>
      <c r="M539" s="18" t="inlineStr">
        <is>
          <t>No</t>
        </is>
      </c>
      <c r="N539" s="18" t="inlineStr"/>
      <c r="O539" s="18" t="inlineStr">
        <is>
          <t>idx_pta_evento_origen</t>
        </is>
      </c>
      <c r="P539" s="18" t="inlineStr">
        <is>
          <t>academic-work-plan-service/src/pta/entities/pta-evento.entity.ts:38: backoffice | portal | db/migrations/201_pta_eventos.sql:12: backoffice | portal | sistema</t>
        </is>
      </c>
      <c r="Q539" s="18" t="inlineStr">
        <is>
          <t>Código fuente</t>
        </is>
      </c>
      <c r="R539" s="18" t="inlineStr">
        <is>
          <t>Sistema donde se originó el evento. Valores previstos: backoffice, portal, sistema; por defecto sistema.</t>
        </is>
      </c>
      <c r="S539" s="18" t="inlineStr">
        <is>
          <t>Alta</t>
        </is>
      </c>
      <c r="T539" s="18" t="inlineStr">
        <is>
          <t>código: db/migrations/201_pta_eventos.sql:12</t>
        </is>
      </c>
      <c r="U539" s="18" t="inlineStr"/>
      <c r="V539" s="19" t="inlineStr">
        <is>
          <t>Aprobada</t>
        </is>
      </c>
      <c r="W539" s="19" t="inlineStr"/>
      <c r="X539" s="19" t="inlineStr">
        <is>
          <t>Aldair González (aprobación en bloque)</t>
        </is>
      </c>
      <c r="Y539" s="20" t="n">
        <v>46321</v>
      </c>
      <c r="Z539" s="19" t="inlineStr">
        <is>
          <t>Nivel 1: propuesta del comentario del desarrollador o de confianza alta, o regla de fecha/responsable/motivo.</t>
        </is>
      </c>
      <c r="AA539" s="18">
        <f>IF(OR(V539="Aprobada"),R539,IF(AND(OR(V539="Aprobada con ajuste",V539="Rechazada"),W539&lt;&gt;""),W539,""))</f>
        <v/>
      </c>
    </row>
    <row r="540">
      <c r="A540" s="18" t="inlineStr">
        <is>
          <t>C0539</t>
        </is>
      </c>
      <c r="B540" s="18" t="inlineStr">
        <is>
          <t>Plan de trabajo académico</t>
        </is>
      </c>
      <c r="C540" s="18" t="inlineStr">
        <is>
          <t>academic_work_plan</t>
        </is>
      </c>
      <c r="D540" s="18" t="inlineStr">
        <is>
          <t>PtaEvento</t>
        </is>
      </c>
      <c r="E540" s="18" t="n">
        <v>83</v>
      </c>
      <c r="F540" s="18" t="inlineStr">
        <is>
          <t>mensaje</t>
        </is>
      </c>
      <c r="G540" s="18" t="inlineStr">
        <is>
          <t>text</t>
        </is>
      </c>
      <c r="H540" s="18" t="inlineStr">
        <is>
          <t>Sí</t>
        </is>
      </c>
      <c r="I540" s="18" t="inlineStr"/>
      <c r="J540" s="18" t="inlineStr"/>
      <c r="K540" s="18" t="inlineStr"/>
      <c r="L540" s="18" t="inlineStr">
        <is>
          <t>No</t>
        </is>
      </c>
      <c r="M540" s="18" t="inlineStr">
        <is>
          <t>No</t>
        </is>
      </c>
      <c r="N540" s="18" t="inlineStr"/>
      <c r="O540" s="18" t="inlineStr"/>
      <c r="P540" s="18" t="inlineStr">
        <is>
          <t>Mapeada en academic-work-plan-service/src/pta/entities/pta-evento.entity.ts:41 (PtaEventoEntity.mensaje)</t>
        </is>
      </c>
      <c r="Q540" s="18" t="inlineStr">
        <is>
          <t>Código fuente (verificado)</t>
        </is>
      </c>
      <c r="R540" s="18" t="inlineStr">
        <is>
          <t>Mensaje descriptivo del evento (por ejemplo, la transición de estado o la decisión sobre un componente); se entrega en la consulta de eventos recientes, que lleva marcas de lectura separadas para el backoffice y el portal.</t>
        </is>
      </c>
      <c r="S540" s="18" t="inlineStr">
        <is>
          <t>Alta</t>
        </is>
      </c>
      <c r="T540" s="18" t="inlineStr">
        <is>
          <t>academic-work-plan-service/src/pta/pta.service.ts:5931: getRecentEvents devuelve mensaje | academic-work-plan-service/src/pta/pta.service.ts:5962: marca de lectura leidoPortal o leidoBackoffice</t>
        </is>
      </c>
      <c r="U540" s="18" t="inlineStr"/>
      <c r="V540" s="19" t="inlineStr">
        <is>
          <t>Aprobada</t>
        </is>
      </c>
      <c r="W540" s="19" t="inlineStr"/>
      <c r="X540" s="19" t="inlineStr">
        <is>
          <t>Aldair González (aprobación en bloque)</t>
        </is>
      </c>
      <c r="Y540" s="20" t="n">
        <v>46321</v>
      </c>
      <c r="Z540" s="19" t="inlineStr">
        <is>
          <t>Nivel 3: verificada con el código de la aplicación.</t>
        </is>
      </c>
      <c r="AA540" s="18">
        <f>IF(OR(V540="Aprobada"),R540,IF(AND(OR(V540="Aprobada con ajuste",V540="Rechazada"),W540&lt;&gt;""),W540,""))</f>
        <v/>
      </c>
    </row>
    <row r="541">
      <c r="A541" s="18" t="inlineStr">
        <is>
          <t>C0540</t>
        </is>
      </c>
      <c r="B541" s="18" t="inlineStr">
        <is>
          <t>Plan de trabajo académico</t>
        </is>
      </c>
      <c r="C541" s="18" t="inlineStr">
        <is>
          <t>academic_work_plan</t>
        </is>
      </c>
      <c r="D541" s="18" t="inlineStr">
        <is>
          <t>PtaEvento</t>
        </is>
      </c>
      <c r="E541" s="18" t="n">
        <v>83</v>
      </c>
      <c r="F541" s="18" t="inlineStr">
        <is>
          <t>leidoBackoffice</t>
        </is>
      </c>
      <c r="G541" s="18" t="inlineStr">
        <is>
          <t>boolean</t>
        </is>
      </c>
      <c r="H541" s="18" t="inlineStr">
        <is>
          <t>No</t>
        </is>
      </c>
      <c r="I541" s="18" t="inlineStr"/>
      <c r="J541" s="18" t="inlineStr"/>
      <c r="K541" s="18" t="inlineStr"/>
      <c r="L541" s="18" t="inlineStr">
        <is>
          <t>No</t>
        </is>
      </c>
      <c r="M541" s="18" t="inlineStr">
        <is>
          <t>No</t>
        </is>
      </c>
      <c r="N541" s="18" t="inlineStr"/>
      <c r="O541" s="18" t="inlineStr"/>
      <c r="P541" s="18" t="inlineStr">
        <is>
          <t>Mapeada en academic-work-plan-service/src/pta/entities/pta-evento.entity.ts:44 (PtaEventoEntity.leidoBackoffice)</t>
        </is>
      </c>
      <c r="Q541" s="18" t="inlineStr">
        <is>
          <t>Regla estructural (redacción revisada)</t>
        </is>
      </c>
      <c r="R541" s="18" t="inlineStr">
        <is>
          <t>Indica si el evento del plan de trabajo académico fue leído en el backoffice.</t>
        </is>
      </c>
      <c r="S541" s="18" t="inlineStr">
        <is>
          <t>Alta</t>
        </is>
      </c>
      <c r="T541" s="18" t="inlineStr">
        <is>
          <t>Convención de nombre, redactada con el contexto de la tabla y el código.</t>
        </is>
      </c>
      <c r="U541" s="18" t="inlineStr"/>
      <c r="V541" s="19" t="inlineStr">
        <is>
          <t>Aprobada</t>
        </is>
      </c>
      <c r="W541" s="19" t="inlineStr"/>
      <c r="X541" s="19" t="inlineStr">
        <is>
          <t>Aldair González (aprobación en bloque)</t>
        </is>
      </c>
      <c r="Y541" s="20" t="n">
        <v>46321</v>
      </c>
      <c r="Z541" s="19" t="inlineStr">
        <is>
          <t>Nivel 2: regla estructural con redacción revisada.</t>
        </is>
      </c>
      <c r="AA541" s="18">
        <f>IF(OR(V541="Aprobada"),R541,IF(AND(OR(V541="Aprobada con ajuste",V541="Rechazada"),W541&lt;&gt;""),W541,""))</f>
        <v/>
      </c>
    </row>
    <row r="542">
      <c r="A542" s="18" t="inlineStr">
        <is>
          <t>C0541</t>
        </is>
      </c>
      <c r="B542" s="18" t="inlineStr">
        <is>
          <t>Plan de trabajo académico</t>
        </is>
      </c>
      <c r="C542" s="18" t="inlineStr">
        <is>
          <t>academic_work_plan</t>
        </is>
      </c>
      <c r="D542" s="18" t="inlineStr">
        <is>
          <t>PtaEvento</t>
        </is>
      </c>
      <c r="E542" s="18" t="n">
        <v>83</v>
      </c>
      <c r="F542" s="18" t="inlineStr">
        <is>
          <t>leidoPortal</t>
        </is>
      </c>
      <c r="G542" s="18" t="inlineStr">
        <is>
          <t>boolean</t>
        </is>
      </c>
      <c r="H542" s="18" t="inlineStr">
        <is>
          <t>No</t>
        </is>
      </c>
      <c r="I542" s="18" t="inlineStr"/>
      <c r="J542" s="18" t="inlineStr"/>
      <c r="K542" s="18" t="inlineStr"/>
      <c r="L542" s="18" t="inlineStr">
        <is>
          <t>No</t>
        </is>
      </c>
      <c r="M542" s="18" t="inlineStr">
        <is>
          <t>No</t>
        </is>
      </c>
      <c r="N542" s="18" t="inlineStr"/>
      <c r="O542" s="18" t="inlineStr"/>
      <c r="P542" s="18" t="inlineStr">
        <is>
          <t>Mapeada en academic-work-plan-service/src/pta/entities/pta-evento.entity.ts:47 (PtaEventoEntity.leidoPortal)</t>
        </is>
      </c>
      <c r="Q542" s="18" t="inlineStr">
        <is>
          <t>Regla estructural (redacción revisada)</t>
        </is>
      </c>
      <c r="R542" s="18" t="inlineStr">
        <is>
          <t>Indica si el evento del plan de trabajo académico fue leído en el portal.</t>
        </is>
      </c>
      <c r="S542" s="18" t="inlineStr">
        <is>
          <t>Alta</t>
        </is>
      </c>
      <c r="T542" s="18" t="inlineStr">
        <is>
          <t>Convención de nombre, redactada con el contexto de la tabla y el código.</t>
        </is>
      </c>
      <c r="U542" s="18" t="inlineStr"/>
      <c r="V542" s="19" t="inlineStr">
        <is>
          <t>Aprobada</t>
        </is>
      </c>
      <c r="W542" s="19" t="inlineStr"/>
      <c r="X542" s="19" t="inlineStr">
        <is>
          <t>Aldair González (aprobación en bloque)</t>
        </is>
      </c>
      <c r="Y542" s="20" t="n">
        <v>46321</v>
      </c>
      <c r="Z542" s="19" t="inlineStr">
        <is>
          <t>Nivel 2: regla estructural con redacción revisada.</t>
        </is>
      </c>
      <c r="AA542" s="18">
        <f>IF(OR(V542="Aprobada"),R542,IF(AND(OR(V542="Aprobada con ajuste",V542="Rechazada"),W542&lt;&gt;""),W542,""))</f>
        <v/>
      </c>
    </row>
    <row r="543">
      <c r="A543" s="18" t="inlineStr">
        <is>
          <t>C0542</t>
        </is>
      </c>
      <c r="B543" s="18" t="inlineStr">
        <is>
          <t>Plan de trabajo académico</t>
        </is>
      </c>
      <c r="C543" s="18" t="inlineStr">
        <is>
          <t>academic_work_plan</t>
        </is>
      </c>
      <c r="D543" s="18" t="inlineStr">
        <is>
          <t>PtaEvento</t>
        </is>
      </c>
      <c r="E543" s="18" t="n">
        <v>83</v>
      </c>
      <c r="F543" s="18" t="inlineStr">
        <is>
          <t>metadata</t>
        </is>
      </c>
      <c r="G543" s="18" t="inlineStr">
        <is>
          <t>jsonb</t>
        </is>
      </c>
      <c r="H543" s="18" t="inlineStr">
        <is>
          <t>Sí</t>
        </is>
      </c>
      <c r="I543" s="18" t="inlineStr"/>
      <c r="J543" s="18" t="inlineStr"/>
      <c r="K543" s="18" t="inlineStr"/>
      <c r="L543" s="18" t="inlineStr">
        <is>
          <t>No</t>
        </is>
      </c>
      <c r="M543" s="18" t="inlineStr">
        <is>
          <t>No</t>
        </is>
      </c>
      <c r="N543" s="18" t="inlineStr"/>
      <c r="O543" s="18" t="inlineStr"/>
      <c r="P543" s="18" t="inlineStr">
        <is>
          <t>Mapeada en academic-work-plan-service/src/pta/entities/pta-evento.entity.ts:50 (PtaEventoEntity.metadata)</t>
        </is>
      </c>
      <c r="Q543" s="18" t="inlineStr">
        <is>
          <t>Regla estructural (redacción revisada)</t>
        </is>
      </c>
      <c r="R543" s="18" t="inlineStr">
        <is>
          <t>Metadatos adicionales del evento del plan de trabajo académico, en formato JSON.</t>
        </is>
      </c>
      <c r="S543" s="18" t="inlineStr">
        <is>
          <t>Alta</t>
        </is>
      </c>
      <c r="T543" s="18" t="inlineStr">
        <is>
          <t>Convención de nombre, redactada con el contexto de la tabla y el código.</t>
        </is>
      </c>
      <c r="U543" s="18" t="inlineStr"/>
      <c r="V543" s="19" t="inlineStr">
        <is>
          <t>Aprobada</t>
        </is>
      </c>
      <c r="W543" s="19" t="inlineStr"/>
      <c r="X543" s="19" t="inlineStr">
        <is>
          <t>Aldair González (aprobación en bloque)</t>
        </is>
      </c>
      <c r="Y543" s="20" t="n">
        <v>46321</v>
      </c>
      <c r="Z543" s="19" t="inlineStr">
        <is>
          <t>Nivel 2: regla estructural con redacción revisada.</t>
        </is>
      </c>
      <c r="AA543" s="18">
        <f>IF(OR(V543="Aprobada"),R543,IF(AND(OR(V543="Aprobada con ajuste",V543="Rechazada"),W543&lt;&gt;""),W543,""))</f>
        <v/>
      </c>
    </row>
    <row r="544">
      <c r="A544" s="18" t="inlineStr">
        <is>
          <t>C0543</t>
        </is>
      </c>
      <c r="B544" s="18" t="inlineStr">
        <is>
          <t>Plan de trabajo académico</t>
        </is>
      </c>
      <c r="C544" s="18" t="inlineStr">
        <is>
          <t>academic_work_plan</t>
        </is>
      </c>
      <c r="D544" s="18" t="inlineStr">
        <is>
          <t>PtaEvidencia</t>
        </is>
      </c>
      <c r="E544" s="18" t="n">
        <v>2</v>
      </c>
      <c r="F544" s="18" t="inlineStr">
        <is>
          <t>nombre</t>
        </is>
      </c>
      <c r="G544" s="18" t="inlineStr">
        <is>
          <t>text</t>
        </is>
      </c>
      <c r="H544" s="18" t="inlineStr">
        <is>
          <t>No</t>
        </is>
      </c>
      <c r="I544" s="18" t="inlineStr"/>
      <c r="J544" s="18" t="inlineStr"/>
      <c r="K544" s="18" t="inlineStr"/>
      <c r="L544" s="18" t="inlineStr">
        <is>
          <t>No</t>
        </is>
      </c>
      <c r="M544" s="18" t="inlineStr">
        <is>
          <t>No</t>
        </is>
      </c>
      <c r="N544" s="18" t="inlineStr"/>
      <c r="O544" s="18" t="inlineStr"/>
      <c r="P544" s="18" t="inlineStr">
        <is>
          <t>Mapeada en academic-work-plan-service/src/pta/entities/pta-evidencia.entity.ts:11 (PtaEvidenciaEntity.nombre)</t>
        </is>
      </c>
      <c r="Q544" s="18" t="inlineStr">
        <is>
          <t>Regla estructural (redacción revisada)</t>
        </is>
      </c>
      <c r="R544" s="18" t="inlineStr">
        <is>
          <t>Nombre de la evidencia del plan de trabajo académico.</t>
        </is>
      </c>
      <c r="S544" s="18" t="inlineStr">
        <is>
          <t>Alta</t>
        </is>
      </c>
      <c r="T544" s="18" t="inlineStr">
        <is>
          <t>Convención de nombre, redactada con el contexto de la tabla y el código.</t>
        </is>
      </c>
      <c r="U544" s="18" t="inlineStr"/>
      <c r="V544" s="19" t="inlineStr">
        <is>
          <t>Aprobada</t>
        </is>
      </c>
      <c r="W544" s="19" t="inlineStr"/>
      <c r="X544" s="19" t="inlineStr">
        <is>
          <t>Aldair González (aprobación en bloque)</t>
        </is>
      </c>
      <c r="Y544" s="20" t="n">
        <v>46321</v>
      </c>
      <c r="Z544" s="19" t="inlineStr">
        <is>
          <t>Nivel 2: regla estructural con redacción revisada.</t>
        </is>
      </c>
      <c r="AA544" s="18">
        <f>IF(OR(V544="Aprobada"),R544,IF(AND(OR(V544="Aprobada con ajuste",V544="Rechazada"),W544&lt;&gt;""),W544,""))</f>
        <v/>
      </c>
    </row>
    <row r="545">
      <c r="A545" s="18" t="inlineStr">
        <is>
          <t>C0544</t>
        </is>
      </c>
      <c r="B545" s="18" t="inlineStr">
        <is>
          <t>Plan de trabajo académico</t>
        </is>
      </c>
      <c r="C545" s="18" t="inlineStr">
        <is>
          <t>academic_work_plan</t>
        </is>
      </c>
      <c r="D545" s="18" t="inlineStr">
        <is>
          <t>PtaEvidencia</t>
        </is>
      </c>
      <c r="E545" s="18" t="n">
        <v>2</v>
      </c>
      <c r="F545" s="18" t="inlineStr">
        <is>
          <t>tipoArchivo</t>
        </is>
      </c>
      <c r="G545" s="18" t="inlineStr">
        <is>
          <t>text</t>
        </is>
      </c>
      <c r="H545" s="18" t="inlineStr">
        <is>
          <t>No</t>
        </is>
      </c>
      <c r="I545" s="18" t="inlineStr"/>
      <c r="J545" s="18" t="inlineStr"/>
      <c r="K545" s="18" t="inlineStr"/>
      <c r="L545" s="18" t="inlineStr">
        <is>
          <t>No</t>
        </is>
      </c>
      <c r="M545" s="18" t="inlineStr">
        <is>
          <t>No</t>
        </is>
      </c>
      <c r="N545" s="18" t="inlineStr"/>
      <c r="O545" s="18" t="inlineStr"/>
      <c r="P545" s="18" t="inlineStr">
        <is>
          <t>Mapeada en academic-work-plan-service/src/pta/entities/pta-evidencia.entity.ts:14 (PtaEvidenciaEntity.tipoArchivo)</t>
        </is>
      </c>
      <c r="Q545" s="18" t="inlineStr">
        <is>
          <t>Código fuente (verificado)</t>
        </is>
      </c>
      <c r="R545" s="18" t="inlineStr">
        <is>
          <t>Tipo de archivo de la evidencia; por defecto, «pdf».</t>
        </is>
      </c>
      <c r="S545" s="18" t="inlineStr">
        <is>
          <t>Media</t>
        </is>
      </c>
      <c r="T545" s="18" t="inlineStr">
        <is>
          <t>academic-work-plan-service/src/pta/pta.service.ts:6192: valor del cuerpo o pdf | academic-work-plan-service/src/pta/pta.service.ts:3749: para la resolución de investigación, tipo informado o extensión del nombre</t>
        </is>
      </c>
      <c r="U545" s="18" t="inlineStr">
        <is>
          <t>¿La aplicación envía en tipoArchivo la extensión o el tipo MIME?</t>
        </is>
      </c>
      <c r="V545" s="19" t="inlineStr">
        <is>
          <t>Aprobada</t>
        </is>
      </c>
      <c r="W545" s="19" t="inlineStr"/>
      <c r="X545" s="19" t="inlineStr">
        <is>
          <t>Aldair González (validación del responsable de BD)</t>
        </is>
      </c>
      <c r="Y545" s="20" t="n">
        <v>46321</v>
      </c>
      <c r="Z545" s="19" t="inlineStr">
        <is>
          <t>Nivel 3: validada por decisión del responsable de la base de datos. Pregunta registrada para desarrollo: ¿La aplicación envía en tipoArchivo la extensión o el tipo MIME?</t>
        </is>
      </c>
      <c r="AA545" s="18">
        <f>IF(OR(V545="Aprobada"),R545,IF(AND(OR(V545="Aprobada con ajuste",V545="Rechazada"),W545&lt;&gt;""),W545,""))</f>
        <v/>
      </c>
    </row>
    <row r="546">
      <c r="A546" s="18" t="inlineStr">
        <is>
          <t>C0545</t>
        </is>
      </c>
      <c r="B546" s="18" t="inlineStr">
        <is>
          <t>Plan de trabajo académico</t>
        </is>
      </c>
      <c r="C546" s="18" t="inlineStr">
        <is>
          <t>academic_work_plan</t>
        </is>
      </c>
      <c r="D546" s="18" t="inlineStr">
        <is>
          <t>PtaEvidencia</t>
        </is>
      </c>
      <c r="E546" s="18" t="n">
        <v>2</v>
      </c>
      <c r="F546" s="18" t="inlineStr">
        <is>
          <t>tamanioBytes</t>
        </is>
      </c>
      <c r="G546" s="18" t="inlineStr">
        <is>
          <t>integer</t>
        </is>
      </c>
      <c r="H546" s="18" t="inlineStr">
        <is>
          <t>No</t>
        </is>
      </c>
      <c r="I546" s="18" t="inlineStr"/>
      <c r="J546" s="18" t="inlineStr"/>
      <c r="K546" s="18" t="inlineStr"/>
      <c r="L546" s="18" t="inlineStr">
        <is>
          <t>No</t>
        </is>
      </c>
      <c r="M546" s="18" t="inlineStr">
        <is>
          <t>No</t>
        </is>
      </c>
      <c r="N546" s="18" t="inlineStr"/>
      <c r="O546" s="18" t="inlineStr"/>
      <c r="P546" s="18" t="inlineStr">
        <is>
          <t>Mapeada en academic-work-plan-service/src/pta/entities/pta-evidencia.entity.ts:17 (PtaEvidenciaEntity.tamanioBytes)</t>
        </is>
      </c>
      <c r="Q546" s="18" t="inlineStr">
        <is>
          <t>Propuesta semántica</t>
        </is>
      </c>
      <c r="R546" s="18" t="inlineStr">
        <is>
          <t>Tamaño en bytes del archivo de evidencia; por defecto, 0.</t>
        </is>
      </c>
      <c r="S546" s="18" t="inlineStr">
        <is>
          <t>Alta</t>
        </is>
      </c>
      <c r="T546" s="18" t="inlineStr">
        <is>
          <t>nombre + tipo + columnas vecinas + defecto</t>
        </is>
      </c>
      <c r="U546" s="18" t="inlineStr"/>
      <c r="V546" s="19" t="inlineStr">
        <is>
          <t>Aprobada</t>
        </is>
      </c>
      <c r="W546" s="19" t="inlineStr"/>
      <c r="X546" s="19" t="inlineStr">
        <is>
          <t>Aldair González (aprobación en bloque)</t>
        </is>
      </c>
      <c r="Y546" s="20" t="n">
        <v>46321</v>
      </c>
      <c r="Z546" s="19" t="inlineStr">
        <is>
          <t>Nivel 1: propuesta del comentario del desarrollador o de confianza alta, o regla de fecha/responsable/motivo.</t>
        </is>
      </c>
      <c r="AA546" s="18">
        <f>IF(OR(V546="Aprobada"),R546,IF(AND(OR(V546="Aprobada con ajuste",V546="Rechazada"),W546&lt;&gt;""),W546,""))</f>
        <v/>
      </c>
    </row>
    <row r="547">
      <c r="A547" s="18" t="inlineStr">
        <is>
          <t>C0546</t>
        </is>
      </c>
      <c r="B547" s="18" t="inlineStr">
        <is>
          <t>Plan de trabajo académico</t>
        </is>
      </c>
      <c r="C547" s="18" t="inlineStr">
        <is>
          <t>academic_work_plan</t>
        </is>
      </c>
      <c r="D547" s="18" t="inlineStr">
        <is>
          <t>PtaEvidencia</t>
        </is>
      </c>
      <c r="E547" s="18" t="n">
        <v>2</v>
      </c>
      <c r="F547" s="18" t="inlineStr">
        <is>
          <t>categoria</t>
        </is>
      </c>
      <c r="G547" s="18" t="inlineStr">
        <is>
          <t>text</t>
        </is>
      </c>
      <c r="H547" s="18" t="inlineStr">
        <is>
          <t>Sí</t>
        </is>
      </c>
      <c r="I547" s="18" t="inlineStr"/>
      <c r="J547" s="18" t="inlineStr"/>
      <c r="K547" s="18" t="inlineStr"/>
      <c r="L547" s="18" t="inlineStr">
        <is>
          <t>No</t>
        </is>
      </c>
      <c r="M547" s="18" t="inlineStr">
        <is>
          <t>No</t>
        </is>
      </c>
      <c r="N547" s="18" t="inlineStr"/>
      <c r="O547" s="18" t="inlineStr"/>
      <c r="P547" s="18" t="inlineStr">
        <is>
          <t>Mapeada en academic-work-plan-service/src/pta/entities/pta-evidencia.entity.ts:20 (PtaEvidenciaEntity.categoria)</t>
        </is>
      </c>
      <c r="Q547" s="18" t="inlineStr">
        <is>
          <t>Código fuente (verificado)</t>
        </is>
      </c>
      <c r="R547" s="18" t="inlineStr">
        <is>
          <t>Categoría de la evidencia, enviada por la aplicación; el servicio usa una categoría propia para la resolución del proyecto de investigación.</t>
        </is>
      </c>
      <c r="S547" s="18" t="inlineStr">
        <is>
          <t>Media</t>
        </is>
      </c>
      <c r="T547" s="18" t="inlineStr">
        <is>
          <t>academic-work-plan-service/src/pta/pta.service.ts:6195: categoria del cuerpo | academic-work-plan-service/src/pta/pta.service.ts:82: categoría de resolución de proyecto de investigación</t>
        </is>
      </c>
      <c r="U547" s="18" t="inlineStr">
        <is>
          <t>¿Qué valores de categoria envía la aplicación?</t>
        </is>
      </c>
      <c r="V547" s="19" t="inlineStr">
        <is>
          <t>Aprobada</t>
        </is>
      </c>
      <c r="W547" s="19" t="inlineStr"/>
      <c r="X547" s="19" t="inlineStr">
        <is>
          <t>Aldair González (validación del responsable de BD)</t>
        </is>
      </c>
      <c r="Y547" s="20" t="n">
        <v>46321</v>
      </c>
      <c r="Z547" s="19" t="inlineStr">
        <is>
          <t>Nivel 3: validada por decisión del responsable de la base de datos. Pregunta registrada para desarrollo: ¿Qué valores de categoria envía la aplicación?</t>
        </is>
      </c>
      <c r="AA547" s="18">
        <f>IF(OR(V547="Aprobada"),R547,IF(AND(OR(V547="Aprobada con ajuste",V547="Rechazada"),W547&lt;&gt;""),W547,""))</f>
        <v/>
      </c>
    </row>
    <row r="548">
      <c r="A548" s="18" t="inlineStr">
        <is>
          <t>C0547</t>
        </is>
      </c>
      <c r="B548" s="18" t="inlineStr">
        <is>
          <t>Plan de trabajo académico</t>
        </is>
      </c>
      <c r="C548" s="18" t="inlineStr">
        <is>
          <t>academic_work_plan</t>
        </is>
      </c>
      <c r="D548" s="18" t="inlineStr">
        <is>
          <t>PtaEvidencia</t>
        </is>
      </c>
      <c r="E548" s="18" t="n">
        <v>2</v>
      </c>
      <c r="F548" s="18" t="inlineStr">
        <is>
          <t>componentePta</t>
        </is>
      </c>
      <c r="G548" s="18" t="inlineStr">
        <is>
          <t>text</t>
        </is>
      </c>
      <c r="H548" s="18" t="inlineStr">
        <is>
          <t>Sí</t>
        </is>
      </c>
      <c r="I548" s="18" t="inlineStr"/>
      <c r="J548" s="18" t="inlineStr"/>
      <c r="K548" s="18" t="inlineStr"/>
      <c r="L548" s="18" t="inlineStr">
        <is>
          <t>No</t>
        </is>
      </c>
      <c r="M548" s="18" t="inlineStr">
        <is>
          <t>No</t>
        </is>
      </c>
      <c r="N548" s="18" t="inlineStr"/>
      <c r="O548" s="18" t="inlineStr"/>
      <c r="P548" s="18" t="inlineStr">
        <is>
          <t>Mapeada en academic-work-plan-service/src/pta/entities/pta-evidencia.entity.ts:23 (PtaEvidenciaEntity.componentePta)</t>
        </is>
      </c>
      <c r="Q548" s="18" t="inlineStr">
        <is>
          <t>Propuesta semántica</t>
        </is>
      </c>
      <c r="R548" s="18" t="inlineStr">
        <is>
          <t>Componente del plan de trabajo al que corresponde la evidencia.</t>
        </is>
      </c>
      <c r="S548" s="18" t="inlineStr">
        <is>
          <t>Alta</t>
        </is>
      </c>
      <c r="T548" s="18" t="inlineStr">
        <is>
          <t>nombre + tipo + columnas vecinas</t>
        </is>
      </c>
      <c r="U548" s="18" t="inlineStr"/>
      <c r="V548" s="19" t="inlineStr">
        <is>
          <t>Aprobada</t>
        </is>
      </c>
      <c r="W548" s="19" t="inlineStr"/>
      <c r="X548" s="19" t="inlineStr">
        <is>
          <t>Aldair González (aprobación en bloque)</t>
        </is>
      </c>
      <c r="Y548" s="20" t="n">
        <v>46321</v>
      </c>
      <c r="Z548" s="19" t="inlineStr">
        <is>
          <t>Nivel 1: propuesta del comentario del desarrollador o de confianza alta, o regla de fecha/responsable/motivo.</t>
        </is>
      </c>
      <c r="AA548" s="18">
        <f>IF(OR(V548="Aprobada"),R548,IF(AND(OR(V548="Aprobada con ajuste",V548="Rechazada"),W548&lt;&gt;""),W548,""))</f>
        <v/>
      </c>
    </row>
    <row r="549">
      <c r="A549" s="18" t="inlineStr">
        <is>
          <t>C0548</t>
        </is>
      </c>
      <c r="B549" s="18" t="inlineStr">
        <is>
          <t>Plan de trabajo académico</t>
        </is>
      </c>
      <c r="C549" s="18" t="inlineStr">
        <is>
          <t>academic_work_plan</t>
        </is>
      </c>
      <c r="D549" s="18" t="inlineStr">
        <is>
          <t>PtaEvidencia</t>
        </is>
      </c>
      <c r="E549" s="18" t="n">
        <v>2</v>
      </c>
      <c r="F549" s="18" t="inlineStr">
        <is>
          <t>horasAvance</t>
        </is>
      </c>
      <c r="G549" s="18" t="inlineStr">
        <is>
          <t>integer</t>
        </is>
      </c>
      <c r="H549" s="18" t="inlineStr">
        <is>
          <t>No</t>
        </is>
      </c>
      <c r="I549" s="18" t="inlineStr"/>
      <c r="J549" s="18" t="inlineStr"/>
      <c r="K549" s="18" t="inlineStr"/>
      <c r="L549" s="18" t="inlineStr">
        <is>
          <t>No</t>
        </is>
      </c>
      <c r="M549" s="18" t="inlineStr">
        <is>
          <t>No</t>
        </is>
      </c>
      <c r="N549" s="18" t="inlineStr"/>
      <c r="O549" s="18" t="inlineStr"/>
      <c r="P549" s="18" t="inlineStr">
        <is>
          <t>Mapeada en academic-work-plan-service/src/pta/entities/pta-evidencia.entity.ts:31 (PtaEvidenciaEntity.horasAvance)</t>
        </is>
      </c>
      <c r="Q549" s="18" t="inlineStr">
        <is>
          <t>Código fuente (verificado)</t>
        </is>
      </c>
      <c r="R549" s="18" t="inlineStr">
        <is>
          <t>Número de horas que justifica la evidencia; por defecto, 0. No puede superar las horas del componente y solo las evidencias aprobadas y no eliminadas suman al cumplimiento del componente.</t>
        </is>
      </c>
      <c r="S549" s="18" t="inlineStr">
        <is>
          <t>Alta</t>
        </is>
      </c>
      <c r="T549" s="18" t="inlineStr">
        <is>
          <t>academic-work-plan-service/src/pta/pta.service.ts:6205: tope = horas asignadas al componente | academic-work-plan-service/src/pta/pta.service.ts:6338: suma de horas aprobadas por componente | academic-work-plan-service/src/pta/pta.service.ts:6336: se excluyen las eliminadas</t>
        </is>
      </c>
      <c r="U549" s="18" t="inlineStr"/>
      <c r="V549" s="19" t="inlineStr">
        <is>
          <t>Aprobada</t>
        </is>
      </c>
      <c r="W549" s="19" t="inlineStr"/>
      <c r="X549" s="19" t="inlineStr">
        <is>
          <t>Aldair González (aprobación en bloque)</t>
        </is>
      </c>
      <c r="Y549" s="20" t="n">
        <v>46321</v>
      </c>
      <c r="Z549" s="19" t="inlineStr">
        <is>
          <t>Nivel 3: verificada con el código de la aplicación.</t>
        </is>
      </c>
      <c r="AA549" s="18">
        <f>IF(OR(V549="Aprobada"),R549,IF(AND(OR(V549="Aprobada con ajuste",V549="Rechazada"),W549&lt;&gt;""),W549,""))</f>
        <v/>
      </c>
    </row>
    <row r="550">
      <c r="A550" s="18" t="inlineStr">
        <is>
          <t>C0549</t>
        </is>
      </c>
      <c r="B550" s="18" t="inlineStr">
        <is>
          <t>Plan de trabajo académico</t>
        </is>
      </c>
      <c r="C550" s="18" t="inlineStr">
        <is>
          <t>academic_work_plan</t>
        </is>
      </c>
      <c r="D550" s="18" t="inlineStr">
        <is>
          <t>PtaEvidencia</t>
        </is>
      </c>
      <c r="E550" s="18" t="n">
        <v>2</v>
      </c>
      <c r="F550" s="18" t="inlineStr">
        <is>
          <t>storagePath</t>
        </is>
      </c>
      <c r="G550" s="18" t="inlineStr">
        <is>
          <t>text</t>
        </is>
      </c>
      <c r="H550" s="18" t="inlineStr">
        <is>
          <t>Sí</t>
        </is>
      </c>
      <c r="I550" s="18" t="inlineStr"/>
      <c r="J550" s="18" t="inlineStr"/>
      <c r="K550" s="18" t="inlineStr"/>
      <c r="L550" s="18" t="inlineStr">
        <is>
          <t>No</t>
        </is>
      </c>
      <c r="M550" s="18" t="inlineStr">
        <is>
          <t>No</t>
        </is>
      </c>
      <c r="N550" s="18" t="inlineStr"/>
      <c r="O550" s="18" t="inlineStr"/>
      <c r="P550" s="18" t="inlineStr"/>
      <c r="Q550" s="18" t="inlineStr">
        <is>
          <t>Propuesta semántica</t>
        </is>
      </c>
      <c r="R550" s="18" t="inlineStr">
        <is>
          <t>Ruta del archivo de evidencia en el almacenamiento.</t>
        </is>
      </c>
      <c r="S550" s="18" t="inlineStr">
        <is>
          <t>Alta</t>
        </is>
      </c>
      <c r="T550" s="18" t="inlineStr">
        <is>
          <t>nombre + tipo + columnas vecinas</t>
        </is>
      </c>
      <c r="U550" s="18" t="inlineStr"/>
      <c r="V550" s="19" t="inlineStr">
        <is>
          <t>Aprobada</t>
        </is>
      </c>
      <c r="W550" s="19" t="inlineStr"/>
      <c r="X550" s="19" t="inlineStr">
        <is>
          <t>Aldair González (aprobación en bloque)</t>
        </is>
      </c>
      <c r="Y550" s="20" t="n">
        <v>46321</v>
      </c>
      <c r="Z550" s="19" t="inlineStr">
        <is>
          <t>Nivel 1: propuesta del comentario del desarrollador o de confianza alta, o regla de fecha/responsable/motivo.</t>
        </is>
      </c>
      <c r="AA550" s="18">
        <f>IF(OR(V550="Aprobada"),R550,IF(AND(OR(V550="Aprobada con ajuste",V550="Rechazada"),W550&lt;&gt;""),W550,""))</f>
        <v/>
      </c>
    </row>
    <row r="551">
      <c r="A551" s="18" t="inlineStr">
        <is>
          <t>C0550</t>
        </is>
      </c>
      <c r="B551" s="18" t="inlineStr">
        <is>
          <t>Plan de trabajo académico</t>
        </is>
      </c>
      <c r="C551" s="18" t="inlineStr">
        <is>
          <t>academic_work_plan</t>
        </is>
      </c>
      <c r="D551" s="18" t="inlineStr">
        <is>
          <t>PtaEvidencia</t>
        </is>
      </c>
      <c r="E551" s="18" t="n">
        <v>2</v>
      </c>
      <c r="F551" s="18" t="inlineStr">
        <is>
          <t>storageUrl</t>
        </is>
      </c>
      <c r="G551" s="18" t="inlineStr">
        <is>
          <t>text</t>
        </is>
      </c>
      <c r="H551" s="18" t="inlineStr">
        <is>
          <t>Sí</t>
        </is>
      </c>
      <c r="I551" s="18" t="inlineStr"/>
      <c r="J551" s="18" t="inlineStr"/>
      <c r="K551" s="18" t="inlineStr"/>
      <c r="L551" s="18" t="inlineStr">
        <is>
          <t>No</t>
        </is>
      </c>
      <c r="M551" s="18" t="inlineStr">
        <is>
          <t>No</t>
        </is>
      </c>
      <c r="N551" s="18" t="inlineStr"/>
      <c r="O551" s="18" t="inlineStr"/>
      <c r="P551" s="18" t="inlineStr">
        <is>
          <t>Mapeada en academic-work-plan-service/src/pta/entities/pta-evidencia.entity.ts:34 (PtaEvidenciaEntity.storageUrl)</t>
        </is>
      </c>
      <c r="Q551" s="18" t="inlineStr">
        <is>
          <t>Propuesta semántica</t>
        </is>
      </c>
      <c r="R551" s="18" t="inlineStr">
        <is>
          <t>URL de acceso al archivo de evidencia.</t>
        </is>
      </c>
      <c r="S551" s="18" t="inlineStr">
        <is>
          <t>Alta</t>
        </is>
      </c>
      <c r="T551" s="18" t="inlineStr">
        <is>
          <t>nombre + tipo + columnas vecinas</t>
        </is>
      </c>
      <c r="U551" s="18" t="inlineStr"/>
      <c r="V551" s="19" t="inlineStr">
        <is>
          <t>Aprobada</t>
        </is>
      </c>
      <c r="W551" s="19" t="inlineStr"/>
      <c r="X551" s="19" t="inlineStr">
        <is>
          <t>Aldair González (aprobación en bloque)</t>
        </is>
      </c>
      <c r="Y551" s="20" t="n">
        <v>46321</v>
      </c>
      <c r="Z551" s="19" t="inlineStr">
        <is>
          <t>Nivel 1: propuesta del comentario del desarrollador o de confianza alta, o regla de fecha/responsable/motivo.</t>
        </is>
      </c>
      <c r="AA551" s="18">
        <f>IF(OR(V551="Aprobada"),R551,IF(AND(OR(V551="Aprobada con ajuste",V551="Rechazada"),W551&lt;&gt;""),W551,""))</f>
        <v/>
      </c>
    </row>
    <row r="552">
      <c r="A552" s="18" t="inlineStr">
        <is>
          <t>C0551</t>
        </is>
      </c>
      <c r="B552" s="18" t="inlineStr">
        <is>
          <t>Plan de trabajo académico</t>
        </is>
      </c>
      <c r="C552" s="18" t="inlineStr">
        <is>
          <t>academic_work_plan</t>
        </is>
      </c>
      <c r="D552" s="18" t="inlineStr">
        <is>
          <t>PtaEvidencia</t>
        </is>
      </c>
      <c r="E552" s="18" t="n">
        <v>2</v>
      </c>
      <c r="F552" s="18" t="inlineStr">
        <is>
          <t>subidoPor</t>
        </is>
      </c>
      <c r="G552" s="18" t="inlineStr">
        <is>
          <t>text</t>
        </is>
      </c>
      <c r="H552" s="18" t="inlineStr">
        <is>
          <t>Sí</t>
        </is>
      </c>
      <c r="I552" s="18" t="inlineStr"/>
      <c r="J552" s="18" t="inlineStr"/>
      <c r="K552" s="18" t="inlineStr"/>
      <c r="L552" s="18" t="inlineStr">
        <is>
          <t>No</t>
        </is>
      </c>
      <c r="M552" s="18" t="inlineStr">
        <is>
          <t>No</t>
        </is>
      </c>
      <c r="N552" s="18" t="inlineStr"/>
      <c r="O552" s="18" t="inlineStr"/>
      <c r="P552" s="18" t="inlineStr">
        <is>
          <t>Mapeada en academic-work-plan-service/src/pta/entities/pta-evidencia.entity.ts:37 (PtaEvidenciaEntity.subidoPor)</t>
        </is>
      </c>
      <c r="Q552" s="18" t="inlineStr">
        <is>
          <t>Código fuente (verificado)</t>
        </is>
      </c>
      <c r="R552" s="18" t="inlineStr">
        <is>
          <t>Persona que cargó la evidencia, según el valor que envía la aplicación; en la resolución de investigación, nombre del docente.</t>
        </is>
      </c>
      <c r="S552" s="18" t="inlineStr">
        <is>
          <t>Media</t>
        </is>
      </c>
      <c r="T552" s="18" t="inlineStr">
        <is>
          <t>academic-work-plan-service/src/pta/pta.service.ts:6243: subidoPor del cuerpo | academic-work-plan-service/src/pta/pta.service.ts:3769: nombre del docente para la resolución de investigación</t>
        </is>
      </c>
      <c r="U552" s="18" t="inlineStr">
        <is>
          <t>¿La aplicación envía en subidoPor el id, el correo o el nombre del usuario?</t>
        </is>
      </c>
      <c r="V552" s="19" t="inlineStr">
        <is>
          <t>Aprobada</t>
        </is>
      </c>
      <c r="W552" s="19" t="inlineStr"/>
      <c r="X552" s="19" t="inlineStr">
        <is>
          <t>Aldair González (validación del responsable de BD)</t>
        </is>
      </c>
      <c r="Y552" s="20" t="n">
        <v>46321</v>
      </c>
      <c r="Z552" s="19" t="inlineStr">
        <is>
          <t>Nivel 3: validada por decisión del responsable de la base de datos. Pregunta registrada para desarrollo: ¿La aplicación envía en subidoPor el id, el correo o el nombre del usuario?</t>
        </is>
      </c>
      <c r="AA552" s="18">
        <f>IF(OR(V552="Aprobada"),R552,IF(AND(OR(V552="Aprobada con ajuste",V552="Rechazada"),W552&lt;&gt;""),W552,""))</f>
        <v/>
      </c>
    </row>
    <row r="553">
      <c r="A553" s="18" t="inlineStr">
        <is>
          <t>C0552</t>
        </is>
      </c>
      <c r="B553" s="18" t="inlineStr">
        <is>
          <t>Plan de trabajo académico</t>
        </is>
      </c>
      <c r="C553" s="18" t="inlineStr">
        <is>
          <t>academic_work_plan</t>
        </is>
      </c>
      <c r="D553" s="18" t="inlineStr">
        <is>
          <t>PtaEvidencia</t>
        </is>
      </c>
      <c r="E553" s="18" t="n">
        <v>2</v>
      </c>
      <c r="F553" s="18" t="inlineStr">
        <is>
          <t>descripcion</t>
        </is>
      </c>
      <c r="G553" s="18" t="inlineStr">
        <is>
          <t>text</t>
        </is>
      </c>
      <c r="H553" s="18" t="inlineStr">
        <is>
          <t>Sí</t>
        </is>
      </c>
      <c r="I553" s="18" t="inlineStr"/>
      <c r="J553" s="18" t="inlineStr"/>
      <c r="K553" s="18" t="inlineStr"/>
      <c r="L553" s="18" t="inlineStr">
        <is>
          <t>No</t>
        </is>
      </c>
      <c r="M553" s="18" t="inlineStr">
        <is>
          <t>No</t>
        </is>
      </c>
      <c r="N553" s="18" t="inlineStr"/>
      <c r="O553" s="18" t="inlineStr"/>
      <c r="P553" s="18" t="inlineStr">
        <is>
          <t>Mapeada en academic-work-plan-service/src/pta/entities/pta-evidencia.entity.ts:40 (PtaEvidenciaEntity.descripcion)</t>
        </is>
      </c>
      <c r="Q553" s="18" t="inlineStr">
        <is>
          <t>Regla estructural (redacción revisada)</t>
        </is>
      </c>
      <c r="R553" s="18" t="inlineStr">
        <is>
          <t>Descripción de la evidencia del plan de trabajo académico.</t>
        </is>
      </c>
      <c r="S553" s="18" t="inlineStr">
        <is>
          <t>Alta</t>
        </is>
      </c>
      <c r="T553" s="18" t="inlineStr">
        <is>
          <t>Convención de nombre, redactada con el contexto de la tabla y el código.</t>
        </is>
      </c>
      <c r="U553" s="18" t="inlineStr"/>
      <c r="V553" s="19" t="inlineStr">
        <is>
          <t>Aprobada</t>
        </is>
      </c>
      <c r="W553" s="19" t="inlineStr"/>
      <c r="X553" s="19" t="inlineStr">
        <is>
          <t>Aldair González (aprobación en bloque)</t>
        </is>
      </c>
      <c r="Y553" s="20" t="n">
        <v>46321</v>
      </c>
      <c r="Z553" s="19" t="inlineStr">
        <is>
          <t>Nivel 2: regla estructural con redacción revisada.</t>
        </is>
      </c>
      <c r="AA553" s="18">
        <f>IF(OR(V553="Aprobada"),R553,IF(AND(OR(V553="Aprobada con ajuste",V553="Rechazada"),W553&lt;&gt;""),W553,""))</f>
        <v/>
      </c>
    </row>
    <row r="554">
      <c r="A554" s="18" t="inlineStr">
        <is>
          <t>C0553</t>
        </is>
      </c>
      <c r="B554" s="18" t="inlineStr">
        <is>
          <t>Plan de trabajo académico</t>
        </is>
      </c>
      <c r="C554" s="18" t="inlineStr">
        <is>
          <t>academic_work_plan</t>
        </is>
      </c>
      <c r="D554" s="18" t="inlineStr">
        <is>
          <t>PtaEvidencia</t>
        </is>
      </c>
      <c r="E554" s="18" t="n">
        <v>2</v>
      </c>
      <c r="F554" s="18" t="inlineStr">
        <is>
          <t>estado</t>
        </is>
      </c>
      <c r="G554" s="18" t="inlineStr">
        <is>
          <t>text</t>
        </is>
      </c>
      <c r="H554" s="18" t="inlineStr">
        <is>
          <t>No</t>
        </is>
      </c>
      <c r="I554" s="18" t="inlineStr"/>
      <c r="J554" s="18" t="inlineStr"/>
      <c r="K554" s="18" t="inlineStr"/>
      <c r="L554" s="18" t="inlineStr">
        <is>
          <t>No</t>
        </is>
      </c>
      <c r="M554" s="18" t="inlineStr">
        <is>
          <t>No</t>
        </is>
      </c>
      <c r="N554" s="18" t="inlineStr"/>
      <c r="O554" s="18" t="inlineStr"/>
      <c r="P554" s="18" t="inlineStr">
        <is>
          <t>Mapeada en academic-work-plan-service/src/pta/entities/pta-evidencia.entity.ts:43 (PtaEvidenciaEntity.estado)</t>
        </is>
      </c>
      <c r="Q554" s="18" t="inlineStr">
        <is>
          <t>Regla estructural (redacción revisada)</t>
        </is>
      </c>
      <c r="R554" s="18" t="inlineStr">
        <is>
          <t>Estado de la evidencia del plan de trabajo académico.</t>
        </is>
      </c>
      <c r="S554" s="18" t="inlineStr">
        <is>
          <t>Alta</t>
        </is>
      </c>
      <c r="T554" s="18" t="inlineStr">
        <is>
          <t>Convención de nombre, redactada con el contexto de la tabla y el código.</t>
        </is>
      </c>
      <c r="U554" s="18" t="inlineStr"/>
      <c r="V554" s="19" t="inlineStr">
        <is>
          <t>Aprobada</t>
        </is>
      </c>
      <c r="W554" s="19" t="inlineStr"/>
      <c r="X554" s="19" t="inlineStr">
        <is>
          <t>Aldair González (aprobación en bloque)</t>
        </is>
      </c>
      <c r="Y554" s="20" t="n">
        <v>46321</v>
      </c>
      <c r="Z554" s="19" t="inlineStr">
        <is>
          <t>Nivel 2: regla estructural con redacción revisada.</t>
        </is>
      </c>
      <c r="AA554" s="18">
        <f>IF(OR(V554="Aprobada"),R554,IF(AND(OR(V554="Aprobada con ajuste",V554="Rechazada"),W554&lt;&gt;""),W554,""))</f>
        <v/>
      </c>
    </row>
    <row r="555">
      <c r="A555" s="18" t="inlineStr">
        <is>
          <t>C0554</t>
        </is>
      </c>
      <c r="B555" s="18" t="inlineStr">
        <is>
          <t>Plan de trabajo académico</t>
        </is>
      </c>
      <c r="C555" s="18" t="inlineStr">
        <is>
          <t>academic_work_plan</t>
        </is>
      </c>
      <c r="D555" s="18" t="inlineStr">
        <is>
          <t>PtaEvidencia</t>
        </is>
      </c>
      <c r="E555" s="18" t="n">
        <v>2</v>
      </c>
      <c r="F555" s="18" t="inlineStr">
        <is>
          <t>estadoRevision</t>
        </is>
      </c>
      <c r="G555" s="18" t="inlineStr">
        <is>
          <t>text</t>
        </is>
      </c>
      <c r="H555" s="18" t="inlineStr">
        <is>
          <t>No</t>
        </is>
      </c>
      <c r="I555" s="18" t="inlineStr"/>
      <c r="J555" s="18" t="inlineStr"/>
      <c r="K555" s="18" t="inlineStr"/>
      <c r="L555" s="18" t="inlineStr">
        <is>
          <t>No</t>
        </is>
      </c>
      <c r="M555" s="18" t="inlineStr">
        <is>
          <t>No</t>
        </is>
      </c>
      <c r="N555" s="18" t="inlineStr"/>
      <c r="O555" s="18" t="inlineStr">
        <is>
          <t>PtaEvidencia_estadoRevision_idx</t>
        </is>
      </c>
      <c r="P555" s="18" t="inlineStr">
        <is>
          <t>Mapeada en academic-work-plan-service/src/pta/entities/pta-evidencia.entity.ts:46 (PtaEvidenciaEntity.estadoRevision)</t>
        </is>
      </c>
      <c r="Q555" s="18" t="inlineStr">
        <is>
          <t>Código fuente (verificado)</t>
        </is>
      </c>
      <c r="R555" s="18" t="inlineStr">
        <is>
          <t>Estado de la revisión de la evidencia: pendiente (por defecto), aprobado o rechazado. La columna estado indica si la evidencia está activa (por defecto, «activo») o eliminada.</t>
        </is>
      </c>
      <c r="S555" s="18" t="inlineStr">
        <is>
          <t>Alta</t>
        </is>
      </c>
      <c r="T555" s="18" t="inlineStr">
        <is>
          <t>academic-work-plan-service/src/pta/pta.service.ts:6249: estadoRevision = pendiente al registrar | academic-work-plan-service/src/pta/pta.service.ts:6288: decisión aprobado o rechazado | academic-work-plan-service/src/pta/pta.service.ts:6336: estado ELIMINADO se excluye</t>
        </is>
      </c>
      <c r="U555" s="18" t="inlineStr"/>
      <c r="V555" s="19" t="inlineStr">
        <is>
          <t>Aprobada</t>
        </is>
      </c>
      <c r="W555" s="19" t="inlineStr"/>
      <c r="X555" s="19" t="inlineStr">
        <is>
          <t>Aldair González (aprobación en bloque)</t>
        </is>
      </c>
      <c r="Y555" s="20" t="n">
        <v>46321</v>
      </c>
      <c r="Z555" s="19" t="inlineStr">
        <is>
          <t>Nivel 3: verificada con el código de la aplicación.</t>
        </is>
      </c>
      <c r="AA555" s="18">
        <f>IF(OR(V555="Aprobada"),R555,IF(AND(OR(V555="Aprobada con ajuste",V555="Rechazada"),W555&lt;&gt;""),W555,""))</f>
        <v/>
      </c>
    </row>
    <row r="556">
      <c r="A556" s="18" t="inlineStr">
        <is>
          <t>C0555</t>
        </is>
      </c>
      <c r="B556" s="18" t="inlineStr">
        <is>
          <t>Plan de trabajo académico</t>
        </is>
      </c>
      <c r="C556" s="18" t="inlineStr">
        <is>
          <t>academic_work_plan</t>
        </is>
      </c>
      <c r="D556" s="18" t="inlineStr">
        <is>
          <t>PtaEvidencia</t>
        </is>
      </c>
      <c r="E556" s="18" t="n">
        <v>2</v>
      </c>
      <c r="F556" s="18" t="inlineStr">
        <is>
          <t>revisadoPor</t>
        </is>
      </c>
      <c r="G556" s="18" t="inlineStr">
        <is>
          <t>text</t>
        </is>
      </c>
      <c r="H556" s="18" t="inlineStr">
        <is>
          <t>Sí</t>
        </is>
      </c>
      <c r="I556" s="18" t="inlineStr"/>
      <c r="J556" s="18" t="inlineStr"/>
      <c r="K556" s="18" t="inlineStr"/>
      <c r="L556" s="18" t="inlineStr">
        <is>
          <t>No</t>
        </is>
      </c>
      <c r="M556" s="18" t="inlineStr">
        <is>
          <t>No</t>
        </is>
      </c>
      <c r="N556" s="18" t="inlineStr"/>
      <c r="O556" s="18" t="inlineStr"/>
      <c r="P556" s="18" t="inlineStr">
        <is>
          <t>Mapeada en academic-work-plan-service/src/pta/entities/pta-evidencia.entity.ts:49 (PtaEvidenciaEntity.revisadoPor)</t>
        </is>
      </c>
      <c r="Q556" s="18" t="inlineStr">
        <is>
          <t>Código fuente (verificado)</t>
        </is>
      </c>
      <c r="R556" s="18" t="inlineStr">
        <is>
          <t>Nombre del usuario que revisó la evidencia, tomado de la sesión (o su correo o id_user si falta el nombre); «Sistema» en la resolución de investigación aprobada automáticamente.</t>
        </is>
      </c>
      <c r="S556" s="18" t="inlineStr">
        <is>
          <t>Alta</t>
        </is>
      </c>
      <c r="T556" s="18" t="inlineStr">
        <is>
          <t>academic-work-plan-service/src/pta/pta.service.ts:6303: revisadoPor = auth.name, auth.email o auth.userId | academic-work-plan-service/src/pta/pta.service.ts:3773: revisadoPor = Sistema</t>
        </is>
      </c>
      <c r="U556" s="18" t="inlineStr"/>
      <c r="V556" s="19" t="inlineStr">
        <is>
          <t>Aprobada</t>
        </is>
      </c>
      <c r="W556" s="19" t="inlineStr"/>
      <c r="X556" s="19" t="inlineStr">
        <is>
          <t>Aldair González (aprobación en bloque)</t>
        </is>
      </c>
      <c r="Y556" s="20" t="n">
        <v>46321</v>
      </c>
      <c r="Z556" s="19" t="inlineStr">
        <is>
          <t>Nivel 3: verificada con el código de la aplicación.</t>
        </is>
      </c>
      <c r="AA556" s="18">
        <f>IF(OR(V556="Aprobada"),R556,IF(AND(OR(V556="Aprobada con ajuste",V556="Rechazada"),W556&lt;&gt;""),W556,""))</f>
        <v/>
      </c>
    </row>
    <row r="557">
      <c r="A557" s="18" t="inlineStr">
        <is>
          <t>C0556</t>
        </is>
      </c>
      <c r="B557" s="18" t="inlineStr">
        <is>
          <t>Plan de trabajo académico</t>
        </is>
      </c>
      <c r="C557" s="18" t="inlineStr">
        <is>
          <t>academic_work_plan</t>
        </is>
      </c>
      <c r="D557" s="18" t="inlineStr">
        <is>
          <t>PtaEvidencia</t>
        </is>
      </c>
      <c r="E557" s="18" t="n">
        <v>2</v>
      </c>
      <c r="F557" s="18" t="inlineStr">
        <is>
          <t>fechaRevision</t>
        </is>
      </c>
      <c r="G557" s="18" t="inlineStr">
        <is>
          <t>timestamp with time zone</t>
        </is>
      </c>
      <c r="H557" s="18" t="inlineStr">
        <is>
          <t>Sí</t>
        </is>
      </c>
      <c r="I557" s="18" t="inlineStr"/>
      <c r="J557" s="18" t="inlineStr"/>
      <c r="K557" s="18" t="inlineStr"/>
      <c r="L557" s="18" t="inlineStr">
        <is>
          <t>No</t>
        </is>
      </c>
      <c r="M557" s="18" t="inlineStr">
        <is>
          <t>No</t>
        </is>
      </c>
      <c r="N557" s="18" t="inlineStr"/>
      <c r="O557" s="18" t="inlineStr"/>
      <c r="P557" s="18" t="inlineStr"/>
      <c r="Q557" s="18" t="inlineStr">
        <is>
          <t>Propuesta semántica</t>
        </is>
      </c>
      <c r="R557" s="18" t="inlineStr">
        <is>
          <t>Fecha y hora de revisión de la evidencia.</t>
        </is>
      </c>
      <c r="S557" s="18" t="inlineStr">
        <is>
          <t>Alta</t>
        </is>
      </c>
      <c r="T557" s="18" t="inlineStr">
        <is>
          <t>nombre + tipo + columnas vecinas</t>
        </is>
      </c>
      <c r="U557" s="18" t="inlineStr"/>
      <c r="V557" s="19" t="inlineStr">
        <is>
          <t>Aprobada</t>
        </is>
      </c>
      <c r="W557" s="19" t="inlineStr"/>
      <c r="X557" s="19" t="inlineStr">
        <is>
          <t>Aldair González (aprobación en bloque)</t>
        </is>
      </c>
      <c r="Y557" s="20" t="n">
        <v>46321</v>
      </c>
      <c r="Z557" s="19" t="inlineStr">
        <is>
          <t>Nivel 1: propuesta del comentario del desarrollador o de confianza alta, o regla de fecha/responsable/motivo.</t>
        </is>
      </c>
      <c r="AA557" s="18">
        <f>IF(OR(V557="Aprobada"),R557,IF(AND(OR(V557="Aprobada con ajuste",V557="Rechazada"),W557&lt;&gt;""),W557,""))</f>
        <v/>
      </c>
    </row>
    <row r="558">
      <c r="A558" s="18" t="inlineStr">
        <is>
          <t>C0557</t>
        </is>
      </c>
      <c r="B558" s="18" t="inlineStr">
        <is>
          <t>Plan de trabajo académico</t>
        </is>
      </c>
      <c r="C558" s="18" t="inlineStr">
        <is>
          <t>academic_work_plan</t>
        </is>
      </c>
      <c r="D558" s="18" t="inlineStr">
        <is>
          <t>PtaEvidencia</t>
        </is>
      </c>
      <c r="E558" s="18" t="n">
        <v>2</v>
      </c>
      <c r="F558" s="18" t="inlineStr">
        <is>
          <t>comentarioRevision</t>
        </is>
      </c>
      <c r="G558" s="18" t="inlineStr">
        <is>
          <t>text</t>
        </is>
      </c>
      <c r="H558" s="18" t="inlineStr">
        <is>
          <t>Sí</t>
        </is>
      </c>
      <c r="I558" s="18" t="inlineStr"/>
      <c r="J558" s="18" t="inlineStr"/>
      <c r="K558" s="18" t="inlineStr"/>
      <c r="L558" s="18" t="inlineStr">
        <is>
          <t>No</t>
        </is>
      </c>
      <c r="M558" s="18" t="inlineStr">
        <is>
          <t>No</t>
        </is>
      </c>
      <c r="N558" s="18" t="inlineStr"/>
      <c r="O558" s="18" t="inlineStr"/>
      <c r="P558" s="18" t="inlineStr">
        <is>
          <t>Mapeada en academic-work-plan-service/src/pta/entities/pta-evidencia.entity.ts:52 (PtaEvidenciaEntity.comentarioRevision)</t>
        </is>
      </c>
      <c r="Q558" s="18" t="inlineStr">
        <is>
          <t>Propuesta semántica</t>
        </is>
      </c>
      <c r="R558" s="18" t="inlineStr">
        <is>
          <t>Comentario del revisor sobre la evidencia.</t>
        </is>
      </c>
      <c r="S558" s="18" t="inlineStr">
        <is>
          <t>Alta</t>
        </is>
      </c>
      <c r="T558" s="18" t="inlineStr">
        <is>
          <t>nombre + tipo + columnas vecinas</t>
        </is>
      </c>
      <c r="U558" s="18" t="inlineStr"/>
      <c r="V558" s="19" t="inlineStr">
        <is>
          <t>Aprobada</t>
        </is>
      </c>
      <c r="W558" s="19" t="inlineStr"/>
      <c r="X558" s="19" t="inlineStr">
        <is>
          <t>Aldair González (aprobación en bloque)</t>
        </is>
      </c>
      <c r="Y558" s="20" t="n">
        <v>46321</v>
      </c>
      <c r="Z558" s="19" t="inlineStr">
        <is>
          <t>Nivel 1: propuesta del comentario del desarrollador o de confianza alta, o regla de fecha/responsable/motivo.</t>
        </is>
      </c>
      <c r="AA558" s="18">
        <f>IF(OR(V558="Aprobada"),R558,IF(AND(OR(V558="Aprobada con ajuste",V558="Rechazada"),W558&lt;&gt;""),W558,""))</f>
        <v/>
      </c>
    </row>
    <row r="559">
      <c r="A559" s="18" t="inlineStr">
        <is>
          <t>C0558</t>
        </is>
      </c>
      <c r="B559" s="18" t="inlineStr">
        <is>
          <t>Plan de trabajo académico</t>
        </is>
      </c>
      <c r="C559" s="18" t="inlineStr">
        <is>
          <t>academic_work_plan</t>
        </is>
      </c>
      <c r="D559" s="18" t="inlineStr">
        <is>
          <t>PtaEvidencia</t>
        </is>
      </c>
      <c r="E559" s="18" t="n">
        <v>2</v>
      </c>
      <c r="F559" s="18" t="inlineStr">
        <is>
          <t>seccionExtension</t>
        </is>
      </c>
      <c r="G559" s="18" t="inlineStr">
        <is>
          <t>text</t>
        </is>
      </c>
      <c r="H559" s="18" t="inlineStr">
        <is>
          <t>Sí</t>
        </is>
      </c>
      <c r="I559" s="18" t="inlineStr"/>
      <c r="J559" s="18" t="inlineStr"/>
      <c r="K559" s="18" t="inlineStr"/>
      <c r="L559" s="18" t="inlineStr">
        <is>
          <t>No</t>
        </is>
      </c>
      <c r="M559" s="18" t="inlineStr">
        <is>
          <t>No</t>
        </is>
      </c>
      <c r="N559" s="18" t="inlineStr"/>
      <c r="O559" s="18" t="inlineStr"/>
      <c r="P559" s="18" t="inlineStr">
        <is>
          <t>academic-work-plan-service/src/pta/entities/pta-evidencia.entity.ts:28: Sección de extensión (solo cuando componentePta = 'extension'): 'capacitacion' | 'seleccion' | 'fortalecimiento' | 'alto_gobierno'. NULL en el resto.</t>
        </is>
      </c>
      <c r="Q559" s="18" t="inlineStr">
        <is>
          <t>Código fuente</t>
        </is>
      </c>
      <c r="R559" s="18" t="inlineStr">
        <is>
          <t>Sección de extensión de la evidencia, solo cuando componentePta es extension. Valores previstos: capacitacion, seleccion, fortalecimiento, alto_gobierno; nulo en los demás casos.</t>
        </is>
      </c>
      <c r="S559" s="18" t="inlineStr">
        <is>
          <t>Alta</t>
        </is>
      </c>
      <c r="T559" s="18" t="inlineStr">
        <is>
          <t>código: academic-work-plan-service/src/pta/entities/pta-evidencia.entity.ts:28</t>
        </is>
      </c>
      <c r="U559" s="18" t="inlineStr"/>
      <c r="V559" s="19" t="inlineStr">
        <is>
          <t>Aprobada</t>
        </is>
      </c>
      <c r="W559" s="19" t="inlineStr"/>
      <c r="X559" s="19" t="inlineStr">
        <is>
          <t>Aldair González (aprobación en bloque)</t>
        </is>
      </c>
      <c r="Y559" s="20" t="n">
        <v>46321</v>
      </c>
      <c r="Z559" s="19" t="inlineStr">
        <is>
          <t>Nivel 1: propuesta del comentario del desarrollador o de confianza alta, o regla de fecha/responsable/motivo.</t>
        </is>
      </c>
      <c r="AA559" s="18">
        <f>IF(OR(V559="Aprobada"),R559,IF(AND(OR(V559="Aprobada con ajuste",V559="Rechazada"),W559&lt;&gt;""),W559,""))</f>
        <v/>
      </c>
    </row>
    <row r="560">
      <c r="A560" s="18" t="inlineStr">
        <is>
          <t>C0559</t>
        </is>
      </c>
      <c r="B560" s="18" t="inlineStr">
        <is>
          <t>Plan de trabajo académico</t>
        </is>
      </c>
      <c r="C560" s="18" t="inlineStr">
        <is>
          <t>academic_work_plan</t>
        </is>
      </c>
      <c r="D560" s="18" t="inlineStr">
        <is>
          <t>PtaTerritorialApproval</t>
        </is>
      </c>
      <c r="E560" s="18" t="n">
        <v>3</v>
      </c>
      <c r="F560" s="18" t="inlineStr">
        <is>
          <t>territorial_id</t>
        </is>
      </c>
      <c r="G560" s="18" t="inlineStr">
        <is>
          <t>text</t>
        </is>
      </c>
      <c r="H560" s="18" t="inlineStr">
        <is>
          <t>No</t>
        </is>
      </c>
      <c r="I560" s="18" t="inlineStr"/>
      <c r="J560" s="18" t="inlineStr"/>
      <c r="K560" s="18" t="inlineStr"/>
      <c r="L560" s="18" t="inlineStr">
        <is>
          <t>No</t>
        </is>
      </c>
      <c r="M560" s="18" t="inlineStr">
        <is>
          <t>No</t>
        </is>
      </c>
      <c r="N560" s="18" t="inlineStr"/>
      <c r="O560" s="18" t="inlineStr">
        <is>
          <t>uq_pta_territorial_componente_nivel</t>
        </is>
      </c>
      <c r="P560" s="18" t="inlineStr">
        <is>
          <t>Mapeada en academic-work-plan-service/src/pta/entities/pta-territorial-approval.entity.ts:41 (PtaTerritorialApprovalEntity.territorialId)</t>
        </is>
      </c>
      <c r="Q560" s="18" t="inlineStr">
        <is>
          <t>Código fuente (verificado)</t>
        </is>
      </c>
      <c r="R560" s="18" t="inlineStr">
        <is>
          <t>Identificador de la dirección territorial (id_seccional de auth.seccionales, como texto) a la que corresponde la aprobación.</t>
        </is>
      </c>
      <c r="S560" s="18" t="inlineStr">
        <is>
          <t>Alta</t>
        </is>
      </c>
      <c r="T560" s="18" t="inlineStr">
        <is>
          <t>academic-work-plan-service/src/pta/pta.service.ts:9813: nombre resuelto por resolveNombrePorSeccionalId | academic-work-plan-service/src/pta/pta.service.ts:9569: consulta auth.seccionales | academic-work-plan-service/src/pta/docencia-programacion.ts:301: territorial_nombre desde auth.seccionales</t>
        </is>
      </c>
      <c r="U560" s="18" t="inlineStr"/>
      <c r="V560" s="19" t="inlineStr">
        <is>
          <t>Aprobada</t>
        </is>
      </c>
      <c r="W560" s="19" t="inlineStr"/>
      <c r="X560" s="19" t="inlineStr">
        <is>
          <t>Aldair González (aprobación en bloque)</t>
        </is>
      </c>
      <c r="Y560" s="20" t="n">
        <v>46321</v>
      </c>
      <c r="Z560" s="19" t="inlineStr">
        <is>
          <t>Nivel 3: verificada con el código de la aplicación.</t>
        </is>
      </c>
      <c r="AA560" s="18">
        <f>IF(OR(V560="Aprobada"),R560,IF(AND(OR(V560="Aprobada con ajuste",V560="Rechazada"),W560&lt;&gt;""),W560,""))</f>
        <v/>
      </c>
    </row>
    <row r="561">
      <c r="A561" s="18" t="inlineStr">
        <is>
          <t>C0560</t>
        </is>
      </c>
      <c r="B561" s="18" t="inlineStr">
        <is>
          <t>Plan de trabajo académico</t>
        </is>
      </c>
      <c r="C561" s="18" t="inlineStr">
        <is>
          <t>academic_work_plan</t>
        </is>
      </c>
      <c r="D561" s="18" t="inlineStr">
        <is>
          <t>PtaTerritorialApproval</t>
        </is>
      </c>
      <c r="E561" s="18" t="n">
        <v>3</v>
      </c>
      <c r="F561" s="18" t="inlineStr">
        <is>
          <t>territorial_nombre</t>
        </is>
      </c>
      <c r="G561" s="18" t="inlineStr">
        <is>
          <t>text</t>
        </is>
      </c>
      <c r="H561" s="18" t="inlineStr">
        <is>
          <t>Sí</t>
        </is>
      </c>
      <c r="I561" s="18" t="inlineStr"/>
      <c r="J561" s="18" t="inlineStr"/>
      <c r="K561" s="18" t="inlineStr"/>
      <c r="L561" s="18" t="inlineStr">
        <is>
          <t>No</t>
        </is>
      </c>
      <c r="M561" s="18" t="inlineStr">
        <is>
          <t>No</t>
        </is>
      </c>
      <c r="N561" s="18" t="inlineStr"/>
      <c r="O561" s="18" t="inlineStr"/>
      <c r="P561" s="18" t="inlineStr">
        <is>
          <t>Mapeada en academic-work-plan-service/src/pta/entities/pta-territorial-approval.entity.ts:44 (PtaTerritorialApprovalEntity.territorialNombre)</t>
        </is>
      </c>
      <c r="Q561" s="18" t="inlineStr">
        <is>
          <t>Propuesta semántica</t>
        </is>
      </c>
      <c r="R561" s="18" t="inlineStr">
        <is>
          <t>Nombre de la territorial que emite la aprobación.</t>
        </is>
      </c>
      <c r="S561" s="18" t="inlineStr">
        <is>
          <t>Alta</t>
        </is>
      </c>
      <c r="T561" s="18" t="inlineStr">
        <is>
          <t>nombre + tipo + columnas vecinas</t>
        </is>
      </c>
      <c r="U561" s="18" t="inlineStr"/>
      <c r="V561" s="19" t="inlineStr">
        <is>
          <t>Aprobada</t>
        </is>
      </c>
      <c r="W561" s="19" t="inlineStr"/>
      <c r="X561" s="19" t="inlineStr">
        <is>
          <t>Aldair González (aprobación en bloque)</t>
        </is>
      </c>
      <c r="Y561" s="20" t="n">
        <v>46321</v>
      </c>
      <c r="Z561" s="19" t="inlineStr">
        <is>
          <t>Nivel 1: propuesta del comentario del desarrollador o de confianza alta, o regla de fecha/responsable/motivo.</t>
        </is>
      </c>
      <c r="AA561" s="18">
        <f>IF(OR(V561="Aprobada"),R561,IF(AND(OR(V561="Aprobada con ajuste",V561="Rechazada"),W561&lt;&gt;""),W561,""))</f>
        <v/>
      </c>
    </row>
    <row r="562">
      <c r="A562" s="18" t="inlineStr">
        <is>
          <t>C0561</t>
        </is>
      </c>
      <c r="B562" s="18" t="inlineStr">
        <is>
          <t>Plan de trabajo académico</t>
        </is>
      </c>
      <c r="C562" s="18" t="inlineStr">
        <is>
          <t>academic_work_plan</t>
        </is>
      </c>
      <c r="D562" s="18" t="inlineStr">
        <is>
          <t>PtaTerritorialApproval</t>
        </is>
      </c>
      <c r="E562" s="18" t="n">
        <v>3</v>
      </c>
      <c r="F562" s="18" t="inlineStr">
        <is>
          <t>estado</t>
        </is>
      </c>
      <c r="G562" s="18" t="inlineStr">
        <is>
          <t>character varying(50)</t>
        </is>
      </c>
      <c r="H562" s="18" t="inlineStr">
        <is>
          <t>No</t>
        </is>
      </c>
      <c r="I562" s="18" t="inlineStr"/>
      <c r="J562" s="18" t="inlineStr"/>
      <c r="K562" s="18" t="inlineStr"/>
      <c r="L562" s="18" t="inlineStr">
        <is>
          <t>No</t>
        </is>
      </c>
      <c r="M562" s="18" t="inlineStr">
        <is>
          <t>No</t>
        </is>
      </c>
      <c r="N562" s="18" t="inlineStr"/>
      <c r="O562" s="18" t="inlineStr"/>
      <c r="P562" s="18" t="inlineStr">
        <is>
          <t>academic-work-plan-service/src/pta/entities/pta-territorial-approval.entity.ts:53: pendiente | aprobado | devuelto | db/migrations/396_create_pta_territorial_approval.sql:27: 'pendiente', 'aprobado', 'devuelto'</t>
        </is>
      </c>
      <c r="Q562" s="18" t="inlineStr">
        <is>
          <t>Código fuente</t>
        </is>
      </c>
      <c r="R562" s="18" t="inlineStr">
        <is>
          <t>Estado de la aprobación territorial del PTA. Valores previstos: pendiente, aprobado, devuelto; por defecto pendiente.</t>
        </is>
      </c>
      <c r="S562" s="18" t="inlineStr">
        <is>
          <t>Alta</t>
        </is>
      </c>
      <c r="T562" s="18" t="inlineStr">
        <is>
          <t>código: academic-work-plan-service/src/pta/entities/pta-territorial-approval.entity.ts:53</t>
        </is>
      </c>
      <c r="U562" s="18" t="inlineStr"/>
      <c r="V562" s="19" t="inlineStr">
        <is>
          <t>Aprobada</t>
        </is>
      </c>
      <c r="W562" s="19" t="inlineStr"/>
      <c r="X562" s="19" t="inlineStr">
        <is>
          <t>Aldair González (aprobación en bloque)</t>
        </is>
      </c>
      <c r="Y562" s="20" t="n">
        <v>46321</v>
      </c>
      <c r="Z562" s="19" t="inlineStr">
        <is>
          <t>Nivel 1: propuesta del comentario del desarrollador o de confianza alta, o regla de fecha/responsable/motivo.</t>
        </is>
      </c>
      <c r="AA562" s="18">
        <f>IF(OR(V562="Aprobada"),R562,IF(AND(OR(V562="Aprobada con ajuste",V562="Rechazada"),W562&lt;&gt;""),W562,""))</f>
        <v/>
      </c>
    </row>
    <row r="563">
      <c r="A563" s="18" t="inlineStr">
        <is>
          <t>C0562</t>
        </is>
      </c>
      <c r="B563" s="18" t="inlineStr">
        <is>
          <t>Plan de trabajo académico</t>
        </is>
      </c>
      <c r="C563" s="18" t="inlineStr">
        <is>
          <t>academic_work_plan</t>
        </is>
      </c>
      <c r="D563" s="18" t="inlineStr">
        <is>
          <t>PtaTerritorialApproval</t>
        </is>
      </c>
      <c r="E563" s="18" t="n">
        <v>3</v>
      </c>
      <c r="F563" s="18" t="inlineStr">
        <is>
          <t>actor_id</t>
        </is>
      </c>
      <c r="G563" s="18" t="inlineStr">
        <is>
          <t>character varying(100)</t>
        </is>
      </c>
      <c r="H563" s="18" t="inlineStr">
        <is>
          <t>Sí</t>
        </is>
      </c>
      <c r="I563" s="18" t="inlineStr"/>
      <c r="J563" s="18" t="inlineStr"/>
      <c r="K563" s="18" t="inlineStr"/>
      <c r="L563" s="18" t="inlineStr">
        <is>
          <t>No</t>
        </is>
      </c>
      <c r="M563" s="18" t="inlineStr">
        <is>
          <t>No</t>
        </is>
      </c>
      <c r="N563" s="18" t="inlineStr"/>
      <c r="O563" s="18" t="inlineStr"/>
      <c r="P563" s="18" t="inlineStr">
        <is>
          <t>Mapeada en academic-work-plan-service/src/pta/entities/pta-territorial-approval.entity.ts:56 (PtaTerritorialApprovalEntity.actorId)</t>
        </is>
      </c>
      <c r="Q563" s="18" t="inlineStr">
        <is>
          <t>Código fuente (verificado)</t>
        </is>
      </c>
      <c r="R563" s="18" t="inlineStr">
        <is>
          <t>Identificador del usuario que registró la decisión territorial: id_user de auth."user", tomado del token de sesión; nulo en las aprobaciones registradas por la concertación de Programación Académica.</t>
        </is>
      </c>
      <c r="S563" s="18" t="inlineStr">
        <is>
          <t>Alta</t>
        </is>
      </c>
      <c r="T563" s="18" t="inlineStr">
        <is>
          <t>academic-work-plan-service/src/pta/pta.service.ts:9977: actorId = auth.userId | academic-work-plan-service/src/pta/auth/pta-auth.guard.ts:70: userId = sub del token | academic-work-plan-service/src/pta/auth/pta-permissions.service.ts:94: el sub se compara con auth."user".id_user | academic-work-plan-service/src/pta/docencia-programacion.ts:301: inserción por concertación sin actor_id</t>
        </is>
      </c>
      <c r="U563" s="18" t="inlineStr"/>
      <c r="V563" s="19" t="inlineStr">
        <is>
          <t>Aprobada</t>
        </is>
      </c>
      <c r="W563" s="19" t="inlineStr"/>
      <c r="X563" s="19" t="inlineStr">
        <is>
          <t>Aldair González (aprobación en bloque)</t>
        </is>
      </c>
      <c r="Y563" s="20" t="n">
        <v>46321</v>
      </c>
      <c r="Z563" s="19" t="inlineStr">
        <is>
          <t>Nivel 3: verificada con el código de la aplicación.</t>
        </is>
      </c>
      <c r="AA563" s="18">
        <f>IF(OR(V563="Aprobada"),R563,IF(AND(OR(V563="Aprobada con ajuste",V563="Rechazada"),W563&lt;&gt;""),W563,""))</f>
        <v/>
      </c>
    </row>
    <row r="564">
      <c r="A564" s="18" t="inlineStr">
        <is>
          <t>C0563</t>
        </is>
      </c>
      <c r="B564" s="18" t="inlineStr">
        <is>
          <t>Plan de trabajo académico</t>
        </is>
      </c>
      <c r="C564" s="18" t="inlineStr">
        <is>
          <t>academic_work_plan</t>
        </is>
      </c>
      <c r="D564" s="18" t="inlineStr">
        <is>
          <t>PtaTerritorialApproval</t>
        </is>
      </c>
      <c r="E564" s="18" t="n">
        <v>3</v>
      </c>
      <c r="F564" s="18" t="inlineStr">
        <is>
          <t>actor_nombre</t>
        </is>
      </c>
      <c r="G564" s="18" t="inlineStr">
        <is>
          <t>character varying(200)</t>
        </is>
      </c>
      <c r="H564" s="18" t="inlineStr">
        <is>
          <t>Sí</t>
        </is>
      </c>
      <c r="I564" s="18" t="inlineStr"/>
      <c r="J564" s="18" t="inlineStr"/>
      <c r="K564" s="18" t="inlineStr"/>
      <c r="L564" s="18" t="inlineStr">
        <is>
          <t>No</t>
        </is>
      </c>
      <c r="M564" s="18" t="inlineStr">
        <is>
          <t>No</t>
        </is>
      </c>
      <c r="N564" s="18" t="inlineStr"/>
      <c r="O564" s="18" t="inlineStr"/>
      <c r="P564" s="18" t="inlineStr">
        <is>
          <t>Mapeada en academic-work-plan-service/src/pta/entities/pta-territorial-approval.entity.ts:59 (PtaTerritorialApprovalEntity.actorNombre)</t>
        </is>
      </c>
      <c r="Q564" s="18" t="inlineStr">
        <is>
          <t>Propuesta semántica</t>
        </is>
      </c>
      <c r="R564" s="18" t="inlineStr">
        <is>
          <t>Nombre del usuario que registra la decisión territorial.</t>
        </is>
      </c>
      <c r="S564" s="18" t="inlineStr">
        <is>
          <t>Alta</t>
        </is>
      </c>
      <c r="T564" s="18" t="inlineStr">
        <is>
          <t>nombre + tipo + columnas vecinas</t>
        </is>
      </c>
      <c r="U564" s="18" t="inlineStr"/>
      <c r="V564" s="19" t="inlineStr">
        <is>
          <t>Aprobada</t>
        </is>
      </c>
      <c r="W564" s="19" t="inlineStr"/>
      <c r="X564" s="19" t="inlineStr">
        <is>
          <t>Aldair González (aprobación en bloque)</t>
        </is>
      </c>
      <c r="Y564" s="20" t="n">
        <v>46321</v>
      </c>
      <c r="Z564" s="19" t="inlineStr">
        <is>
          <t>Nivel 1: propuesta del comentario del desarrollador o de confianza alta, o regla de fecha/responsable/motivo.</t>
        </is>
      </c>
      <c r="AA564" s="18">
        <f>IF(OR(V564="Aprobada"),R564,IF(AND(OR(V564="Aprobada con ajuste",V564="Rechazada"),W564&lt;&gt;""),W564,""))</f>
        <v/>
      </c>
    </row>
    <row r="565">
      <c r="A565" s="18" t="inlineStr">
        <is>
          <t>C0564</t>
        </is>
      </c>
      <c r="B565" s="18" t="inlineStr">
        <is>
          <t>Plan de trabajo académico</t>
        </is>
      </c>
      <c r="C565" s="18" t="inlineStr">
        <is>
          <t>academic_work_plan</t>
        </is>
      </c>
      <c r="D565" s="18" t="inlineStr">
        <is>
          <t>PtaTerritorialApproval</t>
        </is>
      </c>
      <c r="E565" s="18" t="n">
        <v>3</v>
      </c>
      <c r="F565" s="18" t="inlineStr">
        <is>
          <t>actor_rol</t>
        </is>
      </c>
      <c r="G565" s="18" t="inlineStr">
        <is>
          <t>character varying(100)</t>
        </is>
      </c>
      <c r="H565" s="18" t="inlineStr">
        <is>
          <t>Sí</t>
        </is>
      </c>
      <c r="I565" s="18" t="inlineStr"/>
      <c r="J565" s="18" t="inlineStr"/>
      <c r="K565" s="18" t="inlineStr"/>
      <c r="L565" s="18" t="inlineStr">
        <is>
          <t>No</t>
        </is>
      </c>
      <c r="M565" s="18" t="inlineStr">
        <is>
          <t>No</t>
        </is>
      </c>
      <c r="N565" s="18" t="inlineStr"/>
      <c r="O565" s="18" t="inlineStr"/>
      <c r="P565" s="18" t="inlineStr">
        <is>
          <t>Mapeada en academic-work-plan-service/src/pta/entities/pta-territorial-approval.entity.ts:62 (PtaTerritorialApprovalEntity.actorRol)</t>
        </is>
      </c>
      <c r="Q565" s="18" t="inlineStr">
        <is>
          <t>Propuesta semántica</t>
        </is>
      </c>
      <c r="R565" s="18" t="inlineStr">
        <is>
          <t>Rol del usuario que registra la decisión territorial.</t>
        </is>
      </c>
      <c r="S565" s="18" t="inlineStr">
        <is>
          <t>Alta</t>
        </is>
      </c>
      <c r="T565" s="18" t="inlineStr">
        <is>
          <t>nombre + tipo + columnas vecinas</t>
        </is>
      </c>
      <c r="U565" s="18" t="inlineStr"/>
      <c r="V565" s="19" t="inlineStr">
        <is>
          <t>Aprobada</t>
        </is>
      </c>
      <c r="W565" s="19" t="inlineStr"/>
      <c r="X565" s="19" t="inlineStr">
        <is>
          <t>Aldair González (aprobación en bloque)</t>
        </is>
      </c>
      <c r="Y565" s="20" t="n">
        <v>46321</v>
      </c>
      <c r="Z565" s="19" t="inlineStr">
        <is>
          <t>Nivel 1: propuesta del comentario del desarrollador o de confianza alta, o regla de fecha/responsable/motivo.</t>
        </is>
      </c>
      <c r="AA565" s="18">
        <f>IF(OR(V565="Aprobada"),R565,IF(AND(OR(V565="Aprobada con ajuste",V565="Rechazada"),W565&lt;&gt;""),W565,""))</f>
        <v/>
      </c>
    </row>
    <row r="566">
      <c r="A566" s="18" t="inlineStr">
        <is>
          <t>C0565</t>
        </is>
      </c>
      <c r="B566" s="18" t="inlineStr">
        <is>
          <t>Plan de trabajo académico</t>
        </is>
      </c>
      <c r="C566" s="18" t="inlineStr">
        <is>
          <t>academic_work_plan</t>
        </is>
      </c>
      <c r="D566" s="18" t="inlineStr">
        <is>
          <t>PtaTerritorialApproval</t>
        </is>
      </c>
      <c r="E566" s="18" t="n">
        <v>3</v>
      </c>
      <c r="F566" s="18" t="inlineStr">
        <is>
          <t>comentarios</t>
        </is>
      </c>
      <c r="G566" s="18" t="inlineStr">
        <is>
          <t>text</t>
        </is>
      </c>
      <c r="H566" s="18" t="inlineStr">
        <is>
          <t>Sí</t>
        </is>
      </c>
      <c r="I566" s="18" t="inlineStr"/>
      <c r="J566" s="18" t="inlineStr"/>
      <c r="K566" s="18" t="inlineStr"/>
      <c r="L566" s="18" t="inlineStr">
        <is>
          <t>No</t>
        </is>
      </c>
      <c r="M566" s="18" t="inlineStr">
        <is>
          <t>No</t>
        </is>
      </c>
      <c r="N566" s="18" t="inlineStr"/>
      <c r="O566" s="18" t="inlineStr"/>
      <c r="P566" s="18" t="inlineStr">
        <is>
          <t>Mapeada en academic-work-plan-service/src/pta/entities/pta-territorial-approval.entity.ts:65 (PtaTerritorialApprovalEntity.comentarios)</t>
        </is>
      </c>
      <c r="Q566" s="18" t="inlineStr">
        <is>
          <t>Propuesta semántica</t>
        </is>
      </c>
      <c r="R566" s="18" t="inlineStr">
        <is>
          <t>Comentarios sobre la decisión territorial.</t>
        </is>
      </c>
      <c r="S566" s="18" t="inlineStr">
        <is>
          <t>Alta</t>
        </is>
      </c>
      <c r="T566" s="18" t="inlineStr">
        <is>
          <t>nombre + tipo + columnas vecinas</t>
        </is>
      </c>
      <c r="U566" s="18" t="inlineStr"/>
      <c r="V566" s="19" t="inlineStr">
        <is>
          <t>Aprobada</t>
        </is>
      </c>
      <c r="W566" s="19" t="inlineStr"/>
      <c r="X566" s="19" t="inlineStr">
        <is>
          <t>Aldair González (aprobación en bloque)</t>
        </is>
      </c>
      <c r="Y566" s="20" t="n">
        <v>46321</v>
      </c>
      <c r="Z566" s="19" t="inlineStr">
        <is>
          <t>Nivel 1: propuesta del comentario del desarrollador o de confianza alta, o regla de fecha/responsable/motivo.</t>
        </is>
      </c>
      <c r="AA566" s="18">
        <f>IF(OR(V566="Aprobada"),R566,IF(AND(OR(V566="Aprobada con ajuste",V566="Rechazada"),W566&lt;&gt;""),W566,""))</f>
        <v/>
      </c>
    </row>
    <row r="567">
      <c r="A567" s="18" t="inlineStr">
        <is>
          <t>C0566</t>
        </is>
      </c>
      <c r="B567" s="18" t="inlineStr">
        <is>
          <t>Plan de trabajo académico</t>
        </is>
      </c>
      <c r="C567" s="18" t="inlineStr">
        <is>
          <t>academic_work_plan</t>
        </is>
      </c>
      <c r="D567" s="18" t="inlineStr">
        <is>
          <t>PtaTerritorialApproval</t>
        </is>
      </c>
      <c r="E567" s="18" t="n">
        <v>3</v>
      </c>
      <c r="F567" s="18" t="inlineStr">
        <is>
          <t>fecha_decision</t>
        </is>
      </c>
      <c r="G567" s="18" t="inlineStr">
        <is>
          <t>timestamp without time zone</t>
        </is>
      </c>
      <c r="H567" s="18" t="inlineStr">
        <is>
          <t>Sí</t>
        </is>
      </c>
      <c r="I567" s="18" t="inlineStr"/>
      <c r="J567" s="18" t="inlineStr"/>
      <c r="K567" s="18" t="inlineStr"/>
      <c r="L567" s="18" t="inlineStr">
        <is>
          <t>No</t>
        </is>
      </c>
      <c r="M567" s="18" t="inlineStr">
        <is>
          <t>No</t>
        </is>
      </c>
      <c r="N567" s="18" t="inlineStr"/>
      <c r="O567" s="18" t="inlineStr"/>
      <c r="P567" s="18" t="inlineStr">
        <is>
          <t>Mapeada en academic-work-plan-service/src/pta/entities/pta-territorial-approval.entity.ts:68 (PtaTerritorialApprovalEntity.fechaDecision)</t>
        </is>
      </c>
      <c r="Q567" s="18" t="inlineStr">
        <is>
          <t>Regla estructural (redacción revisada)</t>
        </is>
      </c>
      <c r="R567" s="18" t="inlineStr">
        <is>
          <t>Fecha y hora de la decisión de la territorial sobre el plan de trabajo académico.</t>
        </is>
      </c>
      <c r="S567" s="18" t="inlineStr">
        <is>
          <t>Alta</t>
        </is>
      </c>
      <c r="T567" s="18" t="inlineStr">
        <is>
          <t>Convención de nombre, redactada con el contexto de la tabla y el código.</t>
        </is>
      </c>
      <c r="U567" s="18" t="inlineStr"/>
      <c r="V567" s="19" t="inlineStr">
        <is>
          <t>Aprobada</t>
        </is>
      </c>
      <c r="W567" s="19" t="inlineStr"/>
      <c r="X567" s="19" t="inlineStr">
        <is>
          <t>Aldair González (aprobación en bloque)</t>
        </is>
      </c>
      <c r="Y567" s="20" t="n">
        <v>46321</v>
      </c>
      <c r="Z567" s="19" t="inlineStr">
        <is>
          <t>Nivel 2: regla estructural con redacción revisada.</t>
        </is>
      </c>
      <c r="AA567" s="18">
        <f>IF(OR(V567="Aprobada"),R567,IF(AND(OR(V567="Aprobada con ajuste",V567="Rechazada"),W567&lt;&gt;""),W567,""))</f>
        <v/>
      </c>
    </row>
    <row r="568">
      <c r="A568" s="18" t="inlineStr">
        <is>
          <t>C0567</t>
        </is>
      </c>
      <c r="B568" s="18" t="inlineStr">
        <is>
          <t>Plan de trabajo académico</t>
        </is>
      </c>
      <c r="C568" s="18" t="inlineStr">
        <is>
          <t>academic_work_plan</t>
        </is>
      </c>
      <c r="D568" s="18" t="inlineStr">
        <is>
          <t>PtaTerritorialApproval</t>
        </is>
      </c>
      <c r="E568" s="18" t="n">
        <v>3</v>
      </c>
      <c r="F568" s="18" t="inlineStr">
        <is>
          <t>nivel</t>
        </is>
      </c>
      <c r="G568" s="18" t="inlineStr">
        <is>
          <t>character varying(20)</t>
        </is>
      </c>
      <c r="H568" s="18" t="inlineStr">
        <is>
          <t>No</t>
        </is>
      </c>
      <c r="I568" s="18" t="inlineStr"/>
      <c r="J568" s="18" t="inlineStr"/>
      <c r="K568" s="18" t="inlineStr"/>
      <c r="L568" s="18" t="inlineStr">
        <is>
          <t>No</t>
        </is>
      </c>
      <c r="M568" s="18" t="inlineStr">
        <is>
          <t>No</t>
        </is>
      </c>
      <c r="N568" s="18" t="inlineStr"/>
      <c r="O568" s="18" t="inlineStr">
        <is>
          <t>uq_pta_territorial_componente_nivel</t>
        </is>
      </c>
      <c r="P568" s="18" t="inlineStr">
        <is>
          <t>academic-work-plan-service/src/pta/entities/pta-territorial-approval.entity.ts:49: 'pregrado' | 'posgrado' — mismo criterio de clasificación que ya usa clasificarAsignaturasDocencia para Sede Central (programa.tipo).</t>
        </is>
      </c>
      <c r="Q568" s="18" t="inlineStr">
        <is>
          <t>Código fuente</t>
        </is>
      </c>
      <c r="R568" s="18" t="inlineStr">
        <is>
          <t>Nivel de formación al que corresponde la aprobación: pregrado o posgrado, con el mismo criterio de clasificación por tipo de programa usado para Sede Central. Por defecto pregrado.</t>
        </is>
      </c>
      <c r="S568" s="18" t="inlineStr">
        <is>
          <t>Alta</t>
        </is>
      </c>
      <c r="T568" s="18" t="inlineStr">
        <is>
          <t>código: academic-work-plan-service/src/pta/entities/pta-territorial-approval.entity.ts:49</t>
        </is>
      </c>
      <c r="U568" s="18" t="inlineStr"/>
      <c r="V568" s="19" t="inlineStr">
        <is>
          <t>Aprobada</t>
        </is>
      </c>
      <c r="W568" s="19" t="inlineStr"/>
      <c r="X568" s="19" t="inlineStr">
        <is>
          <t>Aldair González (aprobación en bloque)</t>
        </is>
      </c>
      <c r="Y568" s="20" t="n">
        <v>46321</v>
      </c>
      <c r="Z568" s="19" t="inlineStr">
        <is>
          <t>Nivel 1: propuesta del comentario del desarrollador o de confianza alta, o regla de fecha/responsable/motivo.</t>
        </is>
      </c>
      <c r="AA568" s="18">
        <f>IF(OR(V568="Aprobada"),R568,IF(AND(OR(V568="Aprobada con ajuste",V568="Rechazada"),W568&lt;&gt;""),W568,""))</f>
        <v/>
      </c>
    </row>
    <row r="569">
      <c r="A569" s="18" t="inlineStr">
        <is>
          <t>C0568</t>
        </is>
      </c>
      <c r="B569" s="18" t="inlineStr">
        <is>
          <t>Plan de trabajo académico</t>
        </is>
      </c>
      <c r="C569" s="18" t="inlineStr">
        <is>
          <t>academic_work_plan</t>
        </is>
      </c>
      <c r="D569" s="18" t="inlineStr">
        <is>
          <t>PtaTerritorialApproval</t>
        </is>
      </c>
      <c r="E569" s="18" t="n">
        <v>3</v>
      </c>
      <c r="F569" s="18" t="inlineStr">
        <is>
          <t>componente</t>
        </is>
      </c>
      <c r="G569" s="18" t="inlineStr">
        <is>
          <t>character varying(60)</t>
        </is>
      </c>
      <c r="H569" s="18" t="inlineStr">
        <is>
          <t>No</t>
        </is>
      </c>
      <c r="I569" s="18" t="inlineStr"/>
      <c r="J569" s="18" t="inlineStr"/>
      <c r="K569" s="18" t="inlineStr"/>
      <c r="L569" s="18" t="inlineStr">
        <is>
          <t>No</t>
        </is>
      </c>
      <c r="M569" s="18" t="inlineStr">
        <is>
          <t>No</t>
        </is>
      </c>
      <c r="N569" s="18" t="inlineStr"/>
      <c r="O569" s="18" t="inlineStr">
        <is>
          <t>idx_pta_territorial_approval_pta_componente, uq_pta_territorial_componente_nivel</t>
        </is>
      </c>
      <c r="P569" s="18" t="inlineStr">
        <is>
          <t>academic-work-plan-service/src/pta/entities/pta-territorial-approval.entity.ts:38: EFDS-1353: qué componente territorial aprueba esta fila ('academica_territorial' | 'complementarias_territorial'). Sin esta columna, la Docencia y la Complementaria de una misma territorial/nivel colisionarían en la misma fila (migración 401).</t>
        </is>
      </c>
      <c r="Q569" s="18" t="inlineStr">
        <is>
          <t>Código fuente</t>
        </is>
      </c>
      <c r="R569" s="18" t="inlineStr">
        <is>
          <t>Componente territorial que aprueba el registro. Valores previstos: academica_territorial, complementarias_territorial; por defecto academica_territorial (EFDS-1353).</t>
        </is>
      </c>
      <c r="S569" s="18" t="inlineStr">
        <is>
          <t>Alta</t>
        </is>
      </c>
      <c r="T569" s="18" t="inlineStr">
        <is>
          <t>código: academic-work-plan-service/src/pta/entities/pta-territorial-approval.entity.ts:38</t>
        </is>
      </c>
      <c r="U569" s="18" t="inlineStr"/>
      <c r="V569" s="19" t="inlineStr">
        <is>
          <t>Aprobada</t>
        </is>
      </c>
      <c r="W569" s="19" t="inlineStr"/>
      <c r="X569" s="19" t="inlineStr">
        <is>
          <t>Aldair González (aprobación en bloque)</t>
        </is>
      </c>
      <c r="Y569" s="20" t="n">
        <v>46321</v>
      </c>
      <c r="Z569" s="19" t="inlineStr">
        <is>
          <t>Nivel 1: propuesta del comentario del desarrollador o de confianza alta, o regla de fecha/responsable/motivo.</t>
        </is>
      </c>
      <c r="AA569" s="18">
        <f>IF(OR(V569="Aprobada"),R569,IF(AND(OR(V569="Aprobada con ajuste",V569="Rechazada"),W569&lt;&gt;""),W569,""))</f>
        <v/>
      </c>
    </row>
    <row r="570">
      <c r="A570" s="18" t="inlineStr">
        <is>
          <t>C0569</t>
        </is>
      </c>
      <c r="B570" s="18" t="inlineStr">
        <is>
          <t>Plan de trabajo académico</t>
        </is>
      </c>
      <c r="C570" s="18" t="inlineStr">
        <is>
          <t>academic_work_plan</t>
        </is>
      </c>
      <c r="D570" s="18" t="inlineStr">
        <is>
          <t>PtaTerritorialApproval</t>
        </is>
      </c>
      <c r="E570" s="18" t="n">
        <v>3</v>
      </c>
      <c r="F570" s="18" t="inlineStr">
        <is>
          <t>scope</t>
        </is>
      </c>
      <c r="G570" s="18" t="inlineStr">
        <is>
          <t>character varying(50)</t>
        </is>
      </c>
      <c r="H570" s="18" t="inlineStr">
        <is>
          <t>Sí</t>
        </is>
      </c>
      <c r="I570" s="18" t="inlineStr"/>
      <c r="J570" s="18" t="inlineStr"/>
      <c r="K570" s="18" t="inlineStr"/>
      <c r="L570" s="18" t="inlineStr">
        <is>
          <t>No</t>
        </is>
      </c>
      <c r="M570" s="18" t="inlineStr">
        <is>
          <t>No</t>
        </is>
      </c>
      <c r="N570" s="18" t="inlineStr"/>
      <c r="O570" s="18" t="inlineStr"/>
      <c r="P570" s="18" t="inlineStr"/>
      <c r="Q570" s="18" t="inlineStr">
        <is>
          <t>Código fuente (verificado)</t>
        </is>
      </c>
      <c r="R570" s="18" t="inlineStr">
        <is>
          <t>Origen de la aprobación territorial: «programacion» cuando la da la concertación de Programación Académica; nulo cuando se aprueba en el plan de trabajo.</t>
        </is>
      </c>
      <c r="S570" s="18" t="inlineStr">
        <is>
          <t>Alta</t>
        </is>
      </c>
      <c r="T570" s="18" t="inlineStr">
        <is>
          <t>db/migrations/668_pta_territorial_approval_scope.sql:6: scope = programacion y nulo con la concertación apagada | academic-work-plan-service/src/pta/docencia-programacion.ts:26: SCOPE_PROGRAMACION = programacion</t>
        </is>
      </c>
      <c r="U570" s="18" t="inlineStr"/>
      <c r="V570" s="19" t="inlineStr">
        <is>
          <t>Aprobada</t>
        </is>
      </c>
      <c r="W570" s="19" t="inlineStr"/>
      <c r="X570" s="19" t="inlineStr">
        <is>
          <t>Aldair González (aprobación en bloque)</t>
        </is>
      </c>
      <c r="Y570" s="20" t="n">
        <v>46321</v>
      </c>
      <c r="Z570" s="19" t="inlineStr">
        <is>
          <t>Nivel 3: verificada con el código de la aplicación.</t>
        </is>
      </c>
      <c r="AA570" s="18">
        <f>IF(OR(V570="Aprobada"),R570,IF(AND(OR(V570="Aprobada con ajuste",V570="Rechazada"),W570&lt;&gt;""),W570,""))</f>
        <v/>
      </c>
    </row>
    <row r="571">
      <c r="A571" s="18" t="inlineStr">
        <is>
          <t>C0570</t>
        </is>
      </c>
      <c r="B571" s="18" t="inlineStr">
        <is>
          <t>Plan de trabajo académico</t>
        </is>
      </c>
      <c r="C571" s="18" t="inlineStr">
        <is>
          <t>academic_work_plan</t>
        </is>
      </c>
      <c r="D571" s="18" t="inlineStr">
        <is>
          <t>PtaTerritorialApproval</t>
        </is>
      </c>
      <c r="E571" s="18" t="n">
        <v>3</v>
      </c>
      <c r="F571" s="18" t="inlineStr">
        <is>
          <t>scope_id</t>
        </is>
      </c>
      <c r="G571" s="18" t="inlineStr">
        <is>
          <t>character varying(100)</t>
        </is>
      </c>
      <c r="H571" s="18" t="inlineStr">
        <is>
          <t>Sí</t>
        </is>
      </c>
      <c r="I571" s="18" t="inlineStr"/>
      <c r="J571" s="18" t="inlineStr"/>
      <c r="K571" s="18" t="inlineStr"/>
      <c r="L571" s="18" t="inlineStr">
        <is>
          <t>No</t>
        </is>
      </c>
      <c r="M571" s="18" t="inlineStr">
        <is>
          <t>No</t>
        </is>
      </c>
      <c r="N571" s="18" t="inlineStr"/>
      <c r="O571" s="18" t="inlineStr"/>
      <c r="P571" s="18" t="inlineStr"/>
      <c r="Q571" s="18" t="inlineStr">
        <is>
          <t>Código fuente (verificado)</t>
        </is>
      </c>
      <c r="R571" s="18" t="inlineStr">
        <is>
          <t>Identificador de la concertación de Programación Académica que dio la aprobación, cuando scope es «programacion»; nulo en los demás casos.</t>
        </is>
      </c>
      <c r="S571" s="18" t="inlineStr">
        <is>
          <t>Alta</t>
        </is>
      </c>
      <c r="T571" s="18" t="inlineStr">
        <is>
          <t>db/migrations/668_pta_territorial_approval_scope.sql:7: scope_id = id de la concertación | academic-work-plan-service/src/pta/docencia-programacion.ts:312: se inserta idConcertacion</t>
        </is>
      </c>
      <c r="U571" s="18" t="inlineStr"/>
      <c r="V571" s="19" t="inlineStr">
        <is>
          <t>Aprobada</t>
        </is>
      </c>
      <c r="W571" s="19" t="inlineStr"/>
      <c r="X571" s="19" t="inlineStr">
        <is>
          <t>Aldair González (aprobación en bloque)</t>
        </is>
      </c>
      <c r="Y571" s="20" t="n">
        <v>46321</v>
      </c>
      <c r="Z571" s="19" t="inlineStr">
        <is>
          <t>Nivel 3: verificada con el código de la aplicación.</t>
        </is>
      </c>
      <c r="AA571" s="18">
        <f>IF(OR(V571="Aprobada"),R571,IF(AND(OR(V571="Aprobada con ajuste",V571="Rechazada"),W571&lt;&gt;""),W571,""))</f>
        <v/>
      </c>
    </row>
    <row r="572">
      <c r="A572" s="18" t="inlineStr">
        <is>
          <t>C0571</t>
        </is>
      </c>
      <c r="B572" s="18" t="inlineStr">
        <is>
          <t>Plan de trabajo académico</t>
        </is>
      </c>
      <c r="C572" s="18" t="inlineStr">
        <is>
          <t>academic_work_plan</t>
        </is>
      </c>
      <c r="D572" s="18" t="inlineStr">
        <is>
          <t>PtaTerritorialReview</t>
        </is>
      </c>
      <c r="E572" s="18" t="n">
        <v>3</v>
      </c>
      <c r="F572" s="18" t="inlineStr">
        <is>
          <t>territorial_id</t>
        </is>
      </c>
      <c r="G572" s="18" t="inlineStr">
        <is>
          <t>text</t>
        </is>
      </c>
      <c r="H572" s="18" t="inlineStr">
        <is>
          <t>No</t>
        </is>
      </c>
      <c r="I572" s="18" t="inlineStr"/>
      <c r="J572" s="18" t="inlineStr"/>
      <c r="K572" s="18" t="inlineStr"/>
      <c r="L572" s="18" t="inlineStr">
        <is>
          <t>No</t>
        </is>
      </c>
      <c r="M572" s="18" t="inlineStr">
        <is>
          <t>No</t>
        </is>
      </c>
      <c r="N572" s="18" t="inlineStr"/>
      <c r="O572" s="18" t="inlineStr">
        <is>
          <t>uq_pta_territorial_review_componente_nivel</t>
        </is>
      </c>
      <c r="P572" s="18" t="inlineStr">
        <is>
          <t>Mapeada en academic-work-plan-service/src/pta/entities/pta-territorial-review.entity.ts:41 (PtaTerritorialReviewEntity.territorialId)</t>
        </is>
      </c>
      <c r="Q572" s="18" t="inlineStr">
        <is>
          <t>Código fuente (verificado)</t>
        </is>
      </c>
      <c r="R572" s="18" t="inlineStr">
        <is>
          <t>Identificador de la dirección territorial (id_seccional de auth.seccionales, como texto) a la que corresponde la revisión.</t>
        </is>
      </c>
      <c r="S572" s="18" t="inlineStr">
        <is>
          <t>Alta</t>
        </is>
      </c>
      <c r="T572" s="18" t="inlineStr">
        <is>
          <t>academic-work-plan-service/src/pta/pta.service.ts:9877: nombre resuelto por resolveNombrePorSeccionalId | academic-work-plan-service/src/pta/pta.service.ts:9569: consulta auth.seccionales</t>
        </is>
      </c>
      <c r="U572" s="18" t="inlineStr"/>
      <c r="V572" s="19" t="inlineStr">
        <is>
          <t>Aprobada</t>
        </is>
      </c>
      <c r="W572" s="19" t="inlineStr"/>
      <c r="X572" s="19" t="inlineStr">
        <is>
          <t>Aldair González (aprobación en bloque)</t>
        </is>
      </c>
      <c r="Y572" s="20" t="n">
        <v>46321</v>
      </c>
      <c r="Z572" s="19" t="inlineStr">
        <is>
          <t>Nivel 3: verificada con el código de la aplicación.</t>
        </is>
      </c>
      <c r="AA572" s="18">
        <f>IF(OR(V572="Aprobada"),R572,IF(AND(OR(V572="Aprobada con ajuste",V572="Rechazada"),W572&lt;&gt;""),W572,""))</f>
        <v/>
      </c>
    </row>
    <row r="573">
      <c r="A573" s="18" t="inlineStr">
        <is>
          <t>C0572</t>
        </is>
      </c>
      <c r="B573" s="18" t="inlineStr">
        <is>
          <t>Plan de trabajo académico</t>
        </is>
      </c>
      <c r="C573" s="18" t="inlineStr">
        <is>
          <t>academic_work_plan</t>
        </is>
      </c>
      <c r="D573" s="18" t="inlineStr">
        <is>
          <t>PtaTerritorialReview</t>
        </is>
      </c>
      <c r="E573" s="18" t="n">
        <v>3</v>
      </c>
      <c r="F573" s="18" t="inlineStr">
        <is>
          <t>territorial_nombre</t>
        </is>
      </c>
      <c r="G573" s="18" t="inlineStr">
        <is>
          <t>text</t>
        </is>
      </c>
      <c r="H573" s="18" t="inlineStr">
        <is>
          <t>Sí</t>
        </is>
      </c>
      <c r="I573" s="18" t="inlineStr"/>
      <c r="J573" s="18" t="inlineStr"/>
      <c r="K573" s="18" t="inlineStr"/>
      <c r="L573" s="18" t="inlineStr">
        <is>
          <t>No</t>
        </is>
      </c>
      <c r="M573" s="18" t="inlineStr">
        <is>
          <t>No</t>
        </is>
      </c>
      <c r="N573" s="18" t="inlineStr"/>
      <c r="O573" s="18" t="inlineStr"/>
      <c r="P573" s="18" t="inlineStr">
        <is>
          <t>Mapeada en academic-work-plan-service/src/pta/entities/pta-territorial-review.entity.ts:44 (PtaTerritorialReviewEntity.territorialNombre)</t>
        </is>
      </c>
      <c r="Q573" s="18" t="inlineStr">
        <is>
          <t>Propuesta semántica</t>
        </is>
      </c>
      <c r="R573" s="18" t="inlineStr">
        <is>
          <t>Nombre de la territorial que realiza la revisión.</t>
        </is>
      </c>
      <c r="S573" s="18" t="inlineStr">
        <is>
          <t>Alta</t>
        </is>
      </c>
      <c r="T573" s="18" t="inlineStr">
        <is>
          <t>nombre + tipo + columnas vecinas</t>
        </is>
      </c>
      <c r="U573" s="18" t="inlineStr"/>
      <c r="V573" s="19" t="inlineStr">
        <is>
          <t>Aprobada</t>
        </is>
      </c>
      <c r="W573" s="19" t="inlineStr"/>
      <c r="X573" s="19" t="inlineStr">
        <is>
          <t>Aldair González (aprobación en bloque)</t>
        </is>
      </c>
      <c r="Y573" s="20" t="n">
        <v>46321</v>
      </c>
      <c r="Z573" s="19" t="inlineStr">
        <is>
          <t>Nivel 1: propuesta del comentario del desarrollador o de confianza alta, o regla de fecha/responsable/motivo.</t>
        </is>
      </c>
      <c r="AA573" s="18">
        <f>IF(OR(V573="Aprobada"),R573,IF(AND(OR(V573="Aprobada con ajuste",V573="Rechazada"),W573&lt;&gt;""),W573,""))</f>
        <v/>
      </c>
    </row>
    <row r="574">
      <c r="A574" s="18" t="inlineStr">
        <is>
          <t>C0573</t>
        </is>
      </c>
      <c r="B574" s="18" t="inlineStr">
        <is>
          <t>Plan de trabajo académico</t>
        </is>
      </c>
      <c r="C574" s="18" t="inlineStr">
        <is>
          <t>academic_work_plan</t>
        </is>
      </c>
      <c r="D574" s="18" t="inlineStr">
        <is>
          <t>PtaTerritorialReview</t>
        </is>
      </c>
      <c r="E574" s="18" t="n">
        <v>3</v>
      </c>
      <c r="F574" s="18" t="inlineStr">
        <is>
          <t>nivel</t>
        </is>
      </c>
      <c r="G574" s="18" t="inlineStr">
        <is>
          <t>character varying(20)</t>
        </is>
      </c>
      <c r="H574" s="18" t="inlineStr">
        <is>
          <t>No</t>
        </is>
      </c>
      <c r="I574" s="18" t="inlineStr"/>
      <c r="J574" s="18" t="inlineStr"/>
      <c r="K574" s="18" t="inlineStr"/>
      <c r="L574" s="18" t="inlineStr">
        <is>
          <t>No</t>
        </is>
      </c>
      <c r="M574" s="18" t="inlineStr">
        <is>
          <t>No</t>
        </is>
      </c>
      <c r="N574" s="18" t="inlineStr"/>
      <c r="O574" s="18" t="inlineStr">
        <is>
          <t>uq_pta_territorial_review_componente_nivel</t>
        </is>
      </c>
      <c r="P574" s="18" t="inlineStr">
        <is>
          <t>academic-work-plan-service/src/pta/entities/pta-territorial-review.entity.ts:49: 'pregrado' | 'posgrado' — mismo criterio de clasificación que ya usa clasificarAsignaturasDocencia para Sede Central (programa.tipo).</t>
        </is>
      </c>
      <c r="Q574" s="18" t="inlineStr">
        <is>
          <t>Código fuente</t>
        </is>
      </c>
      <c r="R574" s="18" t="inlineStr">
        <is>
          <t>Nivel de formación al que corresponde la revisión: pregrado o posgrado, con el mismo criterio de clasificación por tipo de programa usado para Sede Central. Por defecto pregrado.</t>
        </is>
      </c>
      <c r="S574" s="18" t="inlineStr">
        <is>
          <t>Alta</t>
        </is>
      </c>
      <c r="T574" s="18" t="inlineStr">
        <is>
          <t>código: academic-work-plan-service/src/pta/entities/pta-territorial-review.entity.ts:49</t>
        </is>
      </c>
      <c r="U574" s="18" t="inlineStr"/>
      <c r="V574" s="19" t="inlineStr">
        <is>
          <t>Aprobada</t>
        </is>
      </c>
      <c r="W574" s="19" t="inlineStr"/>
      <c r="X574" s="19" t="inlineStr">
        <is>
          <t>Aldair González (aprobación en bloque)</t>
        </is>
      </c>
      <c r="Y574" s="20" t="n">
        <v>46321</v>
      </c>
      <c r="Z574" s="19" t="inlineStr">
        <is>
          <t>Nivel 1: propuesta del comentario del desarrollador o de confianza alta, o regla de fecha/responsable/motivo.</t>
        </is>
      </c>
      <c r="AA574" s="18">
        <f>IF(OR(V574="Aprobada"),R574,IF(AND(OR(V574="Aprobada con ajuste",V574="Rechazada"),W574&lt;&gt;""),W574,""))</f>
        <v/>
      </c>
    </row>
    <row r="575">
      <c r="A575" s="18" t="inlineStr">
        <is>
          <t>C0574</t>
        </is>
      </c>
      <c r="B575" s="18" t="inlineStr">
        <is>
          <t>Plan de trabajo académico</t>
        </is>
      </c>
      <c r="C575" s="18" t="inlineStr">
        <is>
          <t>academic_work_plan</t>
        </is>
      </c>
      <c r="D575" s="18" t="inlineStr">
        <is>
          <t>PtaTerritorialReview</t>
        </is>
      </c>
      <c r="E575" s="18" t="n">
        <v>3</v>
      </c>
      <c r="F575" s="18" t="inlineStr">
        <is>
          <t>estado</t>
        </is>
      </c>
      <c r="G575" s="18" t="inlineStr">
        <is>
          <t>character varying(50)</t>
        </is>
      </c>
      <c r="H575" s="18" t="inlineStr">
        <is>
          <t>No</t>
        </is>
      </c>
      <c r="I575" s="18" t="inlineStr"/>
      <c r="J575" s="18" t="inlineStr"/>
      <c r="K575" s="18" t="inlineStr"/>
      <c r="L575" s="18" t="inlineStr">
        <is>
          <t>No</t>
        </is>
      </c>
      <c r="M575" s="18" t="inlineStr">
        <is>
          <t>No</t>
        </is>
      </c>
      <c r="N575" s="18" t="inlineStr"/>
      <c r="O575" s="18" t="inlineStr"/>
      <c r="P575" s="18" t="inlineStr">
        <is>
          <t>academic-work-plan-service/src/pta/entities/pta-territorial-review.entity.ts:53: pendiente | revisado | devuelto | db/migrations/399_create_pta_territorial_review.sql:32: 'pendiente', 'revisado', 'devuelto'</t>
        </is>
      </c>
      <c r="Q575" s="18" t="inlineStr">
        <is>
          <t>Código fuente</t>
        </is>
      </c>
      <c r="R575" s="18" t="inlineStr">
        <is>
          <t>Estado de la revisión territorial del PTA. Valores previstos: pendiente, revisado, devuelto; por defecto pendiente.</t>
        </is>
      </c>
      <c r="S575" s="18" t="inlineStr">
        <is>
          <t>Alta</t>
        </is>
      </c>
      <c r="T575" s="18" t="inlineStr">
        <is>
          <t>código: academic-work-plan-service/src/pta/entities/pta-territorial-review.entity.ts:53</t>
        </is>
      </c>
      <c r="U575" s="18" t="inlineStr"/>
      <c r="V575" s="19" t="inlineStr">
        <is>
          <t>Aprobada</t>
        </is>
      </c>
      <c r="W575" s="19" t="inlineStr"/>
      <c r="X575" s="19" t="inlineStr">
        <is>
          <t>Aldair González (aprobación en bloque)</t>
        </is>
      </c>
      <c r="Y575" s="20" t="n">
        <v>46321</v>
      </c>
      <c r="Z575" s="19" t="inlineStr">
        <is>
          <t>Nivel 1: propuesta del comentario del desarrollador o de confianza alta, o regla de fecha/responsable/motivo.</t>
        </is>
      </c>
      <c r="AA575" s="18">
        <f>IF(OR(V575="Aprobada"),R575,IF(AND(OR(V575="Aprobada con ajuste",V575="Rechazada"),W575&lt;&gt;""),W575,""))</f>
        <v/>
      </c>
    </row>
    <row r="576">
      <c r="A576" s="18" t="inlineStr">
        <is>
          <t>C0575</t>
        </is>
      </c>
      <c r="B576" s="18" t="inlineStr">
        <is>
          <t>Plan de trabajo académico</t>
        </is>
      </c>
      <c r="C576" s="18" t="inlineStr">
        <is>
          <t>academic_work_plan</t>
        </is>
      </c>
      <c r="D576" s="18" t="inlineStr">
        <is>
          <t>PtaTerritorialReview</t>
        </is>
      </c>
      <c r="E576" s="18" t="n">
        <v>3</v>
      </c>
      <c r="F576" s="18" t="inlineStr">
        <is>
          <t>revisor_id</t>
        </is>
      </c>
      <c r="G576" s="18" t="inlineStr">
        <is>
          <t>character varying(100)</t>
        </is>
      </c>
      <c r="H576" s="18" t="inlineStr">
        <is>
          <t>Sí</t>
        </is>
      </c>
      <c r="I576" s="18" t="inlineStr"/>
      <c r="J576" s="18" t="inlineStr"/>
      <c r="K576" s="18" t="inlineStr"/>
      <c r="L576" s="18" t="inlineStr">
        <is>
          <t>No</t>
        </is>
      </c>
      <c r="M576" s="18" t="inlineStr">
        <is>
          <t>No</t>
        </is>
      </c>
      <c r="N576" s="18" t="inlineStr"/>
      <c r="O576" s="18" t="inlineStr"/>
      <c r="P576" s="18" t="inlineStr">
        <is>
          <t>Mapeada en academic-work-plan-service/src/pta/entities/pta-territorial-review.entity.ts:56 (PtaTerritorialReviewEntity.revisorId)</t>
        </is>
      </c>
      <c r="Q576" s="18" t="inlineStr">
        <is>
          <t>Código fuente (verificado)</t>
        </is>
      </c>
      <c r="R576" s="18" t="inlineStr">
        <is>
          <t>Identificador del usuario que realiza la revisión territorial: id_user de auth."user", tomado del token de sesión.</t>
        </is>
      </c>
      <c r="S576" s="18" t="inlineStr">
        <is>
          <t>Alta</t>
        </is>
      </c>
      <c r="T576" s="18" t="inlineStr">
        <is>
          <t>academic-work-plan-service/src/pta/pta.service.ts:10184: revisorId = auth.userId | academic-work-plan-service/src/pta/auth/pta-auth.guard.ts:70: userId = sub del token | academic-work-plan-service/src/pta/auth/pta-permissions.service.ts:94: el sub se compara con auth."user".id_user</t>
        </is>
      </c>
      <c r="U576" s="18" t="inlineStr"/>
      <c r="V576" s="19" t="inlineStr">
        <is>
          <t>Aprobada</t>
        </is>
      </c>
      <c r="W576" s="19" t="inlineStr"/>
      <c r="X576" s="19" t="inlineStr">
        <is>
          <t>Aldair González (aprobación en bloque)</t>
        </is>
      </c>
      <c r="Y576" s="20" t="n">
        <v>46321</v>
      </c>
      <c r="Z576" s="19" t="inlineStr">
        <is>
          <t>Nivel 3: verificada con el código de la aplicación.</t>
        </is>
      </c>
      <c r="AA576" s="18">
        <f>IF(OR(V576="Aprobada"),R576,IF(AND(OR(V576="Aprobada con ajuste",V576="Rechazada"),W576&lt;&gt;""),W576,""))</f>
        <v/>
      </c>
    </row>
    <row r="577">
      <c r="A577" s="18" t="inlineStr">
        <is>
          <t>C0576</t>
        </is>
      </c>
      <c r="B577" s="18" t="inlineStr">
        <is>
          <t>Plan de trabajo académico</t>
        </is>
      </c>
      <c r="C577" s="18" t="inlineStr">
        <is>
          <t>academic_work_plan</t>
        </is>
      </c>
      <c r="D577" s="18" t="inlineStr">
        <is>
          <t>PtaTerritorialReview</t>
        </is>
      </c>
      <c r="E577" s="18" t="n">
        <v>3</v>
      </c>
      <c r="F577" s="18" t="inlineStr">
        <is>
          <t>revisor_nombre</t>
        </is>
      </c>
      <c r="G577" s="18" t="inlineStr">
        <is>
          <t>character varying(200)</t>
        </is>
      </c>
      <c r="H577" s="18" t="inlineStr">
        <is>
          <t>Sí</t>
        </is>
      </c>
      <c r="I577" s="18" t="inlineStr"/>
      <c r="J577" s="18" t="inlineStr"/>
      <c r="K577" s="18" t="inlineStr"/>
      <c r="L577" s="18" t="inlineStr">
        <is>
          <t>No</t>
        </is>
      </c>
      <c r="M577" s="18" t="inlineStr">
        <is>
          <t>No</t>
        </is>
      </c>
      <c r="N577" s="18" t="inlineStr"/>
      <c r="O577" s="18" t="inlineStr"/>
      <c r="P577" s="18" t="inlineStr">
        <is>
          <t>Mapeada en academic-work-plan-service/src/pta/entities/pta-territorial-review.entity.ts:59 (PtaTerritorialReviewEntity.revisorNombre)</t>
        </is>
      </c>
      <c r="Q577" s="18" t="inlineStr">
        <is>
          <t>Propuesta semántica</t>
        </is>
      </c>
      <c r="R577" s="18" t="inlineStr">
        <is>
          <t>Nombre del usuario que realiza la revisión territorial.</t>
        </is>
      </c>
      <c r="S577" s="18" t="inlineStr">
        <is>
          <t>Alta</t>
        </is>
      </c>
      <c r="T577" s="18" t="inlineStr">
        <is>
          <t>nombre + tipo + columnas vecinas</t>
        </is>
      </c>
      <c r="U577" s="18" t="inlineStr"/>
      <c r="V577" s="19" t="inlineStr">
        <is>
          <t>Aprobada</t>
        </is>
      </c>
      <c r="W577" s="19" t="inlineStr"/>
      <c r="X577" s="19" t="inlineStr">
        <is>
          <t>Aldair González (aprobación en bloque)</t>
        </is>
      </c>
      <c r="Y577" s="20" t="n">
        <v>46321</v>
      </c>
      <c r="Z577" s="19" t="inlineStr">
        <is>
          <t>Nivel 1: propuesta del comentario del desarrollador o de confianza alta, o regla de fecha/responsable/motivo.</t>
        </is>
      </c>
      <c r="AA577" s="18">
        <f>IF(OR(V577="Aprobada"),R577,IF(AND(OR(V577="Aprobada con ajuste",V577="Rechazada"),W577&lt;&gt;""),W577,""))</f>
        <v/>
      </c>
    </row>
    <row r="578">
      <c r="A578" s="18" t="inlineStr">
        <is>
          <t>C0577</t>
        </is>
      </c>
      <c r="B578" s="18" t="inlineStr">
        <is>
          <t>Plan de trabajo académico</t>
        </is>
      </c>
      <c r="C578" s="18" t="inlineStr">
        <is>
          <t>academic_work_plan</t>
        </is>
      </c>
      <c r="D578" s="18" t="inlineStr">
        <is>
          <t>PtaTerritorialReview</t>
        </is>
      </c>
      <c r="E578" s="18" t="n">
        <v>3</v>
      </c>
      <c r="F578" s="18" t="inlineStr">
        <is>
          <t>revisor_rol</t>
        </is>
      </c>
      <c r="G578" s="18" t="inlineStr">
        <is>
          <t>character varying(100)</t>
        </is>
      </c>
      <c r="H578" s="18" t="inlineStr">
        <is>
          <t>Sí</t>
        </is>
      </c>
      <c r="I578" s="18" t="inlineStr"/>
      <c r="J578" s="18" t="inlineStr"/>
      <c r="K578" s="18" t="inlineStr"/>
      <c r="L578" s="18" t="inlineStr">
        <is>
          <t>No</t>
        </is>
      </c>
      <c r="M578" s="18" t="inlineStr">
        <is>
          <t>No</t>
        </is>
      </c>
      <c r="N578" s="18" t="inlineStr"/>
      <c r="O578" s="18" t="inlineStr"/>
      <c r="P578" s="18" t="inlineStr">
        <is>
          <t>Mapeada en academic-work-plan-service/src/pta/entities/pta-territorial-review.entity.ts:62 (PtaTerritorialReviewEntity.revisorRol)</t>
        </is>
      </c>
      <c r="Q578" s="18" t="inlineStr">
        <is>
          <t>Propuesta semántica</t>
        </is>
      </c>
      <c r="R578" s="18" t="inlineStr">
        <is>
          <t>Rol del usuario que realiza la revisión territorial.</t>
        </is>
      </c>
      <c r="S578" s="18" t="inlineStr">
        <is>
          <t>Alta</t>
        </is>
      </c>
      <c r="T578" s="18" t="inlineStr">
        <is>
          <t>nombre + tipo + columnas vecinas</t>
        </is>
      </c>
      <c r="U578" s="18" t="inlineStr"/>
      <c r="V578" s="19" t="inlineStr">
        <is>
          <t>Aprobada</t>
        </is>
      </c>
      <c r="W578" s="19" t="inlineStr"/>
      <c r="X578" s="19" t="inlineStr">
        <is>
          <t>Aldair González (aprobación en bloque)</t>
        </is>
      </c>
      <c r="Y578" s="20" t="n">
        <v>46321</v>
      </c>
      <c r="Z578" s="19" t="inlineStr">
        <is>
          <t>Nivel 1: propuesta del comentario del desarrollador o de confianza alta, o regla de fecha/responsable/motivo.</t>
        </is>
      </c>
      <c r="AA578" s="18">
        <f>IF(OR(V578="Aprobada"),R578,IF(AND(OR(V578="Aprobada con ajuste",V578="Rechazada"),W578&lt;&gt;""),W578,""))</f>
        <v/>
      </c>
    </row>
    <row r="579">
      <c r="A579" s="18" t="inlineStr">
        <is>
          <t>C0578</t>
        </is>
      </c>
      <c r="B579" s="18" t="inlineStr">
        <is>
          <t>Plan de trabajo académico</t>
        </is>
      </c>
      <c r="C579" s="18" t="inlineStr">
        <is>
          <t>academic_work_plan</t>
        </is>
      </c>
      <c r="D579" s="18" t="inlineStr">
        <is>
          <t>PtaTerritorialReview</t>
        </is>
      </c>
      <c r="E579" s="18" t="n">
        <v>3</v>
      </c>
      <c r="F579" s="18" t="inlineStr">
        <is>
          <t>comentarios</t>
        </is>
      </c>
      <c r="G579" s="18" t="inlineStr">
        <is>
          <t>text</t>
        </is>
      </c>
      <c r="H579" s="18" t="inlineStr">
        <is>
          <t>Sí</t>
        </is>
      </c>
      <c r="I579" s="18" t="inlineStr"/>
      <c r="J579" s="18" t="inlineStr"/>
      <c r="K579" s="18" t="inlineStr"/>
      <c r="L579" s="18" t="inlineStr">
        <is>
          <t>No</t>
        </is>
      </c>
      <c r="M579" s="18" t="inlineStr">
        <is>
          <t>No</t>
        </is>
      </c>
      <c r="N579" s="18" t="inlineStr"/>
      <c r="O579" s="18" t="inlineStr"/>
      <c r="P579" s="18" t="inlineStr">
        <is>
          <t>Mapeada en academic-work-plan-service/src/pta/entities/pta-territorial-review.entity.ts:65 (PtaTerritorialReviewEntity.comentarios)</t>
        </is>
      </c>
      <c r="Q579" s="18" t="inlineStr">
        <is>
          <t>Propuesta semántica</t>
        </is>
      </c>
      <c r="R579" s="18" t="inlineStr">
        <is>
          <t>Comentarios de la revisión territorial.</t>
        </is>
      </c>
      <c r="S579" s="18" t="inlineStr">
        <is>
          <t>Alta</t>
        </is>
      </c>
      <c r="T579" s="18" t="inlineStr">
        <is>
          <t>nombre + tipo + columnas vecinas</t>
        </is>
      </c>
      <c r="U579" s="18" t="inlineStr"/>
      <c r="V579" s="19" t="inlineStr">
        <is>
          <t>Aprobada</t>
        </is>
      </c>
      <c r="W579" s="19" t="inlineStr"/>
      <c r="X579" s="19" t="inlineStr">
        <is>
          <t>Aldair González (aprobación en bloque)</t>
        </is>
      </c>
      <c r="Y579" s="20" t="n">
        <v>46321</v>
      </c>
      <c r="Z579" s="19" t="inlineStr">
        <is>
          <t>Nivel 1: propuesta del comentario del desarrollador o de confianza alta, o regla de fecha/responsable/motivo.</t>
        </is>
      </c>
      <c r="AA579" s="18">
        <f>IF(OR(V579="Aprobada"),R579,IF(AND(OR(V579="Aprobada con ajuste",V579="Rechazada"),W579&lt;&gt;""),W579,""))</f>
        <v/>
      </c>
    </row>
    <row r="580">
      <c r="A580" s="18" t="inlineStr">
        <is>
          <t>C0579</t>
        </is>
      </c>
      <c r="B580" s="18" t="inlineStr">
        <is>
          <t>Plan de trabajo académico</t>
        </is>
      </c>
      <c r="C580" s="18" t="inlineStr">
        <is>
          <t>academic_work_plan</t>
        </is>
      </c>
      <c r="D580" s="18" t="inlineStr">
        <is>
          <t>PtaTerritorialReview</t>
        </is>
      </c>
      <c r="E580" s="18" t="n">
        <v>3</v>
      </c>
      <c r="F580" s="18" t="inlineStr">
        <is>
          <t>fecha_revision</t>
        </is>
      </c>
      <c r="G580" s="18" t="inlineStr">
        <is>
          <t>timestamp without time zone</t>
        </is>
      </c>
      <c r="H580" s="18" t="inlineStr">
        <is>
          <t>Sí</t>
        </is>
      </c>
      <c r="I580" s="18" t="inlineStr"/>
      <c r="J580" s="18" t="inlineStr"/>
      <c r="K580" s="18" t="inlineStr"/>
      <c r="L580" s="18" t="inlineStr">
        <is>
          <t>No</t>
        </is>
      </c>
      <c r="M580" s="18" t="inlineStr">
        <is>
          <t>No</t>
        </is>
      </c>
      <c r="N580" s="18" t="inlineStr"/>
      <c r="O580" s="18" t="inlineStr"/>
      <c r="P580" s="18" t="inlineStr">
        <is>
          <t>Mapeada en academic-work-plan-service/src/pta/entities/pta-territorial-review.entity.ts:68 (PtaTerritorialReviewEntity.fechaRevision)</t>
        </is>
      </c>
      <c r="Q580" s="18" t="inlineStr">
        <is>
          <t>Regla estructural (redacción revisada)</t>
        </is>
      </c>
      <c r="R580" s="18" t="inlineStr">
        <is>
          <t>Fecha y hora de la revisión territorial del plan de trabajo académico.</t>
        </is>
      </c>
      <c r="S580" s="18" t="inlineStr">
        <is>
          <t>Alta</t>
        </is>
      </c>
      <c r="T580" s="18" t="inlineStr">
        <is>
          <t>Convención de nombre, redactada con el contexto de la tabla y el código.</t>
        </is>
      </c>
      <c r="U580" s="18" t="inlineStr"/>
      <c r="V580" s="19" t="inlineStr">
        <is>
          <t>Aprobada</t>
        </is>
      </c>
      <c r="W580" s="19" t="inlineStr"/>
      <c r="X580" s="19" t="inlineStr">
        <is>
          <t>Aldair González (aprobación en bloque)</t>
        </is>
      </c>
      <c r="Y580" s="20" t="n">
        <v>46321</v>
      </c>
      <c r="Z580" s="19" t="inlineStr">
        <is>
          <t>Nivel 2: regla estructural con redacción revisada.</t>
        </is>
      </c>
      <c r="AA580" s="18">
        <f>IF(OR(V580="Aprobada"),R580,IF(AND(OR(V580="Aprobada con ajuste",V580="Rechazada"),W580&lt;&gt;""),W580,""))</f>
        <v/>
      </c>
    </row>
    <row r="581">
      <c r="A581" s="18" t="inlineStr">
        <is>
          <t>C0580</t>
        </is>
      </c>
      <c r="B581" s="18" t="inlineStr">
        <is>
          <t>Plan de trabajo académico</t>
        </is>
      </c>
      <c r="C581" s="18" t="inlineStr">
        <is>
          <t>academic_work_plan</t>
        </is>
      </c>
      <c r="D581" s="18" t="inlineStr">
        <is>
          <t>PtaTerritorialReview</t>
        </is>
      </c>
      <c r="E581" s="18" t="n">
        <v>3</v>
      </c>
      <c r="F581" s="18" t="inlineStr">
        <is>
          <t>componente</t>
        </is>
      </c>
      <c r="G581" s="18" t="inlineStr">
        <is>
          <t>character varying(60)</t>
        </is>
      </c>
      <c r="H581" s="18" t="inlineStr">
        <is>
          <t>No</t>
        </is>
      </c>
      <c r="I581" s="18" t="inlineStr"/>
      <c r="J581" s="18" t="inlineStr"/>
      <c r="K581" s="18" t="inlineStr"/>
      <c r="L581" s="18" t="inlineStr">
        <is>
          <t>No</t>
        </is>
      </c>
      <c r="M581" s="18" t="inlineStr">
        <is>
          <t>No</t>
        </is>
      </c>
      <c r="N581" s="18" t="inlineStr"/>
      <c r="O581" s="18" t="inlineStr">
        <is>
          <t>idx_pta_territorial_review_pta_componente, uq_pta_territorial_review_componente_nivel</t>
        </is>
      </c>
      <c r="P581" s="18" t="inlineStr">
        <is>
          <t>academic-work-plan-service/src/pta/entities/pta-territorial-review.entity.ts:38: EFDS-1353: espejo de PtaTerritorialApproval.componente — distingue la revisión de Docencia territorial de la de Complementarias territoriales (migración 401).</t>
        </is>
      </c>
      <c r="Q581" s="18" t="inlineStr">
        <is>
          <t>Código fuente</t>
        </is>
      </c>
      <c r="R581" s="18" t="inlineStr">
        <is>
          <t>Componente territorial revisado: distingue la revisión de Docencia territorial (academica_territorial) de la de Complementarias territoriales (complementarias_territorial). Por defecto academica_territorial (EFDS-1353).</t>
        </is>
      </c>
      <c r="S581" s="18" t="inlineStr">
        <is>
          <t>Alta</t>
        </is>
      </c>
      <c r="T581" s="18" t="inlineStr">
        <is>
          <t>código: academic-work-plan-service/src/pta/entities/pta-territorial-review.entity.ts:38</t>
        </is>
      </c>
      <c r="U581" s="18" t="inlineStr"/>
      <c r="V581" s="19" t="inlineStr">
        <is>
          <t>Aprobada</t>
        </is>
      </c>
      <c r="W581" s="19" t="inlineStr"/>
      <c r="X581" s="19" t="inlineStr">
        <is>
          <t>Aldair González (aprobación en bloque)</t>
        </is>
      </c>
      <c r="Y581" s="20" t="n">
        <v>46321</v>
      </c>
      <c r="Z581" s="19" t="inlineStr">
        <is>
          <t>Nivel 1: propuesta del comentario del desarrollador o de confianza alta, o regla de fecha/responsable/motivo.</t>
        </is>
      </c>
      <c r="AA581" s="18">
        <f>IF(OR(V581="Aprobada"),R581,IF(AND(OR(V581="Aprobada con ajuste",V581="Rechazada"),W581&lt;&gt;""),W581,""))</f>
        <v/>
      </c>
    </row>
    <row r="582">
      <c r="A582" s="18" t="inlineStr">
        <is>
          <t>C0581</t>
        </is>
      </c>
      <c r="B582" s="18" t="inlineStr">
        <is>
          <t>Plan de trabajo académico</t>
        </is>
      </c>
      <c r="C582" s="18" t="inlineStr">
        <is>
          <t>academic_work_plan</t>
        </is>
      </c>
      <c r="D582" s="18" t="inlineStr">
        <is>
          <t>PTAUserData</t>
        </is>
      </c>
      <c r="E582" s="18" t="n">
        <v>55</v>
      </c>
      <c r="F582" s="18" t="inlineStr">
        <is>
          <t>userId</t>
        </is>
      </c>
      <c r="G582" s="18" t="inlineStr">
        <is>
          <t>text</t>
        </is>
      </c>
      <c r="H582" s="18" t="inlineStr">
        <is>
          <t>No</t>
        </is>
      </c>
      <c r="I582" s="18" t="inlineStr">
        <is>
          <t>Única</t>
        </is>
      </c>
      <c r="J582" s="18" t="inlineStr"/>
      <c r="K582" s="18" t="inlineStr"/>
      <c r="L582" s="18" t="inlineStr">
        <is>
          <t>No</t>
        </is>
      </c>
      <c r="M582" s="18" t="inlineStr">
        <is>
          <t>No</t>
        </is>
      </c>
      <c r="N582" s="18" t="inlineStr"/>
      <c r="O582" s="18" t="inlineStr">
        <is>
          <t>PTAUserData_userId_key</t>
        </is>
      </c>
      <c r="P582" s="18" t="inlineStr">
        <is>
          <t>Mapeada en academic-work-plan-service/src/pta/entities/pta-user-data.entity.ts:14 (PtaUserDataEntity.userId)</t>
        </is>
      </c>
      <c r="Q582" s="18" t="inlineStr">
        <is>
          <t>Propuesta semántica</t>
        </is>
      </c>
      <c r="R582" s="18" t="inlineStr">
        <is>
          <t>Identificador del usuario al que pertenecen las preferencias; valor único.</t>
        </is>
      </c>
      <c r="S582" s="18" t="inlineStr">
        <is>
          <t>Alta</t>
        </is>
      </c>
      <c r="T582" s="18" t="inlineStr">
        <is>
          <t>nombre + tipo + columnas vecinas + restricción única</t>
        </is>
      </c>
      <c r="U582" s="18" t="inlineStr"/>
      <c r="V582" s="19" t="inlineStr">
        <is>
          <t>Aprobada</t>
        </is>
      </c>
      <c r="W582" s="19" t="inlineStr"/>
      <c r="X582" s="19" t="inlineStr">
        <is>
          <t>Aldair González (aprobación en bloque)</t>
        </is>
      </c>
      <c r="Y582" s="20" t="n">
        <v>46321</v>
      </c>
      <c r="Z582" s="19" t="inlineStr">
        <is>
          <t>Nivel 1: propuesta del comentario del desarrollador o de confianza alta, o regla de fecha/responsable/motivo.</t>
        </is>
      </c>
      <c r="AA582" s="18">
        <f>IF(OR(V582="Aprobada"),R582,IF(AND(OR(V582="Aprobada con ajuste",V582="Rechazada"),W582&lt;&gt;""),W582,""))</f>
        <v/>
      </c>
    </row>
    <row r="583">
      <c r="A583" s="18" t="inlineStr">
        <is>
          <t>C0582</t>
        </is>
      </c>
      <c r="B583" s="18" t="inlineStr">
        <is>
          <t>Plan de trabajo académico</t>
        </is>
      </c>
      <c r="C583" s="18" t="inlineStr">
        <is>
          <t>academic_work_plan</t>
        </is>
      </c>
      <c r="D583" s="18" t="inlineStr">
        <is>
          <t>PTAUserData</t>
        </is>
      </c>
      <c r="E583" s="18" t="n">
        <v>55</v>
      </c>
      <c r="F583" s="18" t="inlineStr">
        <is>
          <t>tags</t>
        </is>
      </c>
      <c r="G583" s="18" t="inlineStr">
        <is>
          <t>jsonb</t>
        </is>
      </c>
      <c r="H583" s="18" t="inlineStr">
        <is>
          <t>No</t>
        </is>
      </c>
      <c r="I583" s="18" t="inlineStr"/>
      <c r="J583" s="18" t="inlineStr"/>
      <c r="K583" s="18" t="inlineStr"/>
      <c r="L583" s="18" t="inlineStr">
        <is>
          <t>No</t>
        </is>
      </c>
      <c r="M583" s="18" t="inlineStr">
        <is>
          <t>No</t>
        </is>
      </c>
      <c r="N583" s="18" t="inlineStr"/>
      <c r="O583" s="18" t="inlineStr"/>
      <c r="P583" s="18" t="inlineStr">
        <is>
          <t>Mapeada en academic-work-plan-service/src/pta/entities/pta-user-data.entity.ts:17 (PtaUserDataEntity.tags)</t>
        </is>
      </c>
      <c r="Q583" s="18" t="inlineStr">
        <is>
          <t>Código fuente (verificado)</t>
        </is>
      </c>
      <c r="R583" s="18" t="inlineStr">
        <is>
          <t>Etiquetas guardadas por el usuario, como objeto JSON (alias saved_tags).</t>
        </is>
      </c>
      <c r="S583" s="18" t="inlineStr">
        <is>
          <t>Media</t>
        </is>
      </c>
      <c r="T583" s="18" t="inlineStr">
        <is>
          <t>academic-work-plan-service/src/pta/pta.service.ts:7845: tags = data.tags o data.saved_tags | academic-work-plan-service/src/pta/pta.service.ts:7821: se normaliza como objeto</t>
        </is>
      </c>
      <c r="U583" s="18" t="inlineStr">
        <is>
          <t>¿Qué claves y valores tiene el objeto tags y a qué elementos se asignan?</t>
        </is>
      </c>
      <c r="V583" s="19" t="inlineStr">
        <is>
          <t>Aprobada</t>
        </is>
      </c>
      <c r="W583" s="19" t="inlineStr"/>
      <c r="X583" s="19" t="inlineStr">
        <is>
          <t>Aldair González (validación del responsable de BD)</t>
        </is>
      </c>
      <c r="Y583" s="20" t="n">
        <v>46321</v>
      </c>
      <c r="Z583" s="19" t="inlineStr">
        <is>
          <t>Nivel 3: validada por decisión del responsable de la base de datos. Pregunta registrada para desarrollo: ¿Qué claves y valores tiene el objeto tags y a qué elementos se asignan?</t>
        </is>
      </c>
      <c r="AA583" s="18">
        <f>IF(OR(V583="Aprobada"),R583,IF(AND(OR(V583="Aprobada con ajuste",V583="Rechazada"),W583&lt;&gt;""),W583,""))</f>
        <v/>
      </c>
    </row>
    <row r="584">
      <c r="A584" s="18" t="inlineStr">
        <is>
          <t>C0583</t>
        </is>
      </c>
      <c r="B584" s="18" t="inlineStr">
        <is>
          <t>Plan de trabajo académico</t>
        </is>
      </c>
      <c r="C584" s="18" t="inlineStr">
        <is>
          <t>academic_work_plan</t>
        </is>
      </c>
      <c r="D584" s="18" t="inlineStr">
        <is>
          <t>PTAUserData</t>
        </is>
      </c>
      <c r="E584" s="18" t="n">
        <v>55</v>
      </c>
      <c r="F584" s="18" t="inlineStr">
        <is>
          <t>notes</t>
        </is>
      </c>
      <c r="G584" s="18" t="inlineStr">
        <is>
          <t>jsonb</t>
        </is>
      </c>
      <c r="H584" s="18" t="inlineStr">
        <is>
          <t>No</t>
        </is>
      </c>
      <c r="I584" s="18" t="inlineStr"/>
      <c r="J584" s="18" t="inlineStr"/>
      <c r="K584" s="18" t="inlineStr"/>
      <c r="L584" s="18" t="inlineStr">
        <is>
          <t>No</t>
        </is>
      </c>
      <c r="M584" s="18" t="inlineStr">
        <is>
          <t>No</t>
        </is>
      </c>
      <c r="N584" s="18" t="inlineStr"/>
      <c r="O584" s="18" t="inlineStr"/>
      <c r="P584" s="18" t="inlineStr">
        <is>
          <t>Mapeada en academic-work-plan-service/src/pta/entities/pta-user-data.entity.ts:20 (PtaUserDataEntity.notes)</t>
        </is>
      </c>
      <c r="Q584" s="18" t="inlineStr">
        <is>
          <t>Código fuente (verificado)</t>
        </is>
      </c>
      <c r="R584" s="18" t="inlineStr">
        <is>
          <t>Notas del usuario, como objeto JSON.</t>
        </is>
      </c>
      <c r="S584" s="18" t="inlineStr">
        <is>
          <t>Media</t>
        </is>
      </c>
      <c r="T584" s="18" t="inlineStr">
        <is>
          <t>academic-work-plan-service/src/pta/pta.service.ts:7846: notes del cuerpo | academic-work-plan-service/src/pta/pta.service.ts:7822: se normaliza como objeto</t>
        </is>
      </c>
      <c r="U584" s="18" t="inlineStr">
        <is>
          <t>¿Qué claves y valores tiene el objeto notes (por ejemplo, id del plan y texto)?</t>
        </is>
      </c>
      <c r="V584" s="19" t="inlineStr">
        <is>
          <t>Aprobada</t>
        </is>
      </c>
      <c r="W584" s="19" t="inlineStr"/>
      <c r="X584" s="19" t="inlineStr">
        <is>
          <t>Aldair González (validación del responsable de BD)</t>
        </is>
      </c>
      <c r="Y584" s="20" t="n">
        <v>46321</v>
      </c>
      <c r="Z584" s="19" t="inlineStr">
        <is>
          <t>Nivel 3: validada por decisión del responsable de la base de datos. Pregunta registrada para desarrollo: ¿Qué claves y valores tiene el objeto notes (por ejemplo, id del plan y texto)?</t>
        </is>
      </c>
      <c r="AA584" s="18">
        <f>IF(OR(V584="Aprobada"),R584,IF(AND(OR(V584="Aprobada con ajuste",V584="Rechazada"),W584&lt;&gt;""),W584,""))</f>
        <v/>
      </c>
    </row>
    <row r="585">
      <c r="A585" s="18" t="inlineStr">
        <is>
          <t>C0584</t>
        </is>
      </c>
      <c r="B585" s="18" t="inlineStr">
        <is>
          <t>Plan de trabajo académico</t>
        </is>
      </c>
      <c r="C585" s="18" t="inlineStr">
        <is>
          <t>academic_work_plan</t>
        </is>
      </c>
      <c r="D585" s="18" t="inlineStr">
        <is>
          <t>PTAUserData</t>
        </is>
      </c>
      <c r="E585" s="18" t="n">
        <v>55</v>
      </c>
      <c r="F585" s="18" t="inlineStr">
        <is>
          <t>pinned</t>
        </is>
      </c>
      <c r="G585" s="18" t="inlineStr">
        <is>
          <t>jsonb</t>
        </is>
      </c>
      <c r="H585" s="18" t="inlineStr">
        <is>
          <t>No</t>
        </is>
      </c>
      <c r="I585" s="18" t="inlineStr"/>
      <c r="J585" s="18" t="inlineStr"/>
      <c r="K585" s="18" t="inlineStr"/>
      <c r="L585" s="18" t="inlineStr">
        <is>
          <t>No</t>
        </is>
      </c>
      <c r="M585" s="18" t="inlineStr">
        <is>
          <t>No</t>
        </is>
      </c>
      <c r="N585" s="18" t="inlineStr"/>
      <c r="O585" s="18" t="inlineStr"/>
      <c r="P585" s="18" t="inlineStr">
        <is>
          <t>Mapeada en academic-work-plan-service/src/pta/entities/pta-user-data.entity.ts:23 (PtaUserDataEntity.pinned)</t>
        </is>
      </c>
      <c r="Q585" s="18" t="inlineStr">
        <is>
          <t>Código fuente (verificado)</t>
        </is>
      </c>
      <c r="R585" s="18" t="inlineStr">
        <is>
          <t>Lista JSON de identificadores de planes de trabajo académico fijados por el usuario (alias pinned_pta_ids).</t>
        </is>
      </c>
      <c r="S585" s="18" t="inlineStr">
        <is>
          <t>Alta</t>
        </is>
      </c>
      <c r="T585" s="18" t="inlineStr">
        <is>
          <t>academic-work-plan-service/src/pta/pta.service.ts:7847: pinned = data.pinned o data.pinned_pta_ids | academic-work-plan-service/src/pta/pta.service.ts:7823: se normaliza como arreglo | academic-work-plan-service/src/pta/pta.service.ts:7831: alias pinned_pta_ids</t>
        </is>
      </c>
      <c r="U585" s="18" t="inlineStr"/>
      <c r="V585" s="19" t="inlineStr">
        <is>
          <t>Aprobada</t>
        </is>
      </c>
      <c r="W585" s="19" t="inlineStr"/>
      <c r="X585" s="19" t="inlineStr">
        <is>
          <t>Aldair González (aprobación en bloque)</t>
        </is>
      </c>
      <c r="Y585" s="20" t="n">
        <v>46321</v>
      </c>
      <c r="Z585" s="19" t="inlineStr">
        <is>
          <t>Nivel 3: verificada con el código de la aplicación.</t>
        </is>
      </c>
      <c r="AA585" s="18">
        <f>IF(OR(V585="Aprobada"),R585,IF(AND(OR(V585="Aprobada con ajuste",V585="Rechazada"),W585&lt;&gt;""),W585,""))</f>
        <v/>
      </c>
    </row>
    <row r="586">
      <c r="A586" s="18" t="inlineStr">
        <is>
          <t>C0585</t>
        </is>
      </c>
      <c r="B586" s="18" t="inlineStr">
        <is>
          <t>Plan de trabajo académico</t>
        </is>
      </c>
      <c r="C586" s="18" t="inlineStr">
        <is>
          <t>academic_work_plan</t>
        </is>
      </c>
      <c r="D586" s="18" t="inlineStr">
        <is>
          <t>PTAUserData</t>
        </is>
      </c>
      <c r="E586" s="18" t="n">
        <v>55</v>
      </c>
      <c r="F586" s="18" t="inlineStr">
        <is>
          <t>priority</t>
        </is>
      </c>
      <c r="G586" s="18" t="inlineStr">
        <is>
          <t>jsonb</t>
        </is>
      </c>
      <c r="H586" s="18" t="inlineStr">
        <is>
          <t>No</t>
        </is>
      </c>
      <c r="I586" s="18" t="inlineStr"/>
      <c r="J586" s="18" t="inlineStr"/>
      <c r="K586" s="18" t="inlineStr"/>
      <c r="L586" s="18" t="inlineStr">
        <is>
          <t>No</t>
        </is>
      </c>
      <c r="M586" s="18" t="inlineStr">
        <is>
          <t>No</t>
        </is>
      </c>
      <c r="N586" s="18" t="inlineStr"/>
      <c r="O586" s="18" t="inlineStr"/>
      <c r="P586" s="18" t="inlineStr">
        <is>
          <t>Mapeada en academic-work-plan-service/src/pta/entities/pta-user-data.entity.ts:26 (PtaUserDataEntity.priority)</t>
        </is>
      </c>
      <c r="Q586" s="18" t="inlineStr">
        <is>
          <t>Código fuente (verificado)</t>
        </is>
      </c>
      <c r="R586" s="18" t="inlineStr">
        <is>
          <t>Lista JSON ordenada de elementos priorizados por el usuario (alias priorityOrder y favorite_views).</t>
        </is>
      </c>
      <c r="S586" s="18" t="inlineStr">
        <is>
          <t>Media</t>
        </is>
      </c>
      <c r="T586" s="18" t="inlineStr">
        <is>
          <t>academic-work-plan-service/src/pta/pta.service.ts:7848: priority = data.priorityOrder o data.favorite_views | academic-work-plan-service/src/pta/pta.service.ts:7832: alias favorite_views</t>
        </is>
      </c>
      <c r="U586" s="18" t="inlineStr">
        <is>
          <t>¿Qué elementos contiene priority (planes o vistas favoritas) y qué indica su orden?</t>
        </is>
      </c>
      <c r="V586" s="19" t="inlineStr">
        <is>
          <t>Aprobada</t>
        </is>
      </c>
      <c r="W586" s="19" t="inlineStr"/>
      <c r="X586" s="19" t="inlineStr">
        <is>
          <t>Aldair González (validación del responsable de BD)</t>
        </is>
      </c>
      <c r="Y586" s="20" t="n">
        <v>46321</v>
      </c>
      <c r="Z586" s="19" t="inlineStr">
        <is>
          <t>Nivel 3: validada por decisión del responsable de la base de datos. Pregunta registrada para desarrollo: ¿Qué elementos contiene priority (planes o vistas favoritas) y qué indica su orden?</t>
        </is>
      </c>
      <c r="AA586" s="18">
        <f>IF(OR(V586="Aprobada"),R586,IF(AND(OR(V586="Aprobada con ajuste",V586="Rechazada"),W586&lt;&gt;""),W586,""))</f>
        <v/>
      </c>
    </row>
    <row r="587">
      <c r="A587" s="18" t="inlineStr">
        <is>
          <t>C0586</t>
        </is>
      </c>
      <c r="B587" s="18" t="inlineStr">
        <is>
          <t>Plan de trabajo académico</t>
        </is>
      </c>
      <c r="C587" s="18" t="inlineStr">
        <is>
          <t>academic_work_plan</t>
        </is>
      </c>
      <c r="D587" s="18" t="inlineStr">
        <is>
          <t>Rol</t>
        </is>
      </c>
      <c r="E587" s="18" t="n">
        <v>12</v>
      </c>
      <c r="F587" s="18" t="inlineStr">
        <is>
          <t>nombre</t>
        </is>
      </c>
      <c r="G587" s="18" t="inlineStr">
        <is>
          <t>text</t>
        </is>
      </c>
      <c r="H587" s="18" t="inlineStr">
        <is>
          <t>No</t>
        </is>
      </c>
      <c r="I587" s="18" t="inlineStr"/>
      <c r="J587" s="18" t="inlineStr"/>
      <c r="K587" s="18" t="inlineStr"/>
      <c r="L587" s="18" t="inlineStr">
        <is>
          <t>No</t>
        </is>
      </c>
      <c r="M587" s="18" t="inlineStr">
        <is>
          <t>Sí</t>
        </is>
      </c>
      <c r="N587" s="18" t="inlineStr">
        <is>
          <t>Función control_interno.fn_configurar_actividad_auditorias_plan — control_interno.fn_configurar_actividad_auditorias_plan: LOWER(a.nombre) LIKE '%auditoría%'</t>
        </is>
      </c>
      <c r="O587" s="18" t="inlineStr">
        <is>
          <t>Rol_nombre_key</t>
        </is>
      </c>
      <c r="P587" s="18" t="inlineStr"/>
      <c r="Q587" s="18" t="inlineStr">
        <is>
          <t>Regla estructural (redacción revisada)</t>
        </is>
      </c>
      <c r="R587" s="18" t="inlineStr">
        <is>
          <t>Nombre del rol.</t>
        </is>
      </c>
      <c r="S587" s="18" t="inlineStr">
        <is>
          <t>Alta</t>
        </is>
      </c>
      <c r="T587" s="18" t="inlineStr">
        <is>
          <t>Convención de nombre, redactada con el contexto de la tabla y el código.</t>
        </is>
      </c>
      <c r="U587" s="18" t="inlineStr"/>
      <c r="V587" s="19" t="inlineStr">
        <is>
          <t>Aprobada</t>
        </is>
      </c>
      <c r="W587" s="19" t="inlineStr"/>
      <c r="X587" s="19" t="inlineStr">
        <is>
          <t>Aldair González (aprobación en bloque)</t>
        </is>
      </c>
      <c r="Y587" s="20" t="n">
        <v>46321</v>
      </c>
      <c r="Z587" s="19" t="inlineStr">
        <is>
          <t>Nivel 2: regla estructural con redacción revisada.</t>
        </is>
      </c>
      <c r="AA587" s="18">
        <f>IF(OR(V587="Aprobada"),R587,IF(AND(OR(V587="Aprobada con ajuste",V587="Rechazada"),W587&lt;&gt;""),W587,""))</f>
        <v/>
      </c>
    </row>
    <row r="588">
      <c r="A588" s="18" t="inlineStr">
        <is>
          <t>C0587</t>
        </is>
      </c>
      <c r="B588" s="18" t="inlineStr">
        <is>
          <t>Plan de trabajo académico</t>
        </is>
      </c>
      <c r="C588" s="18" t="inlineStr">
        <is>
          <t>academic_work_plan</t>
        </is>
      </c>
      <c r="D588" s="18" t="inlineStr">
        <is>
          <t>Rol</t>
        </is>
      </c>
      <c r="E588" s="18" t="n">
        <v>12</v>
      </c>
      <c r="F588" s="18" t="inlineStr">
        <is>
          <t>descripcion</t>
        </is>
      </c>
      <c r="G588" s="18" t="inlineStr">
        <is>
          <t>text</t>
        </is>
      </c>
      <c r="H588" s="18" t="inlineStr">
        <is>
          <t>Sí</t>
        </is>
      </c>
      <c r="I588" s="18" t="inlineStr"/>
      <c r="J588" s="18" t="inlineStr"/>
      <c r="K588" s="18" t="inlineStr"/>
      <c r="L588" s="18" t="inlineStr">
        <is>
          <t>No</t>
        </is>
      </c>
      <c r="M588" s="18" t="inlineStr">
        <is>
          <t>No</t>
        </is>
      </c>
      <c r="N588" s="18" t="inlineStr"/>
      <c r="O588" s="18" t="inlineStr"/>
      <c r="P588" s="18" t="inlineStr"/>
      <c r="Q588" s="18" t="inlineStr">
        <is>
          <t>Regla estructural (redacción revisada)</t>
        </is>
      </c>
      <c r="R588" s="18" t="inlineStr">
        <is>
          <t>Descripción del rol.</t>
        </is>
      </c>
      <c r="S588" s="18" t="inlineStr">
        <is>
          <t>Alta</t>
        </is>
      </c>
      <c r="T588" s="18" t="inlineStr">
        <is>
          <t>Convención de nombre, redactada con el contexto de la tabla y el código.</t>
        </is>
      </c>
      <c r="U588" s="18" t="inlineStr"/>
      <c r="V588" s="19" t="inlineStr">
        <is>
          <t>Aprobada</t>
        </is>
      </c>
      <c r="W588" s="19" t="inlineStr"/>
      <c r="X588" s="19" t="inlineStr">
        <is>
          <t>Aldair González (aprobación en bloque)</t>
        </is>
      </c>
      <c r="Y588" s="20" t="n">
        <v>46321</v>
      </c>
      <c r="Z588" s="19" t="inlineStr">
        <is>
          <t>Nivel 2: regla estructural con redacción revisada.</t>
        </is>
      </c>
      <c r="AA588" s="18">
        <f>IF(OR(V588="Aprobada"),R588,IF(AND(OR(V588="Aprobada con ajuste",V588="Rechazada"),W588&lt;&gt;""),W588,""))</f>
        <v/>
      </c>
    </row>
    <row r="589">
      <c r="A589" s="18" t="inlineStr">
        <is>
          <t>C0588</t>
        </is>
      </c>
      <c r="B589" s="18" t="inlineStr">
        <is>
          <t>Plan de trabajo académico</t>
        </is>
      </c>
      <c r="C589" s="18" t="inlineStr">
        <is>
          <t>academic_work_plan</t>
        </is>
      </c>
      <c r="D589" s="18" t="inlineStr">
        <is>
          <t>Rol</t>
        </is>
      </c>
      <c r="E589" s="18" t="n">
        <v>12</v>
      </c>
      <c r="F589" s="18" t="inlineStr">
        <is>
          <t>isSystem</t>
        </is>
      </c>
      <c r="G589" s="18" t="inlineStr">
        <is>
          <t>boolean</t>
        </is>
      </c>
      <c r="H589" s="18" t="inlineStr">
        <is>
          <t>No</t>
        </is>
      </c>
      <c r="I589" s="18" t="inlineStr"/>
      <c r="J589" s="18" t="inlineStr"/>
      <c r="K589" s="18" t="inlineStr"/>
      <c r="L589" s="18" t="inlineStr">
        <is>
          <t>No</t>
        </is>
      </c>
      <c r="M589" s="18" t="inlineStr">
        <is>
          <t>No</t>
        </is>
      </c>
      <c r="N589" s="18" t="inlineStr"/>
      <c r="O589" s="18" t="inlineStr"/>
      <c r="P589" s="18" t="inlineStr"/>
      <c r="Q589" s="18" t="inlineStr">
        <is>
          <t>Regla estructural (redacción revisada)</t>
        </is>
      </c>
      <c r="R589" s="18" t="inlineStr">
        <is>
          <t>Indica si el rol es del sistema.</t>
        </is>
      </c>
      <c r="S589" s="18" t="inlineStr">
        <is>
          <t>Alta</t>
        </is>
      </c>
      <c r="T589" s="18" t="inlineStr">
        <is>
          <t>Convención de nombre, redactada con el contexto de la tabla y el código.</t>
        </is>
      </c>
      <c r="U589" s="18" t="inlineStr"/>
      <c r="V589" s="19" t="inlineStr">
        <is>
          <t>Aprobada</t>
        </is>
      </c>
      <c r="W589" s="19" t="inlineStr"/>
      <c r="X589" s="19" t="inlineStr">
        <is>
          <t>Aldair González (aprobación en bloque)</t>
        </is>
      </c>
      <c r="Y589" s="20" t="n">
        <v>46321</v>
      </c>
      <c r="Z589" s="19" t="inlineStr">
        <is>
          <t>Nivel 2: regla estructural con redacción revisada.</t>
        </is>
      </c>
      <c r="AA589" s="18">
        <f>IF(OR(V589="Aprobada"),R589,IF(AND(OR(V589="Aprobada con ajuste",V589="Rechazada"),W589&lt;&gt;""),W589,""))</f>
        <v/>
      </c>
    </row>
    <row r="590">
      <c r="A590" s="18" t="inlineStr">
        <is>
          <t>C0589</t>
        </is>
      </c>
      <c r="B590" s="18" t="inlineStr">
        <is>
          <t>Plan de trabajo académico</t>
        </is>
      </c>
      <c r="C590" s="18" t="inlineStr">
        <is>
          <t>academic_work_plan</t>
        </is>
      </c>
      <c r="D590" s="18" t="inlineStr">
        <is>
          <t>Rol</t>
        </is>
      </c>
      <c r="E590" s="18" t="n">
        <v>12</v>
      </c>
      <c r="F590" s="18" t="inlineStr">
        <is>
          <t>estado</t>
        </is>
      </c>
      <c r="G590" s="18" t="inlineStr">
        <is>
          <t>text</t>
        </is>
      </c>
      <c r="H590" s="18" t="inlineStr">
        <is>
          <t>No</t>
        </is>
      </c>
      <c r="I590" s="18" t="inlineStr"/>
      <c r="J590" s="18" t="inlineStr"/>
      <c r="K590" s="18" t="inlineStr"/>
      <c r="L590" s="18" t="inlineStr">
        <is>
          <t>No</t>
        </is>
      </c>
      <c r="M590" s="18" t="inlineStr">
        <is>
          <t>No</t>
        </is>
      </c>
      <c r="N590" s="18" t="inlineStr"/>
      <c r="O590" s="18" t="inlineStr"/>
      <c r="P590" s="18" t="inlineStr"/>
      <c r="Q590" s="18" t="inlineStr">
        <is>
          <t>Regla estructural (redacción revisada)</t>
        </is>
      </c>
      <c r="R590" s="18" t="inlineStr">
        <is>
          <t>Estado del rol.</t>
        </is>
      </c>
      <c r="S590" s="18" t="inlineStr">
        <is>
          <t>Alta</t>
        </is>
      </c>
      <c r="T590" s="18" t="inlineStr">
        <is>
          <t>Convención de nombre, redactada con el contexto de la tabla y el código.</t>
        </is>
      </c>
      <c r="U590" s="18" t="inlineStr"/>
      <c r="V590" s="19" t="inlineStr">
        <is>
          <t>Aprobada</t>
        </is>
      </c>
      <c r="W590" s="19" t="inlineStr"/>
      <c r="X590" s="19" t="inlineStr">
        <is>
          <t>Aldair González (aprobación en bloque)</t>
        </is>
      </c>
      <c r="Y590" s="20" t="n">
        <v>46321</v>
      </c>
      <c r="Z590" s="19" t="inlineStr">
        <is>
          <t>Nivel 2: regla estructural con redacción revisada.</t>
        </is>
      </c>
      <c r="AA590" s="18">
        <f>IF(OR(V590="Aprobada"),R590,IF(AND(OR(V590="Aprobada con ajuste",V590="Rechazada"),W590&lt;&gt;""),W590,""))</f>
        <v/>
      </c>
    </row>
    <row r="591">
      <c r="A591" s="18" t="inlineStr">
        <is>
          <t>C0590</t>
        </is>
      </c>
      <c r="B591" s="18" t="inlineStr">
        <is>
          <t>Plan de trabajo académico</t>
        </is>
      </c>
      <c r="C591" s="18" t="inlineStr">
        <is>
          <t>academic_work_plan</t>
        </is>
      </c>
      <c r="D591" s="18" t="inlineStr">
        <is>
          <t>Sede</t>
        </is>
      </c>
      <c r="E591" s="18" t="n">
        <v>280</v>
      </c>
      <c r="F591" s="18" t="inlineStr">
        <is>
          <t>nombre</t>
        </is>
      </c>
      <c r="G591" s="18" t="inlineStr">
        <is>
          <t>text</t>
        </is>
      </c>
      <c r="H591" s="18" t="inlineStr">
        <is>
          <t>No</t>
        </is>
      </c>
      <c r="I591" s="18" t="inlineStr"/>
      <c r="J591" s="18" t="inlineStr"/>
      <c r="K591" s="18" t="inlineStr"/>
      <c r="L591" s="18" t="inlineStr">
        <is>
          <t>No</t>
        </is>
      </c>
      <c r="M591" s="18" t="inlineStr">
        <is>
          <t>No</t>
        </is>
      </c>
      <c r="N591" s="18" t="inlineStr"/>
      <c r="O591" s="18" t="inlineStr"/>
      <c r="P591" s="18" t="inlineStr">
        <is>
          <t>Mapeada en academic-work-plan-service/src/pta/entities/sede.entity.ts:16 (SedeEntity.nombre)</t>
        </is>
      </c>
      <c r="Q591" s="18" t="inlineStr">
        <is>
          <t>Regla estructural (redacción revisada)</t>
        </is>
      </c>
      <c r="R591" s="18" t="inlineStr">
        <is>
          <t>Nombre de la sede.</t>
        </is>
      </c>
      <c r="S591" s="18" t="inlineStr">
        <is>
          <t>Alta</t>
        </is>
      </c>
      <c r="T591" s="18" t="inlineStr">
        <is>
          <t>Convención de nombre, redactada con el contexto de la tabla y el código.</t>
        </is>
      </c>
      <c r="U591" s="18" t="inlineStr"/>
      <c r="V591" s="19" t="inlineStr">
        <is>
          <t>Aprobada</t>
        </is>
      </c>
      <c r="W591" s="19" t="inlineStr"/>
      <c r="X591" s="19" t="inlineStr">
        <is>
          <t>Aldair González (aprobación en bloque)</t>
        </is>
      </c>
      <c r="Y591" s="20" t="n">
        <v>46321</v>
      </c>
      <c r="Z591" s="19" t="inlineStr">
        <is>
          <t>Nivel 2: regla estructural con redacción revisada.</t>
        </is>
      </c>
      <c r="AA591" s="18">
        <f>IF(OR(V591="Aprobada"),R591,IF(AND(OR(V591="Aprobada con ajuste",V591="Rechazada"),W591&lt;&gt;""),W591,""))</f>
        <v/>
      </c>
    </row>
    <row r="592">
      <c r="A592" s="18" t="inlineStr">
        <is>
          <t>C0591</t>
        </is>
      </c>
      <c r="B592" s="18" t="inlineStr">
        <is>
          <t>Plan de trabajo académico</t>
        </is>
      </c>
      <c r="C592" s="18" t="inlineStr">
        <is>
          <t>academic_work_plan</t>
        </is>
      </c>
      <c r="D592" s="18" t="inlineStr">
        <is>
          <t>Sede</t>
        </is>
      </c>
      <c r="E592" s="18" t="n">
        <v>280</v>
      </c>
      <c r="F592" s="18" t="inlineStr">
        <is>
          <t>municipio</t>
        </is>
      </c>
      <c r="G592" s="18" t="inlineStr">
        <is>
          <t>text</t>
        </is>
      </c>
      <c r="H592" s="18" t="inlineStr">
        <is>
          <t>Sí</t>
        </is>
      </c>
      <c r="I592" s="18" t="inlineStr"/>
      <c r="J592" s="18" t="inlineStr"/>
      <c r="K592" s="18" t="inlineStr"/>
      <c r="L592" s="18" t="inlineStr">
        <is>
          <t>No</t>
        </is>
      </c>
      <c r="M592" s="18" t="inlineStr">
        <is>
          <t>No</t>
        </is>
      </c>
      <c r="N592" s="18" t="inlineStr"/>
      <c r="O592" s="18" t="inlineStr"/>
      <c r="P592" s="18" t="inlineStr">
        <is>
          <t>Mapeada en academic-work-plan-service/src/pta/entities/sede.entity.ts:19 (SedeEntity.municipio)</t>
        </is>
      </c>
      <c r="Q592" s="18" t="inlineStr">
        <is>
          <t>Propuesta semántica</t>
        </is>
      </c>
      <c r="R592" s="18" t="inlineStr">
        <is>
          <t>Municipio donde se ubica la sede.</t>
        </is>
      </c>
      <c r="S592" s="18" t="inlineStr">
        <is>
          <t>Alta</t>
        </is>
      </c>
      <c r="T592" s="18" t="inlineStr">
        <is>
          <t>nombre + tipo + columnas vecinas</t>
        </is>
      </c>
      <c r="U592" s="18" t="inlineStr"/>
      <c r="V592" s="19" t="inlineStr">
        <is>
          <t>Aprobada</t>
        </is>
      </c>
      <c r="W592" s="19" t="inlineStr"/>
      <c r="X592" s="19" t="inlineStr">
        <is>
          <t>Aldair González (aprobación en bloque)</t>
        </is>
      </c>
      <c r="Y592" s="20" t="n">
        <v>46321</v>
      </c>
      <c r="Z592" s="19" t="inlineStr">
        <is>
          <t>Nivel 1: propuesta del comentario del desarrollador o de confianza alta, o regla de fecha/responsable/motivo.</t>
        </is>
      </c>
      <c r="AA592" s="18">
        <f>IF(OR(V592="Aprobada"),R592,IF(AND(OR(V592="Aprobada con ajuste",V592="Rechazada"),W592&lt;&gt;""),W592,""))</f>
        <v/>
      </c>
    </row>
    <row r="593">
      <c r="A593" s="18" t="inlineStr">
        <is>
          <t>C0592</t>
        </is>
      </c>
      <c r="B593" s="18" t="inlineStr">
        <is>
          <t>Plan de trabajo académico</t>
        </is>
      </c>
      <c r="C593" s="18" t="inlineStr">
        <is>
          <t>academic_work_plan</t>
        </is>
      </c>
      <c r="D593" s="18" t="inlineStr">
        <is>
          <t>Sede</t>
        </is>
      </c>
      <c r="E593" s="18" t="n">
        <v>280</v>
      </c>
      <c r="F593" s="18" t="inlineStr">
        <is>
          <t>codigo</t>
        </is>
      </c>
      <c r="G593" s="18" t="inlineStr">
        <is>
          <t>text</t>
        </is>
      </c>
      <c r="H593" s="18" t="inlineStr">
        <is>
          <t>Sí</t>
        </is>
      </c>
      <c r="I593" s="18" t="inlineStr">
        <is>
          <t>Única</t>
        </is>
      </c>
      <c r="J593" s="18" t="inlineStr"/>
      <c r="K593" s="18" t="inlineStr"/>
      <c r="L593" s="18" t="inlineStr">
        <is>
          <t>No</t>
        </is>
      </c>
      <c r="M593" s="18" t="inlineStr">
        <is>
          <t>No</t>
        </is>
      </c>
      <c r="N593" s="18" t="inlineStr"/>
      <c r="O593" s="18" t="inlineStr">
        <is>
          <t>Sede_codigo_key</t>
        </is>
      </c>
      <c r="P593" s="18" t="inlineStr">
        <is>
          <t>Mapeada en academic-work-plan-service/src/pta/entities/sede.entity.ts:22 (SedeEntity.codigo)</t>
        </is>
      </c>
      <c r="Q593" s="18" t="inlineStr">
        <is>
          <t>Regla estructural (redacción revisada)</t>
        </is>
      </c>
      <c r="R593" s="18" t="inlineStr">
        <is>
          <t>Código de la sede, único en la tabla.</t>
        </is>
      </c>
      <c r="S593" s="18" t="inlineStr">
        <is>
          <t>Alta</t>
        </is>
      </c>
      <c r="T593" s="18" t="inlineStr">
        <is>
          <t>Convención de nombre, redactada con el contexto de la tabla y el código.</t>
        </is>
      </c>
      <c r="U593" s="18" t="inlineStr"/>
      <c r="V593" s="19" t="inlineStr">
        <is>
          <t>Aprobada</t>
        </is>
      </c>
      <c r="W593" s="19" t="inlineStr"/>
      <c r="X593" s="19" t="inlineStr">
        <is>
          <t>Aldair González (aprobación en bloque)</t>
        </is>
      </c>
      <c r="Y593" s="20" t="n">
        <v>46321</v>
      </c>
      <c r="Z593" s="19" t="inlineStr">
        <is>
          <t>Nivel 2: regla estructural con redacción revisada.</t>
        </is>
      </c>
      <c r="AA593" s="18">
        <f>IF(OR(V593="Aprobada"),R593,IF(AND(OR(V593="Aprobada con ajuste",V593="Rechazada"),W593&lt;&gt;""),W593,""))</f>
        <v/>
      </c>
    </row>
    <row r="594">
      <c r="A594" s="18" t="inlineStr">
        <is>
          <t>C0593</t>
        </is>
      </c>
      <c r="B594" s="18" t="inlineStr">
        <is>
          <t>Plan de trabajo académico</t>
        </is>
      </c>
      <c r="C594" s="18" t="inlineStr">
        <is>
          <t>academic_work_plan</t>
        </is>
      </c>
      <c r="D594" s="18" t="inlineStr">
        <is>
          <t>SistemaAlerta</t>
        </is>
      </c>
      <c r="E594" s="18" t="n">
        <v>1</v>
      </c>
      <c r="F594" s="18" t="inlineStr">
        <is>
          <t>tipo</t>
        </is>
      </c>
      <c r="G594" s="18" t="inlineStr">
        <is>
          <t>text</t>
        </is>
      </c>
      <c r="H594" s="18" t="inlineStr">
        <is>
          <t>No</t>
        </is>
      </c>
      <c r="I594" s="18" t="inlineStr"/>
      <c r="J594" s="18" t="inlineStr"/>
      <c r="K594" s="18" t="inlineStr"/>
      <c r="L594" s="18" t="inlineStr">
        <is>
          <t>No</t>
        </is>
      </c>
      <c r="M594" s="18" t="inlineStr">
        <is>
          <t>No</t>
        </is>
      </c>
      <c r="N594" s="18" t="inlineStr"/>
      <c r="O594" s="18" t="inlineStr"/>
      <c r="P594" s="18" t="inlineStr"/>
      <c r="Q594" s="18" t="inlineStr">
        <is>
          <t>Regla estructural (redacción revisada)</t>
        </is>
      </c>
      <c r="R594" s="18" t="inlineStr">
        <is>
          <t>Tipo de alerta del sistema.</t>
        </is>
      </c>
      <c r="S594" s="18" t="inlineStr">
        <is>
          <t>Alta</t>
        </is>
      </c>
      <c r="T594" s="18" t="inlineStr">
        <is>
          <t>Convención de nombre, redactada con el contexto de la tabla y el código.</t>
        </is>
      </c>
      <c r="U594" s="18" t="inlineStr"/>
      <c r="V594" s="19" t="inlineStr">
        <is>
          <t>Aprobada</t>
        </is>
      </c>
      <c r="W594" s="19" t="inlineStr"/>
      <c r="X594" s="19" t="inlineStr">
        <is>
          <t>Aldair González (aprobación en bloque)</t>
        </is>
      </c>
      <c r="Y594" s="20" t="n">
        <v>46321</v>
      </c>
      <c r="Z594" s="19" t="inlineStr">
        <is>
          <t>Nivel 2: regla estructural con redacción revisada.</t>
        </is>
      </c>
      <c r="AA594" s="18">
        <f>IF(OR(V594="Aprobada"),R594,IF(AND(OR(V594="Aprobada con ajuste",V594="Rechazada"),W594&lt;&gt;""),W594,""))</f>
        <v/>
      </c>
    </row>
    <row r="595">
      <c r="A595" s="18" t="inlineStr">
        <is>
          <t>C0594</t>
        </is>
      </c>
      <c r="B595" s="18" t="inlineStr">
        <is>
          <t>Plan de trabajo académico</t>
        </is>
      </c>
      <c r="C595" s="18" t="inlineStr">
        <is>
          <t>academic_work_plan</t>
        </is>
      </c>
      <c r="D595" s="18" t="inlineStr">
        <is>
          <t>SistemaAlerta</t>
        </is>
      </c>
      <c r="E595" s="18" t="n">
        <v>1</v>
      </c>
      <c r="F595" s="18" t="inlineStr">
        <is>
          <t>severidad</t>
        </is>
      </c>
      <c r="G595" s="18" t="inlineStr">
        <is>
          <t>text</t>
        </is>
      </c>
      <c r="H595" s="18" t="inlineStr">
        <is>
          <t>No</t>
        </is>
      </c>
      <c r="I595" s="18" t="inlineStr"/>
      <c r="J595" s="18" t="inlineStr"/>
      <c r="K595" s="18" t="inlineStr"/>
      <c r="L595" s="18" t="inlineStr">
        <is>
          <t>No</t>
        </is>
      </c>
      <c r="M595" s="18" t="inlineStr">
        <is>
          <t>No</t>
        </is>
      </c>
      <c r="N595" s="18" t="inlineStr"/>
      <c r="O595" s="18" t="inlineStr"/>
      <c r="P595" s="18" t="inlineStr"/>
      <c r="Q595" s="18" t="inlineStr">
        <is>
          <t>Código fuente (verificado)</t>
        </is>
      </c>
      <c r="R595" s="18" t="inlineStr">
        <is>
          <t>Nivel de severidad de la alerta; por defecto, «ALTA».</t>
        </is>
      </c>
      <c r="S595" s="18" t="inlineStr">
        <is>
          <t>Media</t>
        </is>
      </c>
      <c r="T595" s="18" t="inlineStr">
        <is>
          <t>Sin evidencia utilizable: la columna no se lee ni se escribe en academic-work-plan-service/src; su definición solo aparece en una migración que también carga datos (no se cita)</t>
        </is>
      </c>
      <c r="U595" s="18" t="inlineStr">
        <is>
          <t>¿Qué otros valores toma severidad y qué proceso escribe en SistemaAlerta?</t>
        </is>
      </c>
      <c r="V595" s="19" t="inlineStr">
        <is>
          <t>Aprobada</t>
        </is>
      </c>
      <c r="W595" s="19" t="inlineStr"/>
      <c r="X595" s="19" t="inlineStr">
        <is>
          <t>Aldair González (validación del responsable de BD)</t>
        </is>
      </c>
      <c r="Y595" s="20" t="n">
        <v>46321</v>
      </c>
      <c r="Z595" s="19" t="inlineStr">
        <is>
          <t>Nivel 3: validada por decisión del responsable de la base de datos. Pregunta registrada para desarrollo: ¿Qué otros valores toma severidad y qué proceso escribe en SistemaAlerta?</t>
        </is>
      </c>
      <c r="AA595" s="18">
        <f>IF(OR(V595="Aprobada"),R595,IF(AND(OR(V595="Aprobada con ajuste",V595="Rechazada"),W595&lt;&gt;""),W595,""))</f>
        <v/>
      </c>
    </row>
    <row r="596">
      <c r="A596" s="18" t="inlineStr">
        <is>
          <t>C0595</t>
        </is>
      </c>
      <c r="B596" s="18" t="inlineStr">
        <is>
          <t>Plan de trabajo académico</t>
        </is>
      </c>
      <c r="C596" s="18" t="inlineStr">
        <is>
          <t>academic_work_plan</t>
        </is>
      </c>
      <c r="D596" s="18" t="inlineStr">
        <is>
          <t>SistemaAlerta</t>
        </is>
      </c>
      <c r="E596" s="18" t="n">
        <v>1</v>
      </c>
      <c r="F596" s="18" t="inlineStr">
        <is>
          <t>mensaje</t>
        </is>
      </c>
      <c r="G596" s="18" t="inlineStr">
        <is>
          <t>text</t>
        </is>
      </c>
      <c r="H596" s="18" t="inlineStr">
        <is>
          <t>No</t>
        </is>
      </c>
      <c r="I596" s="18" t="inlineStr"/>
      <c r="J596" s="18" t="inlineStr"/>
      <c r="K596" s="18" t="inlineStr"/>
      <c r="L596" s="18" t="inlineStr">
        <is>
          <t>No</t>
        </is>
      </c>
      <c r="M596" s="18" t="inlineStr">
        <is>
          <t>No</t>
        </is>
      </c>
      <c r="N596" s="18" t="inlineStr"/>
      <c r="O596" s="18" t="inlineStr"/>
      <c r="P596" s="18" t="inlineStr"/>
      <c r="Q596" s="18" t="inlineStr">
        <is>
          <t>Propuesta semántica</t>
        </is>
      </c>
      <c r="R596" s="18" t="inlineStr">
        <is>
          <t>Mensaje descriptivo de la alerta.</t>
        </is>
      </c>
      <c r="S596" s="18" t="inlineStr">
        <is>
          <t>Alta</t>
        </is>
      </c>
      <c r="T596" s="18" t="inlineStr">
        <is>
          <t>nombre + tipo + columnas vecinas</t>
        </is>
      </c>
      <c r="U596" s="18" t="inlineStr"/>
      <c r="V596" s="19" t="inlineStr">
        <is>
          <t>Aprobada</t>
        </is>
      </c>
      <c r="W596" s="19" t="inlineStr"/>
      <c r="X596" s="19" t="inlineStr">
        <is>
          <t>Aldair González (aprobación en bloque)</t>
        </is>
      </c>
      <c r="Y596" s="20" t="n">
        <v>46321</v>
      </c>
      <c r="Z596" s="19" t="inlineStr">
        <is>
          <t>Nivel 1: propuesta del comentario del desarrollador o de confianza alta, o regla de fecha/responsable/motivo.</t>
        </is>
      </c>
      <c r="AA596" s="18">
        <f>IF(OR(V596="Aprobada"),R596,IF(AND(OR(V596="Aprobada con ajuste",V596="Rechazada"),W596&lt;&gt;""),W596,""))</f>
        <v/>
      </c>
    </row>
    <row r="597">
      <c r="A597" s="18" t="inlineStr">
        <is>
          <t>C0596</t>
        </is>
      </c>
      <c r="B597" s="18" t="inlineStr">
        <is>
          <t>Plan de trabajo académico</t>
        </is>
      </c>
      <c r="C597" s="18" t="inlineStr">
        <is>
          <t>academic_work_plan</t>
        </is>
      </c>
      <c r="D597" s="18" t="inlineStr">
        <is>
          <t>SistemaAlerta</t>
        </is>
      </c>
      <c r="E597" s="18" t="n">
        <v>1</v>
      </c>
      <c r="F597" s="18" t="inlineStr">
        <is>
          <t>entidadId</t>
        </is>
      </c>
      <c r="G597" s="18" t="inlineStr">
        <is>
          <t>text</t>
        </is>
      </c>
      <c r="H597" s="18" t="inlineStr">
        <is>
          <t>Sí</t>
        </is>
      </c>
      <c r="I597" s="18" t="inlineStr"/>
      <c r="J597" s="18" t="inlineStr"/>
      <c r="K597" s="18" t="inlineStr"/>
      <c r="L597" s="18" t="inlineStr">
        <is>
          <t>No</t>
        </is>
      </c>
      <c r="M597" s="18" t="inlineStr">
        <is>
          <t>No</t>
        </is>
      </c>
      <c r="N597" s="18" t="inlineStr"/>
      <c r="O597" s="18" t="inlineStr"/>
      <c r="P597" s="18" t="inlineStr"/>
      <c r="Q597" s="18" t="inlineStr">
        <is>
          <t>Código fuente (verificado)</t>
        </is>
      </c>
      <c r="R597" s="18" t="inlineStr">
        <is>
          <t>Identificador del registro que origina la alerta.</t>
        </is>
      </c>
      <c r="S597" s="18" t="inlineStr">
        <is>
          <t>Media</t>
        </is>
      </c>
      <c r="T597" s="18" t="inlineStr">
        <is>
          <t>Sin evidencia utilizable: la columna no se lee ni se escribe en academic-work-plan-service/src; su definición solo aparece en una migración que también carga datos (no se cita)</t>
        </is>
      </c>
      <c r="U597" s="18" t="inlineStr">
        <is>
          <t>¿A qué tablas puede apuntar entidadId?</t>
        </is>
      </c>
      <c r="V597" s="19" t="inlineStr">
        <is>
          <t>Aprobada</t>
        </is>
      </c>
      <c r="W597" s="19" t="inlineStr"/>
      <c r="X597" s="19" t="inlineStr">
        <is>
          <t>Aldair González (validación del responsable de BD)</t>
        </is>
      </c>
      <c r="Y597" s="20" t="n">
        <v>46321</v>
      </c>
      <c r="Z597" s="19" t="inlineStr">
        <is>
          <t>Nivel 3: validada por decisión del responsable de la base de datos. Pregunta registrada para desarrollo: ¿A qué tablas puede apuntar entidadId?</t>
        </is>
      </c>
      <c r="AA597" s="18">
        <f>IF(OR(V597="Aprobada"),R597,IF(AND(OR(V597="Aprobada con ajuste",V597="Rechazada"),W597&lt;&gt;""),W597,""))</f>
        <v/>
      </c>
    </row>
    <row r="598">
      <c r="A598" s="18" t="inlineStr">
        <is>
          <t>C0597</t>
        </is>
      </c>
      <c r="B598" s="18" t="inlineStr">
        <is>
          <t>Plan de trabajo académico</t>
        </is>
      </c>
      <c r="C598" s="18" t="inlineStr">
        <is>
          <t>academic_work_plan</t>
        </is>
      </c>
      <c r="D598" s="18" t="inlineStr">
        <is>
          <t>SistemaAlerta</t>
        </is>
      </c>
      <c r="E598" s="18" t="n">
        <v>1</v>
      </c>
      <c r="F598" s="18" t="inlineStr">
        <is>
          <t>entidadRef</t>
        </is>
      </c>
      <c r="G598" s="18" t="inlineStr">
        <is>
          <t>text</t>
        </is>
      </c>
      <c r="H598" s="18" t="inlineStr">
        <is>
          <t>Sí</t>
        </is>
      </c>
      <c r="I598" s="18" t="inlineStr"/>
      <c r="J598" s="18" t="inlineStr"/>
      <c r="K598" s="18" t="inlineStr"/>
      <c r="L598" s="18" t="inlineStr">
        <is>
          <t>No</t>
        </is>
      </c>
      <c r="M598" s="18" t="inlineStr">
        <is>
          <t>No</t>
        </is>
      </c>
      <c r="N598" s="18" t="inlineStr"/>
      <c r="O598" s="18" t="inlineStr"/>
      <c r="P598" s="18" t="inlineStr"/>
      <c r="Q598" s="18" t="inlineStr">
        <is>
          <t>Código fuente (verificado)</t>
        </is>
      </c>
      <c r="R598" s="18" t="inlineStr">
        <is>
          <t>Referencia o tipo de la entidad que origina la alerta.</t>
        </is>
      </c>
      <c r="S598" s="18" t="inlineStr">
        <is>
          <t>Media</t>
        </is>
      </c>
      <c r="T598" s="18" t="inlineStr">
        <is>
          <t>Sin evidencia utilizable: la columna no se lee ni se escribe en academic-work-plan-service/src; su definición solo aparece en una migración que también carga datos (no se cita)</t>
        </is>
      </c>
      <c r="U598" s="18" t="inlineStr">
        <is>
          <t>¿Qué guarda entidadRef: el nombre de la tabla, un código legible u otro dato?</t>
        </is>
      </c>
      <c r="V598" s="19" t="inlineStr">
        <is>
          <t>Aprobada</t>
        </is>
      </c>
      <c r="W598" s="19" t="inlineStr"/>
      <c r="X598" s="19" t="inlineStr">
        <is>
          <t>Aldair González (validación del responsable de BD)</t>
        </is>
      </c>
      <c r="Y598" s="20" t="n">
        <v>46321</v>
      </c>
      <c r="Z598" s="19" t="inlineStr">
        <is>
          <t>Nivel 3: validada por decisión del responsable de la base de datos. Pregunta registrada para desarrollo: ¿Qué guarda entidadRef: el nombre de la tabla, un código legible u otro dato?</t>
        </is>
      </c>
      <c r="AA598" s="18">
        <f>IF(OR(V598="Aprobada"),R598,IF(AND(OR(V598="Aprobada con ajuste",V598="Rechazada"),W598&lt;&gt;""),W598,""))</f>
        <v/>
      </c>
    </row>
    <row r="599">
      <c r="A599" s="18" t="inlineStr">
        <is>
          <t>C0598</t>
        </is>
      </c>
      <c r="B599" s="18" t="inlineStr">
        <is>
          <t>Plan de trabajo académico</t>
        </is>
      </c>
      <c r="C599" s="18" t="inlineStr">
        <is>
          <t>academic_work_plan</t>
        </is>
      </c>
      <c r="D599" s="18" t="inlineStr">
        <is>
          <t>SistemaAlerta</t>
        </is>
      </c>
      <c r="E599" s="18" t="n">
        <v>1</v>
      </c>
      <c r="F599" s="18" t="inlineStr">
        <is>
          <t>resuelta</t>
        </is>
      </c>
      <c r="G599" s="18" t="inlineStr">
        <is>
          <t>boolean</t>
        </is>
      </c>
      <c r="H599" s="18" t="inlineStr">
        <is>
          <t>No</t>
        </is>
      </c>
      <c r="I599" s="18" t="inlineStr"/>
      <c r="J599" s="18" t="inlineStr"/>
      <c r="K599" s="18" t="inlineStr"/>
      <c r="L599" s="18" t="inlineStr">
        <is>
          <t>No</t>
        </is>
      </c>
      <c r="M599" s="18" t="inlineStr">
        <is>
          <t>No</t>
        </is>
      </c>
      <c r="N599" s="18" t="inlineStr"/>
      <c r="O599" s="18" t="inlineStr"/>
      <c r="P599" s="18" t="inlineStr"/>
      <c r="Q599" s="18" t="inlineStr">
        <is>
          <t>Regla estructural (redacción revisada)</t>
        </is>
      </c>
      <c r="R599" s="18" t="inlineStr">
        <is>
          <t>Indica si la alerta del sistema está resuelta.</t>
        </is>
      </c>
      <c r="S599" s="18" t="inlineStr">
        <is>
          <t>Alta</t>
        </is>
      </c>
      <c r="T599" s="18" t="inlineStr">
        <is>
          <t>Convención de nombre, redactada con el contexto de la tabla y el código.</t>
        </is>
      </c>
      <c r="U599" s="18" t="inlineStr"/>
      <c r="V599" s="19" t="inlineStr">
        <is>
          <t>Aprobada</t>
        </is>
      </c>
      <c r="W599" s="19" t="inlineStr"/>
      <c r="X599" s="19" t="inlineStr">
        <is>
          <t>Aldair González (aprobación en bloque)</t>
        </is>
      </c>
      <c r="Y599" s="20" t="n">
        <v>46321</v>
      </c>
      <c r="Z599" s="19" t="inlineStr">
        <is>
          <t>Nivel 2: regla estructural con redacción revisada.</t>
        </is>
      </c>
      <c r="AA599" s="18">
        <f>IF(OR(V599="Aprobada"),R599,IF(AND(OR(V599="Aprobada con ajuste",V599="Rechazada"),W599&lt;&gt;""),W599,""))</f>
        <v/>
      </c>
    </row>
    <row r="600">
      <c r="A600" s="18" t="inlineStr">
        <is>
          <t>C0599</t>
        </is>
      </c>
      <c r="B600" s="18" t="inlineStr">
        <is>
          <t>Plan de trabajo académico</t>
        </is>
      </c>
      <c r="C600" s="18" t="inlineStr">
        <is>
          <t>academic_work_plan</t>
        </is>
      </c>
      <c r="D600" s="18" t="inlineStr">
        <is>
          <t>SolicitudPTA</t>
        </is>
      </c>
      <c r="E600" s="18" t="n">
        <v>13</v>
      </c>
      <c r="F600" s="18" t="inlineStr">
        <is>
          <t>docenteNombre</t>
        </is>
      </c>
      <c r="G600" s="18" t="inlineStr">
        <is>
          <t>text</t>
        </is>
      </c>
      <c r="H600" s="18" t="inlineStr">
        <is>
          <t>No</t>
        </is>
      </c>
      <c r="I600" s="18" t="inlineStr"/>
      <c r="J600" s="18" t="inlineStr"/>
      <c r="K600" s="18" t="inlineStr"/>
      <c r="L600" s="18" t="inlineStr">
        <is>
          <t>No</t>
        </is>
      </c>
      <c r="M600" s="18" t="inlineStr">
        <is>
          <t>No</t>
        </is>
      </c>
      <c r="N600" s="18" t="inlineStr"/>
      <c r="O600" s="18" t="inlineStr"/>
      <c r="P600" s="18" t="inlineStr">
        <is>
          <t>Mapeada en academic-work-plan-service/src/pta/entities/solicitud-pta.entity.ts:11 (SolicitudPtaEntity.docenteNombre)</t>
        </is>
      </c>
      <c r="Q600" s="18" t="inlineStr">
        <is>
          <t>Propuesta semántica</t>
        </is>
      </c>
      <c r="R600" s="18" t="inlineStr">
        <is>
          <t>Nombre del docente que presenta la solicitud.</t>
        </is>
      </c>
      <c r="S600" s="18" t="inlineStr">
        <is>
          <t>Alta</t>
        </is>
      </c>
      <c r="T600" s="18" t="inlineStr">
        <is>
          <t>nombre + tipo + columnas vecinas</t>
        </is>
      </c>
      <c r="U600" s="18" t="inlineStr"/>
      <c r="V600" s="19" t="inlineStr">
        <is>
          <t>Aprobada</t>
        </is>
      </c>
      <c r="W600" s="19" t="inlineStr"/>
      <c r="X600" s="19" t="inlineStr">
        <is>
          <t>Aldair González (aprobación en bloque)</t>
        </is>
      </c>
      <c r="Y600" s="20" t="n">
        <v>46321</v>
      </c>
      <c r="Z600" s="19" t="inlineStr">
        <is>
          <t>Nivel 1: propuesta del comentario del desarrollador o de confianza alta, o regla de fecha/responsable/motivo.</t>
        </is>
      </c>
      <c r="AA600" s="18">
        <f>IF(OR(V600="Aprobada"),R600,IF(AND(OR(V600="Aprobada con ajuste",V600="Rechazada"),W600&lt;&gt;""),W600,""))</f>
        <v/>
      </c>
    </row>
    <row r="601">
      <c r="A601" s="18" t="inlineStr">
        <is>
          <t>C0600</t>
        </is>
      </c>
      <c r="B601" s="18" t="inlineStr">
        <is>
          <t>Plan de trabajo académico</t>
        </is>
      </c>
      <c r="C601" s="18" t="inlineStr">
        <is>
          <t>academic_work_plan</t>
        </is>
      </c>
      <c r="D601" s="18" t="inlineStr">
        <is>
          <t>SolicitudPTA</t>
        </is>
      </c>
      <c r="E601" s="18" t="n">
        <v>13</v>
      </c>
      <c r="F601" s="18" t="inlineStr">
        <is>
          <t>docenteEmail</t>
        </is>
      </c>
      <c r="G601" s="18" t="inlineStr">
        <is>
          <t>text</t>
        </is>
      </c>
      <c r="H601" s="18" t="inlineStr">
        <is>
          <t>Sí</t>
        </is>
      </c>
      <c r="I601" s="18" t="inlineStr"/>
      <c r="J601" s="18" t="inlineStr"/>
      <c r="K601" s="18" t="inlineStr"/>
      <c r="L601" s="18" t="inlineStr">
        <is>
          <t>No</t>
        </is>
      </c>
      <c r="M601" s="18" t="inlineStr">
        <is>
          <t>No</t>
        </is>
      </c>
      <c r="N601" s="18" t="inlineStr"/>
      <c r="O601" s="18" t="inlineStr"/>
      <c r="P601" s="18" t="inlineStr">
        <is>
          <t>Mapeada en academic-work-plan-service/src/pta/entities/solicitud-pta.entity.ts:14 (SolicitudPtaEntity.docenteEmail)</t>
        </is>
      </c>
      <c r="Q601" s="18" t="inlineStr">
        <is>
          <t>Propuesta semántica</t>
        </is>
      </c>
      <c r="R601" s="18" t="inlineStr">
        <is>
          <t>Correo electrónico del docente que presenta la solicitud.</t>
        </is>
      </c>
      <c r="S601" s="18" t="inlineStr">
        <is>
          <t>Alta</t>
        </is>
      </c>
      <c r="T601" s="18" t="inlineStr">
        <is>
          <t>nombre + tipo + columnas vecinas</t>
        </is>
      </c>
      <c r="U601" s="18" t="inlineStr"/>
      <c r="V601" s="19" t="inlineStr">
        <is>
          <t>Aprobada</t>
        </is>
      </c>
      <c r="W601" s="19" t="inlineStr"/>
      <c r="X601" s="19" t="inlineStr">
        <is>
          <t>Aldair González (aprobación en bloque)</t>
        </is>
      </c>
      <c r="Y601" s="20" t="n">
        <v>46321</v>
      </c>
      <c r="Z601" s="19" t="inlineStr">
        <is>
          <t>Nivel 1: propuesta del comentario del desarrollador o de confianza alta, o regla de fecha/responsable/motivo.</t>
        </is>
      </c>
      <c r="AA601" s="18">
        <f>IF(OR(V601="Aprobada"),R601,IF(AND(OR(V601="Aprobada con ajuste",V601="Rechazada"),W601&lt;&gt;""),W601,""))</f>
        <v/>
      </c>
    </row>
    <row r="602">
      <c r="A602" s="18" t="inlineStr">
        <is>
          <t>C0601</t>
        </is>
      </c>
      <c r="B602" s="18" t="inlineStr">
        <is>
          <t>Plan de trabajo académico</t>
        </is>
      </c>
      <c r="C602" s="18" t="inlineStr">
        <is>
          <t>academic_work_plan</t>
        </is>
      </c>
      <c r="D602" s="18" t="inlineStr">
        <is>
          <t>SolicitudPTA</t>
        </is>
      </c>
      <c r="E602" s="18" t="n">
        <v>13</v>
      </c>
      <c r="F602" s="18" t="inlineStr">
        <is>
          <t>caso</t>
        </is>
      </c>
      <c r="G602" s="18" t="inlineStr">
        <is>
          <t>text</t>
        </is>
      </c>
      <c r="H602" s="18" t="inlineStr">
        <is>
          <t>No</t>
        </is>
      </c>
      <c r="I602" s="18" t="inlineStr"/>
      <c r="J602" s="18" t="inlineStr"/>
      <c r="K602" s="18" t="inlineStr"/>
      <c r="L602" s="18" t="inlineStr">
        <is>
          <t>No</t>
        </is>
      </c>
      <c r="M602" s="18" t="inlineStr">
        <is>
          <t>No</t>
        </is>
      </c>
      <c r="N602" s="18" t="inlineStr"/>
      <c r="O602" s="18" t="inlineStr"/>
      <c r="P602" s="18" t="inlineStr">
        <is>
          <t>Mapeada en academic-work-plan-service/src/pta/entities/solicitud-pta.entity.ts:45 (SolicitudPtaEntity.caso)</t>
        </is>
      </c>
      <c r="Q602" s="18" t="inlineStr">
        <is>
          <t>Código fuente (verificado)</t>
        </is>
      </c>
      <c r="R602" s="18" t="inlineStr">
        <is>
          <t>Caso que motiva la solicitud, enviado por la aplicación; «edicion_pta» en las solicitudes de edición de componentes.</t>
        </is>
      </c>
      <c r="S602" s="18" t="inlineStr">
        <is>
          <t>Media</t>
        </is>
      </c>
      <c r="T602" s="18" t="inlineStr">
        <is>
          <t>academic-work-plan-service/src/pta/pta.service.ts:6527: caso del cuerpo o edicion_pta | academic-work-plan-service/src/pta/pta.service.ts:6410: caso edicion_pta marca la solicitud como edición</t>
        </is>
      </c>
      <c r="U602" s="18" t="inlineStr">
        <is>
          <t>¿Qué valores de caso envía la aplicación en las solicitudes de creación?</t>
        </is>
      </c>
      <c r="V602" s="19" t="inlineStr">
        <is>
          <t>Aprobada</t>
        </is>
      </c>
      <c r="W602" s="19" t="inlineStr"/>
      <c r="X602" s="19" t="inlineStr">
        <is>
          <t>Aldair González (validación del responsable de BD)</t>
        </is>
      </c>
      <c r="Y602" s="20" t="n">
        <v>46321</v>
      </c>
      <c r="Z602" s="19" t="inlineStr">
        <is>
          <t>Nivel 3: validada por decisión del responsable de la base de datos. Pregunta registrada para desarrollo: ¿Qué valores de caso envía la aplicación en las solicitudes de creación?</t>
        </is>
      </c>
      <c r="AA602" s="18">
        <f>IF(OR(V602="Aprobada"),R602,IF(AND(OR(V602="Aprobada con ajuste",V602="Rechazada"),W602&lt;&gt;""),W602,""))</f>
        <v/>
      </c>
    </row>
    <row r="603">
      <c r="A603" s="18" t="inlineStr">
        <is>
          <t>C0602</t>
        </is>
      </c>
      <c r="B603" s="18" t="inlineStr">
        <is>
          <t>Plan de trabajo académico</t>
        </is>
      </c>
      <c r="C603" s="18" t="inlineStr">
        <is>
          <t>academic_work_plan</t>
        </is>
      </c>
      <c r="D603" s="18" t="inlineStr">
        <is>
          <t>SolicitudPTA</t>
        </is>
      </c>
      <c r="E603" s="18" t="n">
        <v>13</v>
      </c>
      <c r="F603" s="18" t="inlineStr">
        <is>
          <t>razon</t>
        </is>
      </c>
      <c r="G603" s="18" t="inlineStr">
        <is>
          <t>text</t>
        </is>
      </c>
      <c r="H603" s="18" t="inlineStr">
        <is>
          <t>No</t>
        </is>
      </c>
      <c r="I603" s="18" t="inlineStr"/>
      <c r="J603" s="18" t="inlineStr"/>
      <c r="K603" s="18" t="inlineStr"/>
      <c r="L603" s="18" t="inlineStr">
        <is>
          <t>No</t>
        </is>
      </c>
      <c r="M603" s="18" t="inlineStr">
        <is>
          <t>No</t>
        </is>
      </c>
      <c r="N603" s="18" t="inlineStr"/>
      <c r="O603" s="18" t="inlineStr"/>
      <c r="P603" s="18" t="inlineStr">
        <is>
          <t>Mapeada en academic-work-plan-service/src/pta/entities/solicitud-pta.entity.ts:48 (SolicitudPtaEntity.razon)</t>
        </is>
      </c>
      <c r="Q603" s="18" t="inlineStr">
        <is>
          <t>Código fuente (verificado)</t>
        </is>
      </c>
      <c r="R603" s="18" t="inlineStr">
        <is>
          <t>Razón de la solicitud, enviada por la aplicación; en las solicitudes de edición, por defecto «Edición de componentes del PTA».</t>
        </is>
      </c>
      <c r="S603" s="18" t="inlineStr">
        <is>
          <t>Media</t>
        </is>
      </c>
      <c r="T603" s="18" t="inlineStr">
        <is>
          <t>academic-work-plan-service/src/pta/pta.service.ts:6528: razon del cuerpo o texto por defecto | academic-work-plan-service/src/pta/pta.service.ts:6417: justificacion es la descripción, de hasta 3.000 caracteres y obligatoria en edición</t>
        </is>
      </c>
      <c r="U603" s="18" t="inlineStr">
        <is>
          <t>¿En qué se diferencia razon (motivo corto) de justificacion (descripción) en las solicitudes de creación?</t>
        </is>
      </c>
      <c r="V603" s="19" t="inlineStr">
        <is>
          <t>Aprobada</t>
        </is>
      </c>
      <c r="W603" s="19" t="inlineStr"/>
      <c r="X603" s="19" t="inlineStr">
        <is>
          <t>Aldair González (validación del responsable de BD)</t>
        </is>
      </c>
      <c r="Y603" s="20" t="n">
        <v>46321</v>
      </c>
      <c r="Z603" s="19" t="inlineStr">
        <is>
          <t>Nivel 3: validada por decisión del responsable de la base de datos. Pregunta registrada para desarrollo: ¿En qué se diferencia razon (motivo corto) de justificacion (descripción) en las solicitudes de creación?</t>
        </is>
      </c>
      <c r="AA603" s="18">
        <f>IF(OR(V603="Aprobada"),R603,IF(AND(OR(V603="Aprobada con ajuste",V603="Rechazada"),W603&lt;&gt;""),W603,""))</f>
        <v/>
      </c>
    </row>
    <row r="604">
      <c r="A604" s="18" t="inlineStr">
        <is>
          <t>C0603</t>
        </is>
      </c>
      <c r="B604" s="18" t="inlineStr">
        <is>
          <t>Plan de trabajo académico</t>
        </is>
      </c>
      <c r="C604" s="18" t="inlineStr">
        <is>
          <t>academic_work_plan</t>
        </is>
      </c>
      <c r="D604" s="18" t="inlineStr">
        <is>
          <t>SolicitudPTA</t>
        </is>
      </c>
      <c r="E604" s="18" t="n">
        <v>13</v>
      </c>
      <c r="F604" s="18" t="inlineStr">
        <is>
          <t>justificacion</t>
        </is>
      </c>
      <c r="G604" s="18" t="inlineStr">
        <is>
          <t>text</t>
        </is>
      </c>
      <c r="H604" s="18" t="inlineStr">
        <is>
          <t>No</t>
        </is>
      </c>
      <c r="I604" s="18" t="inlineStr"/>
      <c r="J604" s="18" t="inlineStr"/>
      <c r="K604" s="18" t="inlineStr"/>
      <c r="L604" s="18" t="inlineStr">
        <is>
          <t>No</t>
        </is>
      </c>
      <c r="M604" s="18" t="inlineStr">
        <is>
          <t>No</t>
        </is>
      </c>
      <c r="N604" s="18" t="inlineStr"/>
      <c r="O604" s="18" t="inlineStr"/>
      <c r="P604" s="18" t="inlineStr">
        <is>
          <t>Mapeada en academic-work-plan-service/src/pta/entities/solicitud-pta.entity.ts:51 (SolicitudPtaEntity.justificacion)</t>
        </is>
      </c>
      <c r="Q604" s="18" t="inlineStr">
        <is>
          <t>Propuesta semántica</t>
        </is>
      </c>
      <c r="R604" s="18" t="inlineStr">
        <is>
          <t>Justificación detallada de la solicitud.</t>
        </is>
      </c>
      <c r="S604" s="18" t="inlineStr">
        <is>
          <t>Alta</t>
        </is>
      </c>
      <c r="T604" s="18" t="inlineStr">
        <is>
          <t>nombre + tipo + columnas vecinas</t>
        </is>
      </c>
      <c r="U604" s="18" t="inlineStr"/>
      <c r="V604" s="19" t="inlineStr">
        <is>
          <t>Aprobada</t>
        </is>
      </c>
      <c r="W604" s="19" t="inlineStr"/>
      <c r="X604" s="19" t="inlineStr">
        <is>
          <t>Aldair González (aprobación en bloque)</t>
        </is>
      </c>
      <c r="Y604" s="20" t="n">
        <v>46321</v>
      </c>
      <c r="Z604" s="19" t="inlineStr">
        <is>
          <t>Nivel 1: propuesta del comentario del desarrollador o de confianza alta, o regla de fecha/responsable/motivo.</t>
        </is>
      </c>
      <c r="AA604" s="18">
        <f>IF(OR(V604="Aprobada"),R604,IF(AND(OR(V604="Aprobada con ajuste",V604="Rechazada"),W604&lt;&gt;""),W604,""))</f>
        <v/>
      </c>
    </row>
    <row r="605">
      <c r="A605" s="18" t="inlineStr">
        <is>
          <t>C0604</t>
        </is>
      </c>
      <c r="B605" s="18" t="inlineStr">
        <is>
          <t>Plan de trabajo académico</t>
        </is>
      </c>
      <c r="C605" s="18" t="inlineStr">
        <is>
          <t>academic_work_plan</t>
        </is>
      </c>
      <c r="D605" s="18" t="inlineStr">
        <is>
          <t>SolicitudPTA</t>
        </is>
      </c>
      <c r="E605" s="18" t="n">
        <v>13</v>
      </c>
      <c r="F605" s="18" t="inlineStr">
        <is>
          <t>casoLibre</t>
        </is>
      </c>
      <c r="G605" s="18" t="inlineStr">
        <is>
          <t>text</t>
        </is>
      </c>
      <c r="H605" s="18" t="inlineStr">
        <is>
          <t>Sí</t>
        </is>
      </c>
      <c r="I605" s="18" t="inlineStr"/>
      <c r="J605" s="18" t="inlineStr"/>
      <c r="K605" s="18" t="inlineStr"/>
      <c r="L605" s="18" t="inlineStr">
        <is>
          <t>No</t>
        </is>
      </c>
      <c r="M605" s="18" t="inlineStr">
        <is>
          <t>No</t>
        </is>
      </c>
      <c r="N605" s="18" t="inlineStr"/>
      <c r="O605" s="18" t="inlineStr"/>
      <c r="P605" s="18" t="inlineStr">
        <is>
          <t>Mapeada en academic-work-plan-service/src/pta/entities/solicitud-pta.entity.ts:54 (SolicitudPtaEntity.casoLibre)</t>
        </is>
      </c>
      <c r="Q605" s="18" t="inlineStr">
        <is>
          <t>Código fuente (verificado)</t>
        </is>
      </c>
      <c r="R605" s="18" t="inlineStr">
        <is>
          <t>Descripción libre del caso de la solicitud.</t>
        </is>
      </c>
      <c r="S605" s="18" t="inlineStr">
        <is>
          <t>Media</t>
        </is>
      </c>
      <c r="T605" s="18" t="inlineStr">
        <is>
          <t>academic-work-plan-service/src/pta/pta.service.ts:6530: casoLibre del cuerpo sin condición</t>
        </is>
      </c>
      <c r="U605" s="18" t="inlineStr">
        <is>
          <t>¿casoLibre se diligencia solo cuando caso es «otro»?</t>
        </is>
      </c>
      <c r="V605" s="19" t="inlineStr">
        <is>
          <t>Aprobada</t>
        </is>
      </c>
      <c r="W605" s="19" t="inlineStr"/>
      <c r="X605" s="19" t="inlineStr">
        <is>
          <t>Aldair González (validación del responsable de BD)</t>
        </is>
      </c>
      <c r="Y605" s="20" t="n">
        <v>46321</v>
      </c>
      <c r="Z605" s="19" t="inlineStr">
        <is>
          <t>Nivel 3: validada por decisión del responsable de la base de datos. Pregunta registrada para desarrollo: ¿casoLibre se diligencia solo cuando caso es «otro»?</t>
        </is>
      </c>
      <c r="AA605" s="18">
        <f>IF(OR(V605="Aprobada"),R605,IF(AND(OR(V605="Aprobada con ajuste",V605="Rechazada"),W605&lt;&gt;""),W605,""))</f>
        <v/>
      </c>
    </row>
    <row r="606">
      <c r="A606" s="18" t="inlineStr">
        <is>
          <t>C0605</t>
        </is>
      </c>
      <c r="B606" s="18" t="inlineStr">
        <is>
          <t>Plan de trabajo académico</t>
        </is>
      </c>
      <c r="C606" s="18" t="inlineStr">
        <is>
          <t>academic_work_plan</t>
        </is>
      </c>
      <c r="D606" s="18" t="inlineStr">
        <is>
          <t>SolicitudPTA</t>
        </is>
      </c>
      <c r="E606" s="18" t="n">
        <v>13</v>
      </c>
      <c r="F606" s="18" t="inlineStr">
        <is>
          <t>archivos</t>
        </is>
      </c>
      <c r="G606" s="18" t="inlineStr">
        <is>
          <t>jsonb</t>
        </is>
      </c>
      <c r="H606" s="18" t="inlineStr">
        <is>
          <t>Sí</t>
        </is>
      </c>
      <c r="I606" s="18" t="inlineStr"/>
      <c r="J606" s="18" t="inlineStr"/>
      <c r="K606" s="18" t="inlineStr"/>
      <c r="L606" s="18" t="inlineStr">
        <is>
          <t>No</t>
        </is>
      </c>
      <c r="M606" s="18" t="inlineStr">
        <is>
          <t>No</t>
        </is>
      </c>
      <c r="N606" s="18" t="inlineStr"/>
      <c r="O606" s="18" t="inlineStr"/>
      <c r="P606" s="18" t="inlineStr">
        <is>
          <t>Mapeada en academic-work-plan-service/src/pta/entities/solicitud-pta.entity.ts:57 (SolicitudPtaEntity.archivos)</t>
        </is>
      </c>
      <c r="Q606" s="18" t="inlineStr">
        <is>
          <t>Código fuente (verificado)</t>
        </is>
      </c>
      <c r="R606" s="18" t="inlineStr">
        <is>
          <t>Documentos de soporte de la solicitud: arreglo JSON de hasta cinco archivos PDF de máximo 10 MB, cada uno con url (en /uploads/pta-solicitudes/), nombre, tipo («pdf») y tamaño en bytes.</t>
        </is>
      </c>
      <c r="S606" s="18" t="inlineStr">
        <is>
          <t>Alta</t>
        </is>
      </c>
      <c r="T606" s="18" t="inlineStr">
        <is>
          <t>academic-work-plan-service/src/pta/pta.service.ts:6422: máximo 5 archivos | academic-work-plan-service/src/pta/pta.service.ts:6428: validación de url y PDF de hasta 10 MB | academic-work-plan-service/src/pta/pta.service.ts:6434: estructura url, nombre, tipo, tamanio</t>
        </is>
      </c>
      <c r="U606" s="18" t="inlineStr"/>
      <c r="V606" s="19" t="inlineStr">
        <is>
          <t>Aprobada</t>
        </is>
      </c>
      <c r="W606" s="19" t="inlineStr"/>
      <c r="X606" s="19" t="inlineStr">
        <is>
          <t>Aldair González (aprobación en bloque)</t>
        </is>
      </c>
      <c r="Y606" s="20" t="n">
        <v>46321</v>
      </c>
      <c r="Z606" s="19" t="inlineStr">
        <is>
          <t>Nivel 3: verificada con el código de la aplicación.</t>
        </is>
      </c>
      <c r="AA606" s="18">
        <f>IF(OR(V606="Aprobada"),R606,IF(AND(OR(V606="Aprobada con ajuste",V606="Rechazada"),W606&lt;&gt;""),W606,""))</f>
        <v/>
      </c>
    </row>
    <row r="607">
      <c r="A607" s="18" t="inlineStr">
        <is>
          <t>C0606</t>
        </is>
      </c>
      <c r="B607" s="18" t="inlineStr">
        <is>
          <t>Plan de trabajo académico</t>
        </is>
      </c>
      <c r="C607" s="18" t="inlineStr">
        <is>
          <t>academic_work_plan</t>
        </is>
      </c>
      <c r="D607" s="18" t="inlineStr">
        <is>
          <t>SolicitudPTA</t>
        </is>
      </c>
      <c r="E607" s="18" t="n">
        <v>13</v>
      </c>
      <c r="F607" s="18" t="inlineStr">
        <is>
          <t>estado</t>
        </is>
      </c>
      <c r="G607" s="18" t="inlineStr">
        <is>
          <t>text</t>
        </is>
      </c>
      <c r="H607" s="18" t="inlineStr">
        <is>
          <t>No</t>
        </is>
      </c>
      <c r="I607" s="18" t="inlineStr"/>
      <c r="J607" s="18" t="inlineStr"/>
      <c r="K607" s="18" t="inlineStr"/>
      <c r="L607" s="18" t="inlineStr">
        <is>
          <t>No</t>
        </is>
      </c>
      <c r="M607" s="18" t="inlineStr">
        <is>
          <t>No</t>
        </is>
      </c>
      <c r="N607" s="18" t="inlineStr"/>
      <c r="O607" s="18" t="inlineStr">
        <is>
          <t>idx_solicitud_estado, idx_solicitud_tipo_estado</t>
        </is>
      </c>
      <c r="P607" s="18" t="inlineStr">
        <is>
          <t>Mapeada en academic-work-plan-service/src/pta/entities/solicitud-pta.entity.ts:60 (SolicitudPtaEntity.estado)</t>
        </is>
      </c>
      <c r="Q607" s="18" t="inlineStr">
        <is>
          <t>Regla estructural (redacción revisada)</t>
        </is>
      </c>
      <c r="R607" s="18" t="inlineStr">
        <is>
          <t>Estado de la solicitud sobre el plan de trabajo académico.</t>
        </is>
      </c>
      <c r="S607" s="18" t="inlineStr">
        <is>
          <t>Alta</t>
        </is>
      </c>
      <c r="T607" s="18" t="inlineStr">
        <is>
          <t>Convención de nombre, redactada con el contexto de la tabla y el código.</t>
        </is>
      </c>
      <c r="U607" s="18" t="inlineStr"/>
      <c r="V607" s="19" t="inlineStr">
        <is>
          <t>Aprobada</t>
        </is>
      </c>
      <c r="W607" s="19" t="inlineStr"/>
      <c r="X607" s="19" t="inlineStr">
        <is>
          <t>Aldair González (aprobación en bloque)</t>
        </is>
      </c>
      <c r="Y607" s="20" t="n">
        <v>46321</v>
      </c>
      <c r="Z607" s="19" t="inlineStr">
        <is>
          <t>Nivel 2: regla estructural con redacción revisada.</t>
        </is>
      </c>
      <c r="AA607" s="18">
        <f>IF(OR(V607="Aprobada"),R607,IF(AND(OR(V607="Aprobada con ajuste",V607="Rechazada"),W607&lt;&gt;""),W607,""))</f>
        <v/>
      </c>
    </row>
    <row r="608">
      <c r="A608" s="18" t="inlineStr">
        <is>
          <t>C0607</t>
        </is>
      </c>
      <c r="B608" s="18" t="inlineStr">
        <is>
          <t>Plan de trabajo académico</t>
        </is>
      </c>
      <c r="C608" s="18" t="inlineStr">
        <is>
          <t>academic_work_plan</t>
        </is>
      </c>
      <c r="D608" s="18" t="inlineStr">
        <is>
          <t>SolicitudPTA</t>
        </is>
      </c>
      <c r="E608" s="18" t="n">
        <v>13</v>
      </c>
      <c r="F608" s="18" t="inlineStr">
        <is>
          <t>resueltoPor</t>
        </is>
      </c>
      <c r="G608" s="18" t="inlineStr">
        <is>
          <t>text</t>
        </is>
      </c>
      <c r="H608" s="18" t="inlineStr">
        <is>
          <t>Sí</t>
        </is>
      </c>
      <c r="I608" s="18" t="inlineStr"/>
      <c r="J608" s="18" t="inlineStr"/>
      <c r="K608" s="18" t="inlineStr"/>
      <c r="L608" s="18" t="inlineStr">
        <is>
          <t>No</t>
        </is>
      </c>
      <c r="M608" s="18" t="inlineStr">
        <is>
          <t>No</t>
        </is>
      </c>
      <c r="N608" s="18" t="inlineStr"/>
      <c r="O608" s="18" t="inlineStr"/>
      <c r="P608" s="18" t="inlineStr">
        <is>
          <t>Mapeada en academic-work-plan-service/src/pta/entities/solicitud-pta.entity.ts:63 (SolicitudPtaEntity.resueltoPor)</t>
        </is>
      </c>
      <c r="Q608" s="18" t="inlineStr">
        <is>
          <t>Código fuente (verificado)</t>
        </is>
      </c>
      <c r="R608" s="18" t="inlineStr">
        <is>
          <t>Nombre del usuario que resolvió la solicitud, tomado de la sesión; «Administrador» si no se identifica.</t>
        </is>
      </c>
      <c r="S608" s="18" t="inlineStr">
        <is>
          <t>Alta</t>
        </is>
      </c>
      <c r="T608" s="18" t="inlineStr">
        <is>
          <t>academic-work-plan-service/src/pta/pta.service.ts:6640: actorNombre = auth.name, resueltoPor del cuerpo o Administrador | academic-work-plan-service/src/pta/pta.service.ts:7102: resueltoPor = actorNombre</t>
        </is>
      </c>
      <c r="U608" s="18" t="inlineStr"/>
      <c r="V608" s="19" t="inlineStr">
        <is>
          <t>Aprobada</t>
        </is>
      </c>
      <c r="W608" s="19" t="inlineStr"/>
      <c r="X608" s="19" t="inlineStr">
        <is>
          <t>Aldair González (aprobación en bloque)</t>
        </is>
      </c>
      <c r="Y608" s="20" t="n">
        <v>46321</v>
      </c>
      <c r="Z608" s="19" t="inlineStr">
        <is>
          <t>Nivel 3: verificada con el código de la aplicación.</t>
        </is>
      </c>
      <c r="AA608" s="18">
        <f>IF(OR(V608="Aprobada"),R608,IF(AND(OR(V608="Aprobada con ajuste",V608="Rechazada"),W608&lt;&gt;""),W608,""))</f>
        <v/>
      </c>
    </row>
    <row r="609">
      <c r="A609" s="18" t="inlineStr">
        <is>
          <t>C0608</t>
        </is>
      </c>
      <c r="B609" s="18" t="inlineStr">
        <is>
          <t>Plan de trabajo académico</t>
        </is>
      </c>
      <c r="C609" s="18" t="inlineStr">
        <is>
          <t>academic_work_plan</t>
        </is>
      </c>
      <c r="D609" s="18" t="inlineStr">
        <is>
          <t>SolicitudPTA</t>
        </is>
      </c>
      <c r="E609" s="18" t="n">
        <v>13</v>
      </c>
      <c r="F609" s="18" t="inlineStr">
        <is>
          <t>resolucionFecha</t>
        </is>
      </c>
      <c r="G609" s="18" t="inlineStr">
        <is>
          <t>timestamp with time zone</t>
        </is>
      </c>
      <c r="H609" s="18" t="inlineStr">
        <is>
          <t>Sí</t>
        </is>
      </c>
      <c r="I609" s="18" t="inlineStr"/>
      <c r="J609" s="18" t="inlineStr"/>
      <c r="K609" s="18" t="inlineStr"/>
      <c r="L609" s="18" t="inlineStr">
        <is>
          <t>No</t>
        </is>
      </c>
      <c r="M609" s="18" t="inlineStr">
        <is>
          <t>No</t>
        </is>
      </c>
      <c r="N609" s="18" t="inlineStr"/>
      <c r="O609" s="18" t="inlineStr"/>
      <c r="P609" s="18" t="inlineStr">
        <is>
          <t>Mapeada en academic-work-plan-service/src/pta/entities/solicitud-pta.entity.ts:66 (SolicitudPtaEntity.resolucionFecha)</t>
        </is>
      </c>
      <c r="Q609" s="18" t="inlineStr">
        <is>
          <t>Propuesta semántica</t>
        </is>
      </c>
      <c r="R609" s="18" t="inlineStr">
        <is>
          <t>Fecha y hora de resolución de la solicitud.</t>
        </is>
      </c>
      <c r="S609" s="18" t="inlineStr">
        <is>
          <t>Alta</t>
        </is>
      </c>
      <c r="T609" s="18" t="inlineStr">
        <is>
          <t>nombre + tipo + columnas vecinas</t>
        </is>
      </c>
      <c r="U609" s="18" t="inlineStr"/>
      <c r="V609" s="19" t="inlineStr">
        <is>
          <t>Aprobada</t>
        </is>
      </c>
      <c r="W609" s="19" t="inlineStr"/>
      <c r="X609" s="19" t="inlineStr">
        <is>
          <t>Aldair González (aprobación en bloque)</t>
        </is>
      </c>
      <c r="Y609" s="20" t="n">
        <v>46321</v>
      </c>
      <c r="Z609" s="19" t="inlineStr">
        <is>
          <t>Nivel 1: propuesta del comentario del desarrollador o de confianza alta, o regla de fecha/responsable/motivo.</t>
        </is>
      </c>
      <c r="AA609" s="18">
        <f>IF(OR(V609="Aprobada"),R609,IF(AND(OR(V609="Aprobada con ajuste",V609="Rechazada"),W609&lt;&gt;""),W609,""))</f>
        <v/>
      </c>
    </row>
    <row r="610">
      <c r="A610" s="18" t="inlineStr">
        <is>
          <t>C0609</t>
        </is>
      </c>
      <c r="B610" s="18" t="inlineStr">
        <is>
          <t>Plan de trabajo académico</t>
        </is>
      </c>
      <c r="C610" s="18" t="inlineStr">
        <is>
          <t>academic_work_plan</t>
        </is>
      </c>
      <c r="D610" s="18" t="inlineStr">
        <is>
          <t>SolicitudPTA</t>
        </is>
      </c>
      <c r="E610" s="18" t="n">
        <v>13</v>
      </c>
      <c r="F610" s="18" t="inlineStr">
        <is>
          <t>resolucionMotivo</t>
        </is>
      </c>
      <c r="G610" s="18" t="inlineStr">
        <is>
          <t>text</t>
        </is>
      </c>
      <c r="H610" s="18" t="inlineStr">
        <is>
          <t>Sí</t>
        </is>
      </c>
      <c r="I610" s="18" t="inlineStr"/>
      <c r="J610" s="18" t="inlineStr"/>
      <c r="K610" s="18" t="inlineStr"/>
      <c r="L610" s="18" t="inlineStr">
        <is>
          <t>No</t>
        </is>
      </c>
      <c r="M610" s="18" t="inlineStr">
        <is>
          <t>No</t>
        </is>
      </c>
      <c r="N610" s="18" t="inlineStr"/>
      <c r="O610" s="18" t="inlineStr"/>
      <c r="P610" s="18" t="inlineStr">
        <is>
          <t>Mapeada en academic-work-plan-service/src/pta/entities/solicitud-pta.entity.ts:69 (SolicitudPtaEntity.resolucionMotivo)</t>
        </is>
      </c>
      <c r="Q610" s="18" t="inlineStr">
        <is>
          <t>Propuesta semántica</t>
        </is>
      </c>
      <c r="R610" s="18" t="inlineStr">
        <is>
          <t>Motivo de la resolución de la solicitud.</t>
        </is>
      </c>
      <c r="S610" s="18" t="inlineStr">
        <is>
          <t>Alta</t>
        </is>
      </c>
      <c r="T610" s="18" t="inlineStr">
        <is>
          <t>nombre + tipo + columnas vecinas</t>
        </is>
      </c>
      <c r="U610" s="18" t="inlineStr"/>
      <c r="V610" s="19" t="inlineStr">
        <is>
          <t>Aprobada</t>
        </is>
      </c>
      <c r="W610" s="19" t="inlineStr"/>
      <c r="X610" s="19" t="inlineStr">
        <is>
          <t>Aldair González (aprobación en bloque)</t>
        </is>
      </c>
      <c r="Y610" s="20" t="n">
        <v>46321</v>
      </c>
      <c r="Z610" s="19" t="inlineStr">
        <is>
          <t>Nivel 1: propuesta del comentario del desarrollador o de confianza alta, o regla de fecha/responsable/motivo.</t>
        </is>
      </c>
      <c r="AA610" s="18">
        <f>IF(OR(V610="Aprobada"),R610,IF(AND(OR(V610="Aprobada con ajuste",V610="Rechazada"),W610&lt;&gt;""),W610,""))</f>
        <v/>
      </c>
    </row>
    <row r="611">
      <c r="A611" s="18" t="inlineStr">
        <is>
          <t>C0610</t>
        </is>
      </c>
      <c r="B611" s="18" t="inlineStr">
        <is>
          <t>Plan de trabajo académico</t>
        </is>
      </c>
      <c r="C611" s="18" t="inlineStr">
        <is>
          <t>academic_work_plan</t>
        </is>
      </c>
      <c r="D611" s="18" t="inlineStr">
        <is>
          <t>SolicitudPTA</t>
        </is>
      </c>
      <c r="E611" s="18" t="n">
        <v>13</v>
      </c>
      <c r="F611" s="18" t="inlineStr">
        <is>
          <t>resolucionAccion</t>
        </is>
      </c>
      <c r="G611" s="18" t="inlineStr">
        <is>
          <t>text</t>
        </is>
      </c>
      <c r="H611" s="18" t="inlineStr">
        <is>
          <t>Sí</t>
        </is>
      </c>
      <c r="I611" s="18" t="inlineStr"/>
      <c r="J611" s="18" t="inlineStr"/>
      <c r="K611" s="18" t="inlineStr"/>
      <c r="L611" s="18" t="inlineStr">
        <is>
          <t>No</t>
        </is>
      </c>
      <c r="M611" s="18" t="inlineStr">
        <is>
          <t>No</t>
        </is>
      </c>
      <c r="N611" s="18" t="inlineStr"/>
      <c r="O611" s="18" t="inlineStr"/>
      <c r="P611" s="18" t="inlineStr">
        <is>
          <t>Mapeada en academic-work-plan-service/src/pta/entities/solicitud-pta.entity.ts:72 (SolicitudPtaEntity.resolucionAccion)</t>
        </is>
      </c>
      <c r="Q611" s="18" t="inlineStr">
        <is>
          <t>Código fuente (verificado)</t>
        </is>
      </c>
      <c r="R611" s="18" t="inlineStr">
        <is>
          <t>Acción tomada al resolver la solicitud. En las solicitudes de edición toma habilitar_edicion_componentes, denegar_edicion_componentes, edicion_componentes_aprobada o edicion_componentes_aprobada_automaticamente; en las de creación, el valor que envía la aplicación.</t>
        </is>
      </c>
      <c r="S611" s="18" t="inlineStr">
        <is>
          <t>Media</t>
        </is>
      </c>
      <c r="T611" s="18" t="inlineStr">
        <is>
          <t>academic-work-plan-service/src/pta/pta.service.ts:7022: habilitar_edicion_componentes | academic-work-plan-service/src/pta/pta.service.ts:6753: denegar_edicion_componentes | academic-work-plan-service/src/pta/pta.service.ts:11153: edicion_componentes_aprobada | academic-work-plan-service/src/pta/pta.service.ts:5271: edicion_componentes_aprobada_automaticamente | academic-work-plan-service/src/pta/pta.service.ts:7098: accion del cuerpo en las demás</t>
        </is>
      </c>
      <c r="U611" s="18" t="inlineStr">
        <is>
          <t>¿Qué valores de accion envía la aplicación al resolver solicitudes de creación?</t>
        </is>
      </c>
      <c r="V611" s="19" t="inlineStr">
        <is>
          <t>Aprobada</t>
        </is>
      </c>
      <c r="W611" s="19" t="inlineStr"/>
      <c r="X611" s="19" t="inlineStr">
        <is>
          <t>Aldair González (validación del responsable de BD)</t>
        </is>
      </c>
      <c r="Y611" s="20" t="n">
        <v>46321</v>
      </c>
      <c r="Z611" s="19" t="inlineStr">
        <is>
          <t>Nivel 3: validada por decisión del responsable de la base de datos. Pregunta registrada para desarrollo: ¿Qué valores de accion envía la aplicación al resolver solicitudes de creación?</t>
        </is>
      </c>
      <c r="AA611" s="18">
        <f>IF(OR(V611="Aprobada"),R611,IF(AND(OR(V611="Aprobada con ajuste",V611="Rechazada"),W611&lt;&gt;""),W611,""))</f>
        <v/>
      </c>
    </row>
    <row r="612">
      <c r="A612" s="18" t="inlineStr">
        <is>
          <t>C0611</t>
        </is>
      </c>
      <c r="B612" s="18" t="inlineStr">
        <is>
          <t>Plan de trabajo académico</t>
        </is>
      </c>
      <c r="C612" s="18" t="inlineStr">
        <is>
          <t>academic_work_plan</t>
        </is>
      </c>
      <c r="D612" s="18" t="inlineStr">
        <is>
          <t>SolicitudPTA</t>
        </is>
      </c>
      <c r="E612" s="18" t="n">
        <v>13</v>
      </c>
      <c r="F612" s="18" t="inlineStr">
        <is>
          <t>territorialNueva</t>
        </is>
      </c>
      <c r="G612" s="18" t="inlineStr">
        <is>
          <t>text</t>
        </is>
      </c>
      <c r="H612" s="18" t="inlineStr">
        <is>
          <t>Sí</t>
        </is>
      </c>
      <c r="I612" s="18" t="inlineStr"/>
      <c r="J612" s="18" t="inlineStr"/>
      <c r="K612" s="18" t="inlineStr"/>
      <c r="L612" s="18" t="inlineStr">
        <is>
          <t>No</t>
        </is>
      </c>
      <c r="M612" s="18" t="inlineStr">
        <is>
          <t>No</t>
        </is>
      </c>
      <c r="N612" s="18" t="inlineStr"/>
      <c r="O612" s="18" t="inlineStr"/>
      <c r="P612" s="18" t="inlineStr">
        <is>
          <t>Mapeada en academic-work-plan-service/src/pta/entities/solicitud-pta.entity.ts:75 (SolicitudPtaEntity.territorialNueva)</t>
        </is>
      </c>
      <c r="Q612" s="18" t="inlineStr">
        <is>
          <t>Código fuente (verificado)</t>
        </is>
      </c>
      <c r="R612" s="18" t="inlineStr">
        <is>
          <t>Territorial nueva registrada al resolver la solicitud, según el valor que envía la aplicación.</t>
        </is>
      </c>
      <c r="S612" s="18" t="inlineStr">
        <is>
          <t>Media</t>
        </is>
      </c>
      <c r="T612" s="18" t="inlineStr">
        <is>
          <t>academic-work-plan-service/src/pta/pta.service.ts:7099: territorialNueva del cuerpo al resolver solicitudes que no son de edición</t>
        </is>
      </c>
      <c r="U612" s="18" t="inlineStr">
        <is>
          <t>¿Se diligencia solo en solicitudes de cambio de territorial y a qué identificador o nombre corresponde?</t>
        </is>
      </c>
      <c r="V612" s="19" t="inlineStr">
        <is>
          <t>Aprobada</t>
        </is>
      </c>
      <c r="W612" s="19" t="inlineStr"/>
      <c r="X612" s="19" t="inlineStr">
        <is>
          <t>Aldair González (validación del responsable de BD)</t>
        </is>
      </c>
      <c r="Y612" s="20" t="n">
        <v>46321</v>
      </c>
      <c r="Z612" s="19" t="inlineStr">
        <is>
          <t>Nivel 3: validada por decisión del responsable de la base de datos. Pregunta registrada para desarrollo: ¿Se diligencia solo en solicitudes de cambio de territorial y a qué identificador o nombre corresponde?</t>
        </is>
      </c>
      <c r="AA612" s="18">
        <f>IF(OR(V612="Aprobada"),R612,IF(AND(OR(V612="Aprobada con ajuste",V612="Rechazada"),W612&lt;&gt;""),W612,""))</f>
        <v/>
      </c>
    </row>
    <row r="613">
      <c r="A613" s="18" t="inlineStr">
        <is>
          <t>C0612</t>
        </is>
      </c>
      <c r="B613" s="18" t="inlineStr">
        <is>
          <t>Plan de trabajo académico</t>
        </is>
      </c>
      <c r="C613" s="18" t="inlineStr">
        <is>
          <t>academic_work_plan</t>
        </is>
      </c>
      <c r="D613" s="18" t="inlineStr">
        <is>
          <t>SolicitudPTA</t>
        </is>
      </c>
      <c r="E613" s="18" t="n">
        <v>13</v>
      </c>
      <c r="F613" s="18" t="inlineStr">
        <is>
          <t>horasPtaOriginal</t>
        </is>
      </c>
      <c r="G613" s="18" t="inlineStr">
        <is>
          <t>integer</t>
        </is>
      </c>
      <c r="H613" s="18" t="inlineStr">
        <is>
          <t>Sí</t>
        </is>
      </c>
      <c r="I613" s="18" t="inlineStr"/>
      <c r="J613" s="18" t="inlineStr"/>
      <c r="K613" s="18" t="inlineStr"/>
      <c r="L613" s="18" t="inlineStr">
        <is>
          <t>No</t>
        </is>
      </c>
      <c r="M613" s="18" t="inlineStr">
        <is>
          <t>No</t>
        </is>
      </c>
      <c r="N613" s="18" t="inlineStr"/>
      <c r="O613" s="18" t="inlineStr"/>
      <c r="P613" s="18" t="inlineStr">
        <is>
          <t>Mapeada en academic-work-plan-service/src/pta/entities/solicitud-pta.entity.ts:78 (SolicitudPtaEntity.horasPtaOriginal)</t>
        </is>
      </c>
      <c r="Q613" s="18" t="inlineStr">
        <is>
          <t>Propuesta semántica</t>
        </is>
      </c>
      <c r="R613" s="18" t="inlineStr">
        <is>
          <t>Número de horas del plan de trabajo antes de la solicitud.</t>
        </is>
      </c>
      <c r="S613" s="18" t="inlineStr">
        <is>
          <t>Alta</t>
        </is>
      </c>
      <c r="T613" s="18" t="inlineStr">
        <is>
          <t>nombre + tipo + columnas vecinas (horasPtaNuevo)</t>
        </is>
      </c>
      <c r="U613" s="18" t="inlineStr"/>
      <c r="V613" s="19" t="inlineStr">
        <is>
          <t>Aprobada</t>
        </is>
      </c>
      <c r="W613" s="19" t="inlineStr"/>
      <c r="X613" s="19" t="inlineStr">
        <is>
          <t>Aldair González (aprobación en bloque)</t>
        </is>
      </c>
      <c r="Y613" s="20" t="n">
        <v>46321</v>
      </c>
      <c r="Z613" s="19" t="inlineStr">
        <is>
          <t>Nivel 1: propuesta del comentario del desarrollador o de confianza alta, o regla de fecha/responsable/motivo.</t>
        </is>
      </c>
      <c r="AA613" s="18">
        <f>IF(OR(V613="Aprobada"),R613,IF(AND(OR(V613="Aprobada con ajuste",V613="Rechazada"),W613&lt;&gt;""),W613,""))</f>
        <v/>
      </c>
    </row>
    <row r="614">
      <c r="A614" s="18" t="inlineStr">
        <is>
          <t>C0613</t>
        </is>
      </c>
      <c r="B614" s="18" t="inlineStr">
        <is>
          <t>Plan de trabajo académico</t>
        </is>
      </c>
      <c r="C614" s="18" t="inlineStr">
        <is>
          <t>academic_work_plan</t>
        </is>
      </c>
      <c r="D614" s="18" t="inlineStr">
        <is>
          <t>SolicitudPTA</t>
        </is>
      </c>
      <c r="E614" s="18" t="n">
        <v>13</v>
      </c>
      <c r="F614" s="18" t="inlineStr">
        <is>
          <t>horasPtaNuevo</t>
        </is>
      </c>
      <c r="G614" s="18" t="inlineStr">
        <is>
          <t>integer</t>
        </is>
      </c>
      <c r="H614" s="18" t="inlineStr">
        <is>
          <t>Sí</t>
        </is>
      </c>
      <c r="I614" s="18" t="inlineStr"/>
      <c r="J614" s="18" t="inlineStr"/>
      <c r="K614" s="18" t="inlineStr"/>
      <c r="L614" s="18" t="inlineStr">
        <is>
          <t>No</t>
        </is>
      </c>
      <c r="M614" s="18" t="inlineStr">
        <is>
          <t>No</t>
        </is>
      </c>
      <c r="N614" s="18" t="inlineStr"/>
      <c r="O614" s="18" t="inlineStr"/>
      <c r="P614" s="18" t="inlineStr">
        <is>
          <t>Mapeada en academic-work-plan-service/src/pta/entities/solicitud-pta.entity.ts:81 (SolicitudPtaEntity.horasPtaNuevo)</t>
        </is>
      </c>
      <c r="Q614" s="18" t="inlineStr">
        <is>
          <t>Propuesta semántica</t>
        </is>
      </c>
      <c r="R614" s="18" t="inlineStr">
        <is>
          <t>Número de horas del plan de trabajo solicitadas.</t>
        </is>
      </c>
      <c r="S614" s="18" t="inlineStr">
        <is>
          <t>Alta</t>
        </is>
      </c>
      <c r="T614" s="18" t="inlineStr">
        <is>
          <t>nombre + tipo + columnas vecinas (horasPtaOriginal)</t>
        </is>
      </c>
      <c r="U614" s="18" t="inlineStr"/>
      <c r="V614" s="19" t="inlineStr">
        <is>
          <t>Aprobada</t>
        </is>
      </c>
      <c r="W614" s="19" t="inlineStr"/>
      <c r="X614" s="19" t="inlineStr">
        <is>
          <t>Aldair González (aprobación en bloque)</t>
        </is>
      </c>
      <c r="Y614" s="20" t="n">
        <v>46321</v>
      </c>
      <c r="Z614" s="19" t="inlineStr">
        <is>
          <t>Nivel 1: propuesta del comentario del desarrollador o de confianza alta, o regla de fecha/responsable/motivo.</t>
        </is>
      </c>
      <c r="AA614" s="18">
        <f>IF(OR(V614="Aprobada"),R614,IF(AND(OR(V614="Aprobada con ajuste",V614="Rechazada"),W614&lt;&gt;""),W614,""))</f>
        <v/>
      </c>
    </row>
    <row r="615">
      <c r="A615" s="18" t="inlineStr">
        <is>
          <t>C0614</t>
        </is>
      </c>
      <c r="B615" s="18" t="inlineStr">
        <is>
          <t>Plan de trabajo académico</t>
        </is>
      </c>
      <c r="C615" s="18" t="inlineStr">
        <is>
          <t>academic_work_plan</t>
        </is>
      </c>
      <c r="D615" s="18" t="inlineStr">
        <is>
          <t>SolicitudPTA</t>
        </is>
      </c>
      <c r="E615" s="18" t="n">
        <v>13</v>
      </c>
      <c r="F615" s="18" t="inlineStr">
        <is>
          <t>notificacionLeida</t>
        </is>
      </c>
      <c r="G615" s="18" t="inlineStr">
        <is>
          <t>boolean</t>
        </is>
      </c>
      <c r="H615" s="18" t="inlineStr">
        <is>
          <t>No</t>
        </is>
      </c>
      <c r="I615" s="18" t="inlineStr"/>
      <c r="J615" s="18" t="inlineStr"/>
      <c r="K615" s="18" t="inlineStr"/>
      <c r="L615" s="18" t="inlineStr">
        <is>
          <t>No</t>
        </is>
      </c>
      <c r="M615" s="18" t="inlineStr">
        <is>
          <t>No</t>
        </is>
      </c>
      <c r="N615" s="18" t="inlineStr"/>
      <c r="O615" s="18" t="inlineStr"/>
      <c r="P615" s="18" t="inlineStr">
        <is>
          <t>Mapeada en academic-work-plan-service/src/pta/entities/solicitud-pta.entity.ts:84 (SolicitudPtaEntity.notificacionLeida)</t>
        </is>
      </c>
      <c r="Q615" s="18" t="inlineStr">
        <is>
          <t>Regla estructural (redacción revisada)</t>
        </is>
      </c>
      <c r="R615" s="18" t="inlineStr">
        <is>
          <t>Indica si se leyó la notificación de la solicitud.</t>
        </is>
      </c>
      <c r="S615" s="18" t="inlineStr">
        <is>
          <t>Alta</t>
        </is>
      </c>
      <c r="T615" s="18" t="inlineStr">
        <is>
          <t>Convención de nombre, redactada con el contexto de la tabla y el código.</t>
        </is>
      </c>
      <c r="U615" s="18" t="inlineStr"/>
      <c r="V615" s="19" t="inlineStr">
        <is>
          <t>Aprobada</t>
        </is>
      </c>
      <c r="W615" s="19" t="inlineStr"/>
      <c r="X615" s="19" t="inlineStr">
        <is>
          <t>Aldair González (aprobación en bloque)</t>
        </is>
      </c>
      <c r="Y615" s="20" t="n">
        <v>46321</v>
      </c>
      <c r="Z615" s="19" t="inlineStr">
        <is>
          <t>Nivel 2: regla estructural con redacción revisada.</t>
        </is>
      </c>
      <c r="AA615" s="18">
        <f>IF(OR(V615="Aprobada"),R615,IF(AND(OR(V615="Aprobada con ajuste",V615="Rechazada"),W615&lt;&gt;""),W615,""))</f>
        <v/>
      </c>
    </row>
    <row r="616">
      <c r="A616" s="18" t="inlineStr">
        <is>
          <t>C0615</t>
        </is>
      </c>
      <c r="B616" s="18" t="inlineStr">
        <is>
          <t>Plan de trabajo académico</t>
        </is>
      </c>
      <c r="C616" s="18" t="inlineStr">
        <is>
          <t>academic_work_plan</t>
        </is>
      </c>
      <c r="D616" s="18" t="inlineStr">
        <is>
          <t>SolicitudPTA</t>
        </is>
      </c>
      <c r="E616" s="18" t="n">
        <v>13</v>
      </c>
      <c r="F616" s="18" t="inlineStr">
        <is>
          <t>tipoSolicitud</t>
        </is>
      </c>
      <c r="G616" s="18" t="inlineStr">
        <is>
          <t>text</t>
        </is>
      </c>
      <c r="H616" s="18" t="inlineStr">
        <is>
          <t>No</t>
        </is>
      </c>
      <c r="I616" s="18" t="inlineStr"/>
      <c r="J616" s="18" t="inlineStr"/>
      <c r="K616" s="18" t="inlineStr"/>
      <c r="L616" s="18" t="inlineStr">
        <is>
          <t>No</t>
        </is>
      </c>
      <c r="M616" s="18" t="inlineStr">
        <is>
          <t>No</t>
        </is>
      </c>
      <c r="N616" s="18" t="inlineStr"/>
      <c r="O616" s="18" t="inlineStr">
        <is>
          <t>idx_solicitud_tipo_estado</t>
        </is>
      </c>
      <c r="P616" s="18" t="inlineStr">
        <is>
          <t>academic-work-plan-service/src/pta/entities/solicitud-pta.entity.ts:19: "creacion" conserva el flujo histórico; "edicion_componentes" actúa sobre el mismo PTA y nunca habilita la creación de un plan adicional.</t>
        </is>
      </c>
      <c r="Q616" s="18" t="inlineStr">
        <is>
          <t>Código fuente</t>
        </is>
      </c>
      <c r="R616" s="18" t="inlineStr">
        <is>
          <t>Tipo de solicitud del docente. Valores previstos: creacion (flujo de creación del PTA) y edicion_componentes (edición de componentes del mismo PTA, sin crear un plan adicional); por defecto creacion.</t>
        </is>
      </c>
      <c r="S616" s="18" t="inlineStr">
        <is>
          <t>Alta</t>
        </is>
      </c>
      <c r="T616" s="18" t="inlineStr">
        <is>
          <t>código: academic-work-plan-service/src/pta/entities/solicitud-pta.entity.ts:19</t>
        </is>
      </c>
      <c r="U616" s="18" t="inlineStr"/>
      <c r="V616" s="19" t="inlineStr">
        <is>
          <t>Aprobada</t>
        </is>
      </c>
      <c r="W616" s="19" t="inlineStr"/>
      <c r="X616" s="19" t="inlineStr">
        <is>
          <t>Aldair González (aprobación en bloque)</t>
        </is>
      </c>
      <c r="Y616" s="20" t="n">
        <v>46321</v>
      </c>
      <c r="Z616" s="19" t="inlineStr">
        <is>
          <t>Nivel 1: propuesta del comentario del desarrollador o de confianza alta, o regla de fecha/responsable/motivo.</t>
        </is>
      </c>
      <c r="AA616" s="18">
        <f>IF(OR(V616="Aprobada"),R616,IF(AND(OR(V616="Aprobada con ajuste",V616="Rechazada"),W616&lt;&gt;""),W616,""))</f>
        <v/>
      </c>
    </row>
    <row r="617">
      <c r="A617" s="18" t="inlineStr">
        <is>
          <t>C0616</t>
        </is>
      </c>
      <c r="B617" s="18" t="inlineStr">
        <is>
          <t>Plan de trabajo académico</t>
        </is>
      </c>
      <c r="C617" s="18" t="inlineStr">
        <is>
          <t>academic_work_plan</t>
        </is>
      </c>
      <c r="D617" s="18" t="inlineStr">
        <is>
          <t>SolicitudPTA</t>
        </is>
      </c>
      <c r="E617" s="18" t="n">
        <v>13</v>
      </c>
      <c r="F617" s="18" t="inlineStr">
        <is>
          <t>ptaId</t>
        </is>
      </c>
      <c r="G617" s="18" t="inlineStr">
        <is>
          <t>uuid</t>
        </is>
      </c>
      <c r="H617" s="18" t="inlineStr">
        <is>
          <t>Sí</t>
        </is>
      </c>
      <c r="I617" s="18" t="inlineStr"/>
      <c r="J617" s="18" t="inlineStr"/>
      <c r="K617" s="18" t="inlineStr"/>
      <c r="L617" s="18" t="inlineStr">
        <is>
          <t>No</t>
        </is>
      </c>
      <c r="M617" s="18" t="inlineStr">
        <is>
          <t>No</t>
        </is>
      </c>
      <c r="N617" s="18" t="inlineStr"/>
      <c r="O617" s="18" t="inlineStr">
        <is>
          <t>idx_solicitud_pta_id, uq_solicitud_edicion_activa_por_pta</t>
        </is>
      </c>
      <c r="P617" s="18" t="inlineStr">
        <is>
          <t>Mapeada en academic-work-plan-service/src/pta/entities/solicitud-pta.entity.ts:22 (SolicitudPtaEntity.ptaId)</t>
        </is>
      </c>
      <c r="Q617" s="18" t="inlineStr">
        <is>
          <t>Propuesta semántica</t>
        </is>
      </c>
      <c r="R617" s="18" t="inlineStr">
        <is>
          <t>Identificador del plan de trabajo académico al que se refiere la solicitud.</t>
        </is>
      </c>
      <c r="S617" s="18" t="inlineStr">
        <is>
          <t>Alta</t>
        </is>
      </c>
      <c r="T617" s="18" t="inlineStr">
        <is>
          <t>nombre + tipo + columnas vecinas + índices</t>
        </is>
      </c>
      <c r="U617" s="18" t="inlineStr"/>
      <c r="V617" s="19" t="inlineStr">
        <is>
          <t>Aprobada</t>
        </is>
      </c>
      <c r="W617" s="19" t="inlineStr"/>
      <c r="X617" s="19" t="inlineStr">
        <is>
          <t>Aldair González (aprobación en bloque)</t>
        </is>
      </c>
      <c r="Y617" s="20" t="n">
        <v>46321</v>
      </c>
      <c r="Z617" s="19" t="inlineStr">
        <is>
          <t>Nivel 1: propuesta del comentario del desarrollador o de confianza alta, o regla de fecha/responsable/motivo.</t>
        </is>
      </c>
      <c r="AA617" s="18">
        <f>IF(OR(V617="Aprobada"),R617,IF(AND(OR(V617="Aprobada con ajuste",V617="Rechazada"),W617&lt;&gt;""),W617,""))</f>
        <v/>
      </c>
    </row>
    <row r="618">
      <c r="A618" s="18" t="inlineStr">
        <is>
          <t>C0617</t>
        </is>
      </c>
      <c r="B618" s="18" t="inlineStr">
        <is>
          <t>Plan de trabajo académico</t>
        </is>
      </c>
      <c r="C618" s="18" t="inlineStr">
        <is>
          <t>academic_work_plan</t>
        </is>
      </c>
      <c r="D618" s="18" t="inlineStr">
        <is>
          <t>SolicitudPTA</t>
        </is>
      </c>
      <c r="E618" s="18" t="n">
        <v>13</v>
      </c>
      <c r="F618" s="18" t="inlineStr">
        <is>
          <t>componentes</t>
        </is>
      </c>
      <c r="G618" s="18" t="inlineStr">
        <is>
          <t>jsonb</t>
        </is>
      </c>
      <c r="H618" s="18" t="inlineStr">
        <is>
          <t>Sí</t>
        </is>
      </c>
      <c r="I618" s="18" t="inlineStr"/>
      <c r="J618" s="18" t="inlineStr"/>
      <c r="K618" s="18" t="inlineStr"/>
      <c r="L618" s="18" t="inlineStr">
        <is>
          <t>No</t>
        </is>
      </c>
      <c r="M618" s="18" t="inlineStr">
        <is>
          <t>No</t>
        </is>
      </c>
      <c r="N618" s="18" t="inlineStr"/>
      <c r="O618" s="18" t="inlineStr">
        <is>
          <t>idx_solicitud_pta_componentes_gin</t>
        </is>
      </c>
      <c r="P618" s="18" t="inlineStr">
        <is>
          <t>academic-work-plan-service/src/pta/entities/solicitud-pta.entity.ts:27: Componentes funcionales seleccionados por el docente: docencia, investigacion, extension y/o complementarias.</t>
        </is>
      </c>
      <c r="Q618" s="18" t="inlineStr">
        <is>
          <t>Código fuente</t>
        </is>
      </c>
      <c r="R618" s="18" t="inlineStr">
        <is>
          <t>Componentes funcionales del PTA seleccionados por el docente en la solicitud (docencia, investigacion, extension o complementarias), en formato JSON.</t>
        </is>
      </c>
      <c r="S618" s="18" t="inlineStr">
        <is>
          <t>Alta</t>
        </is>
      </c>
      <c r="T618" s="18" t="inlineStr">
        <is>
          <t>código: academic-work-plan-service/src/pta/entities/solicitud-pta.entity.ts:27</t>
        </is>
      </c>
      <c r="U618" s="18" t="inlineStr"/>
      <c r="V618" s="19" t="inlineStr">
        <is>
          <t>Aprobada</t>
        </is>
      </c>
      <c r="W618" s="19" t="inlineStr"/>
      <c r="X618" s="19" t="inlineStr">
        <is>
          <t>Aldair González (aprobación en bloque)</t>
        </is>
      </c>
      <c r="Y618" s="20" t="n">
        <v>46321</v>
      </c>
      <c r="Z618" s="19" t="inlineStr">
        <is>
          <t>Nivel 1: propuesta del comentario del desarrollador o de confianza alta, o regla de fecha/responsable/motivo.</t>
        </is>
      </c>
      <c r="AA618" s="18">
        <f>IF(OR(V618="Aprobada"),R618,IF(AND(OR(V618="Aprobada con ajuste",V618="Rechazada"),W618&lt;&gt;""),W618,""))</f>
        <v/>
      </c>
    </row>
    <row r="619">
      <c r="A619" s="18" t="inlineStr">
        <is>
          <t>C0618</t>
        </is>
      </c>
      <c r="B619" s="18" t="inlineStr">
        <is>
          <t>Plan de trabajo académico</t>
        </is>
      </c>
      <c r="C619" s="18" t="inlineStr">
        <is>
          <t>academic_work_plan</t>
        </is>
      </c>
      <c r="D619" s="18" t="inlineStr">
        <is>
          <t>SolicitudPTA</t>
        </is>
      </c>
      <c r="E619" s="18" t="n">
        <v>13</v>
      </c>
      <c r="F619" s="18" t="inlineStr">
        <is>
          <t>estadoPtaAnterior</t>
        </is>
      </c>
      <c r="G619" s="18" t="inlineStr">
        <is>
          <t>text</t>
        </is>
      </c>
      <c r="H619" s="18" t="inlineStr">
        <is>
          <t>Sí</t>
        </is>
      </c>
      <c r="I619" s="18" t="inlineStr"/>
      <c r="J619" s="18" t="inlineStr"/>
      <c r="K619" s="18" t="inlineStr"/>
      <c r="L619" s="18" t="inlineStr">
        <is>
          <t>No</t>
        </is>
      </c>
      <c r="M619" s="18" t="inlineStr">
        <is>
          <t>No</t>
        </is>
      </c>
      <c r="N619" s="18" t="inlineStr"/>
      <c r="O619" s="18" t="inlineStr"/>
      <c r="P619" s="18" t="inlineStr">
        <is>
          <t>academic-work-plan-service/src/pta/entities/solicitud-pta.entity.ts:42: Estado consolidado que tenía el PTA antes de autorizar su reapertura.</t>
        </is>
      </c>
      <c r="Q619" s="18" t="inlineStr">
        <is>
          <t>Código fuente</t>
        </is>
      </c>
      <c r="R619" s="18" t="inlineStr">
        <is>
          <t>Estado consolidado que tenía el PTA antes de autorizar su reapertura.</t>
        </is>
      </c>
      <c r="S619" s="18" t="inlineStr">
        <is>
          <t>Alta</t>
        </is>
      </c>
      <c r="T619" s="18" t="inlineStr">
        <is>
          <t>código: academic-work-plan-service/src/pta/entities/solicitud-pta.entity.ts:42</t>
        </is>
      </c>
      <c r="U619" s="18" t="inlineStr"/>
      <c r="V619" s="19" t="inlineStr">
        <is>
          <t>Aprobada</t>
        </is>
      </c>
      <c r="W619" s="19" t="inlineStr"/>
      <c r="X619" s="19" t="inlineStr">
        <is>
          <t>Aldair González (aprobación en bloque)</t>
        </is>
      </c>
      <c r="Y619" s="20" t="n">
        <v>46321</v>
      </c>
      <c r="Z619" s="19" t="inlineStr">
        <is>
          <t>Nivel 1: propuesta del comentario del desarrollador o de confianza alta, o regla de fecha/responsable/motivo.</t>
        </is>
      </c>
      <c r="AA619" s="18">
        <f>IF(OR(V619="Aprobada"),R619,IF(AND(OR(V619="Aprobada con ajuste",V619="Rechazada"),W619&lt;&gt;""),W619,""))</f>
        <v/>
      </c>
    </row>
    <row r="620">
      <c r="A620" s="18" t="inlineStr">
        <is>
          <t>C0619</t>
        </is>
      </c>
      <c r="B620" s="18" t="inlineStr">
        <is>
          <t>Plan de trabajo académico</t>
        </is>
      </c>
      <c r="C620" s="18" t="inlineStr">
        <is>
          <t>academic_work_plan</t>
        </is>
      </c>
      <c r="D620" s="18" t="inlineStr">
        <is>
          <t>Territorial</t>
        </is>
      </c>
      <c r="E620" s="18" t="n">
        <v>21</v>
      </c>
      <c r="F620" s="18" t="inlineStr">
        <is>
          <t>nombre</t>
        </is>
      </c>
      <c r="G620" s="18" t="inlineStr">
        <is>
          <t>text</t>
        </is>
      </c>
      <c r="H620" s="18" t="inlineStr">
        <is>
          <t>No</t>
        </is>
      </c>
      <c r="I620" s="18" t="inlineStr"/>
      <c r="J620" s="18" t="inlineStr"/>
      <c r="K620" s="18" t="inlineStr"/>
      <c r="L620" s="18" t="inlineStr">
        <is>
          <t>Sí</t>
        </is>
      </c>
      <c r="M620" s="18" t="inlineStr">
        <is>
          <t>Sí</t>
        </is>
      </c>
      <c r="N620" s="18" t="inlineStr">
        <is>
          <t>Vista control_interno.v_auditorias_kanban_completo</t>
        </is>
      </c>
      <c r="O620" s="18" t="inlineStr">
        <is>
          <t>Territorial_nombre_key</t>
        </is>
      </c>
      <c r="P620" s="18" t="inlineStr">
        <is>
          <t>Mapeada en academic-work-plan-service/src/pta/entities/territorial.entity.ts:9 (TerritorialEntity.nombre)</t>
        </is>
      </c>
      <c r="Q620" s="18" t="inlineStr">
        <is>
          <t>Regla estructural (redacción revisada)</t>
        </is>
      </c>
      <c r="R620" s="18" t="inlineStr">
        <is>
          <t>Nombre de la territorial.</t>
        </is>
      </c>
      <c r="S620" s="18" t="inlineStr">
        <is>
          <t>Alta</t>
        </is>
      </c>
      <c r="T620" s="18" t="inlineStr">
        <is>
          <t>Convención de nombre, redactada con el contexto de la tabla y el código.</t>
        </is>
      </c>
      <c r="U620" s="18" t="inlineStr"/>
      <c r="V620" s="19" t="inlineStr">
        <is>
          <t>Aprobada</t>
        </is>
      </c>
      <c r="W620" s="19" t="inlineStr"/>
      <c r="X620" s="19" t="inlineStr">
        <is>
          <t>Aldair González (aprobación en bloque)</t>
        </is>
      </c>
      <c r="Y620" s="20" t="n">
        <v>46321</v>
      </c>
      <c r="Z620" s="19" t="inlineStr">
        <is>
          <t>Nivel 2: regla estructural con redacción revisada.</t>
        </is>
      </c>
      <c r="AA620" s="18">
        <f>IF(OR(V620="Aprobada"),R620,IF(AND(OR(V620="Aprobada con ajuste",V620="Rechazada"),W620&lt;&gt;""),W620,""))</f>
        <v/>
      </c>
    </row>
    <row r="621">
      <c r="A621" s="18" t="inlineStr">
        <is>
          <t>C0620</t>
        </is>
      </c>
      <c r="B621" s="18" t="inlineStr">
        <is>
          <t>Plan de trabajo académico</t>
        </is>
      </c>
      <c r="C621" s="18" t="inlineStr">
        <is>
          <t>academic_work_plan</t>
        </is>
      </c>
      <c r="D621" s="18" t="inlineStr">
        <is>
          <t>Territorial</t>
        </is>
      </c>
      <c r="E621" s="18" t="n">
        <v>21</v>
      </c>
      <c r="F621" s="18" t="inlineStr">
        <is>
          <t>codigo</t>
        </is>
      </c>
      <c r="G621" s="18" t="inlineStr">
        <is>
          <t>text</t>
        </is>
      </c>
      <c r="H621" s="18" t="inlineStr">
        <is>
          <t>Sí</t>
        </is>
      </c>
      <c r="I621" s="18" t="inlineStr"/>
      <c r="J621" s="18" t="inlineStr"/>
      <c r="K621" s="18" t="inlineStr"/>
      <c r="L621" s="18" t="inlineStr">
        <is>
          <t>Sí</t>
        </is>
      </c>
      <c r="M621" s="18" t="inlineStr">
        <is>
          <t>Sí</t>
        </is>
      </c>
      <c r="N621" s="18" t="inlineStr">
        <is>
          <t>Vista control_interno.v_auditorias_kanban_completo</t>
        </is>
      </c>
      <c r="O621" s="18" t="inlineStr">
        <is>
          <t>Territorial_codigo_key</t>
        </is>
      </c>
      <c r="P621" s="18" t="inlineStr">
        <is>
          <t>Mapeada en academic-work-plan-service/src/pta/entities/territorial.entity.ts:12 (TerritorialEntity.codigo)</t>
        </is>
      </c>
      <c r="Q621" s="18" t="inlineStr">
        <is>
          <t>Regla estructural (redacción revisada)</t>
        </is>
      </c>
      <c r="R621" s="18" t="inlineStr">
        <is>
          <t>Código de la territorial.</t>
        </is>
      </c>
      <c r="S621" s="18" t="inlineStr">
        <is>
          <t>Alta</t>
        </is>
      </c>
      <c r="T621" s="18" t="inlineStr">
        <is>
          <t>Convención de nombre, redactada con el contexto de la tabla y el código.</t>
        </is>
      </c>
      <c r="U621" s="18" t="inlineStr"/>
      <c r="V621" s="19" t="inlineStr">
        <is>
          <t>Aprobada</t>
        </is>
      </c>
      <c r="W621" s="19" t="inlineStr"/>
      <c r="X621" s="19" t="inlineStr">
        <is>
          <t>Aldair González (aprobación en bloque)</t>
        </is>
      </c>
      <c r="Y621" s="20" t="n">
        <v>46321</v>
      </c>
      <c r="Z621" s="19" t="inlineStr">
        <is>
          <t>Nivel 2: regla estructural con redacción revisada.</t>
        </is>
      </c>
      <c r="AA621" s="18">
        <f>IF(OR(V621="Aprobada"),R621,IF(AND(OR(V621="Aprobada con ajuste",V621="Rechazada"),W621&lt;&gt;""),W621,""))</f>
        <v/>
      </c>
    </row>
    <row r="622">
      <c r="A622" s="18" t="inlineStr">
        <is>
          <t>C0621</t>
        </is>
      </c>
      <c r="B622" s="18" t="inlineStr">
        <is>
          <t>Plan de trabajo académico</t>
        </is>
      </c>
      <c r="C622" s="18" t="inlineStr">
        <is>
          <t>academic_work_plan</t>
        </is>
      </c>
      <c r="D622" s="18" t="inlineStr">
        <is>
          <t>ubicacion_semestral</t>
        </is>
      </c>
      <c r="E622" s="18" t="n">
        <v>16</v>
      </c>
      <c r="F622" s="18" t="inlineStr">
        <is>
          <t>codigo</t>
        </is>
      </c>
      <c r="G622" s="18" t="inlineStr">
        <is>
          <t>character varying(10)</t>
        </is>
      </c>
      <c r="H622" s="18" t="inlineStr">
        <is>
          <t>No</t>
        </is>
      </c>
      <c r="I622" s="18" t="inlineStr">
        <is>
          <t>Única</t>
        </is>
      </c>
      <c r="J622" s="18" t="inlineStr"/>
      <c r="K622" s="18" t="inlineStr"/>
      <c r="L622" s="18" t="inlineStr">
        <is>
          <t>Sí</t>
        </is>
      </c>
      <c r="M622" s="18" t="inlineStr">
        <is>
          <t>No</t>
        </is>
      </c>
      <c r="N622" s="18" t="inlineStr"/>
      <c r="O622" s="18" t="inlineStr">
        <is>
          <t>ubicacion_semestral_codigo_key</t>
        </is>
      </c>
      <c r="P622" s="18" t="inlineStr">
        <is>
          <t>Mapeada en academic-work-plan-service/src/pta/entities/ubicacion-semestral.entity.ts:8 (UbicacionSemestralEntity.codigo)</t>
        </is>
      </c>
      <c r="Q622" s="18" t="inlineStr">
        <is>
          <t>Regla estructural (redacción revisada)</t>
        </is>
      </c>
      <c r="R622" s="18" t="inlineStr">
        <is>
          <t>Código de la ubicación semestral, único en la tabla.</t>
        </is>
      </c>
      <c r="S622" s="18" t="inlineStr">
        <is>
          <t>Alta</t>
        </is>
      </c>
      <c r="T622" s="18" t="inlineStr">
        <is>
          <t>Convención de nombre, redactada con el contexto de la tabla y el código.</t>
        </is>
      </c>
      <c r="U622" s="18" t="inlineStr"/>
      <c r="V622" s="19" t="inlineStr">
        <is>
          <t>Aprobada</t>
        </is>
      </c>
      <c r="W622" s="19" t="inlineStr"/>
      <c r="X622" s="19" t="inlineStr">
        <is>
          <t>Aldair González (aprobación en bloque)</t>
        </is>
      </c>
      <c r="Y622" s="20" t="n">
        <v>46321</v>
      </c>
      <c r="Z622" s="19" t="inlineStr">
        <is>
          <t>Nivel 2: regla estructural con redacción revisada.</t>
        </is>
      </c>
      <c r="AA622" s="18">
        <f>IF(OR(V622="Aprobada"),R622,IF(AND(OR(V622="Aprobada con ajuste",V622="Rechazada"),W622&lt;&gt;""),W622,""))</f>
        <v/>
      </c>
    </row>
    <row r="623">
      <c r="A623" s="18" t="inlineStr">
        <is>
          <t>C0622</t>
        </is>
      </c>
      <c r="B623" s="18" t="inlineStr">
        <is>
          <t>Plan de trabajo académico</t>
        </is>
      </c>
      <c r="C623" s="18" t="inlineStr">
        <is>
          <t>academic_work_plan</t>
        </is>
      </c>
      <c r="D623" s="18" t="inlineStr">
        <is>
          <t>ubicacion_semestral</t>
        </is>
      </c>
      <c r="E623" s="18" t="n">
        <v>16</v>
      </c>
      <c r="F623" s="18" t="inlineStr">
        <is>
          <t>etiqueta</t>
        </is>
      </c>
      <c r="G623" s="18" t="inlineStr">
        <is>
          <t>character varying(30)</t>
        </is>
      </c>
      <c r="H623" s="18" t="inlineStr">
        <is>
          <t>No</t>
        </is>
      </c>
      <c r="I623" s="18" t="inlineStr">
        <is>
          <t>Única</t>
        </is>
      </c>
      <c r="J623" s="18" t="inlineStr"/>
      <c r="K623" s="18" t="inlineStr"/>
      <c r="L623" s="18" t="inlineStr">
        <is>
          <t>Sí</t>
        </is>
      </c>
      <c r="M623" s="18" t="inlineStr">
        <is>
          <t>No</t>
        </is>
      </c>
      <c r="N623" s="18" t="inlineStr"/>
      <c r="O623" s="18" t="inlineStr">
        <is>
          <t>ubicacion_semestral_etiqueta_key</t>
        </is>
      </c>
      <c r="P623" s="18" t="inlineStr">
        <is>
          <t>Mapeada en academic-work-plan-service/src/pta/entities/ubicacion-semestral.entity.ts:11 (UbicacionSemestralEntity.etiqueta)</t>
        </is>
      </c>
      <c r="Q623" s="18" t="inlineStr">
        <is>
          <t>Propuesta semántica</t>
        </is>
      </c>
      <c r="R623" s="18" t="inlineStr">
        <is>
          <t>Texto con el que se muestra el semestre del plan de estudios; es único en la tabla.</t>
        </is>
      </c>
      <c r="S623" s="18" t="inlineStr">
        <is>
          <t>Alta</t>
        </is>
      </c>
      <c r="T623" s="18" t="inlineStr">
        <is>
          <t>documentación de la entidad + restricción única</t>
        </is>
      </c>
      <c r="U623" s="18" t="inlineStr"/>
      <c r="V623" s="19" t="inlineStr">
        <is>
          <t>Aprobada</t>
        </is>
      </c>
      <c r="W623" s="19" t="inlineStr"/>
      <c r="X623" s="19" t="inlineStr">
        <is>
          <t>Aldair González (aprobación en bloque)</t>
        </is>
      </c>
      <c r="Y623" s="20" t="n">
        <v>46321</v>
      </c>
      <c r="Z623" s="19" t="inlineStr">
        <is>
          <t>Nivel 1: propuesta del comentario del desarrollador o de confianza alta, o regla de fecha/responsable/motivo.</t>
        </is>
      </c>
      <c r="AA623" s="18">
        <f>IF(OR(V623="Aprobada"),R623,IF(AND(OR(V623="Aprobada con ajuste",V623="Rechazada"),W623&lt;&gt;""),W623,""))</f>
        <v/>
      </c>
    </row>
    <row r="624">
      <c r="A624" s="18" t="inlineStr">
        <is>
          <t>C0623</t>
        </is>
      </c>
      <c r="B624" s="18" t="inlineStr">
        <is>
          <t>Plan de trabajo académico</t>
        </is>
      </c>
      <c r="C624" s="18" t="inlineStr">
        <is>
          <t>academic_work_plan</t>
        </is>
      </c>
      <c r="D624" s="18" t="inlineStr">
        <is>
          <t>ubicacion_semestral</t>
        </is>
      </c>
      <c r="E624" s="18" t="n">
        <v>16</v>
      </c>
      <c r="F624" s="18" t="inlineStr">
        <is>
          <t>tipo_programa</t>
        </is>
      </c>
      <c r="G624" s="18" t="inlineStr">
        <is>
          <t>character varying(20)</t>
        </is>
      </c>
      <c r="H624" s="18" t="inlineStr">
        <is>
          <t>No</t>
        </is>
      </c>
      <c r="I624" s="18" t="inlineStr">
        <is>
          <t>CHECK</t>
        </is>
      </c>
      <c r="J624" s="18" t="inlineStr">
        <is>
          <t>posgrado, pregrado</t>
        </is>
      </c>
      <c r="K624" s="18" t="inlineStr"/>
      <c r="L624" s="18" t="inlineStr">
        <is>
          <t>Sí</t>
        </is>
      </c>
      <c r="M624" s="18" t="inlineStr">
        <is>
          <t>No</t>
        </is>
      </c>
      <c r="N624" s="18" t="inlineStr"/>
      <c r="O624" s="18" t="inlineStr"/>
      <c r="P624" s="18" t="inlineStr">
        <is>
          <t>academic-work-plan-service/src/pta/entities/ubicacion-semestral.entity.ts:14: 'pregrado' | 'posgrado' | academic-schedule-service/src/catalogo/entities/ubicacion-semestral.readonly.entity.ts:19: 'pregrado' | 'posgrado'</t>
        </is>
      </c>
      <c r="Q624" s="18" t="inlineStr">
        <is>
          <t>Código fuente</t>
        </is>
      </c>
      <c r="R624" s="18" t="inlineStr">
        <is>
          <t>Tipo de programa al que corresponde la ubicación semestral. Valores permitidos: pregrado, posgrado.</t>
        </is>
      </c>
      <c r="S624" s="18" t="inlineStr">
        <is>
          <t>Alta</t>
        </is>
      </c>
      <c r="T624" s="18" t="inlineStr">
        <is>
          <t>código: academic-work-plan-service/src/pta/entities/ubicacion-semestral.entity.ts:14</t>
        </is>
      </c>
      <c r="U624" s="18" t="inlineStr"/>
      <c r="V624" s="19" t="inlineStr">
        <is>
          <t>Aprobada</t>
        </is>
      </c>
      <c r="W624" s="19" t="inlineStr"/>
      <c r="X624" s="19" t="inlineStr">
        <is>
          <t>Aldair González (aprobación en bloque)</t>
        </is>
      </c>
      <c r="Y624" s="20" t="n">
        <v>46321</v>
      </c>
      <c r="Z624" s="19" t="inlineStr">
        <is>
          <t>Nivel 1: propuesta del comentario del desarrollador o de confianza alta, o regla de fecha/responsable/motivo.</t>
        </is>
      </c>
      <c r="AA624" s="18">
        <f>IF(OR(V624="Aprobada"),R624,IF(AND(OR(V624="Aprobada con ajuste",V624="Rechazada"),W624&lt;&gt;""),W624,""))</f>
        <v/>
      </c>
    </row>
    <row r="625">
      <c r="A625" s="18" t="inlineStr">
        <is>
          <t>C0624</t>
        </is>
      </c>
      <c r="B625" s="18" t="inlineStr">
        <is>
          <t>Plan de trabajo académico</t>
        </is>
      </c>
      <c r="C625" s="18" t="inlineStr">
        <is>
          <t>academic_work_plan</t>
        </is>
      </c>
      <c r="D625" s="18" t="inlineStr">
        <is>
          <t>ubicacion_semestral</t>
        </is>
      </c>
      <c r="E625" s="18" t="n">
        <v>16</v>
      </c>
      <c r="F625" s="18" t="inlineStr">
        <is>
          <t>orden</t>
        </is>
      </c>
      <c r="G625" s="18" t="inlineStr">
        <is>
          <t>smallint</t>
        </is>
      </c>
      <c r="H625" s="18" t="inlineStr">
        <is>
          <t>No</t>
        </is>
      </c>
      <c r="I625" s="18" t="inlineStr"/>
      <c r="J625" s="18" t="inlineStr"/>
      <c r="K625" s="18" t="inlineStr"/>
      <c r="L625" s="18" t="inlineStr">
        <is>
          <t>Sí</t>
        </is>
      </c>
      <c r="M625" s="18" t="inlineStr">
        <is>
          <t>No</t>
        </is>
      </c>
      <c r="N625" s="18" t="inlineStr"/>
      <c r="O625" s="18" t="inlineStr"/>
      <c r="P625" s="18" t="inlineStr">
        <is>
          <t>Mapeada en academic-work-plan-service/src/pta/entities/ubicacion-semestral.entity.ts:17 (UbicacionSemestralEntity.orden)</t>
        </is>
      </c>
      <c r="Q625" s="18" t="inlineStr">
        <is>
          <t>Regla estructural (redacción revisada)</t>
        </is>
      </c>
      <c r="R625" s="18" t="inlineStr">
        <is>
          <t>Posición de la ubicación semestral en el ordenamiento.</t>
        </is>
      </c>
      <c r="S625" s="18" t="inlineStr">
        <is>
          <t>Alta</t>
        </is>
      </c>
      <c r="T625" s="18" t="inlineStr">
        <is>
          <t>Convención de nombre, redactada con el contexto de la tabla y el código.</t>
        </is>
      </c>
      <c r="U625" s="18" t="inlineStr"/>
      <c r="V625" s="19" t="inlineStr">
        <is>
          <t>Aprobada</t>
        </is>
      </c>
      <c r="W625" s="19" t="inlineStr"/>
      <c r="X625" s="19" t="inlineStr">
        <is>
          <t>Aldair González (aprobación en bloque)</t>
        </is>
      </c>
      <c r="Y625" s="20" t="n">
        <v>46321</v>
      </c>
      <c r="Z625" s="19" t="inlineStr">
        <is>
          <t>Nivel 2: regla estructural con redacción revisada.</t>
        </is>
      </c>
      <c r="AA625" s="18">
        <f>IF(OR(V625="Aprobada"),R625,IF(AND(OR(V625="Aprobada con ajuste",V625="Rechazada"),W625&lt;&gt;""),W625,""))</f>
        <v/>
      </c>
    </row>
    <row r="626">
      <c r="A626" s="18" t="inlineStr">
        <is>
          <t>C0625</t>
        </is>
      </c>
      <c r="B626" s="18" t="inlineStr">
        <is>
          <t>Plan de trabajo académico</t>
        </is>
      </c>
      <c r="C626" s="18" t="inlineStr">
        <is>
          <t>academic_work_plan</t>
        </is>
      </c>
      <c r="D626" s="18" t="inlineStr">
        <is>
          <t>Usuario</t>
        </is>
      </c>
      <c r="E626" s="18" t="n">
        <v>283</v>
      </c>
      <c r="F626" s="18" t="inlineStr">
        <is>
          <t>email</t>
        </is>
      </c>
      <c r="G626" s="18" t="inlineStr">
        <is>
          <t>text</t>
        </is>
      </c>
      <c r="H626" s="18" t="inlineStr">
        <is>
          <t>No</t>
        </is>
      </c>
      <c r="I626" s="18" t="inlineStr"/>
      <c r="J626" s="18" t="inlineStr"/>
      <c r="K626" s="18" t="inlineStr"/>
      <c r="L626" s="18" t="inlineStr">
        <is>
          <t>No</t>
        </is>
      </c>
      <c r="M626" s="18" t="inlineStr">
        <is>
          <t>No</t>
        </is>
      </c>
      <c r="N626" s="18" t="inlineStr"/>
      <c r="O626" s="18" t="inlineStr">
        <is>
          <t>Usuario_email_key</t>
        </is>
      </c>
      <c r="P626" s="18" t="inlineStr">
        <is>
          <t>Mapeada en academic-work-plan-service/src/pta/entities/usuario.entity.ts:8 (UsuarioEntity.email)</t>
        </is>
      </c>
      <c r="Q626" s="18" t="inlineStr">
        <is>
          <t>Regla estructural (redacción revisada)</t>
        </is>
      </c>
      <c r="R626" s="18" t="inlineStr">
        <is>
          <t>Correo electrónico del usuario.</t>
        </is>
      </c>
      <c r="S626" s="18" t="inlineStr">
        <is>
          <t>Alta</t>
        </is>
      </c>
      <c r="T626" s="18" t="inlineStr">
        <is>
          <t>Convención de nombre, redactada con el contexto de la tabla y el código.</t>
        </is>
      </c>
      <c r="U626" s="18" t="inlineStr"/>
      <c r="V626" s="19" t="inlineStr">
        <is>
          <t>Aprobada</t>
        </is>
      </c>
      <c r="W626" s="19" t="inlineStr"/>
      <c r="X626" s="19" t="inlineStr">
        <is>
          <t>Aldair González (aprobación en bloque)</t>
        </is>
      </c>
      <c r="Y626" s="20" t="n">
        <v>46321</v>
      </c>
      <c r="Z626" s="19" t="inlineStr">
        <is>
          <t>Nivel 2: regla estructural con redacción revisada.</t>
        </is>
      </c>
      <c r="AA626" s="18">
        <f>IF(OR(V626="Aprobada"),R626,IF(AND(OR(V626="Aprobada con ajuste",V626="Rechazada"),W626&lt;&gt;""),W626,""))</f>
        <v/>
      </c>
    </row>
    <row r="627">
      <c r="A627" s="18" t="inlineStr">
        <is>
          <t>C0626</t>
        </is>
      </c>
      <c r="B627" s="18" t="inlineStr">
        <is>
          <t>Plan de trabajo académico</t>
        </is>
      </c>
      <c r="C627" s="18" t="inlineStr">
        <is>
          <t>academic_work_plan</t>
        </is>
      </c>
      <c r="D627" s="18" t="inlineStr">
        <is>
          <t>Usuario</t>
        </is>
      </c>
      <c r="E627" s="18" t="n">
        <v>283</v>
      </c>
      <c r="F627" s="18" t="inlineStr">
        <is>
          <t>password</t>
        </is>
      </c>
      <c r="G627" s="18" t="inlineStr">
        <is>
          <t>text</t>
        </is>
      </c>
      <c r="H627" s="18" t="inlineStr">
        <is>
          <t>No</t>
        </is>
      </c>
      <c r="I627" s="18" t="inlineStr"/>
      <c r="J627" s="18" t="inlineStr"/>
      <c r="K627" s="18" t="inlineStr"/>
      <c r="L627" s="18" t="inlineStr">
        <is>
          <t>No</t>
        </is>
      </c>
      <c r="M627" s="18" t="inlineStr">
        <is>
          <t>No</t>
        </is>
      </c>
      <c r="N627" s="18" t="inlineStr"/>
      <c r="O627" s="18" t="inlineStr"/>
      <c r="P627" s="18" t="inlineStr">
        <is>
          <t>Mapeada en academic-work-plan-service/src/pta/entities/usuario.entity.ts:11 (UsuarioEntity.password)</t>
        </is>
      </c>
      <c r="Q627" s="18" t="inlineStr">
        <is>
          <t>Código fuente (verificado)</t>
        </is>
      </c>
      <c r="R627" s="18" t="inlineStr">
        <is>
          <t>Campo de contraseña de la tabla de usuarios del plan de trabajo; el servicio lo llena con el valor fijo «N/A» al autoaprovisionar docentes y no lo usa para autenticar, que se hace con el token contra auth."user".</t>
        </is>
      </c>
      <c r="S627" s="18" t="inlineStr">
        <is>
          <t>Media</t>
        </is>
      </c>
      <c r="T627" s="18" t="inlineStr">
        <is>
          <t>academic-work-plan-service/src/pta/pta.service.ts:1325: password = N/A al autoaprovisionar | academic-work-plan-service/src/pta/banco-docentes/banco-docentes.service.ts:1661: el hash bcrypt se guarda en auth."user".password_hash | academic-work-plan-service/src/pta/auth/pta-auth.guard.ts:70: la sesión se toma del token</t>
        </is>
      </c>
      <c r="U627" s="18" t="inlineStr">
        <is>
          <t>¿Los registros heredados de Usuario tienen contraseñas reales y con qué hash? ¿La tabla se mantiene solo por compatibilidad?</t>
        </is>
      </c>
      <c r="V627" s="19" t="inlineStr">
        <is>
          <t>Aprobada</t>
        </is>
      </c>
      <c r="W627" s="19" t="inlineStr"/>
      <c r="X627" s="19" t="inlineStr">
        <is>
          <t>Aldair González (validación del responsable de BD)</t>
        </is>
      </c>
      <c r="Y627" s="20" t="n">
        <v>46321</v>
      </c>
      <c r="Z627" s="19" t="inlineStr">
        <is>
          <t>Nivel 3: validada por decisión del responsable de la base de datos. Pregunta registrada para desarrollo: ¿Los registros heredados de Usuario tienen contraseñas reales y con qué hash? ¿La tabla se mantiene solo por compatibilidad?</t>
        </is>
      </c>
      <c r="AA627" s="18">
        <f>IF(OR(V627="Aprobada"),R627,IF(AND(OR(V627="Aprobada con ajuste",V627="Rechazada"),W627&lt;&gt;""),W627,""))</f>
        <v/>
      </c>
    </row>
    <row r="628">
      <c r="A628" s="18" t="inlineStr">
        <is>
          <t>C0627</t>
        </is>
      </c>
      <c r="B628" s="18" t="inlineStr">
        <is>
          <t>Plan de trabajo académico</t>
        </is>
      </c>
      <c r="C628" s="18" t="inlineStr">
        <is>
          <t>academic_work_plan</t>
        </is>
      </c>
      <c r="D628" s="18" t="inlineStr">
        <is>
          <t>Usuario</t>
        </is>
      </c>
      <c r="E628" s="18" t="n">
        <v>283</v>
      </c>
      <c r="F628" s="18" t="inlineStr">
        <is>
          <t>nombre</t>
        </is>
      </c>
      <c r="G628" s="18" t="inlineStr">
        <is>
          <t>text</t>
        </is>
      </c>
      <c r="H628" s="18" t="inlineStr">
        <is>
          <t>Sí</t>
        </is>
      </c>
      <c r="I628" s="18" t="inlineStr"/>
      <c r="J628" s="18" t="inlineStr"/>
      <c r="K628" s="18" t="inlineStr"/>
      <c r="L628" s="18" t="inlineStr">
        <is>
          <t>No</t>
        </is>
      </c>
      <c r="M628" s="18" t="inlineStr">
        <is>
          <t>No</t>
        </is>
      </c>
      <c r="N628" s="18" t="inlineStr"/>
      <c r="O628" s="18" t="inlineStr"/>
      <c r="P628" s="18" t="inlineStr">
        <is>
          <t>Mapeada en academic-work-plan-service/src/pta/entities/usuario.entity.ts:14 (UsuarioEntity.nombre)</t>
        </is>
      </c>
      <c r="Q628" s="18" t="inlineStr">
        <is>
          <t>Regla estructural (redacción revisada)</t>
        </is>
      </c>
      <c r="R628" s="18" t="inlineStr">
        <is>
          <t>Nombre del usuario.</t>
        </is>
      </c>
      <c r="S628" s="18" t="inlineStr">
        <is>
          <t>Alta</t>
        </is>
      </c>
      <c r="T628" s="18" t="inlineStr">
        <is>
          <t>Convención de nombre, redactada con el contexto de la tabla y el código.</t>
        </is>
      </c>
      <c r="U628" s="18" t="inlineStr"/>
      <c r="V628" s="19" t="inlineStr">
        <is>
          <t>Aprobada</t>
        </is>
      </c>
      <c r="W628" s="19" t="inlineStr"/>
      <c r="X628" s="19" t="inlineStr">
        <is>
          <t>Aldair González (aprobación en bloque)</t>
        </is>
      </c>
      <c r="Y628" s="20" t="n">
        <v>46321</v>
      </c>
      <c r="Z628" s="19" t="inlineStr">
        <is>
          <t>Nivel 2: regla estructural con redacción revisada.</t>
        </is>
      </c>
      <c r="AA628" s="18">
        <f>IF(OR(V628="Aprobada"),R628,IF(AND(OR(V628="Aprobada con ajuste",V628="Rechazada"),W628&lt;&gt;""),W628,""))</f>
        <v/>
      </c>
    </row>
    <row r="629">
      <c r="A629" s="18" t="inlineStr">
        <is>
          <t>C0628</t>
        </is>
      </c>
      <c r="B629" s="18" t="inlineStr">
        <is>
          <t>Plan de trabajo académico</t>
        </is>
      </c>
      <c r="C629" s="18" t="inlineStr">
        <is>
          <t>academic_work_plan</t>
        </is>
      </c>
      <c r="D629" s="18" t="inlineStr">
        <is>
          <t>Usuario</t>
        </is>
      </c>
      <c r="E629" s="18" t="n">
        <v>283</v>
      </c>
      <c r="F629" s="18" t="inlineStr">
        <is>
          <t>activo</t>
        </is>
      </c>
      <c r="G629" s="18" t="inlineStr">
        <is>
          <t>boolean</t>
        </is>
      </c>
      <c r="H629" s="18" t="inlineStr">
        <is>
          <t>No</t>
        </is>
      </c>
      <c r="I629" s="18" t="inlineStr"/>
      <c r="J629" s="18" t="inlineStr"/>
      <c r="K629" s="18" t="inlineStr"/>
      <c r="L629" s="18" t="inlineStr">
        <is>
          <t>No</t>
        </is>
      </c>
      <c r="M629" s="18" t="inlineStr">
        <is>
          <t>No</t>
        </is>
      </c>
      <c r="N629" s="18" t="inlineStr"/>
      <c r="O629" s="18" t="inlineStr"/>
      <c r="P629" s="18" t="inlineStr">
        <is>
          <t>Mapeada en academic-work-plan-service/src/pta/entities/usuario.entity.ts:17 (UsuarioEntity.activo)</t>
        </is>
      </c>
      <c r="Q629" s="18" t="inlineStr">
        <is>
          <t>Regla estructural (redacción revisada)</t>
        </is>
      </c>
      <c r="R629" s="18" t="inlineStr">
        <is>
          <t>Indica si el usuario está activo.</t>
        </is>
      </c>
      <c r="S629" s="18" t="inlineStr">
        <is>
          <t>Alta</t>
        </is>
      </c>
      <c r="T629" s="18" t="inlineStr">
        <is>
          <t>Convención de nombre, redactada con el contexto de la tabla y el código.</t>
        </is>
      </c>
      <c r="U629" s="18" t="inlineStr"/>
      <c r="V629" s="19" t="inlineStr">
        <is>
          <t>Aprobada</t>
        </is>
      </c>
      <c r="W629" s="19" t="inlineStr"/>
      <c r="X629" s="19" t="inlineStr">
        <is>
          <t>Aldair González (aprobación en bloque)</t>
        </is>
      </c>
      <c r="Y629" s="20" t="n">
        <v>46321</v>
      </c>
      <c r="Z629" s="19" t="inlineStr">
        <is>
          <t>Nivel 2: regla estructural con redacción revisada.</t>
        </is>
      </c>
      <c r="AA629" s="18">
        <f>IF(OR(V629="Aprobada"),R629,IF(AND(OR(V629="Aprobada con ajuste",V629="Rechazada"),W629&lt;&gt;""),W629,""))</f>
        <v/>
      </c>
    </row>
    <row r="630">
      <c r="A630" s="18" t="inlineStr">
        <is>
          <t>C0629</t>
        </is>
      </c>
      <c r="B630" s="18" t="inlineStr">
        <is>
          <t>Plan de trabajo académico</t>
        </is>
      </c>
      <c r="C630" s="18" t="inlineStr">
        <is>
          <t>academic_work_plan</t>
        </is>
      </c>
      <c r="D630" s="18" t="inlineStr">
        <is>
          <t>validacion_documental</t>
        </is>
      </c>
      <c r="E630" s="18" t="n">
        <v>12000</v>
      </c>
      <c r="F630" s="18" t="inlineStr">
        <is>
          <t>campo_rund</t>
        </is>
      </c>
      <c r="G630" s="18" t="inlineStr">
        <is>
          <t>character varying(100)</t>
        </is>
      </c>
      <c r="H630" s="18" t="inlineStr">
        <is>
          <t>No</t>
        </is>
      </c>
      <c r="I630" s="18" t="inlineStr"/>
      <c r="J630" s="18" t="inlineStr"/>
      <c r="K630" s="18" t="inlineStr"/>
      <c r="L630" s="18" t="inlineStr">
        <is>
          <t>No</t>
        </is>
      </c>
      <c r="M630" s="18" t="inlineStr">
        <is>
          <t>No</t>
        </is>
      </c>
      <c r="N630" s="18" t="inlineStr"/>
      <c r="O630" s="18" t="inlineStr">
        <is>
          <t>uq_docente_campo</t>
        </is>
      </c>
      <c r="P630" s="18" t="inlineStr"/>
      <c r="Q630" s="18" t="inlineStr">
        <is>
          <t>Código fuente (verificado)</t>
        </is>
      </c>
      <c r="R630" s="18" t="inlineStr">
        <is>
          <t>Campo del RUND al que corresponde el documento de soporte del docente. Valores posibles: DOCUMENTO_IDENTIDAD, TIPO_DOCUMENTO, NOMBRE_COMPLETO, FECHA_NACIMIENTO, GENERO, CORREO_INSTITUCIONAL, VINCULACION, TERRITORIAL, DEDICACION, CATEGORIA_ESCALAFON, INICIO_VINCULACION, FIN_VINCULACION, ACTO_ADMINISTRATIVO, PUNTAJE_SALARIAL, SITUACION_ADMINISTRATIVA, NIVEL_FORMACION, TITULO_PREGRADO, TITULO_ESPECIALIZACION, TITULO_MAESTRIA, TITULO_DOCTORADO, TITULO_POSDOCTORADO, NUCLEO_TEMATICO, PERFIL_ACADEMICO y ULTIMA_EVALUACION. Es único por docente.</t>
        </is>
      </c>
      <c r="S630" s="18" t="inlineStr">
        <is>
          <t>Alta</t>
        </is>
      </c>
      <c r="T630" s="18" t="inlineStr">
        <is>
          <t>backend/academic-work-plan-service/src/pta/pta.service.ts:11610: lista camposSoporte con los campos y su tipo de soporte | backend/academic-work-plan-service/src/pta/pta.service.ts:11639: se insertan con estado «Sin cargar» | db/migrations/328_create_validacion_documental.sql:18: UNIQUE (docente_id, campo_rund) | backend/academic-work-plan-service/src/pta/pta.service.ts:5009: campos críticos para aprobar el RUND</t>
        </is>
      </c>
      <c r="U630" s="18" t="inlineStr"/>
      <c r="V630" s="19" t="inlineStr">
        <is>
          <t>Aprobada</t>
        </is>
      </c>
      <c r="W630" s="19" t="inlineStr"/>
      <c r="X630" s="19" t="inlineStr">
        <is>
          <t>Aldair González (aprobación en bloque)</t>
        </is>
      </c>
      <c r="Y630" s="20" t="n">
        <v>46321</v>
      </c>
      <c r="Z630" s="19" t="inlineStr">
        <is>
          <t>Nivel 3: verificada con el código de la aplicación.</t>
        </is>
      </c>
      <c r="AA630" s="18">
        <f>IF(OR(V630="Aprobada"),R630,IF(AND(OR(V630="Aprobada con ajuste",V630="Rechazada"),W630&lt;&gt;""),W630,""))</f>
        <v/>
      </c>
    </row>
    <row r="631">
      <c r="A631" s="18" t="inlineStr">
        <is>
          <t>C0630</t>
        </is>
      </c>
      <c r="B631" s="18" t="inlineStr">
        <is>
          <t>Plan de trabajo académico</t>
        </is>
      </c>
      <c r="C631" s="18" t="inlineStr">
        <is>
          <t>academic_work_plan</t>
        </is>
      </c>
      <c r="D631" s="18" t="inlineStr">
        <is>
          <t>validacion_documental</t>
        </is>
      </c>
      <c r="E631" s="18" t="n">
        <v>12000</v>
      </c>
      <c r="F631" s="18" t="inlineStr">
        <is>
          <t>tipo_documento_soporte</t>
        </is>
      </c>
      <c r="G631" s="18" t="inlineStr">
        <is>
          <t>character varying(100)</t>
        </is>
      </c>
      <c r="H631" s="18" t="inlineStr">
        <is>
          <t>No</t>
        </is>
      </c>
      <c r="I631" s="18" t="inlineStr"/>
      <c r="J631" s="18" t="inlineStr"/>
      <c r="K631" s="18" t="inlineStr"/>
      <c r="L631" s="18" t="inlineStr">
        <is>
          <t>No</t>
        </is>
      </c>
      <c r="M631" s="18" t="inlineStr">
        <is>
          <t>No</t>
        </is>
      </c>
      <c r="N631" s="18" t="inlineStr"/>
      <c r="O631" s="18" t="inlineStr"/>
      <c r="P631" s="18" t="inlineStr"/>
      <c r="Q631" s="18" t="inlineStr">
        <is>
          <t>Código fuente (verificado)</t>
        </is>
      </c>
      <c r="R631" s="18" t="inlineStr">
        <is>
          <t>Grupo de soporte documental que exige el campo del RUND: IDENTIDAD, CONTACTO, VINCULACION, ESCALAFON, SITUACION, FORMACION o EVALUACION. Es un código fijo del servicio, no se relaciona con auth.tipo_documento.</t>
        </is>
      </c>
      <c r="S631" s="18" t="inlineStr">
        <is>
          <t>Alta</t>
        </is>
      </c>
      <c r="T631" s="18" t="inlineStr">
        <is>
          <t>backend/academic-work-plan-service/src/pta/pta.service.ts:11610: cada campo RUND tiene su tipo fijo | backend/academic-work-plan-service/src/pta/pta.service.ts:11698: catMap convierte la categoría del documento de la carpeta digital en el tipo de soporte | backend/academic-work-plan-service/src/pta/pta.service.ts:11740: la sincronización actualiza las filas por tipo_documento_soporte</t>
        </is>
      </c>
      <c r="U631" s="18" t="inlineStr"/>
      <c r="V631" s="19" t="inlineStr">
        <is>
          <t>Aprobada</t>
        </is>
      </c>
      <c r="W631" s="19" t="inlineStr"/>
      <c r="X631" s="19" t="inlineStr">
        <is>
          <t>Aldair González (aprobación en bloque)</t>
        </is>
      </c>
      <c r="Y631" s="20" t="n">
        <v>46321</v>
      </c>
      <c r="Z631" s="19" t="inlineStr">
        <is>
          <t>Nivel 3: verificada con el código de la aplicación.</t>
        </is>
      </c>
      <c r="AA631" s="18">
        <f>IF(OR(V631="Aprobada"),R631,IF(AND(OR(V631="Aprobada con ajuste",V631="Rechazada"),W631&lt;&gt;""),W631,""))</f>
        <v/>
      </c>
    </row>
    <row r="632">
      <c r="A632" s="18" t="inlineStr">
        <is>
          <t>C0631</t>
        </is>
      </c>
      <c r="B632" s="18" t="inlineStr">
        <is>
          <t>Plan de trabajo académico</t>
        </is>
      </c>
      <c r="C632" s="18" t="inlineStr">
        <is>
          <t>academic_work_plan</t>
        </is>
      </c>
      <c r="D632" s="18" t="inlineStr">
        <is>
          <t>validacion_documental</t>
        </is>
      </c>
      <c r="E632" s="18" t="n">
        <v>12000</v>
      </c>
      <c r="F632" s="18" t="inlineStr">
        <is>
          <t>id_documento_carpeta</t>
        </is>
      </c>
      <c r="G632" s="18" t="inlineStr">
        <is>
          <t>text</t>
        </is>
      </c>
      <c r="H632" s="18" t="inlineStr">
        <is>
          <t>Sí</t>
        </is>
      </c>
      <c r="I632" s="18" t="inlineStr"/>
      <c r="J632" s="18" t="inlineStr"/>
      <c r="K632" s="18" t="inlineStr"/>
      <c r="L632" s="18" t="inlineStr">
        <is>
          <t>No</t>
        </is>
      </c>
      <c r="M632" s="18" t="inlineStr">
        <is>
          <t>No</t>
        </is>
      </c>
      <c r="N632" s="18" t="inlineStr"/>
      <c r="O632" s="18" t="inlineStr"/>
      <c r="P632" s="18" t="inlineStr"/>
      <c r="Q632" s="18" t="inlineStr">
        <is>
          <t>Código fuente (verificado)</t>
        </is>
      </c>
      <c r="R632" s="18" t="inlineStr">
        <is>
          <t>Identificador del documento de la carpeta digital (auth.documento_carpeta_digital.id_documento, UUID) que soporta el campo; se guarda como texto y sin FK porque está en otro esquema. Lo asigna la sincronización de documentos del RUND.</t>
        </is>
      </c>
      <c r="S632" s="18" t="inlineStr">
        <is>
          <t>Alta</t>
        </is>
      </c>
      <c r="T632" s="18" t="inlineStr">
        <is>
          <t>backend/academic-work-plan-service/src/pta/pta.service.ts:11734: id_documento_carpeta = doc.id del documento sincronizado | backend/academic-work-plan-service/src/pta/pta.controller.ts:795: POST rund/docente/:docenteId/sync-documents recibe los documentos | db/migrations/336_ensure_validacion_documental_pta.sql:36: id_documento_carpeta TEXT | db/migrations/339_create_documento_carpeta_digital.sql:18: id_documento UUID</t>
        </is>
      </c>
      <c r="U632" s="18" t="inlineStr"/>
      <c r="V632" s="19" t="inlineStr">
        <is>
          <t>Aprobada</t>
        </is>
      </c>
      <c r="W632" s="19" t="inlineStr"/>
      <c r="X632" s="19" t="inlineStr">
        <is>
          <t>Aldair González (aprobación en bloque)</t>
        </is>
      </c>
      <c r="Y632" s="20" t="n">
        <v>46321</v>
      </c>
      <c r="Z632" s="19" t="inlineStr">
        <is>
          <t>Nivel 3: verificada con el código de la aplicación.</t>
        </is>
      </c>
      <c r="AA632" s="18">
        <f>IF(OR(V632="Aprobada"),R632,IF(AND(OR(V632="Aprobada con ajuste",V632="Rechazada"),W632&lt;&gt;""),W632,""))</f>
        <v/>
      </c>
    </row>
    <row r="633">
      <c r="A633" s="18" t="inlineStr">
        <is>
          <t>C0632</t>
        </is>
      </c>
      <c r="B633" s="18" t="inlineStr">
        <is>
          <t>Plan de trabajo académico</t>
        </is>
      </c>
      <c r="C633" s="18" t="inlineStr">
        <is>
          <t>academic_work_plan</t>
        </is>
      </c>
      <c r="D633" s="18" t="inlineStr">
        <is>
          <t>validacion_documental</t>
        </is>
      </c>
      <c r="E633" s="18" t="n">
        <v>12000</v>
      </c>
      <c r="F633" s="18" t="inlineStr">
        <is>
          <t>estado_documento</t>
        </is>
      </c>
      <c r="G633" s="18" t="inlineStr">
        <is>
          <t>character varying(30)</t>
        </is>
      </c>
      <c r="H633" s="18" t="inlineStr">
        <is>
          <t>No</t>
        </is>
      </c>
      <c r="I633" s="18" t="inlineStr">
        <is>
          <t>CHECK</t>
        </is>
      </c>
      <c r="J633" s="18" t="inlineStr">
        <is>
          <t>Aceptado, No aplica, Pendiente, Rechazado, Sin cargar</t>
        </is>
      </c>
      <c r="K633" s="18" t="inlineStr"/>
      <c r="L633" s="18" t="inlineStr">
        <is>
          <t>Sí</t>
        </is>
      </c>
      <c r="M633" s="18" t="inlineStr">
        <is>
          <t>No</t>
        </is>
      </c>
      <c r="N633" s="18" t="inlineStr"/>
      <c r="O633" s="18" t="inlineStr"/>
      <c r="P633" s="18" t="inlineStr"/>
      <c r="Q633" s="18" t="inlineStr">
        <is>
          <t>Propuesta semántica</t>
        </is>
      </c>
      <c r="R633" s="18" t="inlineStr">
        <is>
          <t>Estado de validación del documento de soporte. Valores permitidos: Aceptado, No aplica, Pendiente, Rechazado, Sin cargar. Por defecto, Sin cargar.</t>
        </is>
      </c>
      <c r="S633" s="18" t="inlineStr">
        <is>
          <t>Alta</t>
        </is>
      </c>
      <c r="T633" s="18" t="inlineStr">
        <is>
          <t>valores permitidos del CHECK</t>
        </is>
      </c>
      <c r="U633" s="18" t="inlineStr"/>
      <c r="V633" s="19" t="inlineStr">
        <is>
          <t>Aprobada</t>
        </is>
      </c>
      <c r="W633" s="19" t="inlineStr"/>
      <c r="X633" s="19" t="inlineStr">
        <is>
          <t>Aldair González (aprobación en bloque)</t>
        </is>
      </c>
      <c r="Y633" s="20" t="n">
        <v>46321</v>
      </c>
      <c r="Z633" s="19" t="inlineStr">
        <is>
          <t>Nivel 1: propuesta del comentario del desarrollador o de confianza alta, o regla de fecha/responsable/motivo.</t>
        </is>
      </c>
      <c r="AA633" s="18">
        <f>IF(OR(V633="Aprobada"),R633,IF(AND(OR(V633="Aprobada con ajuste",V633="Rechazada"),W633&lt;&gt;""),W633,""))</f>
        <v/>
      </c>
    </row>
    <row r="634">
      <c r="A634" s="18" t="inlineStr">
        <is>
          <t>C0633</t>
        </is>
      </c>
      <c r="B634" s="18" t="inlineStr">
        <is>
          <t>Plan de trabajo académico</t>
        </is>
      </c>
      <c r="C634" s="18" t="inlineStr">
        <is>
          <t>academic_work_plan</t>
        </is>
      </c>
      <c r="D634" s="18" t="inlineStr">
        <is>
          <t>validacion_documental</t>
        </is>
      </c>
      <c r="E634" s="18" t="n">
        <v>12000</v>
      </c>
      <c r="F634" s="18" t="inlineStr">
        <is>
          <t>fecha_carga</t>
        </is>
      </c>
      <c r="G634" s="18" t="inlineStr">
        <is>
          <t>timestamp without time zone</t>
        </is>
      </c>
      <c r="H634" s="18" t="inlineStr">
        <is>
          <t>Sí</t>
        </is>
      </c>
      <c r="I634" s="18" t="inlineStr"/>
      <c r="J634" s="18" t="inlineStr"/>
      <c r="K634" s="18" t="inlineStr"/>
      <c r="L634" s="18" t="inlineStr">
        <is>
          <t>No</t>
        </is>
      </c>
      <c r="M634" s="18" t="inlineStr">
        <is>
          <t>No</t>
        </is>
      </c>
      <c r="N634" s="18" t="inlineStr"/>
      <c r="O634" s="18" t="inlineStr"/>
      <c r="P634" s="18" t="inlineStr"/>
      <c r="Q634" s="18" t="inlineStr">
        <is>
          <t>Regla estructural (redacción revisada)</t>
        </is>
      </c>
      <c r="R634" s="18" t="inlineStr">
        <is>
          <t>Fecha y hora de carga del documento soporte.</t>
        </is>
      </c>
      <c r="S634" s="18" t="inlineStr">
        <is>
          <t>Alta</t>
        </is>
      </c>
      <c r="T634" s="18" t="inlineStr">
        <is>
          <t>Convención de nombre, redactada con el contexto de la tabla y el código.</t>
        </is>
      </c>
      <c r="U634" s="18" t="inlineStr"/>
      <c r="V634" s="19" t="inlineStr">
        <is>
          <t>Aprobada</t>
        </is>
      </c>
      <c r="W634" s="19" t="inlineStr"/>
      <c r="X634" s="19" t="inlineStr">
        <is>
          <t>Aldair González (aprobación en bloque)</t>
        </is>
      </c>
      <c r="Y634" s="20" t="n">
        <v>46321</v>
      </c>
      <c r="Z634" s="19" t="inlineStr">
        <is>
          <t>Nivel 2: regla estructural con redacción revisada.</t>
        </is>
      </c>
      <c r="AA634" s="18">
        <f>IF(OR(V634="Aprobada"),R634,IF(AND(OR(V634="Aprobada con ajuste",V634="Rechazada"),W634&lt;&gt;""),W634,""))</f>
        <v/>
      </c>
    </row>
    <row r="635">
      <c r="A635" s="18" t="inlineStr">
        <is>
          <t>C0634</t>
        </is>
      </c>
      <c r="B635" s="18" t="inlineStr">
        <is>
          <t>Plan de trabajo académico</t>
        </is>
      </c>
      <c r="C635" s="18" t="inlineStr">
        <is>
          <t>academic_work_plan</t>
        </is>
      </c>
      <c r="D635" s="18" t="inlineStr">
        <is>
          <t>validacion_documental</t>
        </is>
      </c>
      <c r="E635" s="18" t="n">
        <v>12000</v>
      </c>
      <c r="F635" s="18" t="inlineStr">
        <is>
          <t>fecha_validacion</t>
        </is>
      </c>
      <c r="G635" s="18" t="inlineStr">
        <is>
          <t>timestamp without time zone</t>
        </is>
      </c>
      <c r="H635" s="18" t="inlineStr">
        <is>
          <t>Sí</t>
        </is>
      </c>
      <c r="I635" s="18" t="inlineStr"/>
      <c r="J635" s="18" t="inlineStr"/>
      <c r="K635" s="18" t="inlineStr"/>
      <c r="L635" s="18" t="inlineStr">
        <is>
          <t>No</t>
        </is>
      </c>
      <c r="M635" s="18" t="inlineStr">
        <is>
          <t>No</t>
        </is>
      </c>
      <c r="N635" s="18" t="inlineStr"/>
      <c r="O635" s="18" t="inlineStr"/>
      <c r="P635" s="18" t="inlineStr"/>
      <c r="Q635" s="18" t="inlineStr">
        <is>
          <t>Regla estructural (redacción revisada)</t>
        </is>
      </c>
      <c r="R635" s="18" t="inlineStr">
        <is>
          <t>Fecha y hora de validación del documento soporte.</t>
        </is>
      </c>
      <c r="S635" s="18" t="inlineStr">
        <is>
          <t>Alta</t>
        </is>
      </c>
      <c r="T635" s="18" t="inlineStr">
        <is>
          <t>Convención de nombre, redactada con el contexto de la tabla y el código.</t>
        </is>
      </c>
      <c r="U635" s="18" t="inlineStr"/>
      <c r="V635" s="19" t="inlineStr">
        <is>
          <t>Aprobada</t>
        </is>
      </c>
      <c r="W635" s="19" t="inlineStr"/>
      <c r="X635" s="19" t="inlineStr">
        <is>
          <t>Aldair González (aprobación en bloque)</t>
        </is>
      </c>
      <c r="Y635" s="20" t="n">
        <v>46321</v>
      </c>
      <c r="Z635" s="19" t="inlineStr">
        <is>
          <t>Nivel 2: regla estructural con redacción revisada.</t>
        </is>
      </c>
      <c r="AA635" s="18">
        <f>IF(OR(V635="Aprobada"),R635,IF(AND(OR(V635="Aprobada con ajuste",V635="Rechazada"),W635&lt;&gt;""),W635,""))</f>
        <v/>
      </c>
    </row>
    <row r="636">
      <c r="A636" s="18" t="inlineStr">
        <is>
          <t>C0635</t>
        </is>
      </c>
      <c r="B636" s="18" t="inlineStr">
        <is>
          <t>Plan de trabajo académico</t>
        </is>
      </c>
      <c r="C636" s="18" t="inlineStr">
        <is>
          <t>academic_work_plan</t>
        </is>
      </c>
      <c r="D636" s="18" t="inlineStr">
        <is>
          <t>validacion_documental</t>
        </is>
      </c>
      <c r="E636" s="18" t="n">
        <v>12000</v>
      </c>
      <c r="F636" s="18" t="inlineStr">
        <is>
          <t>validado_por</t>
        </is>
      </c>
      <c r="G636" s="18" t="inlineStr">
        <is>
          <t>character varying(150)</t>
        </is>
      </c>
      <c r="H636" s="18" t="inlineStr">
        <is>
          <t>Sí</t>
        </is>
      </c>
      <c r="I636" s="18" t="inlineStr"/>
      <c r="J636" s="18" t="inlineStr"/>
      <c r="K636" s="18" t="inlineStr"/>
      <c r="L636" s="18" t="inlineStr">
        <is>
          <t>No</t>
        </is>
      </c>
      <c r="M636" s="18" t="inlineStr">
        <is>
          <t>No</t>
        </is>
      </c>
      <c r="N636" s="18" t="inlineStr"/>
      <c r="O636" s="18" t="inlineStr"/>
      <c r="P636" s="18" t="inlineStr"/>
      <c r="Q636" s="18" t="inlineStr">
        <is>
          <t>Regla estructural</t>
        </is>
      </c>
      <c r="R636" s="18" t="inlineStr">
        <is>
          <t>Usuario que realizó la validación.</t>
        </is>
      </c>
      <c r="S636" s="18" t="inlineStr">
        <is>
          <t>Media</t>
        </is>
      </c>
      <c r="T636" s="18" t="inlineStr">
        <is>
          <t>Convención de nombre de la columna.</t>
        </is>
      </c>
      <c r="U636" s="18" t="inlineStr"/>
      <c r="V636" s="19" t="inlineStr">
        <is>
          <t>Aprobada</t>
        </is>
      </c>
      <c r="W636" s="19" t="inlineStr"/>
      <c r="X636" s="19" t="inlineStr">
        <is>
          <t>Aldair González (aprobación en bloque)</t>
        </is>
      </c>
      <c r="Y636" s="20" t="n">
        <v>46321</v>
      </c>
      <c r="Z636" s="19" t="inlineStr">
        <is>
          <t>Nivel 1: propuesta del comentario del desarrollador o de confianza alta, o regla de fecha/responsable/motivo.</t>
        </is>
      </c>
      <c r="AA636" s="18">
        <f>IF(OR(V636="Aprobada"),R636,IF(AND(OR(V636="Aprobada con ajuste",V636="Rechazada"),W636&lt;&gt;""),W636,""))</f>
        <v/>
      </c>
    </row>
    <row r="637">
      <c r="A637" s="18" t="inlineStr">
        <is>
          <t>C0636</t>
        </is>
      </c>
      <c r="B637" s="18" t="inlineStr">
        <is>
          <t>Plan de trabajo académico</t>
        </is>
      </c>
      <c r="C637" s="18" t="inlineStr">
        <is>
          <t>academic_work_plan</t>
        </is>
      </c>
      <c r="D637" s="18" t="inlineStr">
        <is>
          <t>validacion_documental</t>
        </is>
      </c>
      <c r="E637" s="18" t="n">
        <v>12000</v>
      </c>
      <c r="F637" s="18" t="inlineStr">
        <is>
          <t>observacion</t>
        </is>
      </c>
      <c r="G637" s="18" t="inlineStr">
        <is>
          <t>text</t>
        </is>
      </c>
      <c r="H637" s="18" t="inlineStr">
        <is>
          <t>Sí</t>
        </is>
      </c>
      <c r="I637" s="18" t="inlineStr"/>
      <c r="J637" s="18" t="inlineStr"/>
      <c r="K637" s="18" t="inlineStr"/>
      <c r="L637" s="18" t="inlineStr">
        <is>
          <t>No</t>
        </is>
      </c>
      <c r="M637" s="18" t="inlineStr">
        <is>
          <t>No</t>
        </is>
      </c>
      <c r="N637" s="18" t="inlineStr"/>
      <c r="O637" s="18" t="inlineStr"/>
      <c r="P637" s="18" t="inlineStr"/>
      <c r="Q637" s="18" t="inlineStr">
        <is>
          <t>Regla estructural (redacción revisada)</t>
        </is>
      </c>
      <c r="R637" s="18" t="inlineStr">
        <is>
          <t>Observación sobre la validación del documento soporte.</t>
        </is>
      </c>
      <c r="S637" s="18" t="inlineStr">
        <is>
          <t>Alta</t>
        </is>
      </c>
      <c r="T637" s="18" t="inlineStr">
        <is>
          <t>Convención de nombre, redactada con el contexto de la tabla y el código.</t>
        </is>
      </c>
      <c r="U637" s="18" t="inlineStr"/>
      <c r="V637" s="19" t="inlineStr">
        <is>
          <t>Aprobada</t>
        </is>
      </c>
      <c r="W637" s="19" t="inlineStr"/>
      <c r="X637" s="19" t="inlineStr">
        <is>
          <t>Aldair González (aprobación en bloque)</t>
        </is>
      </c>
      <c r="Y637" s="20" t="n">
        <v>46321</v>
      </c>
      <c r="Z637" s="19" t="inlineStr">
        <is>
          <t>Nivel 2: regla estructural con redacción revisada.</t>
        </is>
      </c>
      <c r="AA637" s="18">
        <f>IF(OR(V637="Aprobada"),R637,IF(AND(OR(V637="Aprobada con ajuste",V637="Rechazada"),W637&lt;&gt;""),W637,""))</f>
        <v/>
      </c>
    </row>
    <row r="638">
      <c r="A638" s="18" t="inlineStr">
        <is>
          <t>C0637</t>
        </is>
      </c>
      <c r="B638" s="18" t="inlineStr">
        <is>
          <t>Certificaciones</t>
        </is>
      </c>
      <c r="C638" s="18" t="inlineStr">
        <is>
          <t>certification</t>
        </is>
      </c>
      <c r="D638" s="18" t="inlineStr">
        <is>
          <t>certificate_correction_requests</t>
        </is>
      </c>
      <c r="E638" s="18" t="n">
        <v>9</v>
      </c>
      <c r="F638" s="18" t="inlineStr">
        <is>
          <t>request_number</t>
        </is>
      </c>
      <c r="G638" s="18" t="inlineStr">
        <is>
          <t>character varying(50)</t>
        </is>
      </c>
      <c r="H638" s="18" t="inlineStr">
        <is>
          <t>No</t>
        </is>
      </c>
      <c r="I638" s="18" t="inlineStr">
        <is>
          <t>Única</t>
        </is>
      </c>
      <c r="J638" s="18" t="inlineStr"/>
      <c r="K638" s="18" t="inlineStr"/>
      <c r="L638" s="18" t="inlineStr">
        <is>
          <t>No</t>
        </is>
      </c>
      <c r="M638" s="18" t="inlineStr">
        <is>
          <t>No</t>
        </is>
      </c>
      <c r="N638" s="18" t="inlineStr"/>
      <c r="O638" s="18" t="inlineStr">
        <is>
          <t>certificate_correction_requests_request_number_key</t>
        </is>
      </c>
      <c r="P638" s="18" t="inlineStr">
        <is>
          <t>Mapeada en certification-service/src/certificates/certificate-correction-request.entity.ts:49 (CertificateCorrectionRequest.request_number)</t>
        </is>
      </c>
      <c r="Q638" s="18" t="inlineStr">
        <is>
          <t>Propuesta semántica</t>
        </is>
      </c>
      <c r="R638" s="18" t="inlineStr">
        <is>
          <t>Número de la solicitud de corrección; es único en la tabla.</t>
        </is>
      </c>
      <c r="S638" s="18" t="inlineStr">
        <is>
          <t>Alta</t>
        </is>
      </c>
      <c r="T638" s="18" t="inlineStr">
        <is>
          <t>nombre + tipo + columnas vecinas + restricción única</t>
        </is>
      </c>
      <c r="U638" s="18" t="inlineStr"/>
      <c r="V638" s="19" t="inlineStr">
        <is>
          <t>Aprobada</t>
        </is>
      </c>
      <c r="W638" s="19" t="inlineStr"/>
      <c r="X638" s="19" t="inlineStr">
        <is>
          <t>Aldair González (aprobación en bloque)</t>
        </is>
      </c>
      <c r="Y638" s="20" t="n">
        <v>46321</v>
      </c>
      <c r="Z638" s="19" t="inlineStr">
        <is>
          <t>Nivel 1: propuesta del comentario del desarrollador o de confianza alta, o regla de fecha/responsable/motivo.</t>
        </is>
      </c>
      <c r="AA638" s="18">
        <f>IF(OR(V638="Aprobada"),R638,IF(AND(OR(V638="Aprobada con ajuste",V638="Rechazada"),W638&lt;&gt;""),W638,""))</f>
        <v/>
      </c>
    </row>
    <row r="639">
      <c r="A639" s="18" t="inlineStr">
        <is>
          <t>C0638</t>
        </is>
      </c>
      <c r="B639" s="18" t="inlineStr">
        <is>
          <t>Certificaciones</t>
        </is>
      </c>
      <c r="C639" s="18" t="inlineStr">
        <is>
          <t>certification</t>
        </is>
      </c>
      <c r="D639" s="18" t="inlineStr">
        <is>
          <t>certificate_correction_requests</t>
        </is>
      </c>
      <c r="E639" s="18" t="n">
        <v>9</v>
      </c>
      <c r="F639" s="18" t="inlineStr">
        <is>
          <t>status</t>
        </is>
      </c>
      <c r="G639" s="18" t="inlineStr">
        <is>
          <t>character varying(20)</t>
        </is>
      </c>
      <c r="H639" s="18" t="inlineStr">
        <is>
          <t>No</t>
        </is>
      </c>
      <c r="I639" s="18" t="inlineStr">
        <is>
          <t>CHECK</t>
        </is>
      </c>
      <c r="J639" s="18" t="inlineStr">
        <is>
          <t>APPROVED, IN_REVIEW, PENDING, REJECTED</t>
        </is>
      </c>
      <c r="K639" s="18" t="inlineStr"/>
      <c r="L639" s="18" t="inlineStr">
        <is>
          <t>Sí</t>
        </is>
      </c>
      <c r="M639" s="18" t="inlineStr">
        <is>
          <t>No</t>
        </is>
      </c>
      <c r="N639" s="18" t="inlineStr"/>
      <c r="O639" s="18" t="inlineStr">
        <is>
          <t>idx_certificate_corrections_status_created</t>
        </is>
      </c>
      <c r="P639" s="18" t="inlineStr">
        <is>
          <t>Mapeada en certification-service/src/certificates/certificate-correction-request.entity.ts:55 (CertificateCorrectionRequest.status)</t>
        </is>
      </c>
      <c r="Q639" s="18" t="inlineStr">
        <is>
          <t>Regla estructural (redacción revisada)</t>
        </is>
      </c>
      <c r="R639" s="18" t="inlineStr">
        <is>
          <t>Estado de la solicitud de corrección del certificado laboral (APPROVED, IN_REVIEW, PENDING o REJECTED).</t>
        </is>
      </c>
      <c r="S639" s="18" t="inlineStr">
        <is>
          <t>Alta</t>
        </is>
      </c>
      <c r="T639" s="18" t="inlineStr">
        <is>
          <t>Convención de nombre, redactada con el contexto de la tabla y el código.</t>
        </is>
      </c>
      <c r="U639" s="18" t="inlineStr"/>
      <c r="V639" s="19" t="inlineStr">
        <is>
          <t>Aprobada</t>
        </is>
      </c>
      <c r="W639" s="19" t="inlineStr"/>
      <c r="X639" s="19" t="inlineStr">
        <is>
          <t>Aldair González (aprobación en bloque)</t>
        </is>
      </c>
      <c r="Y639" s="20" t="n">
        <v>46321</v>
      </c>
      <c r="Z639" s="19" t="inlineStr">
        <is>
          <t>Nivel 2: regla estructural con redacción revisada.</t>
        </is>
      </c>
      <c r="AA639" s="18">
        <f>IF(OR(V639="Aprobada"),R639,IF(AND(OR(V639="Aprobada con ajuste",V639="Rechazada"),W639&lt;&gt;""),W639,""))</f>
        <v/>
      </c>
    </row>
    <row r="640">
      <c r="A640" s="18" t="inlineStr">
        <is>
          <t>C0639</t>
        </is>
      </c>
      <c r="B640" s="18" t="inlineStr">
        <is>
          <t>Certificaciones</t>
        </is>
      </c>
      <c r="C640" s="18" t="inlineStr">
        <is>
          <t>certification</t>
        </is>
      </c>
      <c r="D640" s="18" t="inlineStr">
        <is>
          <t>certificate_correction_requests</t>
        </is>
      </c>
      <c r="E640" s="18" t="n">
        <v>9</v>
      </c>
      <c r="F640" s="18" t="inlineStr">
        <is>
          <t>description</t>
        </is>
      </c>
      <c r="G640" s="18" t="inlineStr">
        <is>
          <t>text</t>
        </is>
      </c>
      <c r="H640" s="18" t="inlineStr">
        <is>
          <t>No</t>
        </is>
      </c>
      <c r="I640" s="18" t="inlineStr">
        <is>
          <t>CHECK</t>
        </is>
      </c>
      <c r="J640" s="18" t="inlineStr"/>
      <c r="K640" s="18" t="inlineStr"/>
      <c r="L640" s="18" t="inlineStr">
        <is>
          <t>No</t>
        </is>
      </c>
      <c r="M640" s="18" t="inlineStr">
        <is>
          <t>No</t>
        </is>
      </c>
      <c r="N640" s="18" t="inlineStr"/>
      <c r="O640" s="18" t="inlineStr"/>
      <c r="P640" s="18" t="inlineStr">
        <is>
          <t>Mapeada en certification-service/src/certificates/certificate-correction-request.entity.ts:58 (CertificateCorrectionRequest.description)</t>
        </is>
      </c>
      <c r="Q640" s="18" t="inlineStr">
        <is>
          <t>Regla estructural (redacción revisada)</t>
        </is>
      </c>
      <c r="R640" s="18" t="inlineStr">
        <is>
          <t>Descripción de la corrección solicitada para el certificado laboral.</t>
        </is>
      </c>
      <c r="S640" s="18" t="inlineStr">
        <is>
          <t>Alta</t>
        </is>
      </c>
      <c r="T640" s="18" t="inlineStr">
        <is>
          <t>Convención de nombre, redactada con el contexto de la tabla y el código.</t>
        </is>
      </c>
      <c r="U640" s="18" t="inlineStr"/>
      <c r="V640" s="19" t="inlineStr">
        <is>
          <t>Aprobada</t>
        </is>
      </c>
      <c r="W640" s="19" t="inlineStr"/>
      <c r="X640" s="19" t="inlineStr">
        <is>
          <t>Aldair González (aprobación en bloque)</t>
        </is>
      </c>
      <c r="Y640" s="20" t="n">
        <v>46321</v>
      </c>
      <c r="Z640" s="19" t="inlineStr">
        <is>
          <t>Nivel 2: regla estructural con redacción revisada.</t>
        </is>
      </c>
      <c r="AA640" s="18">
        <f>IF(OR(V640="Aprobada"),R640,IF(AND(OR(V640="Aprobada con ajuste",V640="Rechazada"),W640&lt;&gt;""),W640,""))</f>
        <v/>
      </c>
    </row>
    <row r="641">
      <c r="A641" s="18" t="inlineStr">
        <is>
          <t>C0640</t>
        </is>
      </c>
      <c r="B641" s="18" t="inlineStr">
        <is>
          <t>Certificaciones</t>
        </is>
      </c>
      <c r="C641" s="18" t="inlineStr">
        <is>
          <t>certification</t>
        </is>
      </c>
      <c r="D641" s="18" t="inlineStr">
        <is>
          <t>certificate_correction_requests</t>
        </is>
      </c>
      <c r="E641" s="18" t="n">
        <v>9</v>
      </c>
      <c r="F641" s="18" t="inlineStr">
        <is>
          <t>requester_name</t>
        </is>
      </c>
      <c r="G641" s="18" t="inlineStr">
        <is>
          <t>character varying(255)</t>
        </is>
      </c>
      <c r="H641" s="18" t="inlineStr">
        <is>
          <t>No</t>
        </is>
      </c>
      <c r="I641" s="18" t="inlineStr"/>
      <c r="J641" s="18" t="inlineStr"/>
      <c r="K641" s="18" t="inlineStr"/>
      <c r="L641" s="18" t="inlineStr">
        <is>
          <t>No</t>
        </is>
      </c>
      <c r="M641" s="18" t="inlineStr">
        <is>
          <t>No</t>
        </is>
      </c>
      <c r="N641" s="18" t="inlineStr"/>
      <c r="O641" s="18" t="inlineStr"/>
      <c r="P641" s="18" t="inlineStr">
        <is>
          <t>Mapeada en certification-service/src/certificates/certificate-correction-request.entity.ts:61 (CertificateCorrectionRequest.requester_name)</t>
        </is>
      </c>
      <c r="Q641" s="18" t="inlineStr">
        <is>
          <t>Propuesta semántica</t>
        </is>
      </c>
      <c r="R641" s="18" t="inlineStr">
        <is>
          <t>Nombre de la persona que solicita la corrección del certificado.</t>
        </is>
      </c>
      <c r="S641" s="18" t="inlineStr">
        <is>
          <t>Alta</t>
        </is>
      </c>
      <c r="T641" s="18" t="inlineStr">
        <is>
          <t>nombre + tipo + columnas vecinas + descripción de la tabla</t>
        </is>
      </c>
      <c r="U641" s="18" t="inlineStr"/>
      <c r="V641" s="19" t="inlineStr">
        <is>
          <t>Aprobada</t>
        </is>
      </c>
      <c r="W641" s="19" t="inlineStr"/>
      <c r="X641" s="19" t="inlineStr">
        <is>
          <t>Aldair González (aprobación en bloque)</t>
        </is>
      </c>
      <c r="Y641" s="20" t="n">
        <v>46321</v>
      </c>
      <c r="Z641" s="19" t="inlineStr">
        <is>
          <t>Nivel 1: propuesta del comentario del desarrollador o de confianza alta, o regla de fecha/responsable/motivo.</t>
        </is>
      </c>
      <c r="AA641" s="18">
        <f>IF(OR(V641="Aprobada"),R641,IF(AND(OR(V641="Aprobada con ajuste",V641="Rechazada"),W641&lt;&gt;""),W641,""))</f>
        <v/>
      </c>
    </row>
    <row r="642">
      <c r="A642" s="18" t="inlineStr">
        <is>
          <t>C0641</t>
        </is>
      </c>
      <c r="B642" s="18" t="inlineStr">
        <is>
          <t>Certificaciones</t>
        </is>
      </c>
      <c r="C642" s="18" t="inlineStr">
        <is>
          <t>certification</t>
        </is>
      </c>
      <c r="D642" s="18" t="inlineStr">
        <is>
          <t>certificate_correction_requests</t>
        </is>
      </c>
      <c r="E642" s="18" t="n">
        <v>9</v>
      </c>
      <c r="F642" s="18" t="inlineStr">
        <is>
          <t>requester_email</t>
        </is>
      </c>
      <c r="G642" s="18" t="inlineStr">
        <is>
          <t>character varying(255)</t>
        </is>
      </c>
      <c r="H642" s="18" t="inlineStr">
        <is>
          <t>No</t>
        </is>
      </c>
      <c r="I642" s="18" t="inlineStr"/>
      <c r="J642" s="18" t="inlineStr"/>
      <c r="K642" s="18" t="inlineStr"/>
      <c r="L642" s="18" t="inlineStr">
        <is>
          <t>No</t>
        </is>
      </c>
      <c r="M642" s="18" t="inlineStr">
        <is>
          <t>No</t>
        </is>
      </c>
      <c r="N642" s="18" t="inlineStr"/>
      <c r="O642" s="18" t="inlineStr"/>
      <c r="P642" s="18" t="inlineStr">
        <is>
          <t>Mapeada en certification-service/src/certificates/certificate-correction-request.entity.ts:64 (CertificateCorrectionRequest.requester_email)</t>
        </is>
      </c>
      <c r="Q642" s="18" t="inlineStr">
        <is>
          <t>Propuesta semántica</t>
        </is>
      </c>
      <c r="R642" s="18" t="inlineStr">
        <is>
          <t>Correo electrónico de la persona que solicita la corrección del certificado.</t>
        </is>
      </c>
      <c r="S642" s="18" t="inlineStr">
        <is>
          <t>Alta</t>
        </is>
      </c>
      <c r="T642" s="18" t="inlineStr">
        <is>
          <t>nombre + tipo + columnas vecinas + descripción de la tabla</t>
        </is>
      </c>
      <c r="U642" s="18" t="inlineStr"/>
      <c r="V642" s="19" t="inlineStr">
        <is>
          <t>Aprobada</t>
        </is>
      </c>
      <c r="W642" s="19" t="inlineStr"/>
      <c r="X642" s="19" t="inlineStr">
        <is>
          <t>Aldair González (aprobación en bloque)</t>
        </is>
      </c>
      <c r="Y642" s="20" t="n">
        <v>46321</v>
      </c>
      <c r="Z642" s="19" t="inlineStr">
        <is>
          <t>Nivel 1: propuesta del comentario del desarrollador o de confianza alta, o regla de fecha/responsable/motivo.</t>
        </is>
      </c>
      <c r="AA642" s="18">
        <f>IF(OR(V642="Aprobada"),R642,IF(AND(OR(V642="Aprobada con ajuste",V642="Rechazada"),W642&lt;&gt;""),W642,""))</f>
        <v/>
      </c>
    </row>
    <row r="643">
      <c r="A643" s="18" t="inlineStr">
        <is>
          <t>C0642</t>
        </is>
      </c>
      <c r="B643" s="18" t="inlineStr">
        <is>
          <t>Certificaciones</t>
        </is>
      </c>
      <c r="C643" s="18" t="inlineStr">
        <is>
          <t>certification</t>
        </is>
      </c>
      <c r="D643" s="18" t="inlineStr">
        <is>
          <t>certificate_correction_requests</t>
        </is>
      </c>
      <c r="E643" s="18" t="n">
        <v>9</v>
      </c>
      <c r="F643" s="18" t="inlineStr">
        <is>
          <t>submitted_evidence</t>
        </is>
      </c>
      <c r="G643" s="18" t="inlineStr">
        <is>
          <t>jsonb</t>
        </is>
      </c>
      <c r="H643" s="18" t="inlineStr">
        <is>
          <t>No</t>
        </is>
      </c>
      <c r="I643" s="18" t="inlineStr"/>
      <c r="J643" s="18" t="inlineStr"/>
      <c r="K643" s="18" t="inlineStr"/>
      <c r="L643" s="18" t="inlineStr">
        <is>
          <t>No</t>
        </is>
      </c>
      <c r="M643" s="18" t="inlineStr">
        <is>
          <t>No</t>
        </is>
      </c>
      <c r="N643" s="18" t="inlineStr"/>
      <c r="O643" s="18" t="inlineStr"/>
      <c r="P643" s="18" t="inlineStr">
        <is>
          <t>Mapeada en certification-service/src/certificates/certificate-correction-request.entity.ts:67 (CertificateCorrectionRequest.submitted_evidence)</t>
        </is>
      </c>
      <c r="Q643" s="18" t="inlineStr">
        <is>
          <t>Código fuente (verificado)</t>
        </is>
      </c>
      <c r="R643" s="18" t="inlineStr">
        <is>
          <t>Archivos de evidencia presentados por el solicitante con la solicitud de corrección, en formato JSON: lista con nombre original, nombre almacenado, tipo MIME, tamaño y ruta relativa de cada archivo (hasta tres). Por defecto, una lista vacía.</t>
        </is>
      </c>
      <c r="S643" s="18" t="inlineStr">
        <is>
          <t>Alta</t>
        </is>
      </c>
      <c r="T643" s="18" t="inlineStr">
        <is>
          <t>backend/certification-service/src/certificates/certificate-correction-request.entity.ts:18-24: tipo CertificateCorrectionEvidence {originalName, storedName, mimeType, size, relativePath} | backend/certification-service/src/certificates/certificates.service.ts:2284-2291: correctionEvidenceFromFiles arma la referencia de cada archivo | backend/certification-service/src/certificates/certificate-correction-requests.controller.ts:164: FilesInterceptor('files', 3)</t>
        </is>
      </c>
      <c r="U643" s="18" t="inlineStr"/>
      <c r="V643" s="19" t="inlineStr">
        <is>
          <t>Aprobada</t>
        </is>
      </c>
      <c r="W643" s="19" t="inlineStr"/>
      <c r="X643" s="19" t="inlineStr">
        <is>
          <t>Aldair González (aprobación en bloque)</t>
        </is>
      </c>
      <c r="Y643" s="20" t="n">
        <v>46321</v>
      </c>
      <c r="Z643" s="19" t="inlineStr">
        <is>
          <t>Nivel 3: verificada con el código de la aplicación.</t>
        </is>
      </c>
      <c r="AA643" s="18">
        <f>IF(OR(V643="Aprobada"),R643,IF(AND(OR(V643="Aprobada con ajuste",V643="Rechazada"),W643&lt;&gt;""),W643,""))</f>
        <v/>
      </c>
    </row>
    <row r="644">
      <c r="A644" s="18" t="inlineStr">
        <is>
          <t>C0643</t>
        </is>
      </c>
      <c r="B644" s="18" t="inlineStr">
        <is>
          <t>Certificaciones</t>
        </is>
      </c>
      <c r="C644" s="18" t="inlineStr">
        <is>
          <t>certification</t>
        </is>
      </c>
      <c r="D644" s="18" t="inlineStr">
        <is>
          <t>certificate_correction_requests</t>
        </is>
      </c>
      <c r="E644" s="18" t="n">
        <v>9</v>
      </c>
      <c r="F644" s="18" t="inlineStr">
        <is>
          <t>reviewed_by_id</t>
        </is>
      </c>
      <c r="G644" s="18" t="inlineStr">
        <is>
          <t>uuid</t>
        </is>
      </c>
      <c r="H644" s="18" t="inlineStr">
        <is>
          <t>Sí</t>
        </is>
      </c>
      <c r="I644" s="18" t="inlineStr"/>
      <c r="J644" s="18" t="inlineStr"/>
      <c r="K644" s="18" t="inlineStr"/>
      <c r="L644" s="18" t="inlineStr">
        <is>
          <t>No</t>
        </is>
      </c>
      <c r="M644" s="18" t="inlineStr">
        <is>
          <t>No</t>
        </is>
      </c>
      <c r="N644" s="18" t="inlineStr"/>
      <c r="O644" s="18" t="inlineStr"/>
      <c r="P644" s="18" t="inlineStr">
        <is>
          <t>Mapeada en certification-service/src/certificates/certificate-correction-request.entity.ts:76 (CertificateCorrectionRequest.reviewed_by_id)</t>
        </is>
      </c>
      <c r="Q644" s="18" t="inlineStr">
        <is>
          <t>Código fuente (verificado)</t>
        </is>
      </c>
      <c r="R644" s="18" t="inlineStr">
        <is>
          <t>Identificador del usuario (auth.user.id_user) del coordinador que revisa o resuelve la solicitud de corrección, tomado del token de sesión o de la cabecera x-user-id.</t>
        </is>
      </c>
      <c r="S644" s="18" t="inlineStr">
        <is>
          <t>Alta</t>
        </is>
      </c>
      <c r="T644" s="18" t="inlineStr">
        <is>
          <t>backend/certification-service/src/certificates/certificate-correction-requests.controller.ts:151-158: reviewer.id = req.user.userId o x-user-id | backend/certification-service/src/auth/jwt.strategy.ts:33: userId = payload.sub | backend/auth-service/src/auth/auth.service.ts:403: sub = user.id_user | backend/certification-service/src/certificates/certificates.service.ts:3212: reviewed_by_id = reviewer.id</t>
        </is>
      </c>
      <c r="U644" s="18" t="inlineStr"/>
      <c r="V644" s="19" t="inlineStr">
        <is>
          <t>Aprobada</t>
        </is>
      </c>
      <c r="W644" s="19" t="inlineStr"/>
      <c r="X644" s="19" t="inlineStr">
        <is>
          <t>Aldair González (aprobación en bloque)</t>
        </is>
      </c>
      <c r="Y644" s="20" t="n">
        <v>46321</v>
      </c>
      <c r="Z644" s="19" t="inlineStr">
        <is>
          <t>Nivel 3: verificada con el código de la aplicación.</t>
        </is>
      </c>
      <c r="AA644" s="18">
        <f>IF(OR(V644="Aprobada"),R644,IF(AND(OR(V644="Aprobada con ajuste",V644="Rechazada"),W644&lt;&gt;""),W644,""))</f>
        <v/>
      </c>
    </row>
    <row r="645">
      <c r="A645" s="18" t="inlineStr">
        <is>
          <t>C0644</t>
        </is>
      </c>
      <c r="B645" s="18" t="inlineStr">
        <is>
          <t>Certificaciones</t>
        </is>
      </c>
      <c r="C645" s="18" t="inlineStr">
        <is>
          <t>certification</t>
        </is>
      </c>
      <c r="D645" s="18" t="inlineStr">
        <is>
          <t>certificate_correction_requests</t>
        </is>
      </c>
      <c r="E645" s="18" t="n">
        <v>9</v>
      </c>
      <c r="F645" s="18" t="inlineStr">
        <is>
          <t>reviewed_by_name</t>
        </is>
      </c>
      <c r="G645" s="18" t="inlineStr">
        <is>
          <t>character varying(255)</t>
        </is>
      </c>
      <c r="H645" s="18" t="inlineStr">
        <is>
          <t>Sí</t>
        </is>
      </c>
      <c r="I645" s="18" t="inlineStr"/>
      <c r="J645" s="18" t="inlineStr"/>
      <c r="K645" s="18" t="inlineStr"/>
      <c r="L645" s="18" t="inlineStr">
        <is>
          <t>No</t>
        </is>
      </c>
      <c r="M645" s="18" t="inlineStr">
        <is>
          <t>No</t>
        </is>
      </c>
      <c r="N645" s="18" t="inlineStr"/>
      <c r="O645" s="18" t="inlineStr"/>
      <c r="P645" s="18" t="inlineStr">
        <is>
          <t>Mapeada en certification-service/src/certificates/certificate-correction-request.entity.ts:79 (CertificateCorrectionRequest.reviewed_by_name)</t>
        </is>
      </c>
      <c r="Q645" s="18" t="inlineStr">
        <is>
          <t>Propuesta semántica</t>
        </is>
      </c>
      <c r="R645" s="18" t="inlineStr">
        <is>
          <t>Nombre del coordinador que revisa la solicitud de corrección.</t>
        </is>
      </c>
      <c r="S645" s="18" t="inlineStr">
        <is>
          <t>Alta</t>
        </is>
      </c>
      <c r="T645" s="18" t="inlineStr">
        <is>
          <t>nombre + tipo + columnas vecinas + descripción de la tabla</t>
        </is>
      </c>
      <c r="U645" s="18" t="inlineStr"/>
      <c r="V645" s="19" t="inlineStr">
        <is>
          <t>Aprobada</t>
        </is>
      </c>
      <c r="W645" s="19" t="inlineStr"/>
      <c r="X645" s="19" t="inlineStr">
        <is>
          <t>Aldair González (aprobación en bloque)</t>
        </is>
      </c>
      <c r="Y645" s="20" t="n">
        <v>46321</v>
      </c>
      <c r="Z645" s="19" t="inlineStr">
        <is>
          <t>Nivel 1: propuesta del comentario del desarrollador o de confianza alta, o regla de fecha/responsable/motivo.</t>
        </is>
      </c>
      <c r="AA645" s="18">
        <f>IF(OR(V645="Aprobada"),R645,IF(AND(OR(V645="Aprobada con ajuste",V645="Rechazada"),W645&lt;&gt;""),W645,""))</f>
        <v/>
      </c>
    </row>
    <row r="646">
      <c r="A646" s="18" t="inlineStr">
        <is>
          <t>C0645</t>
        </is>
      </c>
      <c r="B646" s="18" t="inlineStr">
        <is>
          <t>Certificaciones</t>
        </is>
      </c>
      <c r="C646" s="18" t="inlineStr">
        <is>
          <t>certification</t>
        </is>
      </c>
      <c r="D646" s="18" t="inlineStr">
        <is>
          <t>certificate_correction_requests</t>
        </is>
      </c>
      <c r="E646" s="18" t="n">
        <v>9</v>
      </c>
      <c r="F646" s="18" t="inlineStr">
        <is>
          <t>reviewed_by_email</t>
        </is>
      </c>
      <c r="G646" s="18" t="inlineStr">
        <is>
          <t>character varying(255)</t>
        </is>
      </c>
      <c r="H646" s="18" t="inlineStr">
        <is>
          <t>Sí</t>
        </is>
      </c>
      <c r="I646" s="18" t="inlineStr"/>
      <c r="J646" s="18" t="inlineStr"/>
      <c r="K646" s="18" t="inlineStr"/>
      <c r="L646" s="18" t="inlineStr">
        <is>
          <t>No</t>
        </is>
      </c>
      <c r="M646" s="18" t="inlineStr">
        <is>
          <t>No</t>
        </is>
      </c>
      <c r="N646" s="18" t="inlineStr"/>
      <c r="O646" s="18" t="inlineStr"/>
      <c r="P646" s="18" t="inlineStr">
        <is>
          <t>Mapeada en certification-service/src/certificates/certificate-correction-request.entity.ts:82 (CertificateCorrectionRequest.reviewed_by_email)</t>
        </is>
      </c>
      <c r="Q646" s="18" t="inlineStr">
        <is>
          <t>Propuesta semántica</t>
        </is>
      </c>
      <c r="R646" s="18" t="inlineStr">
        <is>
          <t>Correo electrónico del coordinador que revisa la solicitud de corrección.</t>
        </is>
      </c>
      <c r="S646" s="18" t="inlineStr">
        <is>
          <t>Alta</t>
        </is>
      </c>
      <c r="T646" s="18" t="inlineStr">
        <is>
          <t>nombre + tipo + columnas vecinas + descripción de la tabla</t>
        </is>
      </c>
      <c r="U646" s="18" t="inlineStr"/>
      <c r="V646" s="19" t="inlineStr">
        <is>
          <t>Aprobada</t>
        </is>
      </c>
      <c r="W646" s="19" t="inlineStr"/>
      <c r="X646" s="19" t="inlineStr">
        <is>
          <t>Aldair González (aprobación en bloque)</t>
        </is>
      </c>
      <c r="Y646" s="20" t="n">
        <v>46321</v>
      </c>
      <c r="Z646" s="19" t="inlineStr">
        <is>
          <t>Nivel 1: propuesta del comentario del desarrollador o de confianza alta, o regla de fecha/responsable/motivo.</t>
        </is>
      </c>
      <c r="AA646" s="18">
        <f>IF(OR(V646="Aprobada"),R646,IF(AND(OR(V646="Aprobada con ajuste",V646="Rechazada"),W646&lt;&gt;""),W646,""))</f>
        <v/>
      </c>
    </row>
    <row r="647">
      <c r="A647" s="18" t="inlineStr">
        <is>
          <t>C0646</t>
        </is>
      </c>
      <c r="B647" s="18" t="inlineStr">
        <is>
          <t>Certificaciones</t>
        </is>
      </c>
      <c r="C647" s="18" t="inlineStr">
        <is>
          <t>certification</t>
        </is>
      </c>
      <c r="D647" s="18" t="inlineStr">
        <is>
          <t>certificate_correction_requests</t>
        </is>
      </c>
      <c r="E647" s="18" t="n">
        <v>9</v>
      </c>
      <c r="F647" s="18" t="inlineStr">
        <is>
          <t>review_started_at</t>
        </is>
      </c>
      <c r="G647" s="18" t="inlineStr">
        <is>
          <t>timestamp without time zone</t>
        </is>
      </c>
      <c r="H647" s="18" t="inlineStr">
        <is>
          <t>Sí</t>
        </is>
      </c>
      <c r="I647" s="18" t="inlineStr"/>
      <c r="J647" s="18" t="inlineStr"/>
      <c r="K647" s="18" t="inlineStr"/>
      <c r="L647" s="18" t="inlineStr">
        <is>
          <t>No</t>
        </is>
      </c>
      <c r="M647" s="18" t="inlineStr">
        <is>
          <t>No</t>
        </is>
      </c>
      <c r="N647" s="18" t="inlineStr"/>
      <c r="O647" s="18" t="inlineStr"/>
      <c r="P647" s="18" t="inlineStr">
        <is>
          <t>Mapeada en certification-service/src/certificates/certificate-correction-request.entity.ts:85 (CertificateCorrectionRequest.review_started_at)</t>
        </is>
      </c>
      <c r="Q647" s="18" t="inlineStr">
        <is>
          <t>Propuesta semántica</t>
        </is>
      </c>
      <c r="R647" s="18" t="inlineStr">
        <is>
          <t>Fecha y hora en que inició la revisión de la solicitud de corrección.</t>
        </is>
      </c>
      <c r="S647" s="18" t="inlineStr">
        <is>
          <t>Alta</t>
        </is>
      </c>
      <c r="T647" s="18" t="inlineStr">
        <is>
          <t>nombre + tipo + columnas vecinas</t>
        </is>
      </c>
      <c r="U647" s="18" t="inlineStr"/>
      <c r="V647" s="19" t="inlineStr">
        <is>
          <t>Aprobada</t>
        </is>
      </c>
      <c r="W647" s="19" t="inlineStr"/>
      <c r="X647" s="19" t="inlineStr">
        <is>
          <t>Aldair González (aprobación en bloque)</t>
        </is>
      </c>
      <c r="Y647" s="20" t="n">
        <v>46321</v>
      </c>
      <c r="Z647" s="19" t="inlineStr">
        <is>
          <t>Nivel 1: propuesta del comentario del desarrollador o de confianza alta, o regla de fecha/responsable/motivo.</t>
        </is>
      </c>
      <c r="AA647" s="18">
        <f>IF(OR(V647="Aprobada"),R647,IF(AND(OR(V647="Aprobada con ajuste",V647="Rechazada"),W647&lt;&gt;""),W647,""))</f>
        <v/>
      </c>
    </row>
    <row r="648">
      <c r="A648" s="18" t="inlineStr">
        <is>
          <t>C0647</t>
        </is>
      </c>
      <c r="B648" s="18" t="inlineStr">
        <is>
          <t>Certificaciones</t>
        </is>
      </c>
      <c r="C648" s="18" t="inlineStr">
        <is>
          <t>certification</t>
        </is>
      </c>
      <c r="D648" s="18" t="inlineStr">
        <is>
          <t>certificate_correction_requests</t>
        </is>
      </c>
      <c r="E648" s="18" t="n">
        <v>9</v>
      </c>
      <c r="F648" s="18" t="inlineStr">
        <is>
          <t>resolution_description</t>
        </is>
      </c>
      <c r="G648" s="18" t="inlineStr">
        <is>
          <t>text</t>
        </is>
      </c>
      <c r="H648" s="18" t="inlineStr">
        <is>
          <t>Sí</t>
        </is>
      </c>
      <c r="I648" s="18" t="inlineStr"/>
      <c r="J648" s="18" t="inlineStr"/>
      <c r="K648" s="18" t="inlineStr"/>
      <c r="L648" s="18" t="inlineStr">
        <is>
          <t>No</t>
        </is>
      </c>
      <c r="M648" s="18" t="inlineStr">
        <is>
          <t>No</t>
        </is>
      </c>
      <c r="N648" s="18" t="inlineStr"/>
      <c r="O648" s="18" t="inlineStr"/>
      <c r="P648" s="18" t="inlineStr">
        <is>
          <t>Mapeada en certification-service/src/certificates/certificate-correction-request.entity.ts:88 (CertificateCorrectionRequest.resolution_description)</t>
        </is>
      </c>
      <c r="Q648" s="18" t="inlineStr">
        <is>
          <t>Propuesta semántica</t>
        </is>
      </c>
      <c r="R648" s="18" t="inlineStr">
        <is>
          <t>Descripción de la resolución del coordinador sobre la solicitud de corrección.</t>
        </is>
      </c>
      <c r="S648" s="18" t="inlineStr">
        <is>
          <t>Alta</t>
        </is>
      </c>
      <c r="T648" s="18" t="inlineStr">
        <is>
          <t>nombre + tipo + columnas vecinas + descripción de la tabla</t>
        </is>
      </c>
      <c r="U648" s="18" t="inlineStr"/>
      <c r="V648" s="19" t="inlineStr">
        <is>
          <t>Aprobada</t>
        </is>
      </c>
      <c r="W648" s="19" t="inlineStr"/>
      <c r="X648" s="19" t="inlineStr">
        <is>
          <t>Aldair González (aprobación en bloque)</t>
        </is>
      </c>
      <c r="Y648" s="20" t="n">
        <v>46321</v>
      </c>
      <c r="Z648" s="19" t="inlineStr">
        <is>
          <t>Nivel 1: propuesta del comentario del desarrollador o de confianza alta, o regla de fecha/responsable/motivo.</t>
        </is>
      </c>
      <c r="AA648" s="18">
        <f>IF(OR(V648="Aprobada"),R648,IF(AND(OR(V648="Aprobada con ajuste",V648="Rechazada"),W648&lt;&gt;""),W648,""))</f>
        <v/>
      </c>
    </row>
    <row r="649">
      <c r="A649" s="18" t="inlineStr">
        <is>
          <t>C0648</t>
        </is>
      </c>
      <c r="B649" s="18" t="inlineStr">
        <is>
          <t>Certificaciones</t>
        </is>
      </c>
      <c r="C649" s="18" t="inlineStr">
        <is>
          <t>certification</t>
        </is>
      </c>
      <c r="D649" s="18" t="inlineStr">
        <is>
          <t>certificate_correction_requests</t>
        </is>
      </c>
      <c r="E649" s="18" t="n">
        <v>9</v>
      </c>
      <c r="F649" s="18" t="inlineStr">
        <is>
          <t>resolution_evidence</t>
        </is>
      </c>
      <c r="G649" s="18" t="inlineStr">
        <is>
          <t>jsonb</t>
        </is>
      </c>
      <c r="H649" s="18" t="inlineStr">
        <is>
          <t>No</t>
        </is>
      </c>
      <c r="I649" s="18" t="inlineStr"/>
      <c r="J649" s="18" t="inlineStr"/>
      <c r="K649" s="18" t="inlineStr"/>
      <c r="L649" s="18" t="inlineStr">
        <is>
          <t>No</t>
        </is>
      </c>
      <c r="M649" s="18" t="inlineStr">
        <is>
          <t>No</t>
        </is>
      </c>
      <c r="N649" s="18" t="inlineStr"/>
      <c r="O649" s="18" t="inlineStr"/>
      <c r="P649" s="18" t="inlineStr">
        <is>
          <t>Mapeada en certification-service/src/certificates/certificate-correction-request.entity.ts:91 (CertificateCorrectionRequest.resolution_evidence)</t>
        </is>
      </c>
      <c r="Q649" s="18" t="inlineStr">
        <is>
          <t>Código fuente (verificado)</t>
        </is>
      </c>
      <c r="R649" s="18" t="inlineStr">
        <is>
          <t>Archivos de evidencia de la resolución de la solicitud de corrección, en formato JSON: lista con nombre original, nombre almacenado, tipo MIME, tamaño y ruta relativa de cada archivo (hasta dos). Por defecto, una lista vacía.</t>
        </is>
      </c>
      <c r="S649" s="18" t="inlineStr">
        <is>
          <t>Alta</t>
        </is>
      </c>
      <c r="T649" s="18" t="inlineStr">
        <is>
          <t>backend/certification-service/src/certificates/certificate-correction-request.entity.ts:18-24: estructura de cada evidencia | backend/certification-service/src/certificates/certificates.service.ts:3179: resolution_evidence = correctionEvidenceFromFiles(files) | backend/certification-service/src/certificates/certificate-correction-requests.controller.ts:228: FilesInterceptor('files', 2)</t>
        </is>
      </c>
      <c r="U649" s="18" t="inlineStr"/>
      <c r="V649" s="19" t="inlineStr">
        <is>
          <t>Aprobada</t>
        </is>
      </c>
      <c r="W649" s="19" t="inlineStr"/>
      <c r="X649" s="19" t="inlineStr">
        <is>
          <t>Aldair González (aprobación en bloque)</t>
        </is>
      </c>
      <c r="Y649" s="20" t="n">
        <v>46321</v>
      </c>
      <c r="Z649" s="19" t="inlineStr">
        <is>
          <t>Nivel 3: verificada con el código de la aplicación.</t>
        </is>
      </c>
      <c r="AA649" s="18">
        <f>IF(OR(V649="Aprobada"),R649,IF(AND(OR(V649="Aprobada con ajuste",V649="Rechazada"),W649&lt;&gt;""),W649,""))</f>
        <v/>
      </c>
    </row>
    <row r="650">
      <c r="A650" s="18" t="inlineStr">
        <is>
          <t>C0649</t>
        </is>
      </c>
      <c r="B650" s="18" t="inlineStr">
        <is>
          <t>Certificaciones</t>
        </is>
      </c>
      <c r="C650" s="18" t="inlineStr">
        <is>
          <t>certification</t>
        </is>
      </c>
      <c r="D650" s="18" t="inlineStr">
        <is>
          <t>certificate_correction_requests</t>
        </is>
      </c>
      <c r="E650" s="18" t="n">
        <v>9</v>
      </c>
      <c r="F650" s="18" t="inlineStr">
        <is>
          <t>corrected_data</t>
        </is>
      </c>
      <c r="G650" s="18" t="inlineStr">
        <is>
          <t>jsonb</t>
        </is>
      </c>
      <c r="H650" s="18" t="inlineStr">
        <is>
          <t>Sí</t>
        </is>
      </c>
      <c r="I650" s="18" t="inlineStr"/>
      <c r="J650" s="18" t="inlineStr"/>
      <c r="K650" s="18" t="inlineStr"/>
      <c r="L650" s="18" t="inlineStr">
        <is>
          <t>No</t>
        </is>
      </c>
      <c r="M650" s="18" t="inlineStr">
        <is>
          <t>No</t>
        </is>
      </c>
      <c r="N650" s="18" t="inlineStr"/>
      <c r="O650" s="18" t="inlineStr"/>
      <c r="P650" s="18" t="inlineStr">
        <is>
          <t>Mapeada en certification-service/src/certificates/certificate-correction-request.entity.ts:94 (CertificateCorrectionRequest.corrected_data)</t>
        </is>
      </c>
      <c r="Q650" s="18" t="inlineStr">
        <is>
          <t>Código fuente (verificado)</t>
        </is>
      </c>
      <c r="R650" s="18" t="inlineStr">
        <is>
          <t>Datos completos del certificado después de aplicar la corrección aprobada, en formato JSON (instantánea del certificado, no solo los campos modificados).</t>
        </is>
      </c>
      <c r="S650" s="18" t="inlineStr">
        <is>
          <t>Alta</t>
        </is>
      </c>
      <c r="T650" s="18" t="inlineStr">
        <is>
          <t>backend/certification-service/src/certificates/certificates.service.ts:3170-3178: aplica el parche al certificado y toma certificateCorrectionSnapshot | backend/certification-service/src/certificates/certificates.service.ts:2404-2434: la instantánea incluye todos los campos del certificado | backend/certification-service/src/certificates/certificates.service.ts:3216: corrected_data = correctedSnapshot</t>
        </is>
      </c>
      <c r="U650" s="18" t="inlineStr"/>
      <c r="V650" s="19" t="inlineStr">
        <is>
          <t>Aprobada</t>
        </is>
      </c>
      <c r="W650" s="19" t="inlineStr"/>
      <c r="X650" s="19" t="inlineStr">
        <is>
          <t>Aldair González (aprobación en bloque)</t>
        </is>
      </c>
      <c r="Y650" s="20" t="n">
        <v>46321</v>
      </c>
      <c r="Z650" s="19" t="inlineStr">
        <is>
          <t>Nivel 3: verificada con el código de la aplicación.</t>
        </is>
      </c>
      <c r="AA650" s="18">
        <f>IF(OR(V650="Aprobada"),R650,IF(AND(OR(V650="Aprobada con ajuste",V650="Rechazada"),W650&lt;&gt;""),W650,""))</f>
        <v/>
      </c>
    </row>
    <row r="651">
      <c r="A651" s="18" t="inlineStr">
        <is>
          <t>C0650</t>
        </is>
      </c>
      <c r="B651" s="18" t="inlineStr">
        <is>
          <t>Certificaciones</t>
        </is>
      </c>
      <c r="C651" s="18" t="inlineStr">
        <is>
          <t>certification</t>
        </is>
      </c>
      <c r="D651" s="18" t="inlineStr">
        <is>
          <t>certificate_correction_requests</t>
        </is>
      </c>
      <c r="E651" s="18" t="n">
        <v>9</v>
      </c>
      <c r="F651" s="18" t="inlineStr">
        <is>
          <t>resolved_at</t>
        </is>
      </c>
      <c r="G651" s="18" t="inlineStr">
        <is>
          <t>timestamp without time zone</t>
        </is>
      </c>
      <c r="H651" s="18" t="inlineStr">
        <is>
          <t>Sí</t>
        </is>
      </c>
      <c r="I651" s="18" t="inlineStr"/>
      <c r="J651" s="18" t="inlineStr"/>
      <c r="K651" s="18" t="inlineStr"/>
      <c r="L651" s="18" t="inlineStr">
        <is>
          <t>No</t>
        </is>
      </c>
      <c r="M651" s="18" t="inlineStr">
        <is>
          <t>No</t>
        </is>
      </c>
      <c r="N651" s="18" t="inlineStr"/>
      <c r="O651" s="18" t="inlineStr"/>
      <c r="P651" s="18" t="inlineStr">
        <is>
          <t>Mapeada en certification-service/src/certificates/certificate-correction-request.entity.ts:100 (CertificateCorrectionRequest.resolved_at)</t>
        </is>
      </c>
      <c r="Q651" s="18" t="inlineStr">
        <is>
          <t>Propuesta semántica</t>
        </is>
      </c>
      <c r="R651" s="18" t="inlineStr">
        <is>
          <t>Fecha y hora en que se resolvió la solicitud de corrección.</t>
        </is>
      </c>
      <c r="S651" s="18" t="inlineStr">
        <is>
          <t>Alta</t>
        </is>
      </c>
      <c r="T651" s="18" t="inlineStr">
        <is>
          <t>nombre + tipo + columnas vecinas</t>
        </is>
      </c>
      <c r="U651" s="18" t="inlineStr"/>
      <c r="V651" s="19" t="inlineStr">
        <is>
          <t>Aprobada</t>
        </is>
      </c>
      <c r="W651" s="19" t="inlineStr"/>
      <c r="X651" s="19" t="inlineStr">
        <is>
          <t>Aldair González (aprobación en bloque)</t>
        </is>
      </c>
      <c r="Y651" s="20" t="n">
        <v>46321</v>
      </c>
      <c r="Z651" s="19" t="inlineStr">
        <is>
          <t>Nivel 1: propuesta del comentario del desarrollador o de confianza alta, o regla de fecha/responsable/motivo.</t>
        </is>
      </c>
      <c r="AA651" s="18">
        <f>IF(OR(V651="Aprobada"),R651,IF(AND(OR(V651="Aprobada con ajuste",V651="Rechazada"),W651&lt;&gt;""),W651,""))</f>
        <v/>
      </c>
    </row>
    <row r="652">
      <c r="A652" s="18" t="inlineStr">
        <is>
          <t>C0651</t>
        </is>
      </c>
      <c r="B652" s="18" t="inlineStr">
        <is>
          <t>Certificaciones</t>
        </is>
      </c>
      <c r="C652" s="18" t="inlineStr">
        <is>
          <t>certification</t>
        </is>
      </c>
      <c r="D652" s="18" t="inlineStr">
        <is>
          <t>certificate_requests</t>
        </is>
      </c>
      <c r="E652" s="18" t="n">
        <v>15250</v>
      </c>
      <c r="F652" s="18" t="inlineStr">
        <is>
          <t>person_id</t>
        </is>
      </c>
      <c r="G652" s="18" t="inlineStr">
        <is>
          <t>uuid</t>
        </is>
      </c>
      <c r="H652" s="18" t="inlineStr">
        <is>
          <t>Sí</t>
        </is>
      </c>
      <c r="I652" s="18" t="inlineStr"/>
      <c r="J652" s="18" t="inlineStr"/>
      <c r="K652" s="18" t="inlineStr"/>
      <c r="L652" s="18" t="inlineStr">
        <is>
          <t>No</t>
        </is>
      </c>
      <c r="M652" s="18" t="inlineStr">
        <is>
          <t>No</t>
        </is>
      </c>
      <c r="N652" s="18" t="inlineStr"/>
      <c r="O652" s="18" t="inlineStr">
        <is>
          <t>idx_requests_person</t>
        </is>
      </c>
      <c r="P652" s="18" t="inlineStr">
        <is>
          <t>db/init/old/005_schema_certification.sql:17: Relationship with person (auth.person) Optional reference to auth.person</t>
        </is>
      </c>
      <c r="Q652" s="18" t="inlineStr">
        <is>
          <t>Código fuente (verificado)</t>
        </is>
      </c>
      <c r="R652" s="18" t="inlineStr">
        <is>
          <t>Identificador opcional de la persona que solicita el certificado laboral. Queda vacío en las solicitudes sincronizadas desde Oracle.</t>
        </is>
      </c>
      <c r="S652" s="18" t="inlineStr">
        <is>
          <t>Media</t>
        </is>
      </c>
      <c r="T652" s="18" t="inlineStr">
        <is>
          <t>backend/certification-service/src/certificates/labor-oracle-integration.service.ts:492: person_id null en solicitudes de Oracle | backend/certification-service/src/certificates/labor-oracle-integration.service.ts:539: nota 'la vista Oracle no los expone' | backend/certification-service/src/certificates/certificates.service.ts:3943-3946: búsqueda de solicitudes por person_id | db/init/old/005_schema_certification.sql:16-17: comentario 'Optional reference to auth.person', sin FK</t>
        </is>
      </c>
      <c r="U652" s="18" t="inlineStr">
        <is>
          <t>¿person_id guarda auth.personas.id_person u otro identificador? El código no declara la relación ni indica quién lo diligencia.</t>
        </is>
      </c>
      <c r="V652" s="19" t="inlineStr">
        <is>
          <t>Aprobada</t>
        </is>
      </c>
      <c r="W652" s="19" t="inlineStr"/>
      <c r="X652" s="19" t="inlineStr">
        <is>
          <t>Aldair González (validación del responsable de BD)</t>
        </is>
      </c>
      <c r="Y652" s="20" t="n">
        <v>46321</v>
      </c>
      <c r="Z652" s="19" t="inlineStr">
        <is>
          <t>Nivel 3: validada por decisión del responsable de la base de datos. Pregunta registrada para desarrollo: ¿person_id guarda auth.personas.id_person u otro identificador? El código no declara la relación ni indica quién lo diligencia.</t>
        </is>
      </c>
      <c r="AA652" s="18">
        <f>IF(OR(V652="Aprobada"),R652,IF(AND(OR(V652="Aprobada con ajuste",V652="Rechazada"),W652&lt;&gt;""),W652,""))</f>
        <v/>
      </c>
    </row>
    <row r="653">
      <c r="A653" s="18" t="inlineStr">
        <is>
          <t>C0652</t>
        </is>
      </c>
      <c r="B653" s="18" t="inlineStr">
        <is>
          <t>Certificaciones</t>
        </is>
      </c>
      <c r="C653" s="18" t="inlineStr">
        <is>
          <t>certification</t>
        </is>
      </c>
      <c r="D653" s="18" t="inlineStr">
        <is>
          <t>certificate_requests</t>
        </is>
      </c>
      <c r="E653" s="18" t="n">
        <v>15250</v>
      </c>
      <c r="F653" s="18" t="inlineStr">
        <is>
          <t>full_name</t>
        </is>
      </c>
      <c r="G653" s="18" t="inlineStr">
        <is>
          <t>character varying(255)</t>
        </is>
      </c>
      <c r="H653" s="18" t="inlineStr">
        <is>
          <t>No</t>
        </is>
      </c>
      <c r="I653" s="18" t="inlineStr"/>
      <c r="J653" s="18" t="inlineStr"/>
      <c r="K653" s="18" t="inlineStr"/>
      <c r="L653" s="18" t="inlineStr">
        <is>
          <t>No</t>
        </is>
      </c>
      <c r="M653" s="18" t="inlineStr">
        <is>
          <t>No</t>
        </is>
      </c>
      <c r="N653" s="18" t="inlineStr"/>
      <c r="O653" s="18" t="inlineStr"/>
      <c r="P653" s="18" t="inlineStr">
        <is>
          <t>db/init/old/005_schema_certification.sql:20: DATA1: Full name of the employee</t>
        </is>
      </c>
      <c r="Q653" s="18" t="inlineStr">
        <is>
          <t>Código fuente</t>
        </is>
      </c>
      <c r="R653" s="18" t="inlineStr">
        <is>
          <t>Nombre completo del empleado (dato DATA1 del certificado).</t>
        </is>
      </c>
      <c r="S653" s="18" t="inlineStr">
        <is>
          <t>Alta</t>
        </is>
      </c>
      <c r="T653" s="18" t="inlineStr">
        <is>
          <t>código: db/init/old/005_schema_certification.sql:20</t>
        </is>
      </c>
      <c r="U653" s="18" t="inlineStr"/>
      <c r="V653" s="19" t="inlineStr">
        <is>
          <t>Aprobada</t>
        </is>
      </c>
      <c r="W653" s="19" t="inlineStr"/>
      <c r="X653" s="19" t="inlineStr">
        <is>
          <t>Aldair González (aprobación en bloque)</t>
        </is>
      </c>
      <c r="Y653" s="20" t="n">
        <v>46321</v>
      </c>
      <c r="Z653" s="19" t="inlineStr">
        <is>
          <t>Nivel 1: propuesta del comentario del desarrollador o de confianza alta, o regla de fecha/responsable/motivo.</t>
        </is>
      </c>
      <c r="AA653" s="18">
        <f>IF(OR(V653="Aprobada"),R653,IF(AND(OR(V653="Aprobada con ajuste",V653="Rechazada"),W653&lt;&gt;""),W653,""))</f>
        <v/>
      </c>
    </row>
    <row r="654">
      <c r="A654" s="18" t="inlineStr">
        <is>
          <t>C0653</t>
        </is>
      </c>
      <c r="B654" s="18" t="inlineStr">
        <is>
          <t>Certificaciones</t>
        </is>
      </c>
      <c r="C654" s="18" t="inlineStr">
        <is>
          <t>certification</t>
        </is>
      </c>
      <c r="D654" s="18" t="inlineStr">
        <is>
          <t>certificate_requests</t>
        </is>
      </c>
      <c r="E654" s="18" t="n">
        <v>15250</v>
      </c>
      <c r="F654" s="18" t="inlineStr">
        <is>
          <t>id_number</t>
        </is>
      </c>
      <c r="G654" s="18" t="inlineStr">
        <is>
          <t>character varying(50)</t>
        </is>
      </c>
      <c r="H654" s="18" t="inlineStr">
        <is>
          <t>No</t>
        </is>
      </c>
      <c r="I654" s="18" t="inlineStr"/>
      <c r="J654" s="18" t="inlineStr"/>
      <c r="K654" s="18" t="inlineStr"/>
      <c r="L654" s="18" t="inlineStr">
        <is>
          <t>No</t>
        </is>
      </c>
      <c r="M654" s="18" t="inlineStr">
        <is>
          <t>No</t>
        </is>
      </c>
      <c r="N654" s="18" t="inlineStr"/>
      <c r="O654" s="18" t="inlineStr">
        <is>
          <t>idx_requests_id_number</t>
        </is>
      </c>
      <c r="P654" s="18" t="inlineStr">
        <is>
          <t>db/init/old/005_schema_certification.sql:23: DATA2: ID number</t>
        </is>
      </c>
      <c r="Q654" s="18" t="inlineStr">
        <is>
          <t>Código fuente</t>
        </is>
      </c>
      <c r="R654" s="18" t="inlineStr">
        <is>
          <t>Número de identificación del empleado (dato DATA2 del certificado).</t>
        </is>
      </c>
      <c r="S654" s="18" t="inlineStr">
        <is>
          <t>Alta</t>
        </is>
      </c>
      <c r="T654" s="18" t="inlineStr">
        <is>
          <t>código: db/init/old/005_schema_certification.sql:23</t>
        </is>
      </c>
      <c r="U654" s="18" t="inlineStr"/>
      <c r="V654" s="19" t="inlineStr">
        <is>
          <t>Aprobada</t>
        </is>
      </c>
      <c r="W654" s="19" t="inlineStr"/>
      <c r="X654" s="19" t="inlineStr">
        <is>
          <t>Aldair González (aprobación en bloque)</t>
        </is>
      </c>
      <c r="Y654" s="20" t="n">
        <v>46321</v>
      </c>
      <c r="Z654" s="19" t="inlineStr">
        <is>
          <t>Nivel 1: propuesta del comentario del desarrollador o de confianza alta, o regla de fecha/responsable/motivo.</t>
        </is>
      </c>
      <c r="AA654" s="18">
        <f>IF(OR(V654="Aprobada"),R654,IF(AND(OR(V654="Aprobada con ajuste",V654="Rechazada"),W654&lt;&gt;""),W654,""))</f>
        <v/>
      </c>
    </row>
    <row r="655">
      <c r="A655" s="18" t="inlineStr">
        <is>
          <t>C0654</t>
        </is>
      </c>
      <c r="B655" s="18" t="inlineStr">
        <is>
          <t>Certificaciones</t>
        </is>
      </c>
      <c r="C655" s="18" t="inlineStr">
        <is>
          <t>certification</t>
        </is>
      </c>
      <c r="D655" s="18" t="inlineStr">
        <is>
          <t>certificate_requests</t>
        </is>
      </c>
      <c r="E655" s="18" t="n">
        <v>15250</v>
      </c>
      <c r="F655" s="18" t="inlineStr">
        <is>
          <t>hiring_date</t>
        </is>
      </c>
      <c r="G655" s="18" t="inlineStr">
        <is>
          <t>date</t>
        </is>
      </c>
      <c r="H655" s="18" t="inlineStr">
        <is>
          <t>No</t>
        </is>
      </c>
      <c r="I655" s="18" t="inlineStr"/>
      <c r="J655" s="18" t="inlineStr"/>
      <c r="K655" s="18" t="inlineStr"/>
      <c r="L655" s="18" t="inlineStr">
        <is>
          <t>No</t>
        </is>
      </c>
      <c r="M655" s="18" t="inlineStr">
        <is>
          <t>No</t>
        </is>
      </c>
      <c r="N655" s="18" t="inlineStr"/>
      <c r="O655" s="18" t="inlineStr"/>
      <c r="P655" s="18" t="inlineStr">
        <is>
          <t>db/init/old/005_schema_certification.sql:32: DATA4: Hiring date (contract start)</t>
        </is>
      </c>
      <c r="Q655" s="18" t="inlineStr">
        <is>
          <t>Código fuente</t>
        </is>
      </c>
      <c r="R655" s="18" t="inlineStr">
        <is>
          <t>Fecha de vinculación del empleado, correspondiente al inicio del contrato (dato DATA4 del certificado).</t>
        </is>
      </c>
      <c r="S655" s="18" t="inlineStr">
        <is>
          <t>Alta</t>
        </is>
      </c>
      <c r="T655" s="18" t="inlineStr">
        <is>
          <t>código: db/init/old/005_schema_certification.sql:32</t>
        </is>
      </c>
      <c r="U655" s="18" t="inlineStr"/>
      <c r="V655" s="19" t="inlineStr">
        <is>
          <t>Aprobada</t>
        </is>
      </c>
      <c r="W655" s="19" t="inlineStr"/>
      <c r="X655" s="19" t="inlineStr">
        <is>
          <t>Aldair González (aprobación en bloque)</t>
        </is>
      </c>
      <c r="Y655" s="20" t="n">
        <v>46321</v>
      </c>
      <c r="Z655" s="19" t="inlineStr">
        <is>
          <t>Nivel 1: propuesta del comentario del desarrollador o de confianza alta, o regla de fecha/responsable/motivo.</t>
        </is>
      </c>
      <c r="AA655" s="18">
        <f>IF(OR(V655="Aprobada"),R655,IF(AND(OR(V655="Aprobada con ajuste",V655="Rechazada"),W655&lt;&gt;""),W655,""))</f>
        <v/>
      </c>
    </row>
    <row r="656">
      <c r="A656" s="18" t="inlineStr">
        <is>
          <t>C0655</t>
        </is>
      </c>
      <c r="B656" s="18" t="inlineStr">
        <is>
          <t>Certificaciones</t>
        </is>
      </c>
      <c r="C656" s="18" t="inlineStr">
        <is>
          <t>certification</t>
        </is>
      </c>
      <c r="D656" s="18" t="inlineStr">
        <is>
          <t>certificate_requests</t>
        </is>
      </c>
      <c r="E656" s="18" t="n">
        <v>15250</v>
      </c>
      <c r="F656" s="18" t="inlineStr">
        <is>
          <t>position_location</t>
        </is>
      </c>
      <c r="G656" s="18" t="inlineStr">
        <is>
          <t>character varying(150)</t>
        </is>
      </c>
      <c r="H656" s="18" t="inlineStr">
        <is>
          <t>Sí</t>
        </is>
      </c>
      <c r="I656" s="18" t="inlineStr"/>
      <c r="J656" s="18" t="inlineStr"/>
      <c r="K656" s="18" t="inlineStr"/>
      <c r="L656" s="18" t="inlineStr">
        <is>
          <t>No</t>
        </is>
      </c>
      <c r="M656" s="18" t="inlineStr">
        <is>
          <t>No</t>
        </is>
      </c>
      <c r="N656" s="18" t="inlineStr"/>
      <c r="O656" s="18" t="inlineStr"/>
      <c r="P656" s="18" t="inlineStr">
        <is>
          <t>db/init/old/005_schema_certification.sql:38: DATA6: Position location (city)</t>
        </is>
      </c>
      <c r="Q656" s="18" t="inlineStr">
        <is>
          <t>Código fuente</t>
        </is>
      </c>
      <c r="R656" s="18" t="inlineStr">
        <is>
          <t>Ciudad de ubicación del cargo (dato DATA6 del certificado).</t>
        </is>
      </c>
      <c r="S656" s="18" t="inlineStr">
        <is>
          <t>Alta</t>
        </is>
      </c>
      <c r="T656" s="18" t="inlineStr">
        <is>
          <t>código: db/init/old/005_schema_certification.sql:38</t>
        </is>
      </c>
      <c r="U656" s="18" t="inlineStr"/>
      <c r="V656" s="19" t="inlineStr">
        <is>
          <t>Aprobada</t>
        </is>
      </c>
      <c r="W656" s="19" t="inlineStr"/>
      <c r="X656" s="19" t="inlineStr">
        <is>
          <t>Aldair González (aprobación en bloque)</t>
        </is>
      </c>
      <c r="Y656" s="20" t="n">
        <v>46321</v>
      </c>
      <c r="Z656" s="19" t="inlineStr">
        <is>
          <t>Nivel 1: propuesta del comentario del desarrollador o de confianza alta, o regla de fecha/responsable/motivo.</t>
        </is>
      </c>
      <c r="AA656" s="18">
        <f>IF(OR(V656="Aprobada"),R656,IF(AND(OR(V656="Aprobada con ajuste",V656="Rechazada"),W656&lt;&gt;""),W656,""))</f>
        <v/>
      </c>
    </row>
    <row r="657">
      <c r="A657" s="18" t="inlineStr">
        <is>
          <t>C0656</t>
        </is>
      </c>
      <c r="B657" s="18" t="inlineStr">
        <is>
          <t>Certificaciones</t>
        </is>
      </c>
      <c r="C657" s="18" t="inlineStr">
        <is>
          <t>certification</t>
        </is>
      </c>
      <c r="D657" s="18" t="inlineStr">
        <is>
          <t>certificate_requests</t>
        </is>
      </c>
      <c r="E657" s="18" t="n">
        <v>15250</v>
      </c>
      <c r="F657" s="18" t="inlineStr">
        <is>
          <t>department</t>
        </is>
      </c>
      <c r="G657" s="18" t="inlineStr">
        <is>
          <t>character varying(255)</t>
        </is>
      </c>
      <c r="H657" s="18" t="inlineStr">
        <is>
          <t>Sí</t>
        </is>
      </c>
      <c r="I657" s="18" t="inlineStr"/>
      <c r="J657" s="18" t="inlineStr"/>
      <c r="K657" s="18" t="inlineStr"/>
      <c r="L657" s="18" t="inlineStr">
        <is>
          <t>No</t>
        </is>
      </c>
      <c r="M657" s="18" t="inlineStr">
        <is>
          <t>No</t>
        </is>
      </c>
      <c r="N657" s="18" t="inlineStr"/>
      <c r="O657" s="18" t="inlineStr"/>
      <c r="P657" s="18" t="inlineStr">
        <is>
          <t>db/init/old/005_schema_certification.sql:48: Territorial Directorate Bogotá, etc.</t>
        </is>
      </c>
      <c r="Q657" s="18" t="inlineStr">
        <is>
          <t>Código fuente</t>
        </is>
      </c>
      <c r="R657" s="18" t="inlineStr">
        <is>
          <t>Dependencia o dirección territorial del empleado (por ejemplo, Dirección Territorial Bogotá).</t>
        </is>
      </c>
      <c r="S657" s="18" t="inlineStr">
        <is>
          <t>Alta</t>
        </is>
      </c>
      <c r="T657" s="18" t="inlineStr">
        <is>
          <t>código: db/init/old/005_schema_certification.sql:48</t>
        </is>
      </c>
      <c r="U657" s="18" t="inlineStr"/>
      <c r="V657" s="19" t="inlineStr">
        <is>
          <t>Aprobada</t>
        </is>
      </c>
      <c r="W657" s="19" t="inlineStr"/>
      <c r="X657" s="19" t="inlineStr">
        <is>
          <t>Aldair González (aprobación en bloque)</t>
        </is>
      </c>
      <c r="Y657" s="20" t="n">
        <v>46321</v>
      </c>
      <c r="Z657" s="19" t="inlineStr">
        <is>
          <t>Nivel 1: propuesta del comentario del desarrollador o de confianza alta, o regla de fecha/responsable/motivo.</t>
        </is>
      </c>
      <c r="AA657" s="18">
        <f>IF(OR(V657="Aprobada"),R657,IF(AND(OR(V657="Aprobada con ajuste",V657="Rechazada"),W657&lt;&gt;""),W657,""))</f>
        <v/>
      </c>
    </row>
    <row r="658">
      <c r="A658" s="18" t="inlineStr">
        <is>
          <t>C0657</t>
        </is>
      </c>
      <c r="B658" s="18" t="inlineStr">
        <is>
          <t>Certificaciones</t>
        </is>
      </c>
      <c r="C658" s="18" t="inlineStr">
        <is>
          <t>certification</t>
        </is>
      </c>
      <c r="D658" s="18" t="inlineStr">
        <is>
          <t>certificate_requests</t>
        </is>
      </c>
      <c r="E658" s="18" t="n">
        <v>15250</v>
      </c>
      <c r="F658" s="18" t="inlineStr">
        <is>
          <t>campus</t>
        </is>
      </c>
      <c r="G658" s="18" t="inlineStr">
        <is>
          <t>character varying(100)</t>
        </is>
      </c>
      <c r="H658" s="18" t="inlineStr">
        <is>
          <t>Sí</t>
        </is>
      </c>
      <c r="I658" s="18" t="inlineStr"/>
      <c r="J658" s="18" t="inlineStr"/>
      <c r="K658" s="18" t="inlineStr"/>
      <c r="L658" s="18" t="inlineStr">
        <is>
          <t>No</t>
        </is>
      </c>
      <c r="M658" s="18" t="inlineStr">
        <is>
          <t>No</t>
        </is>
      </c>
      <c r="N658" s="18" t="inlineStr"/>
      <c r="O658" s="18" t="inlineStr"/>
      <c r="P658" s="18" t="inlineStr">
        <is>
          <t>db/init/old/005_schema_certification.sql:49: Main campus, Bogotá D.C., etc.</t>
        </is>
      </c>
      <c r="Q658" s="18" t="inlineStr">
        <is>
          <t>Código fuente</t>
        </is>
      </c>
      <c r="R658" s="18" t="inlineStr">
        <is>
          <t>Sede del empleado (por ejemplo, Sede Central, Bogotá D.C.).</t>
        </is>
      </c>
      <c r="S658" s="18" t="inlineStr">
        <is>
          <t>Alta</t>
        </is>
      </c>
      <c r="T658" s="18" t="inlineStr">
        <is>
          <t>código: db/init/old/005_schema_certification.sql:49</t>
        </is>
      </c>
      <c r="U658" s="18" t="inlineStr"/>
      <c r="V658" s="19" t="inlineStr">
        <is>
          <t>Aprobada</t>
        </is>
      </c>
      <c r="W658" s="19" t="inlineStr"/>
      <c r="X658" s="19" t="inlineStr">
        <is>
          <t>Aldair González (aprobación en bloque)</t>
        </is>
      </c>
      <c r="Y658" s="20" t="n">
        <v>46321</v>
      </c>
      <c r="Z658" s="19" t="inlineStr">
        <is>
          <t>Nivel 1: propuesta del comentario del desarrollador o de confianza alta, o regla de fecha/responsable/motivo.</t>
        </is>
      </c>
      <c r="AA658" s="18">
        <f>IF(OR(V658="Aprobada"),R658,IF(AND(OR(V658="Aprobada con ajuste",V658="Rechazada"),W658&lt;&gt;""),W658,""))</f>
        <v/>
      </c>
    </row>
    <row r="659">
      <c r="A659" s="18" t="inlineStr">
        <is>
          <t>C0658</t>
        </is>
      </c>
      <c r="B659" s="18" t="inlineStr">
        <is>
          <t>Certificaciones</t>
        </is>
      </c>
      <c r="C659" s="18" t="inlineStr">
        <is>
          <t>certification</t>
        </is>
      </c>
      <c r="D659" s="18" t="inlineStr">
        <is>
          <t>certificate_requests</t>
        </is>
      </c>
      <c r="E659" s="18" t="n">
        <v>15250</v>
      </c>
      <c r="F659" s="18" t="inlineStr">
        <is>
          <t>email</t>
        </is>
      </c>
      <c r="G659" s="18" t="inlineStr">
        <is>
          <t>character varying(100)</t>
        </is>
      </c>
      <c r="H659" s="18" t="inlineStr">
        <is>
          <t>Sí</t>
        </is>
      </c>
      <c r="I659" s="18" t="inlineStr"/>
      <c r="J659" s="18" t="inlineStr"/>
      <c r="K659" s="18" t="inlineStr"/>
      <c r="L659" s="18" t="inlineStr">
        <is>
          <t>No</t>
        </is>
      </c>
      <c r="M659" s="18" t="inlineStr">
        <is>
          <t>No</t>
        </is>
      </c>
      <c r="N659" s="18" t="inlineStr"/>
      <c r="O659" s="18" t="inlineStr"/>
      <c r="P659" s="18" t="inlineStr">
        <is>
          <t>Mapeada en certification-service/src/certificates/certificate-request.entity.ts:81 (CertificateRequest.email)</t>
        </is>
      </c>
      <c r="Q659" s="18" t="inlineStr">
        <is>
          <t>Regla estructural (redacción revisada)</t>
        </is>
      </c>
      <c r="R659" s="18" t="inlineStr">
        <is>
          <t>Correo electrónico del solicitante del certificado laboral.</t>
        </is>
      </c>
      <c r="S659" s="18" t="inlineStr">
        <is>
          <t>Alta</t>
        </is>
      </c>
      <c r="T659" s="18" t="inlineStr">
        <is>
          <t>Convención de nombre, redactada con el contexto de la tabla y el código.</t>
        </is>
      </c>
      <c r="U659" s="18" t="inlineStr"/>
      <c r="V659" s="19" t="inlineStr">
        <is>
          <t>Aprobada</t>
        </is>
      </c>
      <c r="W659" s="19" t="inlineStr"/>
      <c r="X659" s="19" t="inlineStr">
        <is>
          <t>Aldair González (aprobación en bloque)</t>
        </is>
      </c>
      <c r="Y659" s="20" t="n">
        <v>46321</v>
      </c>
      <c r="Z659" s="19" t="inlineStr">
        <is>
          <t>Nivel 2: regla estructural con redacción revisada.</t>
        </is>
      </c>
      <c r="AA659" s="18">
        <f>IF(OR(V659="Aprobada"),R659,IF(AND(OR(V659="Aprobada con ajuste",V659="Rechazada"),W659&lt;&gt;""),W659,""))</f>
        <v/>
      </c>
    </row>
    <row r="660">
      <c r="A660" s="18" t="inlineStr">
        <is>
          <t>C0659</t>
        </is>
      </c>
      <c r="B660" s="18" t="inlineStr">
        <is>
          <t>Certificaciones</t>
        </is>
      </c>
      <c r="C660" s="18" t="inlineStr">
        <is>
          <t>certification</t>
        </is>
      </c>
      <c r="D660" s="18" t="inlineStr">
        <is>
          <t>certificate_requests</t>
        </is>
      </c>
      <c r="E660" s="18" t="n">
        <v>15250</v>
      </c>
      <c r="F660" s="18" t="inlineStr">
        <is>
          <t>phone</t>
        </is>
      </c>
      <c r="G660" s="18" t="inlineStr">
        <is>
          <t>character varying(20)</t>
        </is>
      </c>
      <c r="H660" s="18" t="inlineStr">
        <is>
          <t>Sí</t>
        </is>
      </c>
      <c r="I660" s="18" t="inlineStr"/>
      <c r="J660" s="18" t="inlineStr"/>
      <c r="K660" s="18" t="inlineStr"/>
      <c r="L660" s="18" t="inlineStr">
        <is>
          <t>No</t>
        </is>
      </c>
      <c r="M660" s="18" t="inlineStr">
        <is>
          <t>No</t>
        </is>
      </c>
      <c r="N660" s="18" t="inlineStr"/>
      <c r="O660" s="18" t="inlineStr"/>
      <c r="P660" s="18" t="inlineStr">
        <is>
          <t>Mapeada en certification-service/src/certificates/certificate-request.entity.ts:84 (CertificateRequest.phone)</t>
        </is>
      </c>
      <c r="Q660" s="18" t="inlineStr">
        <is>
          <t>Propuesta semántica</t>
        </is>
      </c>
      <c r="R660" s="18" t="inlineStr">
        <is>
          <t>Número de teléfono del solicitante del certificado laboral.</t>
        </is>
      </c>
      <c r="S660" s="18" t="inlineStr">
        <is>
          <t>Alta</t>
        </is>
      </c>
      <c r="T660" s="18" t="inlineStr">
        <is>
          <t>nombre + tipo + columnas vecinas + descripción de la tabla</t>
        </is>
      </c>
      <c r="U660" s="18" t="inlineStr"/>
      <c r="V660" s="19" t="inlineStr">
        <is>
          <t>Aprobada</t>
        </is>
      </c>
      <c r="W660" s="19" t="inlineStr"/>
      <c r="X660" s="19" t="inlineStr">
        <is>
          <t>Aldair González (aprobación en bloque)</t>
        </is>
      </c>
      <c r="Y660" s="20" t="n">
        <v>46321</v>
      </c>
      <c r="Z660" s="19" t="inlineStr">
        <is>
          <t>Nivel 1: propuesta del comentario del desarrollador o de confianza alta, o regla de fecha/responsable/motivo.</t>
        </is>
      </c>
      <c r="AA660" s="18">
        <f>IF(OR(V660="Aprobada"),R660,IF(AND(OR(V660="Aprobada con ajuste",V660="Rechazada"),W660&lt;&gt;""),W660,""))</f>
        <v/>
      </c>
    </row>
    <row r="661">
      <c r="A661" s="18" t="inlineStr">
        <is>
          <t>C0660</t>
        </is>
      </c>
      <c r="B661" s="18" t="inlineStr">
        <is>
          <t>Certificaciones</t>
        </is>
      </c>
      <c r="C661" s="18" t="inlineStr">
        <is>
          <t>certification</t>
        </is>
      </c>
      <c r="D661" s="18" t="inlineStr">
        <is>
          <t>certificate_requests</t>
        </is>
      </c>
      <c r="E661" s="18" t="n">
        <v>15250</v>
      </c>
      <c r="F661" s="18" t="inlineStr">
        <is>
          <t>status</t>
        </is>
      </c>
      <c r="G661" s="18" t="inlineStr">
        <is>
          <t>character varying(50)</t>
        </is>
      </c>
      <c r="H661" s="18" t="inlineStr">
        <is>
          <t>No</t>
        </is>
      </c>
      <c r="I661" s="18" t="inlineStr"/>
      <c r="J661" s="18" t="inlineStr"/>
      <c r="K661" s="18" t="inlineStr"/>
      <c r="L661" s="18" t="inlineStr">
        <is>
          <t>No</t>
        </is>
      </c>
      <c r="M661" s="18" t="inlineStr">
        <is>
          <t>No</t>
        </is>
      </c>
      <c r="N661" s="18" t="inlineStr"/>
      <c r="O661" s="18" t="inlineStr">
        <is>
          <t>idx_requests_status</t>
        </is>
      </c>
      <c r="P661" s="18" t="inlineStr">
        <is>
          <t>db/init/old/005_schema_certification.sql:54: Request status PENDING, APPROVED, REJECTED, GENERATED</t>
        </is>
      </c>
      <c r="Q661" s="18" t="inlineStr">
        <is>
          <t>Código fuente</t>
        </is>
      </c>
      <c r="R661" s="18" t="inlineStr">
        <is>
          <t>Estado de la solicitud del certificado laboral. Valores previstos: PENDING, APPROVED, REJECTED, GENERATED; por defecto PENDING.</t>
        </is>
      </c>
      <c r="S661" s="18" t="inlineStr">
        <is>
          <t>Alta</t>
        </is>
      </c>
      <c r="T661" s="18" t="inlineStr">
        <is>
          <t>código: db/init/old/005_schema_certification.sql:54</t>
        </is>
      </c>
      <c r="U661" s="18" t="inlineStr"/>
      <c r="V661" s="19" t="inlineStr">
        <is>
          <t>Aprobada</t>
        </is>
      </c>
      <c r="W661" s="19" t="inlineStr"/>
      <c r="X661" s="19" t="inlineStr">
        <is>
          <t>Aldair González (aprobación en bloque)</t>
        </is>
      </c>
      <c r="Y661" s="20" t="n">
        <v>46321</v>
      </c>
      <c r="Z661" s="19" t="inlineStr">
        <is>
          <t>Nivel 1: propuesta del comentario del desarrollador o de confianza alta, o regla de fecha/responsable/motivo.</t>
        </is>
      </c>
      <c r="AA661" s="18">
        <f>IF(OR(V661="Aprobada"),R661,IF(AND(OR(V661="Aprobada con ajuste",V661="Rechazada"),W661&lt;&gt;""),W661,""))</f>
        <v/>
      </c>
    </row>
    <row r="662">
      <c r="A662" s="18" t="inlineStr">
        <is>
          <t>C0661</t>
        </is>
      </c>
      <c r="B662" s="18" t="inlineStr">
        <is>
          <t>Certificaciones</t>
        </is>
      </c>
      <c r="C662" s="18" t="inlineStr">
        <is>
          <t>certification</t>
        </is>
      </c>
      <c r="D662" s="18" t="inlineStr">
        <is>
          <t>certificate_requests</t>
        </is>
      </c>
      <c r="E662" s="18" t="n">
        <v>15250</v>
      </c>
      <c r="F662" s="18" t="inlineStr">
        <is>
          <t>request_date</t>
        </is>
      </c>
      <c r="G662" s="18" t="inlineStr">
        <is>
          <t>timestamp without time zone</t>
        </is>
      </c>
      <c r="H662" s="18" t="inlineStr">
        <is>
          <t>Sí</t>
        </is>
      </c>
      <c r="I662" s="18" t="inlineStr"/>
      <c r="J662" s="18" t="inlineStr"/>
      <c r="K662" s="18" t="inlineStr"/>
      <c r="L662" s="18" t="inlineStr">
        <is>
          <t>No</t>
        </is>
      </c>
      <c r="M662" s="18" t="inlineStr">
        <is>
          <t>No</t>
        </is>
      </c>
      <c r="N662" s="18" t="inlineStr"/>
      <c r="O662" s="18" t="inlineStr">
        <is>
          <t>idx_requests_date</t>
        </is>
      </c>
      <c r="P662" s="18" t="inlineStr">
        <is>
          <t>Mapeada en certification-service/src/certificates/certificate-request.entity.ts:96 (CertificateRequest.request_date)</t>
        </is>
      </c>
      <c r="Q662" s="18" t="inlineStr">
        <is>
          <t>Propuesta semántica</t>
        </is>
      </c>
      <c r="R662" s="18" t="inlineStr">
        <is>
          <t>Fecha y hora de la solicitud del certificado. Por defecto, la fecha y hora del registro.</t>
        </is>
      </c>
      <c r="S662" s="18" t="inlineStr">
        <is>
          <t>Alta</t>
        </is>
      </c>
      <c r="T662" s="18" t="inlineStr">
        <is>
          <t>nombre + tipo + columnas vecinas + defecto now()</t>
        </is>
      </c>
      <c r="U662" s="18" t="inlineStr"/>
      <c r="V662" s="19" t="inlineStr">
        <is>
          <t>Aprobada</t>
        </is>
      </c>
      <c r="W662" s="19" t="inlineStr"/>
      <c r="X662" s="19" t="inlineStr">
        <is>
          <t>Aldair González (aprobación en bloque)</t>
        </is>
      </c>
      <c r="Y662" s="20" t="n">
        <v>46321</v>
      </c>
      <c r="Z662" s="19" t="inlineStr">
        <is>
          <t>Nivel 1: propuesta del comentario del desarrollador o de confianza alta, o regla de fecha/responsable/motivo.</t>
        </is>
      </c>
      <c r="AA662" s="18">
        <f>IF(OR(V662="Aprobada"),R662,IF(AND(OR(V662="Aprobada con ajuste",V662="Rechazada"),W662&lt;&gt;""),W662,""))</f>
        <v/>
      </c>
    </row>
    <row r="663">
      <c r="A663" s="18" t="inlineStr">
        <is>
          <t>C0662</t>
        </is>
      </c>
      <c r="B663" s="18" t="inlineStr">
        <is>
          <t>Certificaciones</t>
        </is>
      </c>
      <c r="C663" s="18" t="inlineStr">
        <is>
          <t>certification</t>
        </is>
      </c>
      <c r="D663" s="18" t="inlineStr">
        <is>
          <t>certificate_requests</t>
        </is>
      </c>
      <c r="E663" s="18" t="n">
        <v>15250</v>
      </c>
      <c r="F663" s="18" t="inlineStr">
        <is>
          <t>observations</t>
        </is>
      </c>
      <c r="G663" s="18" t="inlineStr">
        <is>
          <t>text</t>
        </is>
      </c>
      <c r="H663" s="18" t="inlineStr">
        <is>
          <t>Sí</t>
        </is>
      </c>
      <c r="I663" s="18" t="inlineStr"/>
      <c r="J663" s="18" t="inlineStr"/>
      <c r="K663" s="18" t="inlineStr"/>
      <c r="L663" s="18" t="inlineStr">
        <is>
          <t>No</t>
        </is>
      </c>
      <c r="M663" s="18" t="inlineStr">
        <is>
          <t>No</t>
        </is>
      </c>
      <c r="N663" s="18" t="inlineStr"/>
      <c r="O663" s="18" t="inlineStr"/>
      <c r="P663" s="18" t="inlineStr">
        <is>
          <t>db/init/old/005_schema_certification.sql:64: Observations</t>
        </is>
      </c>
      <c r="Q663" s="18" t="inlineStr">
        <is>
          <t>Código fuente</t>
        </is>
      </c>
      <c r="R663" s="18" t="inlineStr">
        <is>
          <t>Observaciones sobre la solicitud del certificado laboral.</t>
        </is>
      </c>
      <c r="S663" s="18" t="inlineStr">
        <is>
          <t>Alta</t>
        </is>
      </c>
      <c r="T663" s="18" t="inlineStr">
        <is>
          <t>código: db/init/old/005_schema_certification.sql:64</t>
        </is>
      </c>
      <c r="U663" s="18" t="inlineStr"/>
      <c r="V663" s="19" t="inlineStr">
        <is>
          <t>Aprobada</t>
        </is>
      </c>
      <c r="W663" s="19" t="inlineStr"/>
      <c r="X663" s="19" t="inlineStr">
        <is>
          <t>Aldair González (aprobación en bloque)</t>
        </is>
      </c>
      <c r="Y663" s="20" t="n">
        <v>46321</v>
      </c>
      <c r="Z663" s="19" t="inlineStr">
        <is>
          <t>Nivel 1: propuesta del comentario del desarrollador o de confianza alta, o regla de fecha/responsable/motivo.</t>
        </is>
      </c>
      <c r="AA663" s="18">
        <f>IF(OR(V663="Aprobada"),R663,IF(AND(OR(V663="Aprobada con ajuste",V663="Rechazada"),W663&lt;&gt;""),W663,""))</f>
        <v/>
      </c>
    </row>
    <row r="664">
      <c r="A664" s="18" t="inlineStr">
        <is>
          <t>C0663</t>
        </is>
      </c>
      <c r="B664" s="18" t="inlineStr">
        <is>
          <t>Certificaciones</t>
        </is>
      </c>
      <c r="C664" s="18" t="inlineStr">
        <is>
          <t>certification</t>
        </is>
      </c>
      <c r="D664" s="18" t="inlineStr">
        <is>
          <t>certificate_requests</t>
        </is>
      </c>
      <c r="E664" s="18" t="n">
        <v>15250</v>
      </c>
      <c r="F664" s="18" t="inlineStr">
        <is>
          <t>validation_code</t>
        </is>
      </c>
      <c r="G664" s="18" t="inlineStr">
        <is>
          <t>character varying(10)</t>
        </is>
      </c>
      <c r="H664" s="18" t="inlineStr">
        <is>
          <t>Sí</t>
        </is>
      </c>
      <c r="I664" s="18" t="inlineStr"/>
      <c r="J664" s="18" t="inlineStr"/>
      <c r="K664" s="18" t="inlineStr"/>
      <c r="L664" s="18" t="inlineStr">
        <is>
          <t>No</t>
        </is>
      </c>
      <c r="M664" s="18" t="inlineStr">
        <is>
          <t>No</t>
        </is>
      </c>
      <c r="N664" s="18" t="inlineStr"/>
      <c r="O664" s="18" t="inlineStr"/>
      <c r="P664" s="18" t="inlineStr">
        <is>
          <t>Mapeada en certification-service/src/certificates/certificate-request.entity.ts:90 (CertificateRequest.validation_code)</t>
        </is>
      </c>
      <c r="Q664" s="18" t="inlineStr">
        <is>
          <t>Código fuente (verificado)</t>
        </is>
      </c>
      <c r="R664" s="18" t="inlineStr">
        <is>
          <t>Código de seis dígitos que se envía al correo del empleado para confirmar su identidad en el autoservicio antes de generar el certificado laboral. Vence a los 15 minutos (validation_expires_at) y se borra al usarse o si falla el envío.</t>
        </is>
      </c>
      <c r="S664" s="18" t="inlineStr">
        <is>
          <t>Alta</t>
        </is>
      </c>
      <c r="T664" s="18" t="inlineStr">
        <is>
          <t>backend/certification-service/src/certificates/certificates.service.ts:5968-5978: genera código de 6 dígitos con vencimiento de 15 minutos | backend/certification-service/src/certificates/certificates.service.ts:6093-6111: se valida junto con id_number y vigencia | backend/certification-service/src/certificates/certificates.service.ts:6149-6153: se limpia tras generar el certificado</t>
        </is>
      </c>
      <c r="U664" s="18" t="inlineStr"/>
      <c r="V664" s="19" t="inlineStr">
        <is>
          <t>Aprobada</t>
        </is>
      </c>
      <c r="W664" s="19" t="inlineStr"/>
      <c r="X664" s="19" t="inlineStr">
        <is>
          <t>Aldair González (aprobación en bloque)</t>
        </is>
      </c>
      <c r="Y664" s="20" t="n">
        <v>46321</v>
      </c>
      <c r="Z664" s="19" t="inlineStr">
        <is>
          <t>Nivel 3: verificada con el código de la aplicación.</t>
        </is>
      </c>
      <c r="AA664" s="18">
        <f>IF(OR(V664="Aprobada"),R664,IF(AND(OR(V664="Aprobada con ajuste",V664="Rechazada"),W664&lt;&gt;""),W664,""))</f>
        <v/>
      </c>
    </row>
    <row r="665">
      <c r="A665" s="18" t="inlineStr">
        <is>
          <t>C0664</t>
        </is>
      </c>
      <c r="B665" s="18" t="inlineStr">
        <is>
          <t>Certificaciones</t>
        </is>
      </c>
      <c r="C665" s="18" t="inlineStr">
        <is>
          <t>certification</t>
        </is>
      </c>
      <c r="D665" s="18" t="inlineStr">
        <is>
          <t>certificate_requests</t>
        </is>
      </c>
      <c r="E665" s="18" t="n">
        <v>15250</v>
      </c>
      <c r="F665" s="18" t="inlineStr">
        <is>
          <t>validation_expires_at</t>
        </is>
      </c>
      <c r="G665" s="18" t="inlineStr">
        <is>
          <t>timestamp without time zone</t>
        </is>
      </c>
      <c r="H665" s="18" t="inlineStr">
        <is>
          <t>Sí</t>
        </is>
      </c>
      <c r="I665" s="18" t="inlineStr"/>
      <c r="J665" s="18" t="inlineStr"/>
      <c r="K665" s="18" t="inlineStr"/>
      <c r="L665" s="18" t="inlineStr">
        <is>
          <t>No</t>
        </is>
      </c>
      <c r="M665" s="18" t="inlineStr">
        <is>
          <t>No</t>
        </is>
      </c>
      <c r="N665" s="18" t="inlineStr"/>
      <c r="O665" s="18" t="inlineStr">
        <is>
          <t>idx_certificate_requests_validation_expires</t>
        </is>
      </c>
      <c r="P665" s="18" t="inlineStr">
        <is>
          <t>Mapeada en certification-service/src/certificates/certificate-request.entity.ts:93 (CertificateRequest.validation_expires_at)</t>
        </is>
      </c>
      <c r="Q665" s="18" t="inlineStr">
        <is>
          <t>Propuesta semántica</t>
        </is>
      </c>
      <c r="R665" s="18" t="inlineStr">
        <is>
          <t>Fecha y hora de vencimiento del código de validación.</t>
        </is>
      </c>
      <c r="S665" s="18" t="inlineStr">
        <is>
          <t>Alta</t>
        </is>
      </c>
      <c r="T665" s="18" t="inlineStr">
        <is>
          <t>nombre + tipo + columnas vecinas (validation_code)</t>
        </is>
      </c>
      <c r="U665" s="18" t="inlineStr"/>
      <c r="V665" s="19" t="inlineStr">
        <is>
          <t>Aprobada</t>
        </is>
      </c>
      <c r="W665" s="19" t="inlineStr"/>
      <c r="X665" s="19" t="inlineStr">
        <is>
          <t>Aldair González (aprobación en bloque)</t>
        </is>
      </c>
      <c r="Y665" s="20" t="n">
        <v>46321</v>
      </c>
      <c r="Z665" s="19" t="inlineStr">
        <is>
          <t>Nivel 1: propuesta del comentario del desarrollador o de confianza alta, o regla de fecha/responsable/motivo.</t>
        </is>
      </c>
      <c r="AA665" s="18">
        <f>IF(OR(V665="Aprobada"),R665,IF(AND(OR(V665="Aprobada con ajuste",V665="Rechazada"),W665&lt;&gt;""),W665,""))</f>
        <v/>
      </c>
    </row>
    <row r="666">
      <c r="A666" s="18" t="inlineStr">
        <is>
          <t>C0665</t>
        </is>
      </c>
      <c r="B666" s="18" t="inlineStr">
        <is>
          <t>Certificaciones</t>
        </is>
      </c>
      <c r="C666" s="18" t="inlineStr">
        <is>
          <t>certification</t>
        </is>
      </c>
      <c r="D666" s="18" t="inlineStr">
        <is>
          <t>certificate_requests</t>
        </is>
      </c>
      <c r="E666" s="18" t="n">
        <v>15250</v>
      </c>
      <c r="F666" s="18" t="inlineStr">
        <is>
          <t>base_position_code</t>
        </is>
      </c>
      <c r="G666" s="18" t="inlineStr">
        <is>
          <t>character varying(20)</t>
        </is>
      </c>
      <c r="H666" s="18" t="inlineStr">
        <is>
          <t>Sí</t>
        </is>
      </c>
      <c r="I666" s="18" t="inlineStr"/>
      <c r="J666" s="18" t="inlineStr"/>
      <c r="K666" s="18" t="inlineStr"/>
      <c r="L666" s="18" t="inlineStr">
        <is>
          <t>No</t>
        </is>
      </c>
      <c r="M666" s="18" t="inlineStr">
        <is>
          <t>No</t>
        </is>
      </c>
      <c r="N666" s="18" t="inlineStr"/>
      <c r="O666" s="18" t="inlineStr"/>
      <c r="P666" s="18" t="inlineStr">
        <is>
          <t>Mapeada en certification-service/src/certificates/certificate-request.entity.ts:54 (CertificateRequest.base_position_code)</t>
        </is>
      </c>
      <c r="Q666" s="18" t="inlineStr">
        <is>
          <t>Código fuente (verificado)</t>
        </is>
      </c>
      <c r="R666" s="18" t="inlineStr">
        <is>
          <t>Código del cargo base del empleado, sin el grado: se toma de CODIGO_CARGO_BASE o CODIGO_EMPLEO de Oracle o se deriva de COD_CARGO quitando el grado. position_code guarda el código del cargo tal como llega de la fuente.</t>
        </is>
      </c>
      <c r="S666" s="18" t="inlineStr">
        <is>
          <t>Alta</t>
        </is>
      </c>
      <c r="T666" s="18" t="inlineStr">
        <is>
          <t>backend/certification-service/src/certificates/labor-oracle-integration.service.ts:471-484: deriva el código base de COD_CARGO y GRADO | backend/certification-service/src/certificates/labor-oracle-integration.service.ts:504-506: cod_cargo = COD_CARGO; base_position_code = explícito o derivado | backend/certification-service/src/certificates/certificate-request.entity.ts:47-48: cod_cargo se almacena en position_code</t>
        </is>
      </c>
      <c r="U666" s="18" t="inlineStr"/>
      <c r="V666" s="19" t="inlineStr">
        <is>
          <t>Aprobada</t>
        </is>
      </c>
      <c r="W666" s="19" t="inlineStr"/>
      <c r="X666" s="19" t="inlineStr">
        <is>
          <t>Aldair González (aprobación en bloque)</t>
        </is>
      </c>
      <c r="Y666" s="20" t="n">
        <v>46321</v>
      </c>
      <c r="Z666" s="19" t="inlineStr">
        <is>
          <t>Nivel 3: verificada con el código de la aplicación.</t>
        </is>
      </c>
      <c r="AA666" s="18">
        <f>IF(OR(V666="Aprobada"),R666,IF(AND(OR(V666="Aprobada con ajuste",V666="Rechazada"),W666&lt;&gt;""),W666,""))</f>
        <v/>
      </c>
    </row>
    <row r="667">
      <c r="A667" s="18" t="inlineStr">
        <is>
          <t>C0666</t>
        </is>
      </c>
      <c r="B667" s="18" t="inlineStr">
        <is>
          <t>Certificaciones</t>
        </is>
      </c>
      <c r="C667" s="18" t="inlineStr">
        <is>
          <t>certification</t>
        </is>
      </c>
      <c r="D667" s="18" t="inlineStr">
        <is>
          <t>certificate_requests</t>
        </is>
      </c>
      <c r="E667" s="18" t="n">
        <v>15250</v>
      </c>
      <c r="F667" s="18" t="inlineStr">
        <is>
          <t>hierarchical_level</t>
        </is>
      </c>
      <c r="G667" s="18" t="inlineStr">
        <is>
          <t>character varying(100)</t>
        </is>
      </c>
      <c r="H667" s="18" t="inlineStr">
        <is>
          <t>Sí</t>
        </is>
      </c>
      <c r="I667" s="18" t="inlineStr"/>
      <c r="J667" s="18" t="inlineStr"/>
      <c r="K667" s="18" t="inlineStr"/>
      <c r="L667" s="18" t="inlineStr">
        <is>
          <t>No</t>
        </is>
      </c>
      <c r="M667" s="18" t="inlineStr">
        <is>
          <t>No</t>
        </is>
      </c>
      <c r="N667" s="18" t="inlineStr"/>
      <c r="O667" s="18" t="inlineStr"/>
      <c r="P667" s="18" t="inlineStr">
        <is>
          <t>Mapeada en certification-service/src/certificates/certificate-request.entity.ts:57 (CertificateRequest.hierarchical_level)</t>
        </is>
      </c>
      <c r="Q667" s="18" t="inlineStr">
        <is>
          <t>Propuesta semántica</t>
        </is>
      </c>
      <c r="R667" s="18" t="inlineStr">
        <is>
          <t>Nivel jerárquico del cargo del empleado.</t>
        </is>
      </c>
      <c r="S667" s="18" t="inlineStr">
        <is>
          <t>Alta</t>
        </is>
      </c>
      <c r="T667" s="18" t="inlineStr">
        <is>
          <t>nombre + tipo + columnas vecinas</t>
        </is>
      </c>
      <c r="U667" s="18" t="inlineStr"/>
      <c r="V667" s="19" t="inlineStr">
        <is>
          <t>Aprobada</t>
        </is>
      </c>
      <c r="W667" s="19" t="inlineStr"/>
      <c r="X667" s="19" t="inlineStr">
        <is>
          <t>Aldair González (aprobación en bloque)</t>
        </is>
      </c>
      <c r="Y667" s="20" t="n">
        <v>46321</v>
      </c>
      <c r="Z667" s="19" t="inlineStr">
        <is>
          <t>Nivel 1: propuesta del comentario del desarrollador o de confianza alta, o regla de fecha/responsable/motivo.</t>
        </is>
      </c>
      <c r="AA667" s="18">
        <f>IF(OR(V667="Aprobada"),R667,IF(AND(OR(V667="Aprobada con ajuste",V667="Rechazada"),W667&lt;&gt;""),W667,""))</f>
        <v/>
      </c>
    </row>
    <row r="668">
      <c r="A668" s="18" t="inlineStr">
        <is>
          <t>C0667</t>
        </is>
      </c>
      <c r="B668" s="18" t="inlineStr">
        <is>
          <t>Certificaciones</t>
        </is>
      </c>
      <c r="C668" s="18" t="inlineStr">
        <is>
          <t>certification</t>
        </is>
      </c>
      <c r="D668" s="18" t="inlineStr">
        <is>
          <t>certificate_requests</t>
        </is>
      </c>
      <c r="E668" s="18" t="n">
        <v>15250</v>
      </c>
      <c r="F668" s="18" t="inlineStr">
        <is>
          <t>position_name</t>
        </is>
      </c>
      <c r="G668" s="18" t="inlineStr">
        <is>
          <t>character varying(255)</t>
        </is>
      </c>
      <c r="H668" s="18" t="inlineStr">
        <is>
          <t>Sí</t>
        </is>
      </c>
      <c r="I668" s="18" t="inlineStr"/>
      <c r="J668" s="18" t="inlineStr"/>
      <c r="K668" s="18" t="inlineStr"/>
      <c r="L668" s="18" t="inlineStr">
        <is>
          <t>No</t>
        </is>
      </c>
      <c r="M668" s="18" t="inlineStr">
        <is>
          <t>No</t>
        </is>
      </c>
      <c r="N668" s="18" t="inlineStr"/>
      <c r="O668" s="18" t="inlineStr"/>
      <c r="P668" s="18" t="inlineStr">
        <is>
          <t>Mapeada en certification-service/src/certificates/certificate-request.entity.ts:60 (CertificateRequest.position_name)</t>
        </is>
      </c>
      <c r="Q668" s="18" t="inlineStr">
        <is>
          <t>Propuesta semántica</t>
        </is>
      </c>
      <c r="R668" s="18" t="inlineStr">
        <is>
          <t>Nombre del cargo del empleado.</t>
        </is>
      </c>
      <c r="S668" s="18" t="inlineStr">
        <is>
          <t>Alta</t>
        </is>
      </c>
      <c r="T668" s="18" t="inlineStr">
        <is>
          <t>nombre + tipo + columnas vecinas</t>
        </is>
      </c>
      <c r="U668" s="18" t="inlineStr"/>
      <c r="V668" s="19" t="inlineStr">
        <is>
          <t>Aprobada</t>
        </is>
      </c>
      <c r="W668" s="19" t="inlineStr"/>
      <c r="X668" s="19" t="inlineStr">
        <is>
          <t>Aldair González (aprobación en bloque)</t>
        </is>
      </c>
      <c r="Y668" s="20" t="n">
        <v>46321</v>
      </c>
      <c r="Z668" s="19" t="inlineStr">
        <is>
          <t>Nivel 1: propuesta del comentario del desarrollador o de confianza alta, o regla de fecha/responsable/motivo.</t>
        </is>
      </c>
      <c r="AA668" s="18">
        <f>IF(OR(V668="Aprobada"),R668,IF(AND(OR(V668="Aprobada con ajuste",V668="Rechazada"),W668&lt;&gt;""),W668,""))</f>
        <v/>
      </c>
    </row>
    <row r="669">
      <c r="A669" s="18" t="inlineStr">
        <is>
          <t>C0668</t>
        </is>
      </c>
      <c r="B669" s="18" t="inlineStr">
        <is>
          <t>Certificaciones</t>
        </is>
      </c>
      <c r="C669" s="18" t="inlineStr">
        <is>
          <t>certification</t>
        </is>
      </c>
      <c r="D669" s="18" t="inlineStr">
        <is>
          <t>certificate_requests</t>
        </is>
      </c>
      <c r="E669" s="18" t="n">
        <v>15250</v>
      </c>
      <c r="F669" s="18" t="inlineStr">
        <is>
          <t>organization_department</t>
        </is>
      </c>
      <c r="G669" s="18" t="inlineStr">
        <is>
          <t>character varying(500)</t>
        </is>
      </c>
      <c r="H669" s="18" t="inlineStr">
        <is>
          <t>Sí</t>
        </is>
      </c>
      <c r="I669" s="18" t="inlineStr"/>
      <c r="J669" s="18" t="inlineStr"/>
      <c r="K669" s="18" t="inlineStr"/>
      <c r="L669" s="18" t="inlineStr">
        <is>
          <t>No</t>
        </is>
      </c>
      <c r="M669" s="18" t="inlineStr">
        <is>
          <t>No</t>
        </is>
      </c>
      <c r="N669" s="18" t="inlineStr"/>
      <c r="O669" s="18" t="inlineStr"/>
      <c r="P669" s="18" t="inlineStr">
        <is>
          <t>Mapeada en certification-service/src/certificates/certificate-request.entity.ts:63 (CertificateRequest.organization_department)</t>
        </is>
      </c>
      <c r="Q669" s="18" t="inlineStr">
        <is>
          <t>Código fuente (verificado)</t>
        </is>
      </c>
      <c r="R669" s="18" t="inlineStr">
        <is>
          <t>Dependencia de la estructura organizacional del empleado (DEPENDENCIA en Oracle). Es la primera fuente de la variable [DEPENDENCIA] del certificado; department puede guardar el centro de costo en las filas de Oracle.</t>
        </is>
      </c>
      <c r="S669" s="18" t="inlineStr">
        <is>
          <t>Alta</t>
        </is>
      </c>
      <c r="T669" s="18" t="inlineStr">
        <is>
          <t>backend/certification-service/src/certificates/labor-oracle-integration.service.ts:509-514: organization_department = DEPENDENCIA; department = CENTROCOSTO o DEPENDENCIA | backend/certification-service/src/certificates/labor-certificate-pdf.service.ts:893-899: organization_department es la única columna que significa dependencia en ambas fuentes</t>
        </is>
      </c>
      <c r="U669" s="18" t="inlineStr"/>
      <c r="V669" s="19" t="inlineStr">
        <is>
          <t>Aprobada</t>
        </is>
      </c>
      <c r="W669" s="19" t="inlineStr"/>
      <c r="X669" s="19" t="inlineStr">
        <is>
          <t>Aldair González (aprobación en bloque)</t>
        </is>
      </c>
      <c r="Y669" s="20" t="n">
        <v>46321</v>
      </c>
      <c r="Z669" s="19" t="inlineStr">
        <is>
          <t>Nivel 3: verificada con el código de la aplicación.</t>
        </is>
      </c>
      <c r="AA669" s="18">
        <f>IF(OR(V669="Aprobada"),R669,IF(AND(OR(V669="Aprobada con ajuste",V669="Rechazada"),W669&lt;&gt;""),W669,""))</f>
        <v/>
      </c>
    </row>
    <row r="670">
      <c r="A670" s="18" t="inlineStr">
        <is>
          <t>C0669</t>
        </is>
      </c>
      <c r="B670" s="18" t="inlineStr">
        <is>
          <t>Certificaciones</t>
        </is>
      </c>
      <c r="C670" s="18" t="inlineStr">
        <is>
          <t>certification</t>
        </is>
      </c>
      <c r="D670" s="18" t="inlineStr">
        <is>
          <t>certificate_requests</t>
        </is>
      </c>
      <c r="E670" s="18" t="n">
        <v>15250</v>
      </c>
      <c r="F670" s="18" t="inlineStr">
        <is>
          <t>internal_group</t>
        </is>
      </c>
      <c r="G670" s="18" t="inlineStr">
        <is>
          <t>character varying(500)</t>
        </is>
      </c>
      <c r="H670" s="18" t="inlineStr">
        <is>
          <t>Sí</t>
        </is>
      </c>
      <c r="I670" s="18" t="inlineStr"/>
      <c r="J670" s="18" t="inlineStr"/>
      <c r="K670" s="18" t="inlineStr"/>
      <c r="L670" s="18" t="inlineStr">
        <is>
          <t>No</t>
        </is>
      </c>
      <c r="M670" s="18" t="inlineStr">
        <is>
          <t>No</t>
        </is>
      </c>
      <c r="N670" s="18" t="inlineStr"/>
      <c r="O670" s="18" t="inlineStr"/>
      <c r="P670" s="18" t="inlineStr">
        <is>
          <t>Mapeada en certification-service/src/certificates/certificate-request.entity.ts:66 (CertificateRequest.internal_group)</t>
        </is>
      </c>
      <c r="Q670" s="18" t="inlineStr">
        <is>
          <t>Propuesta semántica</t>
        </is>
      </c>
      <c r="R670" s="18" t="inlineStr">
        <is>
          <t>Grupo interno de trabajo al que pertenece el empleado.</t>
        </is>
      </c>
      <c r="S670" s="18" t="inlineStr">
        <is>
          <t>Alta</t>
        </is>
      </c>
      <c r="T670" s="18" t="inlineStr">
        <is>
          <t>nombre + tipo + columnas vecinas</t>
        </is>
      </c>
      <c r="U670" s="18" t="inlineStr"/>
      <c r="V670" s="19" t="inlineStr">
        <is>
          <t>Aprobada</t>
        </is>
      </c>
      <c r="W670" s="19" t="inlineStr"/>
      <c r="X670" s="19" t="inlineStr">
        <is>
          <t>Aldair González (aprobación en bloque)</t>
        </is>
      </c>
      <c r="Y670" s="20" t="n">
        <v>46321</v>
      </c>
      <c r="Z670" s="19" t="inlineStr">
        <is>
          <t>Nivel 1: propuesta del comentario del desarrollador o de confianza alta, o regla de fecha/responsable/motivo.</t>
        </is>
      </c>
      <c r="AA670" s="18">
        <f>IF(OR(V670="Aprobada"),R670,IF(AND(OR(V670="Aprobada con ajuste",V670="Rechazada"),W670&lt;&gt;""),W670,""))</f>
        <v/>
      </c>
    </row>
    <row r="671">
      <c r="A671" s="18" t="inlineStr">
        <is>
          <t>C0670</t>
        </is>
      </c>
      <c r="B671" s="18" t="inlineStr">
        <is>
          <t>Certificaciones</t>
        </is>
      </c>
      <c r="C671" s="18" t="inlineStr">
        <is>
          <t>certification</t>
        </is>
      </c>
      <c r="D671" s="18" t="inlineStr">
        <is>
          <t>certificate_requests</t>
        </is>
      </c>
      <c r="E671" s="18" t="n">
        <v>15250</v>
      </c>
      <c r="F671" s="18" t="inlineStr">
        <is>
          <t>cost_center</t>
        </is>
      </c>
      <c r="G671" s="18" t="inlineStr">
        <is>
          <t>character varying(255)</t>
        </is>
      </c>
      <c r="H671" s="18" t="inlineStr">
        <is>
          <t>Sí</t>
        </is>
      </c>
      <c r="I671" s="18" t="inlineStr"/>
      <c r="J671" s="18" t="inlineStr"/>
      <c r="K671" s="18" t="inlineStr"/>
      <c r="L671" s="18" t="inlineStr">
        <is>
          <t>No</t>
        </is>
      </c>
      <c r="M671" s="18" t="inlineStr">
        <is>
          <t>No</t>
        </is>
      </c>
      <c r="N671" s="18" t="inlineStr"/>
      <c r="O671" s="18" t="inlineStr"/>
      <c r="P671" s="18" t="inlineStr">
        <is>
          <t>Mapeada en certification-service/src/certificates/certificate-request.entity.ts:75 (CertificateRequest.cost_center)</t>
        </is>
      </c>
      <c r="Q671" s="18" t="inlineStr">
        <is>
          <t>Propuesta semántica</t>
        </is>
      </c>
      <c r="R671" s="18" t="inlineStr">
        <is>
          <t>Centro de costo al que está asociado el empleado.</t>
        </is>
      </c>
      <c r="S671" s="18" t="inlineStr">
        <is>
          <t>Alta</t>
        </is>
      </c>
      <c r="T671" s="18" t="inlineStr">
        <is>
          <t>nombre + tipo + columnas vecinas</t>
        </is>
      </c>
      <c r="U671" s="18" t="inlineStr"/>
      <c r="V671" s="19" t="inlineStr">
        <is>
          <t>Aprobada</t>
        </is>
      </c>
      <c r="W671" s="19" t="inlineStr"/>
      <c r="X671" s="19" t="inlineStr">
        <is>
          <t>Aldair González (aprobación en bloque)</t>
        </is>
      </c>
      <c r="Y671" s="20" t="n">
        <v>46321</v>
      </c>
      <c r="Z671" s="19" t="inlineStr">
        <is>
          <t>Nivel 1: propuesta del comentario del desarrollador o de confianza alta, o regla de fecha/responsable/motivo.</t>
        </is>
      </c>
      <c r="AA671" s="18">
        <f>IF(OR(V671="Aprobada"),R671,IF(AND(OR(V671="Aprobada con ajuste",V671="Rechazada"),W671&lt;&gt;""),W671,""))</f>
        <v/>
      </c>
    </row>
    <row r="672">
      <c r="A672" s="18" t="inlineStr">
        <is>
          <t>C0671</t>
        </is>
      </c>
      <c r="B672" s="18" t="inlineStr">
        <is>
          <t>Certificaciones</t>
        </is>
      </c>
      <c r="C672" s="18" t="inlineStr">
        <is>
          <t>certification</t>
        </is>
      </c>
      <c r="D672" s="18" t="inlineStr">
        <is>
          <t>certificate_template_config</t>
        </is>
      </c>
      <c r="E672" s="18" t="n">
        <v>3</v>
      </c>
      <c r="F672" s="18" t="inlineStr">
        <is>
          <t>entity_logo_filename</t>
        </is>
      </c>
      <c r="G672" s="18" t="inlineStr">
        <is>
          <t>character varying(255)</t>
        </is>
      </c>
      <c r="H672" s="18" t="inlineStr">
        <is>
          <t>Sí</t>
        </is>
      </c>
      <c r="I672" s="18" t="inlineStr"/>
      <c r="J672" s="18" t="inlineStr"/>
      <c r="K672" s="18" t="inlineStr"/>
      <c r="L672" s="18" t="inlineStr">
        <is>
          <t>No</t>
        </is>
      </c>
      <c r="M672" s="18" t="inlineStr">
        <is>
          <t>No</t>
        </is>
      </c>
      <c r="N672" s="18" t="inlineStr"/>
      <c r="O672" s="18" t="inlineStr"/>
      <c r="P672" s="18" t="inlineStr">
        <is>
          <t>Mapeada en certification-service/src/certificates/template-config.entity.ts:27 (TemplateConfig.entityLogoFilename)</t>
        </is>
      </c>
      <c r="Q672" s="18" t="inlineStr">
        <is>
          <t>Propuesta semántica</t>
        </is>
      </c>
      <c r="R672" s="18" t="inlineStr">
        <is>
          <t>Nombre del archivo del logo de la entidad usado en la plantilla del certificado.</t>
        </is>
      </c>
      <c r="S672" s="18" t="inlineStr">
        <is>
          <t>Alta</t>
        </is>
      </c>
      <c r="T672" s="18" t="inlineStr">
        <is>
          <t>nombre + tipo + columnas vecinas (entity_logo_url)</t>
        </is>
      </c>
      <c r="U672" s="18" t="inlineStr"/>
      <c r="V672" s="19" t="inlineStr">
        <is>
          <t>Aprobada</t>
        </is>
      </c>
      <c r="W672" s="19" t="inlineStr"/>
      <c r="X672" s="19" t="inlineStr">
        <is>
          <t>Aldair González (aprobación en bloque)</t>
        </is>
      </c>
      <c r="Y672" s="20" t="n">
        <v>46321</v>
      </c>
      <c r="Z672" s="19" t="inlineStr">
        <is>
          <t>Nivel 1: propuesta del comentario del desarrollador o de confianza alta, o regla de fecha/responsable/motivo.</t>
        </is>
      </c>
      <c r="AA672" s="18">
        <f>IF(OR(V672="Aprobada"),R672,IF(AND(OR(V672="Aprobada con ajuste",V672="Rechazada"),W672&lt;&gt;""),W672,""))</f>
        <v/>
      </c>
    </row>
    <row r="673">
      <c r="A673" s="18" t="inlineStr">
        <is>
          <t>C0672</t>
        </is>
      </c>
      <c r="B673" s="18" t="inlineStr">
        <is>
          <t>Certificaciones</t>
        </is>
      </c>
      <c r="C673" s="18" t="inlineStr">
        <is>
          <t>certification</t>
        </is>
      </c>
      <c r="D673" s="18" t="inlineStr">
        <is>
          <t>certificate_template_config</t>
        </is>
      </c>
      <c r="E673" s="18" t="n">
        <v>3</v>
      </c>
      <c r="F673" s="18" t="inlineStr">
        <is>
          <t>entity_logo_size</t>
        </is>
      </c>
      <c r="G673" s="18" t="inlineStr">
        <is>
          <t>character varying(50)</t>
        </is>
      </c>
      <c r="H673" s="18" t="inlineStr">
        <is>
          <t>Sí</t>
        </is>
      </c>
      <c r="I673" s="18" t="inlineStr"/>
      <c r="J673" s="18" t="inlineStr"/>
      <c r="K673" s="18" t="inlineStr"/>
      <c r="L673" s="18" t="inlineStr">
        <is>
          <t>No</t>
        </is>
      </c>
      <c r="M673" s="18" t="inlineStr">
        <is>
          <t>No</t>
        </is>
      </c>
      <c r="N673" s="18" t="inlineStr"/>
      <c r="O673" s="18" t="inlineStr"/>
      <c r="P673" s="18" t="inlineStr">
        <is>
          <t>Mapeada en certification-service/src/certificates/template-config.entity.ts:30 (TemplateConfig.entityLogoSize)</t>
        </is>
      </c>
      <c r="Q673" s="18" t="inlineStr">
        <is>
          <t>Código fuente (verificado)</t>
        </is>
      </c>
      <c r="R673" s="18" t="inlineStr">
        <is>
          <t>Tamaño del archivo del logo de la entidad en la plantilla del certificado, en texto con la unidad KB (N/D si no se conoce).</t>
        </is>
      </c>
      <c r="S673" s="18" t="inlineStr">
        <is>
          <t>Alta</t>
        </is>
      </c>
      <c r="T673" s="18" t="inlineStr">
        <is>
          <t>backend/certification-service/src/certificates/template-config.controller.ts:146: fileSize = Math.round(file.size / 1024) KB | backend/certification-service/src/certificates/template-config.service.ts:746-751: logo predeterminado con tamaño en KB o N/D</t>
        </is>
      </c>
      <c r="U673" s="18" t="inlineStr"/>
      <c r="V673" s="19" t="inlineStr">
        <is>
          <t>Aprobada</t>
        </is>
      </c>
      <c r="W673" s="19" t="inlineStr"/>
      <c r="X673" s="19" t="inlineStr">
        <is>
          <t>Aldair González (aprobación en bloque)</t>
        </is>
      </c>
      <c r="Y673" s="20" t="n">
        <v>46321</v>
      </c>
      <c r="Z673" s="19" t="inlineStr">
        <is>
          <t>Nivel 3: verificada con el código de la aplicación.</t>
        </is>
      </c>
      <c r="AA673" s="18">
        <f>IF(OR(V673="Aprobada"),R673,IF(AND(OR(V673="Aprobada con ajuste",V673="Rechazada"),W673&lt;&gt;""),W673,""))</f>
        <v/>
      </c>
    </row>
    <row r="674">
      <c r="A674" s="18" t="inlineStr">
        <is>
          <t>C0673</t>
        </is>
      </c>
      <c r="B674" s="18" t="inlineStr">
        <is>
          <t>Certificaciones</t>
        </is>
      </c>
      <c r="C674" s="18" t="inlineStr">
        <is>
          <t>certification</t>
        </is>
      </c>
      <c r="D674" s="18" t="inlineStr">
        <is>
          <t>certificate_template_config</t>
        </is>
      </c>
      <c r="E674" s="18" t="n">
        <v>3</v>
      </c>
      <c r="F674" s="18" t="inlineStr">
        <is>
          <t>version</t>
        </is>
      </c>
      <c r="G674" s="18" t="inlineStr">
        <is>
          <t>character varying(20)</t>
        </is>
      </c>
      <c r="H674" s="18" t="inlineStr">
        <is>
          <t>Sí</t>
        </is>
      </c>
      <c r="I674" s="18" t="inlineStr"/>
      <c r="J674" s="18" t="inlineStr"/>
      <c r="K674" s="18" t="inlineStr"/>
      <c r="L674" s="18" t="inlineStr">
        <is>
          <t>No</t>
        </is>
      </c>
      <c r="M674" s="18" t="inlineStr">
        <is>
          <t>No</t>
        </is>
      </c>
      <c r="N674" s="18" t="inlineStr"/>
      <c r="O674" s="18" t="inlineStr"/>
      <c r="P674" s="18" t="inlineStr">
        <is>
          <t>Mapeada en certification-service/src/certificates/template-config.entity.ts:42 (TemplateConfig.version)</t>
        </is>
      </c>
      <c r="Q674" s="18" t="inlineStr">
        <is>
          <t>Regla estructural (redacción revisada)</t>
        </is>
      </c>
      <c r="R674" s="18" t="inlineStr">
        <is>
          <t>Versión de la configuración de la plantilla del certificado laboral.</t>
        </is>
      </c>
      <c r="S674" s="18" t="inlineStr">
        <is>
          <t>Alta</t>
        </is>
      </c>
      <c r="T674" s="18" t="inlineStr">
        <is>
          <t>Convención de nombre, redactada con el contexto de la tabla y el código.</t>
        </is>
      </c>
      <c r="U674" s="18" t="inlineStr"/>
      <c r="V674" s="19" t="inlineStr">
        <is>
          <t>Aprobada</t>
        </is>
      </c>
      <c r="W674" s="19" t="inlineStr"/>
      <c r="X674" s="19" t="inlineStr">
        <is>
          <t>Aldair González (aprobación en bloque)</t>
        </is>
      </c>
      <c r="Y674" s="20" t="n">
        <v>46321</v>
      </c>
      <c r="Z674" s="19" t="inlineStr">
        <is>
          <t>Nivel 2: regla estructural con redacción revisada.</t>
        </is>
      </c>
      <c r="AA674" s="18">
        <f>IF(OR(V674="Aprobada"),R674,IF(AND(OR(V674="Aprobada con ajuste",V674="Rechazada"),W674&lt;&gt;""),W674,""))</f>
        <v/>
      </c>
    </row>
    <row r="675">
      <c r="A675" s="18" t="inlineStr">
        <is>
          <t>C0674</t>
        </is>
      </c>
      <c r="B675" s="18" t="inlineStr">
        <is>
          <t>Certificaciones</t>
        </is>
      </c>
      <c r="C675" s="18" t="inlineStr">
        <is>
          <t>certification</t>
        </is>
      </c>
      <c r="D675" s="18" t="inlineStr">
        <is>
          <t>certificate_template_config</t>
        </is>
      </c>
      <c r="E675" s="18" t="n">
        <v>3</v>
      </c>
      <c r="F675" s="18" t="inlineStr">
        <is>
          <t>status</t>
        </is>
      </c>
      <c r="G675" s="18" t="inlineStr">
        <is>
          <t>character varying(50)</t>
        </is>
      </c>
      <c r="H675" s="18" t="inlineStr">
        <is>
          <t>Sí</t>
        </is>
      </c>
      <c r="I675" s="18" t="inlineStr"/>
      <c r="J675" s="18" t="inlineStr"/>
      <c r="K675" s="18" t="inlineStr"/>
      <c r="L675" s="18" t="inlineStr">
        <is>
          <t>No</t>
        </is>
      </c>
      <c r="M675" s="18" t="inlineStr">
        <is>
          <t>No</t>
        </is>
      </c>
      <c r="N675" s="18" t="inlineStr"/>
      <c r="O675" s="18" t="inlineStr"/>
      <c r="P675" s="18" t="inlineStr">
        <is>
          <t>Mapeada en certification-service/src/certificates/template-config.entity.ts:45 (TemplateConfig.status)</t>
        </is>
      </c>
      <c r="Q675" s="18" t="inlineStr">
        <is>
          <t>Regla estructural (redacción revisada)</t>
        </is>
      </c>
      <c r="R675" s="18" t="inlineStr">
        <is>
          <t>Estado de la configuración de la plantilla del certificado laboral.</t>
        </is>
      </c>
      <c r="S675" s="18" t="inlineStr">
        <is>
          <t>Alta</t>
        </is>
      </c>
      <c r="T675" s="18" t="inlineStr">
        <is>
          <t>Convención de nombre, redactada con el contexto de la tabla y el código.</t>
        </is>
      </c>
      <c r="U675" s="18" t="inlineStr"/>
      <c r="V675" s="19" t="inlineStr">
        <is>
          <t>Aprobada</t>
        </is>
      </c>
      <c r="W675" s="19" t="inlineStr"/>
      <c r="X675" s="19" t="inlineStr">
        <is>
          <t>Aldair González (aprobación en bloque)</t>
        </is>
      </c>
      <c r="Y675" s="20" t="n">
        <v>46321</v>
      </c>
      <c r="Z675" s="19" t="inlineStr">
        <is>
          <t>Nivel 2: regla estructural con redacción revisada.</t>
        </is>
      </c>
      <c r="AA675" s="18">
        <f>IF(OR(V675="Aprobada"),R675,IF(AND(OR(V675="Aprobada con ajuste",V675="Rechazada"),W675&lt;&gt;""),W675,""))</f>
        <v/>
      </c>
    </row>
    <row r="676">
      <c r="A676" s="18" t="inlineStr">
        <is>
          <t>C0675</t>
        </is>
      </c>
      <c r="B676" s="18" t="inlineStr">
        <is>
          <t>Certificaciones</t>
        </is>
      </c>
      <c r="C676" s="18" t="inlineStr">
        <is>
          <t>certification</t>
        </is>
      </c>
      <c r="D676" s="18" t="inlineStr">
        <is>
          <t>certificate_template_config</t>
        </is>
      </c>
      <c r="E676" s="18" t="n">
        <v>3</v>
      </c>
      <c r="F676" s="18" t="inlineStr">
        <is>
          <t>template_type</t>
        </is>
      </c>
      <c r="G676" s="18" t="inlineStr">
        <is>
          <t>character varying(30)</t>
        </is>
      </c>
      <c r="H676" s="18" t="inlineStr">
        <is>
          <t>No</t>
        </is>
      </c>
      <c r="I676" s="18" t="inlineStr"/>
      <c r="J676" s="18" t="inlineStr"/>
      <c r="K676" s="18" t="inlineStr"/>
      <c r="L676" s="18" t="inlineStr">
        <is>
          <t>No</t>
        </is>
      </c>
      <c r="M676" s="18" t="inlineStr">
        <is>
          <t>No</t>
        </is>
      </c>
      <c r="N676" s="18" t="inlineStr"/>
      <c r="O676" s="18" t="inlineStr">
        <is>
          <t>idx_certificate_template_config_template_type</t>
        </is>
      </c>
      <c r="P676" s="18" t="inlineStr">
        <is>
          <t>Mapeada en certification-service/src/certificates/template-config.entity.ts:63 (TemplateConfig.templateType)</t>
        </is>
      </c>
      <c r="Q676" s="18" t="inlineStr">
        <is>
          <t>Código fuente (verificado)</t>
        </is>
      </c>
      <c r="R676" s="18" t="inlineStr">
        <is>
          <t>Tipo de plantilla de certificado laboral: docente o administrador. Por defecto, docente.</t>
        </is>
      </c>
      <c r="S676" s="18" t="inlineStr">
        <is>
          <t>Alta</t>
        </is>
      </c>
      <c r="T676" s="18" t="inlineStr">
        <is>
          <t>backend/certification-service/src/certificates/template-config.entity.ts:63: default 'docente' | backend/certification-service/src/certificates/certificates.controller.ts:414: templateType 'docente' | 'administrador' | backend/certification-service/src/certificates/template-config.service.ts:57-58: contenido por defecto distinto para administrador</t>
        </is>
      </c>
      <c r="U676" s="18" t="inlineStr"/>
      <c r="V676" s="19" t="inlineStr">
        <is>
          <t>Aprobada</t>
        </is>
      </c>
      <c r="W676" s="19" t="inlineStr"/>
      <c r="X676" s="19" t="inlineStr">
        <is>
          <t>Aldair González (aprobación en bloque)</t>
        </is>
      </c>
      <c r="Y676" s="20" t="n">
        <v>46321</v>
      </c>
      <c r="Z676" s="19" t="inlineStr">
        <is>
          <t>Nivel 3: verificada con el código de la aplicación.</t>
        </is>
      </c>
      <c r="AA676" s="18">
        <f>IF(OR(V676="Aprobada"),R676,IF(AND(OR(V676="Aprobada con ajuste",V676="Rechazada"),W676&lt;&gt;""),W676,""))</f>
        <v/>
      </c>
    </row>
    <row r="677">
      <c r="A677" s="18" t="inlineStr">
        <is>
          <t>C0676</t>
        </is>
      </c>
      <c r="B677" s="18" t="inlineStr">
        <is>
          <t>Certificaciones</t>
        </is>
      </c>
      <c r="C677" s="18" t="inlineStr">
        <is>
          <t>certification</t>
        </is>
      </c>
      <c r="D677" s="18" t="inlineStr">
        <is>
          <t>certificate_template_config</t>
        </is>
      </c>
      <c r="E677" s="18" t="n">
        <v>3</v>
      </c>
      <c r="F677" s="18" t="inlineStr">
        <is>
          <t>signature_url</t>
        </is>
      </c>
      <c r="G677" s="18" t="inlineStr">
        <is>
          <t>text</t>
        </is>
      </c>
      <c r="H677" s="18" t="inlineStr">
        <is>
          <t>Sí</t>
        </is>
      </c>
      <c r="I677" s="18" t="inlineStr"/>
      <c r="J677" s="18" t="inlineStr"/>
      <c r="K677" s="18" t="inlineStr"/>
      <c r="L677" s="18" t="inlineStr">
        <is>
          <t>No</t>
        </is>
      </c>
      <c r="M677" s="18" t="inlineStr">
        <is>
          <t>No</t>
        </is>
      </c>
      <c r="N677" s="18" t="inlineStr"/>
      <c r="O677" s="18" t="inlineStr"/>
      <c r="P677" s="18" t="inlineStr">
        <is>
          <t>Mapeada en certification-service/src/certificates/template-config.entity.ts:66 (TemplateConfig.signatureUrl)</t>
        </is>
      </c>
      <c r="Q677" s="18" t="inlineStr">
        <is>
          <t>Propuesta semántica</t>
        </is>
      </c>
      <c r="R677" s="18" t="inlineStr">
        <is>
          <t>Dirección (URL) del archivo de la imagen de la firma usada en el certificado.</t>
        </is>
      </c>
      <c r="S677" s="18" t="inlineStr">
        <is>
          <t>Alta</t>
        </is>
      </c>
      <c r="T677" s="18" t="inlineStr">
        <is>
          <t>nombre + tipo + columnas vecinas</t>
        </is>
      </c>
      <c r="U677" s="18" t="inlineStr"/>
      <c r="V677" s="19" t="inlineStr">
        <is>
          <t>Aprobada</t>
        </is>
      </c>
      <c r="W677" s="19" t="inlineStr"/>
      <c r="X677" s="19" t="inlineStr">
        <is>
          <t>Aldair González (aprobación en bloque)</t>
        </is>
      </c>
      <c r="Y677" s="20" t="n">
        <v>46321</v>
      </c>
      <c r="Z677" s="19" t="inlineStr">
        <is>
          <t>Nivel 1: propuesta del comentario del desarrollador o de confianza alta, o regla de fecha/responsable/motivo.</t>
        </is>
      </c>
      <c r="AA677" s="18">
        <f>IF(OR(V677="Aprobada"),R677,IF(AND(OR(V677="Aprobada con ajuste",V677="Rechazada"),W677&lt;&gt;""),W677,""))</f>
        <v/>
      </c>
    </row>
    <row r="678">
      <c r="A678" s="18" t="inlineStr">
        <is>
          <t>C0677</t>
        </is>
      </c>
      <c r="B678" s="18" t="inlineStr">
        <is>
          <t>Certificaciones</t>
        </is>
      </c>
      <c r="C678" s="18" t="inlineStr">
        <is>
          <t>certification</t>
        </is>
      </c>
      <c r="D678" s="18" t="inlineStr">
        <is>
          <t>certificate_template_config</t>
        </is>
      </c>
      <c r="E678" s="18" t="n">
        <v>3</v>
      </c>
      <c r="F678" s="18" t="inlineStr">
        <is>
          <t>signature_filename</t>
        </is>
      </c>
      <c r="G678" s="18" t="inlineStr">
        <is>
          <t>text</t>
        </is>
      </c>
      <c r="H678" s="18" t="inlineStr">
        <is>
          <t>Sí</t>
        </is>
      </c>
      <c r="I678" s="18" t="inlineStr"/>
      <c r="J678" s="18" t="inlineStr"/>
      <c r="K678" s="18" t="inlineStr"/>
      <c r="L678" s="18" t="inlineStr">
        <is>
          <t>No</t>
        </is>
      </c>
      <c r="M678" s="18" t="inlineStr">
        <is>
          <t>No</t>
        </is>
      </c>
      <c r="N678" s="18" t="inlineStr"/>
      <c r="O678" s="18" t="inlineStr"/>
      <c r="P678" s="18" t="inlineStr">
        <is>
          <t>Mapeada en certification-service/src/certificates/template-config.entity.ts:69 (TemplateConfig.signatureFilename)</t>
        </is>
      </c>
      <c r="Q678" s="18" t="inlineStr">
        <is>
          <t>Propuesta semántica</t>
        </is>
      </c>
      <c r="R678" s="18" t="inlineStr">
        <is>
          <t>Nombre del archivo de la imagen de la firma usada en el certificado.</t>
        </is>
      </c>
      <c r="S678" s="18" t="inlineStr">
        <is>
          <t>Alta</t>
        </is>
      </c>
      <c r="T678" s="18" t="inlineStr">
        <is>
          <t>nombre + tipo + columnas vecinas</t>
        </is>
      </c>
      <c r="U678" s="18" t="inlineStr"/>
      <c r="V678" s="19" t="inlineStr">
        <is>
          <t>Aprobada</t>
        </is>
      </c>
      <c r="W678" s="19" t="inlineStr"/>
      <c r="X678" s="19" t="inlineStr">
        <is>
          <t>Aldair González (aprobación en bloque)</t>
        </is>
      </c>
      <c r="Y678" s="20" t="n">
        <v>46321</v>
      </c>
      <c r="Z678" s="19" t="inlineStr">
        <is>
          <t>Nivel 1: propuesta del comentario del desarrollador o de confianza alta, o regla de fecha/responsable/motivo.</t>
        </is>
      </c>
      <c r="AA678" s="18">
        <f>IF(OR(V678="Aprobada"),R678,IF(AND(OR(V678="Aprobada con ajuste",V678="Rechazada"),W678&lt;&gt;""),W678,""))</f>
        <v/>
      </c>
    </row>
    <row r="679">
      <c r="A679" s="18" t="inlineStr">
        <is>
          <t>C0678</t>
        </is>
      </c>
      <c r="B679" s="18" t="inlineStr">
        <is>
          <t>Certificaciones</t>
        </is>
      </c>
      <c r="C679" s="18" t="inlineStr">
        <is>
          <t>certification</t>
        </is>
      </c>
      <c r="D679" s="18" t="inlineStr">
        <is>
          <t>certificate_template_config</t>
        </is>
      </c>
      <c r="E679" s="18" t="n">
        <v>3</v>
      </c>
      <c r="F679" s="18" t="inlineStr">
        <is>
          <t>signature_size</t>
        </is>
      </c>
      <c r="G679" s="18" t="inlineStr">
        <is>
          <t>text</t>
        </is>
      </c>
      <c r="H679" s="18" t="inlineStr">
        <is>
          <t>Sí</t>
        </is>
      </c>
      <c r="I679" s="18" t="inlineStr"/>
      <c r="J679" s="18" t="inlineStr"/>
      <c r="K679" s="18" t="inlineStr"/>
      <c r="L679" s="18" t="inlineStr">
        <is>
          <t>No</t>
        </is>
      </c>
      <c r="M679" s="18" t="inlineStr">
        <is>
          <t>No</t>
        </is>
      </c>
      <c r="N679" s="18" t="inlineStr"/>
      <c r="O679" s="18" t="inlineStr"/>
      <c r="P679" s="18" t="inlineStr">
        <is>
          <t>Mapeada en certification-service/src/certificates/template-config.entity.ts:72 (TemplateConfig.signatureSize)</t>
        </is>
      </c>
      <c r="Q679" s="18" t="inlineStr">
        <is>
          <t>Código fuente (verificado)</t>
        </is>
      </c>
      <c r="R679" s="18" t="inlineStr">
        <is>
          <t>Tamaño del archivo de la imagen de la firma en el certificado, en texto con la unidad KB.</t>
        </is>
      </c>
      <c r="S679" s="18" t="inlineStr">
        <is>
          <t>Alta</t>
        </is>
      </c>
      <c r="T679" s="18" t="inlineStr">
        <is>
          <t>backend/certification-service/src/certificates/template-config.controller.ts:100: size = Math.round(file.size / 1024) KB | backend/certification-service/src/certificates/template-config.service.ts:286: signatureSize = fileMeta.size</t>
        </is>
      </c>
      <c r="U679" s="18" t="inlineStr"/>
      <c r="V679" s="19" t="inlineStr">
        <is>
          <t>Aprobada</t>
        </is>
      </c>
      <c r="W679" s="19" t="inlineStr"/>
      <c r="X679" s="19" t="inlineStr">
        <is>
          <t>Aldair González (aprobación en bloque)</t>
        </is>
      </c>
      <c r="Y679" s="20" t="n">
        <v>46321</v>
      </c>
      <c r="Z679" s="19" t="inlineStr">
        <is>
          <t>Nivel 3: verificada con el código de la aplicación.</t>
        </is>
      </c>
      <c r="AA679" s="18">
        <f>IF(OR(V679="Aprobada"),R679,IF(AND(OR(V679="Aprobada con ajuste",V679="Rechazada"),W679&lt;&gt;""),W679,""))</f>
        <v/>
      </c>
    </row>
    <row r="680">
      <c r="A680" s="18" t="inlineStr">
        <is>
          <t>C0679</t>
        </is>
      </c>
      <c r="B680" s="18" t="inlineStr">
        <is>
          <t>Certificaciones</t>
        </is>
      </c>
      <c r="C680" s="18" t="inlineStr">
        <is>
          <t>certification</t>
        </is>
      </c>
      <c r="D680" s="18" t="inlineStr">
        <is>
          <t>certificate_template_config</t>
        </is>
      </c>
      <c r="E680" s="18" t="n">
        <v>3</v>
      </c>
      <c r="F680" s="18" t="inlineStr">
        <is>
          <t>signer_name_override</t>
        </is>
      </c>
      <c r="G680" s="18" t="inlineStr">
        <is>
          <t>text</t>
        </is>
      </c>
      <c r="H680" s="18" t="inlineStr">
        <is>
          <t>Sí</t>
        </is>
      </c>
      <c r="I680" s="18" t="inlineStr"/>
      <c r="J680" s="18" t="inlineStr"/>
      <c r="K680" s="18" t="inlineStr"/>
      <c r="L680" s="18" t="inlineStr">
        <is>
          <t>No</t>
        </is>
      </c>
      <c r="M680" s="18" t="inlineStr">
        <is>
          <t>No</t>
        </is>
      </c>
      <c r="N680" s="18" t="inlineStr"/>
      <c r="O680" s="18" t="inlineStr"/>
      <c r="P680" s="18" t="inlineStr">
        <is>
          <t>Mapeada en certification-service/src/certificates/template-config.entity.ts:75 (TemplateConfig.signerNameOverride)</t>
        </is>
      </c>
      <c r="Q680" s="18" t="inlineStr">
        <is>
          <t>Código fuente (verificado)</t>
        </is>
      </c>
      <c r="R680" s="18" t="inlineStr">
        <is>
          <t>Nombre del firmante que se muestra en el certificado en lugar del nombre registrado del firmante asociado a signer_id. Vacío para usar el nombre registrado.</t>
        </is>
      </c>
      <c r="S680" s="18" t="inlineStr">
        <is>
          <t>Alta</t>
        </is>
      </c>
      <c r="T680" s="18" t="inlineStr">
        <is>
          <t>backend/certification-service/src/certificates/template-config.service.ts:102: nombreCompleto = signerNameOverride || signer.full_name | backend/certification-service/src/certificates/template-config.service.ts:132: updateSignerName | backend/certification-service/src/certificates/template-config.service.ts:167: resetSignerName lo deja en nulo</t>
        </is>
      </c>
      <c r="U680" s="18" t="inlineStr"/>
      <c r="V680" s="19" t="inlineStr">
        <is>
          <t>Aprobada</t>
        </is>
      </c>
      <c r="W680" s="19" t="inlineStr"/>
      <c r="X680" s="19" t="inlineStr">
        <is>
          <t>Aldair González (aprobación en bloque)</t>
        </is>
      </c>
      <c r="Y680" s="20" t="n">
        <v>46321</v>
      </c>
      <c r="Z680" s="19" t="inlineStr">
        <is>
          <t>Nivel 3: verificada con el código de la aplicación.</t>
        </is>
      </c>
      <c r="AA680" s="18">
        <f>IF(OR(V680="Aprobada"),R680,IF(AND(OR(V680="Aprobada con ajuste",V680="Rechazada"),W680&lt;&gt;""),W680,""))</f>
        <v/>
      </c>
    </row>
    <row r="681">
      <c r="A681" s="18" t="inlineStr">
        <is>
          <t>C0680</t>
        </is>
      </c>
      <c r="B681" s="18" t="inlineStr">
        <is>
          <t>Certificaciones</t>
        </is>
      </c>
      <c r="C681" s="18" t="inlineStr">
        <is>
          <t>certification</t>
        </is>
      </c>
      <c r="D681" s="18" t="inlineStr">
        <is>
          <t>certificate_templates</t>
        </is>
      </c>
      <c r="E681" s="18" t="n">
        <v>1</v>
      </c>
      <c r="F681" s="18" t="inlineStr">
        <is>
          <t>name</t>
        </is>
      </c>
      <c r="G681" s="18" t="inlineStr">
        <is>
          <t>character varying(255)</t>
        </is>
      </c>
      <c r="H681" s="18" t="inlineStr">
        <is>
          <t>No</t>
        </is>
      </c>
      <c r="I681" s="18" t="inlineStr"/>
      <c r="J681" s="18" t="inlineStr"/>
      <c r="K681" s="18" t="inlineStr"/>
      <c r="L681" s="18" t="inlineStr">
        <is>
          <t>No</t>
        </is>
      </c>
      <c r="M681" s="18" t="inlineStr">
        <is>
          <t>No</t>
        </is>
      </c>
      <c r="N681" s="18" t="inlineStr"/>
      <c r="O681" s="18" t="inlineStr"/>
      <c r="P681" s="18" t="inlineStr">
        <is>
          <t>Mapeada en certification-service/src/certificates/certificate-template.entity.ts:8 (CertificateTemplate.name)</t>
        </is>
      </c>
      <c r="Q681" s="18" t="inlineStr">
        <is>
          <t>Regla estructural (redacción revisada)</t>
        </is>
      </c>
      <c r="R681" s="18" t="inlineStr">
        <is>
          <t>Nombre de la plantilla HTML de certificado.</t>
        </is>
      </c>
      <c r="S681" s="18" t="inlineStr">
        <is>
          <t>Alta</t>
        </is>
      </c>
      <c r="T681" s="18" t="inlineStr">
        <is>
          <t>Convención de nombre, redactada con el contexto de la tabla y el código.</t>
        </is>
      </c>
      <c r="U681" s="18" t="inlineStr"/>
      <c r="V681" s="19" t="inlineStr">
        <is>
          <t>Aprobada</t>
        </is>
      </c>
      <c r="W681" s="19" t="inlineStr"/>
      <c r="X681" s="19" t="inlineStr">
        <is>
          <t>Aldair González (aprobación en bloque)</t>
        </is>
      </c>
      <c r="Y681" s="20" t="n">
        <v>46321</v>
      </c>
      <c r="Z681" s="19" t="inlineStr">
        <is>
          <t>Nivel 2: regla estructural con redacción revisada.</t>
        </is>
      </c>
      <c r="AA681" s="18">
        <f>IF(OR(V681="Aprobada"),R681,IF(AND(OR(V681="Aprobada con ajuste",V681="Rechazada"),W681&lt;&gt;""),W681,""))</f>
        <v/>
      </c>
    </row>
    <row r="682">
      <c r="A682" s="18" t="inlineStr">
        <is>
          <t>C0681</t>
        </is>
      </c>
      <c r="B682" s="18" t="inlineStr">
        <is>
          <t>Certificaciones</t>
        </is>
      </c>
      <c r="C682" s="18" t="inlineStr">
        <is>
          <t>certification</t>
        </is>
      </c>
      <c r="D682" s="18" t="inlineStr">
        <is>
          <t>certificate_templates</t>
        </is>
      </c>
      <c r="E682" s="18" t="n">
        <v>1</v>
      </c>
      <c r="F682" s="18" t="inlineStr">
        <is>
          <t>description</t>
        </is>
      </c>
      <c r="G682" s="18" t="inlineStr">
        <is>
          <t>text</t>
        </is>
      </c>
      <c r="H682" s="18" t="inlineStr">
        <is>
          <t>Sí</t>
        </is>
      </c>
      <c r="I682" s="18" t="inlineStr"/>
      <c r="J682" s="18" t="inlineStr"/>
      <c r="K682" s="18" t="inlineStr"/>
      <c r="L682" s="18" t="inlineStr">
        <is>
          <t>No</t>
        </is>
      </c>
      <c r="M682" s="18" t="inlineStr">
        <is>
          <t>No</t>
        </is>
      </c>
      <c r="N682" s="18" t="inlineStr"/>
      <c r="O682" s="18" t="inlineStr"/>
      <c r="P682" s="18" t="inlineStr">
        <is>
          <t>Mapeada en certification-service/src/certificates/certificate-template.entity.ts:11 (CertificateTemplate.description)</t>
        </is>
      </c>
      <c r="Q682" s="18" t="inlineStr">
        <is>
          <t>Regla estructural (redacción revisada)</t>
        </is>
      </c>
      <c r="R682" s="18" t="inlineStr">
        <is>
          <t>Descripción de la plantilla HTML de certificado.</t>
        </is>
      </c>
      <c r="S682" s="18" t="inlineStr">
        <is>
          <t>Alta</t>
        </is>
      </c>
      <c r="T682" s="18" t="inlineStr">
        <is>
          <t>Convención de nombre, redactada con el contexto de la tabla y el código.</t>
        </is>
      </c>
      <c r="U682" s="18" t="inlineStr"/>
      <c r="V682" s="19" t="inlineStr">
        <is>
          <t>Aprobada</t>
        </is>
      </c>
      <c r="W682" s="19" t="inlineStr"/>
      <c r="X682" s="19" t="inlineStr">
        <is>
          <t>Aldair González (aprobación en bloque)</t>
        </is>
      </c>
      <c r="Y682" s="20" t="n">
        <v>46321</v>
      </c>
      <c r="Z682" s="19" t="inlineStr">
        <is>
          <t>Nivel 2: regla estructural con redacción revisada.</t>
        </is>
      </c>
      <c r="AA682" s="18">
        <f>IF(OR(V682="Aprobada"),R682,IF(AND(OR(V682="Aprobada con ajuste",V682="Rechazada"),W682&lt;&gt;""),W682,""))</f>
        <v/>
      </c>
    </row>
    <row r="683">
      <c r="A683" s="18" t="inlineStr">
        <is>
          <t>C0682</t>
        </is>
      </c>
      <c r="B683" s="18" t="inlineStr">
        <is>
          <t>Certificaciones</t>
        </is>
      </c>
      <c r="C683" s="18" t="inlineStr">
        <is>
          <t>certification</t>
        </is>
      </c>
      <c r="D683" s="18" t="inlineStr">
        <is>
          <t>certificate_templates</t>
        </is>
      </c>
      <c r="E683" s="18" t="n">
        <v>1</v>
      </c>
      <c r="F683" s="18" t="inlineStr">
        <is>
          <t>html_content</t>
        </is>
      </c>
      <c r="G683" s="18" t="inlineStr">
        <is>
          <t>text</t>
        </is>
      </c>
      <c r="H683" s="18" t="inlineStr">
        <is>
          <t>No</t>
        </is>
      </c>
      <c r="I683" s="18" t="inlineStr"/>
      <c r="J683" s="18" t="inlineStr"/>
      <c r="K683" s="18" t="inlineStr"/>
      <c r="L683" s="18" t="inlineStr">
        <is>
          <t>No</t>
        </is>
      </c>
      <c r="M683" s="18" t="inlineStr">
        <is>
          <t>No</t>
        </is>
      </c>
      <c r="N683" s="18" t="inlineStr"/>
      <c r="O683" s="18" t="inlineStr"/>
      <c r="P683" s="18" t="inlineStr">
        <is>
          <t>db/init/old/005_schema_certification.sql:163: Template content HTML with placeholders {{NAME}}, {{ID_NUMBER}}, etc.</t>
        </is>
      </c>
      <c r="Q683" s="18" t="inlineStr">
        <is>
          <t>Código fuente</t>
        </is>
      </c>
      <c r="R683" s="18" t="inlineStr">
        <is>
          <t>Contenido HTML de la plantilla del certificado, con marcadores como {{NAME}} e {{ID_NUMBER}}.</t>
        </is>
      </c>
      <c r="S683" s="18" t="inlineStr">
        <is>
          <t>Alta</t>
        </is>
      </c>
      <c r="T683" s="18" t="inlineStr">
        <is>
          <t>código: db/init/old/005_schema_certification.sql:163</t>
        </is>
      </c>
      <c r="U683" s="18" t="inlineStr"/>
      <c r="V683" s="19" t="inlineStr">
        <is>
          <t>Aprobada</t>
        </is>
      </c>
      <c r="W683" s="19" t="inlineStr"/>
      <c r="X683" s="19" t="inlineStr">
        <is>
          <t>Aldair González (aprobación en bloque)</t>
        </is>
      </c>
      <c r="Y683" s="20" t="n">
        <v>46321</v>
      </c>
      <c r="Z683" s="19" t="inlineStr">
        <is>
          <t>Nivel 1: propuesta del comentario del desarrollador o de confianza alta, o regla de fecha/responsable/motivo.</t>
        </is>
      </c>
      <c r="AA683" s="18">
        <f>IF(OR(V683="Aprobada"),R683,IF(AND(OR(V683="Aprobada con ajuste",V683="Rechazada"),W683&lt;&gt;""),W683,""))</f>
        <v/>
      </c>
    </row>
    <row r="684">
      <c r="A684" s="18" t="inlineStr">
        <is>
          <t>C0683</t>
        </is>
      </c>
      <c r="B684" s="18" t="inlineStr">
        <is>
          <t>Certificaciones</t>
        </is>
      </c>
      <c r="C684" s="18" t="inlineStr">
        <is>
          <t>certification</t>
        </is>
      </c>
      <c r="D684" s="18" t="inlineStr">
        <is>
          <t>certificate_templates</t>
        </is>
      </c>
      <c r="E684" s="18" t="n">
        <v>1</v>
      </c>
      <c r="F684" s="18" t="inlineStr">
        <is>
          <t>certificate_type</t>
        </is>
      </c>
      <c r="G684" s="18" t="inlineStr">
        <is>
          <t>character varying(100)</t>
        </is>
      </c>
      <c r="H684" s="18" t="inlineStr">
        <is>
          <t>Sí</t>
        </is>
      </c>
      <c r="I684" s="18" t="inlineStr"/>
      <c r="J684" s="18" t="inlineStr"/>
      <c r="K684" s="18" t="inlineStr"/>
      <c r="L684" s="18" t="inlineStr">
        <is>
          <t>No</t>
        </is>
      </c>
      <c r="M684" s="18" t="inlineStr">
        <is>
          <t>No</t>
        </is>
      </c>
      <c r="N684" s="18" t="inlineStr"/>
      <c r="O684" s="18" t="inlineStr"/>
      <c r="P684" s="18" t="inlineStr">
        <is>
          <t>db/init/old/005_schema_certification.sql:166: Type</t>
        </is>
      </c>
      <c r="Q684" s="18" t="inlineStr">
        <is>
          <t>Código fuente (verificado)</t>
        </is>
      </c>
      <c r="R684" s="18" t="inlineStr">
        <is>
          <t>Tipo de certificado que genera la plantilla; por defecto LABOR_TEACHER.</t>
        </is>
      </c>
      <c r="S684" s="18" t="inlineStr">
        <is>
          <t>Media</t>
        </is>
      </c>
      <c r="T684" s="18" t="inlineStr">
        <is>
          <t>backend/certification-service/src/certificates/certificate-template.entity.ts:18: varchar sin enumeración | backend/certification-service/src/certificates/certificates.service.ts:5708-5711: busca la plantilla activa por el tipo recibido como parámetro | db/init/old/005_schema_certification.sql:166: DEFAULT 'LABOR_TEACHER'</t>
        </is>
      </c>
      <c r="U684" s="18" t="inlineStr">
        <is>
          <t>¿Qué otros valores toma certificate_type además de LABOR_TEACHER? El código recibe el tipo como parámetro y no declara una lista.</t>
        </is>
      </c>
      <c r="V684" s="19" t="inlineStr">
        <is>
          <t>Aprobada</t>
        </is>
      </c>
      <c r="W684" s="19" t="inlineStr"/>
      <c r="X684" s="19" t="inlineStr">
        <is>
          <t>Aldair González (validación del responsable de BD)</t>
        </is>
      </c>
      <c r="Y684" s="20" t="n">
        <v>46321</v>
      </c>
      <c r="Z684" s="19" t="inlineStr">
        <is>
          <t>Nivel 3: validada por decisión del responsable de la base de datos. Pregunta registrada para desarrollo: ¿Qué otros valores toma certificate_type además de LABOR_TEACHER? El código recibe el tipo como parámetro y no declara una lista.</t>
        </is>
      </c>
      <c r="AA684" s="18">
        <f>IF(OR(V684="Aprobada"),R684,IF(AND(OR(V684="Aprobada con ajuste",V684="Rechazada"),W684&lt;&gt;""),W684,""))</f>
        <v/>
      </c>
    </row>
    <row r="685">
      <c r="A685" s="18" t="inlineStr">
        <is>
          <t>C0684</t>
        </is>
      </c>
      <c r="B685" s="18" t="inlineStr">
        <is>
          <t>Certificaciones</t>
        </is>
      </c>
      <c r="C685" s="18" t="inlineStr">
        <is>
          <t>certification</t>
        </is>
      </c>
      <c r="D685" s="18" t="inlineStr">
        <is>
          <t>certificate_templates</t>
        </is>
      </c>
      <c r="E685" s="18" t="n">
        <v>1</v>
      </c>
      <c r="F685" s="18" t="inlineStr">
        <is>
          <t>is_active</t>
        </is>
      </c>
      <c r="G685" s="18" t="inlineStr">
        <is>
          <t>boolean</t>
        </is>
      </c>
      <c r="H685" s="18" t="inlineStr">
        <is>
          <t>Sí</t>
        </is>
      </c>
      <c r="I685" s="18" t="inlineStr"/>
      <c r="J685" s="18" t="inlineStr"/>
      <c r="K685" s="18" t="inlineStr"/>
      <c r="L685" s="18" t="inlineStr">
        <is>
          <t>No</t>
        </is>
      </c>
      <c r="M685" s="18" t="inlineStr">
        <is>
          <t>No</t>
        </is>
      </c>
      <c r="N685" s="18" t="inlineStr"/>
      <c r="O685" s="18" t="inlineStr"/>
      <c r="P685" s="18" t="inlineStr">
        <is>
          <t>db/init/old/005_schema_certification.sql:169: Status</t>
        </is>
      </c>
      <c r="Q685" s="18" t="inlineStr">
        <is>
          <t>Código fuente</t>
        </is>
      </c>
      <c r="R685" s="18" t="inlineStr">
        <is>
          <t>Indica si la plantilla está activa; por defecto verdadero.</t>
        </is>
      </c>
      <c r="S685" s="18" t="inlineStr">
        <is>
          <t>Alta</t>
        </is>
      </c>
      <c r="T685" s="18" t="inlineStr">
        <is>
          <t>código: db/init/old/005_schema_certification.sql:169</t>
        </is>
      </c>
      <c r="U685" s="18" t="inlineStr"/>
      <c r="V685" s="19" t="inlineStr">
        <is>
          <t>Aprobada</t>
        </is>
      </c>
      <c r="W685" s="19" t="inlineStr"/>
      <c r="X685" s="19" t="inlineStr">
        <is>
          <t>Aldair González (aprobación en bloque)</t>
        </is>
      </c>
      <c r="Y685" s="20" t="n">
        <v>46321</v>
      </c>
      <c r="Z685" s="19" t="inlineStr">
        <is>
          <t>Nivel 1: propuesta del comentario del desarrollador o de confianza alta, o regla de fecha/responsable/motivo.</t>
        </is>
      </c>
      <c r="AA685" s="18">
        <f>IF(OR(V685="Aprobada"),R685,IF(AND(OR(V685="Aprobada con ajuste",V685="Rechazada"),W685&lt;&gt;""),W685,""))</f>
        <v/>
      </c>
    </row>
    <row r="686">
      <c r="A686" s="18" t="inlineStr">
        <is>
          <t>C0685</t>
        </is>
      </c>
      <c r="B686" s="18" t="inlineStr">
        <is>
          <t>Certificaciones</t>
        </is>
      </c>
      <c r="C686" s="18" t="inlineStr">
        <is>
          <t>certification</t>
        </is>
      </c>
      <c r="D686" s="18" t="inlineStr">
        <is>
          <t>certificate_templates</t>
        </is>
      </c>
      <c r="E686" s="18" t="n">
        <v>1</v>
      </c>
      <c r="F686" s="18" t="inlineStr">
        <is>
          <t>version</t>
        </is>
      </c>
      <c r="G686" s="18" t="inlineStr">
        <is>
          <t>integer</t>
        </is>
      </c>
      <c r="H686" s="18" t="inlineStr">
        <is>
          <t>Sí</t>
        </is>
      </c>
      <c r="I686" s="18" t="inlineStr"/>
      <c r="J686" s="18" t="inlineStr"/>
      <c r="K686" s="18" t="inlineStr"/>
      <c r="L686" s="18" t="inlineStr">
        <is>
          <t>No</t>
        </is>
      </c>
      <c r="M686" s="18" t="inlineStr">
        <is>
          <t>No</t>
        </is>
      </c>
      <c r="N686" s="18" t="inlineStr"/>
      <c r="O686" s="18" t="inlineStr"/>
      <c r="P686" s="18" t="inlineStr">
        <is>
          <t>Mapeada en certification-service/src/certificates/certificate-template.entity.ts:23 (CertificateTemplate.version)</t>
        </is>
      </c>
      <c r="Q686" s="18" t="inlineStr">
        <is>
          <t>Regla estructural (redacción revisada)</t>
        </is>
      </c>
      <c r="R686" s="18" t="inlineStr">
        <is>
          <t>Número de versión de la plantilla de certificado.</t>
        </is>
      </c>
      <c r="S686" s="18" t="inlineStr">
        <is>
          <t>Alta</t>
        </is>
      </c>
      <c r="T686" s="18" t="inlineStr">
        <is>
          <t>Convención de nombre, redactada con el contexto de la tabla y el código.</t>
        </is>
      </c>
      <c r="U686" s="18" t="inlineStr"/>
      <c r="V686" s="19" t="inlineStr">
        <is>
          <t>Aprobada</t>
        </is>
      </c>
      <c r="W686" s="19" t="inlineStr"/>
      <c r="X686" s="19" t="inlineStr">
        <is>
          <t>Aldair González (aprobación en bloque)</t>
        </is>
      </c>
      <c r="Y686" s="20" t="n">
        <v>46321</v>
      </c>
      <c r="Z686" s="19" t="inlineStr">
        <is>
          <t>Nivel 2: regla estructural con redacción revisada.</t>
        </is>
      </c>
      <c r="AA686" s="18">
        <f>IF(OR(V686="Aprobada"),R686,IF(AND(OR(V686="Aprobada con ajuste",V686="Rechazada"),W686&lt;&gt;""),W686,""))</f>
        <v/>
      </c>
    </row>
    <row r="687">
      <c r="A687" s="18" t="inlineStr">
        <is>
          <t>C0686</t>
        </is>
      </c>
      <c r="B687" s="18" t="inlineStr">
        <is>
          <t>Certificaciones</t>
        </is>
      </c>
      <c r="C687" s="18" t="inlineStr">
        <is>
          <t>certification</t>
        </is>
      </c>
      <c r="D687" s="18" t="inlineStr">
        <is>
          <t>certificate_validations</t>
        </is>
      </c>
      <c r="E687" s="18" t="n">
        <v>42</v>
      </c>
      <c r="F687" s="18" t="inlineStr">
        <is>
          <t>validation_date</t>
        </is>
      </c>
      <c r="G687" s="18" t="inlineStr">
        <is>
          <t>timestamp without time zone</t>
        </is>
      </c>
      <c r="H687" s="18" t="inlineStr">
        <is>
          <t>No</t>
        </is>
      </c>
      <c r="I687" s="18" t="inlineStr"/>
      <c r="J687" s="18" t="inlineStr"/>
      <c r="K687" s="18" t="inlineStr"/>
      <c r="L687" s="18" t="inlineStr">
        <is>
          <t>No</t>
        </is>
      </c>
      <c r="M687" s="18" t="inlineStr">
        <is>
          <t>No</t>
        </is>
      </c>
      <c r="N687" s="18" t="inlineStr"/>
      <c r="O687" s="18" t="inlineStr">
        <is>
          <t>idx_certificate_validations_validation_date, idx_validations_date</t>
        </is>
      </c>
      <c r="P687" s="18" t="inlineStr">
        <is>
          <t>db/init/old/005_schema_certification.sql:141: Validation data</t>
        </is>
      </c>
      <c r="Q687" s="18" t="inlineStr">
        <is>
          <t>Código fuente</t>
        </is>
      </c>
      <c r="R687" s="18" t="inlineStr">
        <is>
          <t>Fecha y hora en que se validó el certificado laboral; por defecto el momento de registro.</t>
        </is>
      </c>
      <c r="S687" s="18" t="inlineStr">
        <is>
          <t>Alta</t>
        </is>
      </c>
      <c r="T687" s="18" t="inlineStr">
        <is>
          <t>código: db/init/old/005_schema_certification.sql:141</t>
        </is>
      </c>
      <c r="U687" s="18" t="inlineStr"/>
      <c r="V687" s="19" t="inlineStr">
        <is>
          <t>Aprobada</t>
        </is>
      </c>
      <c r="W687" s="19" t="inlineStr"/>
      <c r="X687" s="19" t="inlineStr">
        <is>
          <t>Aldair González (aprobación en bloque)</t>
        </is>
      </c>
      <c r="Y687" s="20" t="n">
        <v>46321</v>
      </c>
      <c r="Z687" s="19" t="inlineStr">
        <is>
          <t>Nivel 1: propuesta del comentario del desarrollador o de confianza alta, o regla de fecha/responsable/motivo.</t>
        </is>
      </c>
      <c r="AA687" s="18">
        <f>IF(OR(V687="Aprobada"),R687,IF(AND(OR(V687="Aprobada con ajuste",V687="Rechazada"),W687&lt;&gt;""),W687,""))</f>
        <v/>
      </c>
    </row>
    <row r="688">
      <c r="A688" s="18" t="inlineStr">
        <is>
          <t>C0687</t>
        </is>
      </c>
      <c r="B688" s="18" t="inlineStr">
        <is>
          <t>Certificaciones</t>
        </is>
      </c>
      <c r="C688" s="18" t="inlineStr">
        <is>
          <t>certification</t>
        </is>
      </c>
      <c r="D688" s="18" t="inlineStr">
        <is>
          <t>certificate_validations</t>
        </is>
      </c>
      <c r="E688" s="18" t="n">
        <v>42</v>
      </c>
      <c r="F688" s="18" t="inlineStr">
        <is>
          <t>ip_address</t>
        </is>
      </c>
      <c r="G688" s="18" t="inlineStr">
        <is>
          <t>character varying(50)</t>
        </is>
      </c>
      <c r="H688" s="18" t="inlineStr">
        <is>
          <t>Sí</t>
        </is>
      </c>
      <c r="I688" s="18" t="inlineStr"/>
      <c r="J688" s="18" t="inlineStr"/>
      <c r="K688" s="18" t="inlineStr"/>
      <c r="L688" s="18" t="inlineStr">
        <is>
          <t>No</t>
        </is>
      </c>
      <c r="M688" s="18" t="inlineStr">
        <is>
          <t>No</t>
        </is>
      </c>
      <c r="N688" s="18" t="inlineStr"/>
      <c r="O688" s="18" t="inlineStr"/>
      <c r="P688" s="18" t="inlineStr">
        <is>
          <t>Mapeada en certification-service/src/certificates/certificate-validation.entity.ts:15 (CertificateValidation.ip_address)</t>
        </is>
      </c>
      <c r="Q688" s="18" t="inlineStr">
        <is>
          <t>Propuesta semántica</t>
        </is>
      </c>
      <c r="R688" s="18" t="inlineStr">
        <is>
          <t>Dirección IP desde la que se consultó la validación del certificado.</t>
        </is>
      </c>
      <c r="S688" s="18" t="inlineStr">
        <is>
          <t>Alta</t>
        </is>
      </c>
      <c r="T688" s="18" t="inlineStr">
        <is>
          <t>nombre + tipo + columnas vecinas (user_agent, country, isp) ~</t>
        </is>
      </c>
      <c r="U688" s="18" t="inlineStr"/>
      <c r="V688" s="19" t="inlineStr">
        <is>
          <t>Aprobada</t>
        </is>
      </c>
      <c r="W688" s="19" t="inlineStr"/>
      <c r="X688" s="19" t="inlineStr">
        <is>
          <t>Aldair González (aprobación en bloque)</t>
        </is>
      </c>
      <c r="Y688" s="20" t="n">
        <v>46321</v>
      </c>
      <c r="Z688" s="19" t="inlineStr">
        <is>
          <t>Nivel 1: propuesta del comentario del desarrollador o de confianza alta, o regla de fecha/responsable/motivo.</t>
        </is>
      </c>
      <c r="AA688" s="18">
        <f>IF(OR(V688="Aprobada"),R688,IF(AND(OR(V688="Aprobada con ajuste",V688="Rechazada"),W688&lt;&gt;""),W688,""))</f>
        <v/>
      </c>
    </row>
    <row r="689">
      <c r="A689" s="18" t="inlineStr">
        <is>
          <t>C0688</t>
        </is>
      </c>
      <c r="B689" s="18" t="inlineStr">
        <is>
          <t>Certificaciones</t>
        </is>
      </c>
      <c r="C689" s="18" t="inlineStr">
        <is>
          <t>certification</t>
        </is>
      </c>
      <c r="D689" s="18" t="inlineStr">
        <is>
          <t>certificate_validations</t>
        </is>
      </c>
      <c r="E689" s="18" t="n">
        <v>42</v>
      </c>
      <c r="F689" s="18" t="inlineStr">
        <is>
          <t>user_agent</t>
        </is>
      </c>
      <c r="G689" s="18" t="inlineStr">
        <is>
          <t>text</t>
        </is>
      </c>
      <c r="H689" s="18" t="inlineStr">
        <is>
          <t>Sí</t>
        </is>
      </c>
      <c r="I689" s="18" t="inlineStr"/>
      <c r="J689" s="18" t="inlineStr"/>
      <c r="K689" s="18" t="inlineStr"/>
      <c r="L689" s="18" t="inlineStr">
        <is>
          <t>No</t>
        </is>
      </c>
      <c r="M689" s="18" t="inlineStr">
        <is>
          <t>No</t>
        </is>
      </c>
      <c r="N689" s="18" t="inlineStr"/>
      <c r="O689" s="18" t="inlineStr"/>
      <c r="P689" s="18" t="inlineStr">
        <is>
          <t>Mapeada en certification-service/src/certificates/certificate-validation.entity.ts:18 (CertificateValidation.user_agent)</t>
        </is>
      </c>
      <c r="Q689" s="18" t="inlineStr">
        <is>
          <t>Regla estructural (redacción revisada)</t>
        </is>
      </c>
      <c r="R689" s="18" t="inlineStr">
        <is>
          <t>Agente de usuario (navegador) desde el que se consultó la validación del certificado laboral.</t>
        </is>
      </c>
      <c r="S689" s="18" t="inlineStr">
        <is>
          <t>Alta</t>
        </is>
      </c>
      <c r="T689" s="18" t="inlineStr">
        <is>
          <t>Convención de nombre, redactada con el contexto de la tabla y el código.</t>
        </is>
      </c>
      <c r="U689" s="18" t="inlineStr"/>
      <c r="V689" s="19" t="inlineStr">
        <is>
          <t>Aprobada</t>
        </is>
      </c>
      <c r="W689" s="19" t="inlineStr"/>
      <c r="X689" s="19" t="inlineStr">
        <is>
          <t>Aldair González (aprobación en bloque)</t>
        </is>
      </c>
      <c r="Y689" s="20" t="n">
        <v>46321</v>
      </c>
      <c r="Z689" s="19" t="inlineStr">
        <is>
          <t>Nivel 2: regla estructural con redacción revisada.</t>
        </is>
      </c>
      <c r="AA689" s="18">
        <f>IF(OR(V689="Aprobada"),R689,IF(AND(OR(V689="Aprobada con ajuste",V689="Rechazada"),W689&lt;&gt;""),W689,""))</f>
        <v/>
      </c>
    </row>
    <row r="690">
      <c r="A690" s="18" t="inlineStr">
        <is>
          <t>C0689</t>
        </is>
      </c>
      <c r="B690" s="18" t="inlineStr">
        <is>
          <t>Certificaciones</t>
        </is>
      </c>
      <c r="C690" s="18" t="inlineStr">
        <is>
          <t>certification</t>
        </is>
      </c>
      <c r="D690" s="18" t="inlineStr">
        <is>
          <t>certificate_validations</t>
        </is>
      </c>
      <c r="E690" s="18" t="n">
        <v>42</v>
      </c>
      <c r="F690" s="18" t="inlineStr">
        <is>
          <t>location</t>
        </is>
      </c>
      <c r="G690" s="18" t="inlineStr">
        <is>
          <t>character varying(255)</t>
        </is>
      </c>
      <c r="H690" s="18" t="inlineStr">
        <is>
          <t>Sí</t>
        </is>
      </c>
      <c r="I690" s="18" t="inlineStr"/>
      <c r="J690" s="18" t="inlineStr"/>
      <c r="K690" s="18" t="inlineStr"/>
      <c r="L690" s="18" t="inlineStr">
        <is>
          <t>No</t>
        </is>
      </c>
      <c r="M690" s="18" t="inlineStr">
        <is>
          <t>No</t>
        </is>
      </c>
      <c r="N690" s="18" t="inlineStr"/>
      <c r="O690" s="18" t="inlineStr"/>
      <c r="P690" s="18" t="inlineStr">
        <is>
          <t>db/init/old/005_schema_certification.sql:144: City/country from where it was validated</t>
        </is>
      </c>
      <c r="Q690" s="18" t="inlineStr">
        <is>
          <t>Código fuente</t>
        </is>
      </c>
      <c r="R690" s="18" t="inlineStr">
        <is>
          <t>Ciudad y país desde donde se validó el certificado.</t>
        </is>
      </c>
      <c r="S690" s="18" t="inlineStr">
        <is>
          <t>Alta</t>
        </is>
      </c>
      <c r="T690" s="18" t="inlineStr">
        <is>
          <t>código: db/init/old/005_schema_certification.sql:144</t>
        </is>
      </c>
      <c r="U690" s="18" t="inlineStr"/>
      <c r="V690" s="19" t="inlineStr">
        <is>
          <t>Aprobada</t>
        </is>
      </c>
      <c r="W690" s="19" t="inlineStr"/>
      <c r="X690" s="19" t="inlineStr">
        <is>
          <t>Aldair González (aprobación en bloque)</t>
        </is>
      </c>
      <c r="Y690" s="20" t="n">
        <v>46321</v>
      </c>
      <c r="Z690" s="19" t="inlineStr">
        <is>
          <t>Nivel 1: propuesta del comentario del desarrollador o de confianza alta, o regla de fecha/responsable/motivo.</t>
        </is>
      </c>
      <c r="AA690" s="18">
        <f>IF(OR(V690="Aprobada"),R690,IF(AND(OR(V690="Aprobada con ajuste",V690="Rechazada"),W690&lt;&gt;""),W690,""))</f>
        <v/>
      </c>
    </row>
    <row r="691">
      <c r="A691" s="18" t="inlineStr">
        <is>
          <t>C0690</t>
        </is>
      </c>
      <c r="B691" s="18" t="inlineStr">
        <is>
          <t>Certificaciones</t>
        </is>
      </c>
      <c r="C691" s="18" t="inlineStr">
        <is>
          <t>certification</t>
        </is>
      </c>
      <c r="D691" s="18" t="inlineStr">
        <is>
          <t>certificates</t>
        </is>
      </c>
      <c r="E691" s="18" t="n">
        <v>130</v>
      </c>
      <c r="F691" s="18" t="inlineStr">
        <is>
          <t>verification_code</t>
        </is>
      </c>
      <c r="G691" s="18" t="inlineStr">
        <is>
          <t>character varying(100)</t>
        </is>
      </c>
      <c r="H691" s="18" t="inlineStr">
        <is>
          <t>No</t>
        </is>
      </c>
      <c r="I691" s="18" t="inlineStr">
        <is>
          <t>Única</t>
        </is>
      </c>
      <c r="J691" s="18" t="inlineStr"/>
      <c r="K691" s="18" t="inlineStr"/>
      <c r="L691" s="18" t="inlineStr">
        <is>
          <t>No</t>
        </is>
      </c>
      <c r="M691" s="18" t="inlineStr">
        <is>
          <t>No</t>
        </is>
      </c>
      <c r="N691" s="18" t="inlineStr"/>
      <c r="O691" s="18" t="inlineStr">
        <is>
          <t>certificates_verification_code_key, idx_certificates_code</t>
        </is>
      </c>
      <c r="P691" s="18" t="inlineStr">
        <is>
          <t>db/init/old/005_schema_certification.sql:80: Unique identifiers Unique QR code for validation</t>
        </is>
      </c>
      <c r="Q691" s="18" t="inlineStr">
        <is>
          <t>Código fuente</t>
        </is>
      </c>
      <c r="R691" s="18" t="inlineStr">
        <is>
          <t>Código QR único para validar el certificado laboral.</t>
        </is>
      </c>
      <c r="S691" s="18" t="inlineStr">
        <is>
          <t>Alta</t>
        </is>
      </c>
      <c r="T691" s="18" t="inlineStr">
        <is>
          <t>código: db/init/old/005_schema_certification.sql:80</t>
        </is>
      </c>
      <c r="U691" s="18" t="inlineStr"/>
      <c r="V691" s="19" t="inlineStr">
        <is>
          <t>Aprobada</t>
        </is>
      </c>
      <c r="W691" s="19" t="inlineStr"/>
      <c r="X691" s="19" t="inlineStr">
        <is>
          <t>Aldair González (aprobación en bloque)</t>
        </is>
      </c>
      <c r="Y691" s="20" t="n">
        <v>46321</v>
      </c>
      <c r="Z691" s="19" t="inlineStr">
        <is>
          <t>Nivel 1: propuesta del comentario del desarrollador o de confianza alta, o regla de fecha/responsable/motivo.</t>
        </is>
      </c>
      <c r="AA691" s="18">
        <f>IF(OR(V691="Aprobada"),R691,IF(AND(OR(V691="Aprobada con ajuste",V691="Rechazada"),W691&lt;&gt;""),W691,""))</f>
        <v/>
      </c>
    </row>
    <row r="692">
      <c r="A692" s="18" t="inlineStr">
        <is>
          <t>C0691</t>
        </is>
      </c>
      <c r="B692" s="18" t="inlineStr">
        <is>
          <t>Certificaciones</t>
        </is>
      </c>
      <c r="C692" s="18" t="inlineStr">
        <is>
          <t>certification</t>
        </is>
      </c>
      <c r="D692" s="18" t="inlineStr">
        <is>
          <t>certificates</t>
        </is>
      </c>
      <c r="E692" s="18" t="n">
        <v>130</v>
      </c>
      <c r="F692" s="18" t="inlineStr">
        <is>
          <t>certificate_number</t>
        </is>
      </c>
      <c r="G692" s="18" t="inlineStr">
        <is>
          <t>character varying(50)</t>
        </is>
      </c>
      <c r="H692" s="18" t="inlineStr">
        <is>
          <t>No</t>
        </is>
      </c>
      <c r="I692" s="18" t="inlineStr">
        <is>
          <t>Única</t>
        </is>
      </c>
      <c r="J692" s="18" t="inlineStr"/>
      <c r="K692" s="18" t="inlineStr"/>
      <c r="L692" s="18" t="inlineStr">
        <is>
          <t>No</t>
        </is>
      </c>
      <c r="M692" s="18" t="inlineStr">
        <is>
          <t>No</t>
        </is>
      </c>
      <c r="N692" s="18" t="inlineStr"/>
      <c r="O692" s="18" t="inlineStr">
        <is>
          <t>certificates_certificate_number_key, idx_certificates_number</t>
        </is>
      </c>
      <c r="P692" s="18" t="inlineStr">
        <is>
          <t>db/init/old/005_schema_certification.sql:81: Official certificate number</t>
        </is>
      </c>
      <c r="Q692" s="18" t="inlineStr">
        <is>
          <t>Código fuente</t>
        </is>
      </c>
      <c r="R692" s="18" t="inlineStr">
        <is>
          <t>Número oficial único del certificado laboral.</t>
        </is>
      </c>
      <c r="S692" s="18" t="inlineStr">
        <is>
          <t>Alta</t>
        </is>
      </c>
      <c r="T692" s="18" t="inlineStr">
        <is>
          <t>código: db/init/old/005_schema_certification.sql:81</t>
        </is>
      </c>
      <c r="U692" s="18" t="inlineStr"/>
      <c r="V692" s="19" t="inlineStr">
        <is>
          <t>Aprobada</t>
        </is>
      </c>
      <c r="W692" s="19" t="inlineStr"/>
      <c r="X692" s="19" t="inlineStr">
        <is>
          <t>Aldair González (aprobación en bloque)</t>
        </is>
      </c>
      <c r="Y692" s="20" t="n">
        <v>46321</v>
      </c>
      <c r="Z692" s="19" t="inlineStr">
        <is>
          <t>Nivel 1: propuesta del comentario del desarrollador o de confianza alta, o regla de fecha/responsable/motivo.</t>
        </is>
      </c>
      <c r="AA692" s="18">
        <f>IF(OR(V692="Aprobada"),R692,IF(AND(OR(V692="Aprobada con ajuste",V692="Rechazada"),W692&lt;&gt;""),W692,""))</f>
        <v/>
      </c>
    </row>
    <row r="693">
      <c r="A693" s="18" t="inlineStr">
        <is>
          <t>C0692</t>
        </is>
      </c>
      <c r="B693" s="18" t="inlineStr">
        <is>
          <t>Certificaciones</t>
        </is>
      </c>
      <c r="C693" s="18" t="inlineStr">
        <is>
          <t>certification</t>
        </is>
      </c>
      <c r="D693" s="18" t="inlineStr">
        <is>
          <t>certificates</t>
        </is>
      </c>
      <c r="E693" s="18" t="n">
        <v>130</v>
      </c>
      <c r="F693" s="18" t="inlineStr">
        <is>
          <t>full_name</t>
        </is>
      </c>
      <c r="G693" s="18" t="inlineStr">
        <is>
          <t>character varying(255)</t>
        </is>
      </c>
      <c r="H693" s="18" t="inlineStr">
        <is>
          <t>No</t>
        </is>
      </c>
      <c r="I693" s="18" t="inlineStr"/>
      <c r="J693" s="18" t="inlineStr"/>
      <c r="K693" s="18" t="inlineStr"/>
      <c r="L693" s="18" t="inlineStr">
        <is>
          <t>No</t>
        </is>
      </c>
      <c r="M693" s="18" t="inlineStr">
        <is>
          <t>No</t>
        </is>
      </c>
      <c r="N693" s="18" t="inlineStr"/>
      <c r="O693" s="18" t="inlineStr"/>
      <c r="P693" s="18" t="inlineStr">
        <is>
          <t>db/init/old/005_schema_certification.sql:87: Employee data (denormalized for historical purposes)</t>
        </is>
      </c>
      <c r="Q693" s="18" t="inlineStr">
        <is>
          <t>Código fuente</t>
        </is>
      </c>
      <c r="R693" s="18" t="inlineStr">
        <is>
          <t>Nombre completo del empleado, copiado en el certificado para conservar el histórico.</t>
        </is>
      </c>
      <c r="S693" s="18" t="inlineStr">
        <is>
          <t>Alta</t>
        </is>
      </c>
      <c r="T693" s="18" t="inlineStr">
        <is>
          <t>código: db/init/old/005_schema_certification.sql:87</t>
        </is>
      </c>
      <c r="U693" s="18" t="inlineStr"/>
      <c r="V693" s="19" t="inlineStr">
        <is>
          <t>Aprobada</t>
        </is>
      </c>
      <c r="W693" s="19" t="inlineStr"/>
      <c r="X693" s="19" t="inlineStr">
        <is>
          <t>Aldair González (aprobación en bloque)</t>
        </is>
      </c>
      <c r="Y693" s="20" t="n">
        <v>46321</v>
      </c>
      <c r="Z693" s="19" t="inlineStr">
        <is>
          <t>Nivel 1: propuesta del comentario del desarrollador o de confianza alta, o regla de fecha/responsable/motivo.</t>
        </is>
      </c>
      <c r="AA693" s="18">
        <f>IF(OR(V693="Aprobada"),R693,IF(AND(OR(V693="Aprobada con ajuste",V693="Rechazada"),W693&lt;&gt;""),W693,""))</f>
        <v/>
      </c>
    </row>
    <row r="694">
      <c r="A694" s="18" t="inlineStr">
        <is>
          <t>C0693</t>
        </is>
      </c>
      <c r="B694" s="18" t="inlineStr">
        <is>
          <t>Certificaciones</t>
        </is>
      </c>
      <c r="C694" s="18" t="inlineStr">
        <is>
          <t>certification</t>
        </is>
      </c>
      <c r="D694" s="18" t="inlineStr">
        <is>
          <t>certificates</t>
        </is>
      </c>
      <c r="E694" s="18" t="n">
        <v>130</v>
      </c>
      <c r="F694" s="18" t="inlineStr">
        <is>
          <t>id_number</t>
        </is>
      </c>
      <c r="G694" s="18" t="inlineStr">
        <is>
          <t>character varying(50)</t>
        </is>
      </c>
      <c r="H694" s="18" t="inlineStr">
        <is>
          <t>No</t>
        </is>
      </c>
      <c r="I694" s="18" t="inlineStr"/>
      <c r="J694" s="18" t="inlineStr"/>
      <c r="K694" s="18" t="inlineStr"/>
      <c r="L694" s="18" t="inlineStr">
        <is>
          <t>No</t>
        </is>
      </c>
      <c r="M694" s="18" t="inlineStr">
        <is>
          <t>No</t>
        </is>
      </c>
      <c r="N694" s="18" t="inlineStr"/>
      <c r="O694" s="18" t="inlineStr">
        <is>
          <t>idx_certificates_id_number</t>
        </is>
      </c>
      <c r="P694" s="18" t="inlineStr">
        <is>
          <t>Mapeada en certification-service/src/certificates/certificate.entity.ts:23 (Certificate.id_number)</t>
        </is>
      </c>
      <c r="Q694" s="18" t="inlineStr">
        <is>
          <t>Propuesta semántica</t>
        </is>
      </c>
      <c r="R694" s="18" t="inlineStr">
        <is>
          <t>Número de identificación del empleado a quien se expide el certificado laboral.</t>
        </is>
      </c>
      <c r="S694" s="18" t="inlineStr">
        <is>
          <t>Alta</t>
        </is>
      </c>
      <c r="T694" s="18" t="inlineStr">
        <is>
          <t>nombre + tipo + columnas vecinas (full_name) + índice ~</t>
        </is>
      </c>
      <c r="U694" s="18" t="inlineStr"/>
      <c r="V694" s="19" t="inlineStr">
        <is>
          <t>Aprobada</t>
        </is>
      </c>
      <c r="W694" s="19" t="inlineStr"/>
      <c r="X694" s="19" t="inlineStr">
        <is>
          <t>Aldair González (aprobación en bloque)</t>
        </is>
      </c>
      <c r="Y694" s="20" t="n">
        <v>46321</v>
      </c>
      <c r="Z694" s="19" t="inlineStr">
        <is>
          <t>Nivel 1: propuesta del comentario del desarrollador o de confianza alta, o regla de fecha/responsable/motivo.</t>
        </is>
      </c>
      <c r="AA694" s="18">
        <f>IF(OR(V694="Aprobada"),R694,IF(AND(OR(V694="Aprobada con ajuste",V694="Rechazada"),W694&lt;&gt;""),W694,""))</f>
        <v/>
      </c>
    </row>
    <row r="695">
      <c r="A695" s="18" t="inlineStr">
        <is>
          <t>C0694</t>
        </is>
      </c>
      <c r="B695" s="18" t="inlineStr">
        <is>
          <t>Certificaciones</t>
        </is>
      </c>
      <c r="C695" s="18" t="inlineStr">
        <is>
          <t>certification</t>
        </is>
      </c>
      <c r="D695" s="18" t="inlineStr">
        <is>
          <t>certificates</t>
        </is>
      </c>
      <c r="E695" s="18" t="n">
        <v>130</v>
      </c>
      <c r="F695" s="18" t="inlineStr">
        <is>
          <t>career_category</t>
        </is>
      </c>
      <c r="G695" s="18" t="inlineStr">
        <is>
          <t>character varying(100)</t>
        </is>
      </c>
      <c r="H695" s="18" t="inlineStr">
        <is>
          <t>No</t>
        </is>
      </c>
      <c r="I695" s="18" t="inlineStr"/>
      <c r="J695" s="18" t="inlineStr"/>
      <c r="K695" s="18" t="inlineStr"/>
      <c r="L695" s="18" t="inlineStr">
        <is>
          <t>No</t>
        </is>
      </c>
      <c r="M695" s="18" t="inlineStr">
        <is>
          <t>No</t>
        </is>
      </c>
      <c r="N695" s="18" t="inlineStr"/>
      <c r="O695" s="18" t="inlineStr"/>
      <c r="P695" s="18" t="inlineStr">
        <is>
          <t>Mapeada en certification-service/src/certificates/certificate.entity.ts:29 (Certificate.career_category)</t>
        </is>
      </c>
      <c r="Q695" s="18" t="inlineStr">
        <is>
          <t>Código fuente (verificado)</t>
        </is>
      </c>
      <c r="R695" s="18" t="inlineStr">
        <is>
          <t>Cargo del empleado registrado en el certificado: denominación del cargo seguida del grado (CARGO Grado GRADO en Oracle); NO REGISTRADO si la fuente no lo trae.</t>
        </is>
      </c>
      <c r="S695" s="18" t="inlineStr">
        <is>
          <t>Alta</t>
        </is>
      </c>
      <c r="T695" s="18" t="inlineStr">
        <is>
          <t>backend/certification-service/src/certificates/labor-oracle-integration.service.ts:424-433: buildCareerCategory = CARGO + ' Grado ' + GRADO | backend/certification-service/src/certificates/certificates.service.ts:530-533: valor por defecto 'NO REGISTRADO' | backend/certification-service/src/certificates/certificates.service.ts:3097: etiqueta 'El cargo' | backend/certification-service/src/certificates/certificates.service.ts:5034: se copia de la solicitud</t>
        </is>
      </c>
      <c r="U695" s="18" t="inlineStr"/>
      <c r="V695" s="19" t="inlineStr">
        <is>
          <t>Aprobada</t>
        </is>
      </c>
      <c r="W695" s="19" t="inlineStr"/>
      <c r="X695" s="19" t="inlineStr">
        <is>
          <t>Aldair González (aprobación en bloque)</t>
        </is>
      </c>
      <c r="Y695" s="20" t="n">
        <v>46321</v>
      </c>
      <c r="Z695" s="19" t="inlineStr">
        <is>
          <t>Nivel 3: verificada con el código de la aplicación.</t>
        </is>
      </c>
      <c r="AA695" s="18">
        <f>IF(OR(V695="Aprobada"),R695,IF(AND(OR(V695="Aprobada con ajuste",V695="Rechazada"),W695&lt;&gt;""),W695,""))</f>
        <v/>
      </c>
    </row>
    <row r="696">
      <c r="A696" s="18" t="inlineStr">
        <is>
          <t>C0695</t>
        </is>
      </c>
      <c r="B696" s="18" t="inlineStr">
        <is>
          <t>Certificaciones</t>
        </is>
      </c>
      <c r="C696" s="18" t="inlineStr">
        <is>
          <t>certification</t>
        </is>
      </c>
      <c r="D696" s="18" t="inlineStr">
        <is>
          <t>certificates</t>
        </is>
      </c>
      <c r="E696" s="18" t="n">
        <v>130</v>
      </c>
      <c r="F696" s="18" t="inlineStr">
        <is>
          <t>hiring_date</t>
        </is>
      </c>
      <c r="G696" s="18" t="inlineStr">
        <is>
          <t>date</t>
        </is>
      </c>
      <c r="H696" s="18" t="inlineStr">
        <is>
          <t>No</t>
        </is>
      </c>
      <c r="I696" s="18" t="inlineStr"/>
      <c r="J696" s="18" t="inlineStr"/>
      <c r="K696" s="18" t="inlineStr"/>
      <c r="L696" s="18" t="inlineStr">
        <is>
          <t>No</t>
        </is>
      </c>
      <c r="M696" s="18" t="inlineStr">
        <is>
          <t>No</t>
        </is>
      </c>
      <c r="N696" s="18" t="inlineStr"/>
      <c r="O696" s="18" t="inlineStr"/>
      <c r="P696" s="18" t="inlineStr">
        <is>
          <t>Mapeada en certification-service/src/certificates/certificate.entity.ts:32 (Certificate.hiring_date)</t>
        </is>
      </c>
      <c r="Q696" s="18" t="inlineStr">
        <is>
          <t>Propuesta semántica</t>
        </is>
      </c>
      <c r="R696" s="18" t="inlineStr">
        <is>
          <t>Fecha de vinculación del empleado a la entidad, informada en el certificado laboral.</t>
        </is>
      </c>
      <c r="S696" s="18" t="inlineStr">
        <is>
          <t>Alta</t>
        </is>
      </c>
      <c r="T696" s="18" t="inlineStr">
        <is>
          <t>nombre + tipo + columnas vecinas ~</t>
        </is>
      </c>
      <c r="U696" s="18" t="inlineStr"/>
      <c r="V696" s="19" t="inlineStr">
        <is>
          <t>Aprobada</t>
        </is>
      </c>
      <c r="W696" s="19" t="inlineStr"/>
      <c r="X696" s="19" t="inlineStr">
        <is>
          <t>Aldair González (aprobación en bloque)</t>
        </is>
      </c>
      <c r="Y696" s="20" t="n">
        <v>46321</v>
      </c>
      <c r="Z696" s="19" t="inlineStr">
        <is>
          <t>Nivel 1: propuesta del comentario del desarrollador o de confianza alta, o regla de fecha/responsable/motivo.</t>
        </is>
      </c>
      <c r="AA696" s="18">
        <f>IF(OR(V696="Aprobada"),R696,IF(AND(OR(V696="Aprobada con ajuste",V696="Rechazada"),W696&lt;&gt;""),W696,""))</f>
        <v/>
      </c>
    </row>
    <row r="697">
      <c r="A697" s="18" t="inlineStr">
        <is>
          <t>C0696</t>
        </is>
      </c>
      <c r="B697" s="18" t="inlineStr">
        <is>
          <t>Certificaciones</t>
        </is>
      </c>
      <c r="C697" s="18" t="inlineStr">
        <is>
          <t>certification</t>
        </is>
      </c>
      <c r="D697" s="18" t="inlineStr">
        <is>
          <t>certificates</t>
        </is>
      </c>
      <c r="E697" s="18" t="n">
        <v>130</v>
      </c>
      <c r="F697" s="18" t="inlineStr">
        <is>
          <t>position_category</t>
        </is>
      </c>
      <c r="G697" s="18" t="inlineStr">
        <is>
          <t>character varying(100)</t>
        </is>
      </c>
      <c r="H697" s="18" t="inlineStr">
        <is>
          <t>No</t>
        </is>
      </c>
      <c r="I697" s="18" t="inlineStr"/>
      <c r="J697" s="18" t="inlineStr"/>
      <c r="K697" s="18" t="inlineStr"/>
      <c r="L697" s="18" t="inlineStr">
        <is>
          <t>No</t>
        </is>
      </c>
      <c r="M697" s="18" t="inlineStr">
        <is>
          <t>No</t>
        </is>
      </c>
      <c r="N697" s="18" t="inlineStr"/>
      <c r="O697" s="18" t="inlineStr"/>
      <c r="P697" s="18" t="inlineStr">
        <is>
          <t>Mapeada en certification-service/src/certificates/certificate.entity.ts:35 (Certificate.position_category)</t>
        </is>
      </c>
      <c r="Q697" s="18" t="inlineStr">
        <is>
          <t>Código fuente (verificado)</t>
        </is>
      </c>
      <c r="R697" s="18" t="inlineStr">
        <is>
          <t>Tipo de vinculación del empleado registrado en el certificado: tipo de acto administrativo de Oracle (TIPOACTOADMINISTRATIVO) o, en su defecto, el tipo de vinculación; NO REGISTRADO si la fuente no lo trae.</t>
        </is>
      </c>
      <c r="S697" s="18" t="inlineStr">
        <is>
          <t>Alta</t>
        </is>
      </c>
      <c r="T697" s="18" t="inlineStr">
        <is>
          <t>backend/certification-service/src/certificates/labor-oracle-integration.service.ts:497-500: position_category = tipoActo o tipoVinculacion | backend/certification-service/src/certificates/labor-oracle-integration.service.ts:535: nota de mapeo | backend/certification-service/src/certificates/certificates.service.ts:3098: etiqueta 'El tipo de vinculación'</t>
        </is>
      </c>
      <c r="U697" s="18" t="inlineStr"/>
      <c r="V697" s="19" t="inlineStr">
        <is>
          <t>Aprobada</t>
        </is>
      </c>
      <c r="W697" s="19" t="inlineStr"/>
      <c r="X697" s="19" t="inlineStr">
        <is>
          <t>Aldair González (aprobación en bloque)</t>
        </is>
      </c>
      <c r="Y697" s="20" t="n">
        <v>46321</v>
      </c>
      <c r="Z697" s="19" t="inlineStr">
        <is>
          <t>Nivel 3: verificada con el código de la aplicación.</t>
        </is>
      </c>
      <c r="AA697" s="18">
        <f>IF(OR(V697="Aprobada"),R697,IF(AND(OR(V697="Aprobada con ajuste",V697="Rechazada"),W697&lt;&gt;""),W697,""))</f>
        <v/>
      </c>
    </row>
    <row r="698">
      <c r="A698" s="18" t="inlineStr">
        <is>
          <t>C0697</t>
        </is>
      </c>
      <c r="B698" s="18" t="inlineStr">
        <is>
          <t>Certificaciones</t>
        </is>
      </c>
      <c r="C698" s="18" t="inlineStr">
        <is>
          <t>certification</t>
        </is>
      </c>
      <c r="D698" s="18" t="inlineStr">
        <is>
          <t>certificates</t>
        </is>
      </c>
      <c r="E698" s="18" t="n">
        <v>130</v>
      </c>
      <c r="F698" s="18" t="inlineStr">
        <is>
          <t>position_location</t>
        </is>
      </c>
      <c r="G698" s="18" t="inlineStr">
        <is>
          <t>character varying(150)</t>
        </is>
      </c>
      <c r="H698" s="18" t="inlineStr">
        <is>
          <t>Sí</t>
        </is>
      </c>
      <c r="I698" s="18" t="inlineStr"/>
      <c r="J698" s="18" t="inlineStr"/>
      <c r="K698" s="18" t="inlineStr"/>
      <c r="L698" s="18" t="inlineStr">
        <is>
          <t>No</t>
        </is>
      </c>
      <c r="M698" s="18" t="inlineStr">
        <is>
          <t>No</t>
        </is>
      </c>
      <c r="N698" s="18" t="inlineStr"/>
      <c r="O698" s="18" t="inlineStr"/>
      <c r="P698" s="18" t="inlineStr">
        <is>
          <t>Mapeada en certification-service/src/certificates/certificate.entity.ts:38 (Certificate.position_location)</t>
        </is>
      </c>
      <c r="Q698" s="18" t="inlineStr">
        <is>
          <t>Código fuente (verificado)</t>
        </is>
      </c>
      <c r="R698" s="18" t="inlineStr">
        <is>
          <t>Ubicación del cargo del empleado según el certificado: en las filas de Oracle, la dependencia o, si falta, la sucursal; en las filas locales, el grupo o la dependencia.</t>
        </is>
      </c>
      <c r="S698" s="18" t="inlineStr">
        <is>
          <t>Alta</t>
        </is>
      </c>
      <c r="T698" s="18" t="inlineStr">
        <is>
          <t>backend/certification-service/src/certificates/labor-oracle-integration.service.ts:501: position_location = DEPENDENCIA o SUCURSAL | backend/certification-service/src/certificates/labor-certificate-pdf.service.ts:886-904: significado según la fuente | backend/certification-service/src/certificates/certificates.service.ts:3099: etiqueta 'La ubicación del cargo'</t>
        </is>
      </c>
      <c r="U698" s="18" t="inlineStr"/>
      <c r="V698" s="19" t="inlineStr">
        <is>
          <t>Aprobada</t>
        </is>
      </c>
      <c r="W698" s="19" t="inlineStr"/>
      <c r="X698" s="19" t="inlineStr">
        <is>
          <t>Aldair González (aprobación en bloque)</t>
        </is>
      </c>
      <c r="Y698" s="20" t="n">
        <v>46321</v>
      </c>
      <c r="Z698" s="19" t="inlineStr">
        <is>
          <t>Nivel 3: verificada con el código de la aplicación.</t>
        </is>
      </c>
      <c r="AA698" s="18">
        <f>IF(OR(V698="Aprobada"),R698,IF(AND(OR(V698="Aprobada con ajuste",V698="Rechazada"),W698&lt;&gt;""),W698,""))</f>
        <v/>
      </c>
    </row>
    <row r="699">
      <c r="A699" s="18" t="inlineStr">
        <is>
          <t>C0698</t>
        </is>
      </c>
      <c r="B699" s="18" t="inlineStr">
        <is>
          <t>Certificaciones</t>
        </is>
      </c>
      <c r="C699" s="18" t="inlineStr">
        <is>
          <t>certification</t>
        </is>
      </c>
      <c r="D699" s="18" t="inlineStr">
        <is>
          <t>certificates</t>
        </is>
      </c>
      <c r="E699" s="18" t="n">
        <v>130</v>
      </c>
      <c r="F699" s="18" t="inlineStr">
        <is>
          <t>monthly_salary</t>
        </is>
      </c>
      <c r="G699" s="18" t="inlineStr">
        <is>
          <t>numeric(12,2)</t>
        </is>
      </c>
      <c r="H699" s="18" t="inlineStr">
        <is>
          <t>No</t>
        </is>
      </c>
      <c r="I699" s="18" t="inlineStr"/>
      <c r="J699" s="18" t="inlineStr"/>
      <c r="K699" s="18" t="inlineStr"/>
      <c r="L699" s="18" t="inlineStr">
        <is>
          <t>No</t>
        </is>
      </c>
      <c r="M699" s="18" t="inlineStr">
        <is>
          <t>No</t>
        </is>
      </c>
      <c r="N699" s="18" t="inlineStr"/>
      <c r="O699" s="18" t="inlineStr"/>
      <c r="P699" s="18" t="inlineStr">
        <is>
          <t>Mapeada en certification-service/src/certificates/certificate.entity.ts:41 (Certificate.monthly_salary)</t>
        </is>
      </c>
      <c r="Q699" s="18" t="inlineStr">
        <is>
          <t>Código fuente (verificado)</t>
        </is>
      </c>
      <c r="R699" s="18" t="inlineStr">
        <is>
          <t>Asignación básica mensual del empleado incluida en el certificado (SUELDO_BASICO en Oracle), en pesos; el certificado la imprime redondeada a pesos enteros.</t>
        </is>
      </c>
      <c r="S699" s="18" t="inlineStr">
        <is>
          <t>Alta</t>
        </is>
      </c>
      <c r="T699" s="18" t="inlineStr">
        <is>
          <t>backend/certification-service/src/certificates/labor-oracle-integration.service.ts:502: monthly_salary = SUELDO_BASICO | backend/certification-service/src/certificates/template-config.service.ts:59: texto 'asignación salarial de [SALARIO] ... pesos m/cte' | backend/certification-service/src/certificates/certificates.service.ts:2486-2487: el certificado imprime pesos enteros</t>
        </is>
      </c>
      <c r="U699" s="18" t="inlineStr"/>
      <c r="V699" s="19" t="inlineStr">
        <is>
          <t>Aprobada</t>
        </is>
      </c>
      <c r="W699" s="19" t="inlineStr"/>
      <c r="X699" s="19" t="inlineStr">
        <is>
          <t>Aldair González (aprobación en bloque)</t>
        </is>
      </c>
      <c r="Y699" s="20" t="n">
        <v>46321</v>
      </c>
      <c r="Z699" s="19" t="inlineStr">
        <is>
          <t>Nivel 3: verificada con el código de la aplicación.</t>
        </is>
      </c>
      <c r="AA699" s="18">
        <f>IF(OR(V699="Aprobada"),R699,IF(AND(OR(V699="Aprobada con ajuste",V699="Rechazada"),W699&lt;&gt;""),W699,""))</f>
        <v/>
      </c>
    </row>
    <row r="700">
      <c r="A700" s="18" t="inlineStr">
        <is>
          <t>C0699</t>
        </is>
      </c>
      <c r="B700" s="18" t="inlineStr">
        <is>
          <t>Certificaciones</t>
        </is>
      </c>
      <c r="C700" s="18" t="inlineStr">
        <is>
          <t>certification</t>
        </is>
      </c>
      <c r="D700" s="18" t="inlineStr">
        <is>
          <t>certificates</t>
        </is>
      </c>
      <c r="E700" s="18" t="n">
        <v>130</v>
      </c>
      <c r="F700" s="18" t="inlineStr">
        <is>
          <t>salary_text</t>
        </is>
      </c>
      <c r="G700" s="18" t="inlineStr">
        <is>
          <t>character varying(255)</t>
        </is>
      </c>
      <c r="H700" s="18" t="inlineStr">
        <is>
          <t>Sí</t>
        </is>
      </c>
      <c r="I700" s="18" t="inlineStr"/>
      <c r="J700" s="18" t="inlineStr"/>
      <c r="K700" s="18" t="inlineStr"/>
      <c r="L700" s="18" t="inlineStr">
        <is>
          <t>No</t>
        </is>
      </c>
      <c r="M700" s="18" t="inlineStr">
        <is>
          <t>No</t>
        </is>
      </c>
      <c r="N700" s="18" t="inlineStr"/>
      <c r="O700" s="18" t="inlineStr"/>
      <c r="P700" s="18" t="inlineStr">
        <is>
          <t>Mapeada en certification-service/src/certificates/certificate.entity.ts:65 (Certificate.salary_text)</t>
        </is>
      </c>
      <c r="Q700" s="18" t="inlineStr">
        <is>
          <t>Código fuente (verificado)</t>
        </is>
      </c>
      <c r="R700" s="18" t="inlineStr">
        <is>
          <t>Valor del salario mensual escrito en letras, tal como aparece en el certificado.</t>
        </is>
      </c>
      <c r="S700" s="18" t="inlineStr">
        <is>
          <t>Alta</t>
        </is>
      </c>
      <c r="T700" s="18" t="inlineStr">
        <is>
          <t>backend/certification-service/src/certificates/certificates.service.ts:2480: etiqueta 'Salario en letras' | backend/certification-service/src/certificates/certificates.service.ts:5046: se copia de la solicitud</t>
        </is>
      </c>
      <c r="U700" s="18" t="inlineStr"/>
      <c r="V700" s="19" t="inlineStr">
        <is>
          <t>Aprobada</t>
        </is>
      </c>
      <c r="W700" s="19" t="inlineStr"/>
      <c r="X700" s="19" t="inlineStr">
        <is>
          <t>Aldair González (aprobación en bloque)</t>
        </is>
      </c>
      <c r="Y700" s="20" t="n">
        <v>46321</v>
      </c>
      <c r="Z700" s="19" t="inlineStr">
        <is>
          <t>Nivel 3: verificada con el código de la aplicación.</t>
        </is>
      </c>
      <c r="AA700" s="18">
        <f>IF(OR(V700="Aprobada"),R700,IF(AND(OR(V700="Aprobada con ajuste",V700="Rechazada"),W700&lt;&gt;""),W700,""))</f>
        <v/>
      </c>
    </row>
    <row r="701">
      <c r="A701" s="18" t="inlineStr">
        <is>
          <t>C0700</t>
        </is>
      </c>
      <c r="B701" s="18" t="inlineStr">
        <is>
          <t>Certificaciones</t>
        </is>
      </c>
      <c r="C701" s="18" t="inlineStr">
        <is>
          <t>certification</t>
        </is>
      </c>
      <c r="D701" s="18" t="inlineStr">
        <is>
          <t>certificates</t>
        </is>
      </c>
      <c r="E701" s="18" t="n">
        <v>130</v>
      </c>
      <c r="F701" s="18" t="inlineStr">
        <is>
          <t>department</t>
        </is>
      </c>
      <c r="G701" s="18" t="inlineStr">
        <is>
          <t>character varying(255)</t>
        </is>
      </c>
      <c r="H701" s="18" t="inlineStr">
        <is>
          <t>Sí</t>
        </is>
      </c>
      <c r="I701" s="18" t="inlineStr"/>
      <c r="J701" s="18" t="inlineStr"/>
      <c r="K701" s="18" t="inlineStr"/>
      <c r="L701" s="18" t="inlineStr">
        <is>
          <t>No</t>
        </is>
      </c>
      <c r="M701" s="18" t="inlineStr">
        <is>
          <t>No</t>
        </is>
      </c>
      <c r="N701" s="18" t="inlineStr"/>
      <c r="O701" s="18" t="inlineStr"/>
      <c r="P701" s="18" t="inlineStr">
        <is>
          <t>Mapeada en certification-service/src/certificates/certificate.entity.ts:68 (Certificate.department)</t>
        </is>
      </c>
      <c r="Q701" s="18" t="inlineStr">
        <is>
          <t>Código fuente (verificado)</t>
        </is>
      </c>
      <c r="R701" s="18" t="inlineStr">
        <is>
          <t>Dependencia organizacional del empleado registrada en el certificado; en las filas sincronizadas desde Oracle guarda el centro de costo o, si falta, la dependencia.</t>
        </is>
      </c>
      <c r="S701" s="18" t="inlineStr">
        <is>
          <t>Alta</t>
        </is>
      </c>
      <c r="T701" s="18" t="inlineStr">
        <is>
          <t>backend/certification-service/src/certificates/labor-oracle-integration.service.ts:514: department = CENTROCOSTO o DEPENDENCIA | backend/certification-service/src/certificates/labor-certificate-pdf.service.ts:888-899: department guarda el CENTROCOSTO en filas de Oracle | backend/certification-service/src/certificates/certificates.service.ts:3100: etiqueta 'La dependencia'</t>
        </is>
      </c>
      <c r="U701" s="18" t="inlineStr"/>
      <c r="V701" s="19" t="inlineStr">
        <is>
          <t>Aprobada</t>
        </is>
      </c>
      <c r="W701" s="19" t="inlineStr"/>
      <c r="X701" s="19" t="inlineStr">
        <is>
          <t>Aldair González (aprobación en bloque)</t>
        </is>
      </c>
      <c r="Y701" s="20" t="n">
        <v>46321</v>
      </c>
      <c r="Z701" s="19" t="inlineStr">
        <is>
          <t>Nivel 3: verificada con el código de la aplicación.</t>
        </is>
      </c>
      <c r="AA701" s="18">
        <f>IF(OR(V701="Aprobada"),R701,IF(AND(OR(V701="Aprobada con ajuste",V701="Rechazada"),W701&lt;&gt;""),W701,""))</f>
        <v/>
      </c>
    </row>
    <row r="702">
      <c r="A702" s="18" t="inlineStr">
        <is>
          <t>C0701</t>
        </is>
      </c>
      <c r="B702" s="18" t="inlineStr">
        <is>
          <t>Certificaciones</t>
        </is>
      </c>
      <c r="C702" s="18" t="inlineStr">
        <is>
          <t>certification</t>
        </is>
      </c>
      <c r="D702" s="18" t="inlineStr">
        <is>
          <t>certificates</t>
        </is>
      </c>
      <c r="E702" s="18" t="n">
        <v>130</v>
      </c>
      <c r="F702" s="18" t="inlineStr">
        <is>
          <t>campus</t>
        </is>
      </c>
      <c r="G702" s="18" t="inlineStr">
        <is>
          <t>character varying(100)</t>
        </is>
      </c>
      <c r="H702" s="18" t="inlineStr">
        <is>
          <t>Sí</t>
        </is>
      </c>
      <c r="I702" s="18" t="inlineStr"/>
      <c r="J702" s="18" t="inlineStr"/>
      <c r="K702" s="18" t="inlineStr"/>
      <c r="L702" s="18" t="inlineStr">
        <is>
          <t>No</t>
        </is>
      </c>
      <c r="M702" s="18" t="inlineStr">
        <is>
          <t>No</t>
        </is>
      </c>
      <c r="N702" s="18" t="inlineStr"/>
      <c r="O702" s="18" t="inlineStr"/>
      <c r="P702" s="18" t="inlineStr">
        <is>
          <t>Mapeada en certification-service/src/certificates/certificate.entity.ts:84 (Certificate.campus)</t>
        </is>
      </c>
      <c r="Q702" s="18" t="inlineStr">
        <is>
          <t>Código fuente (verificado)</t>
        </is>
      </c>
      <c r="R702" s="18" t="inlineStr">
        <is>
          <t>Sede del empleado según el certificado, copiada de la solicitud; se guarda como texto.</t>
        </is>
      </c>
      <c r="S702" s="18" t="inlineStr">
        <is>
          <t>Media</t>
        </is>
      </c>
      <c r="T702" s="18" t="inlineStr">
        <is>
          <t>backend/certification-service/src/certificates/certificates.service.ts:5051: campus = request.campus | backend/certification-service/src/certificates/certificates.service.ts:2477: etiqueta 'Sede' | backend/certification-service/src/certificates/certificates.service.ts:3104: corrección como texto de hasta 100 caracteres; sin catálogo en el código</t>
        </is>
      </c>
      <c r="U702" s="18" t="inlineStr">
        <is>
          <t>¿De dónde se diligencia campus en la solicitud (la integración con Oracle no lo llena) y se toma de un catálogo de sedes o es texto libre?</t>
        </is>
      </c>
      <c r="V702" s="19" t="inlineStr">
        <is>
          <t>Aprobada</t>
        </is>
      </c>
      <c r="W702" s="19" t="inlineStr"/>
      <c r="X702" s="19" t="inlineStr">
        <is>
          <t>Aldair González (validación del responsable de BD)</t>
        </is>
      </c>
      <c r="Y702" s="20" t="n">
        <v>46321</v>
      </c>
      <c r="Z702" s="19" t="inlineStr">
        <is>
          <t>Nivel 3: validada por decisión del responsable de la base de datos. Pregunta registrada para desarrollo: ¿De dónde se diligencia campus en la solicitud (la integración con Oracle no lo llena) y se toma de un catálogo de sedes o es texto libre?</t>
        </is>
      </c>
      <c r="AA702" s="18">
        <f>IF(OR(V702="Aprobada"),R702,IF(AND(OR(V702="Aprobada con ajuste",V702="Rechazada"),W702&lt;&gt;""),W702,""))</f>
        <v/>
      </c>
    </row>
    <row r="703">
      <c r="A703" s="18" t="inlineStr">
        <is>
          <t>C0702</t>
        </is>
      </c>
      <c r="B703" s="18" t="inlineStr">
        <is>
          <t>Certificaciones</t>
        </is>
      </c>
      <c r="C703" s="18" t="inlineStr">
        <is>
          <t>certification</t>
        </is>
      </c>
      <c r="D703" s="18" t="inlineStr">
        <is>
          <t>certificates</t>
        </is>
      </c>
      <c r="E703" s="18" t="n">
        <v>130</v>
      </c>
      <c r="F703" s="18" t="inlineStr">
        <is>
          <t>issue_date</t>
        </is>
      </c>
      <c r="G703" s="18" t="inlineStr">
        <is>
          <t>date</t>
        </is>
      </c>
      <c r="H703" s="18" t="inlineStr">
        <is>
          <t>No</t>
        </is>
      </c>
      <c r="I703" s="18" t="inlineStr"/>
      <c r="J703" s="18" t="inlineStr"/>
      <c r="K703" s="18" t="inlineStr"/>
      <c r="L703" s="18" t="inlineStr">
        <is>
          <t>No</t>
        </is>
      </c>
      <c r="M703" s="18" t="inlineStr">
        <is>
          <t>No</t>
        </is>
      </c>
      <c r="N703" s="18" t="inlineStr"/>
      <c r="O703" s="18" t="inlineStr"/>
      <c r="P703" s="18" t="inlineStr">
        <is>
          <t>db/init/old/005_schema_certification.sql:104: Certificate dates Date when the certificate is issued</t>
        </is>
      </c>
      <c r="Q703" s="18" t="inlineStr">
        <is>
          <t>Código fuente</t>
        </is>
      </c>
      <c r="R703" s="18" t="inlineStr">
        <is>
          <t>Fecha de expedición del certificado.</t>
        </is>
      </c>
      <c r="S703" s="18" t="inlineStr">
        <is>
          <t>Alta</t>
        </is>
      </c>
      <c r="T703" s="18" t="inlineStr">
        <is>
          <t>código: db/init/old/005_schema_certification.sql:104</t>
        </is>
      </c>
      <c r="U703" s="18" t="inlineStr"/>
      <c r="V703" s="19" t="inlineStr">
        <is>
          <t>Aprobada</t>
        </is>
      </c>
      <c r="W703" s="19" t="inlineStr"/>
      <c r="X703" s="19" t="inlineStr">
        <is>
          <t>Aldair González (aprobación en bloque)</t>
        </is>
      </c>
      <c r="Y703" s="20" t="n">
        <v>46321</v>
      </c>
      <c r="Z703" s="19" t="inlineStr">
        <is>
          <t>Nivel 1: propuesta del comentario del desarrollador o de confianza alta, o regla de fecha/responsable/motivo.</t>
        </is>
      </c>
      <c r="AA703" s="18">
        <f>IF(OR(V703="Aprobada"),R703,IF(AND(OR(V703="Aprobada con ajuste",V703="Rechazada"),W703&lt;&gt;""),W703,""))</f>
        <v/>
      </c>
    </row>
    <row r="704">
      <c r="A704" s="18" t="inlineStr">
        <is>
          <t>C0703</t>
        </is>
      </c>
      <c r="B704" s="18" t="inlineStr">
        <is>
          <t>Certificaciones</t>
        </is>
      </c>
      <c r="C704" s="18" t="inlineStr">
        <is>
          <t>certification</t>
        </is>
      </c>
      <c r="D704" s="18" t="inlineStr">
        <is>
          <t>certificates</t>
        </is>
      </c>
      <c r="E704" s="18" t="n">
        <v>130</v>
      </c>
      <c r="F704" s="18" t="inlineStr">
        <is>
          <t>issuance_timestamp</t>
        </is>
      </c>
      <c r="G704" s="18" t="inlineStr">
        <is>
          <t>timestamp without time zone</t>
        </is>
      </c>
      <c r="H704" s="18" t="inlineStr">
        <is>
          <t>No</t>
        </is>
      </c>
      <c r="I704" s="18" t="inlineStr"/>
      <c r="J704" s="18" t="inlineStr"/>
      <c r="K704" s="18" t="inlineStr"/>
      <c r="L704" s="18" t="inlineStr">
        <is>
          <t>No</t>
        </is>
      </c>
      <c r="M704" s="18" t="inlineStr">
        <is>
          <t>No</t>
        </is>
      </c>
      <c r="N704" s="18" t="inlineStr"/>
      <c r="O704" s="18" t="inlineStr"/>
      <c r="P704" s="18" t="inlineStr">
        <is>
          <t>Mapeada en certification-service/src/certificates/certificate.entity.ts:90 (Certificate.issuance_timestamp)</t>
        </is>
      </c>
      <c r="Q704" s="18" t="inlineStr">
        <is>
          <t>Propuesta semántica</t>
        </is>
      </c>
      <c r="R704" s="18" t="inlineStr">
        <is>
          <t>Fecha y hora en que se generó el certificado.</t>
        </is>
      </c>
      <c r="S704" s="18" t="inlineStr">
        <is>
          <t>Alta</t>
        </is>
      </c>
      <c r="T704" s="18" t="inlineStr">
        <is>
          <t>nombre + tipo + defecto now() ~</t>
        </is>
      </c>
      <c r="U704" s="18" t="inlineStr"/>
      <c r="V704" s="19" t="inlineStr">
        <is>
          <t>Aprobada</t>
        </is>
      </c>
      <c r="W704" s="19" t="inlineStr"/>
      <c r="X704" s="19" t="inlineStr">
        <is>
          <t>Aldair González (aprobación en bloque)</t>
        </is>
      </c>
      <c r="Y704" s="20" t="n">
        <v>46321</v>
      </c>
      <c r="Z704" s="19" t="inlineStr">
        <is>
          <t>Nivel 1: propuesta del comentario del desarrollador o de confianza alta, o regla de fecha/responsable/motivo.</t>
        </is>
      </c>
      <c r="AA704" s="18">
        <f>IF(OR(V704="Aprobada"),R704,IF(AND(OR(V704="Aprobada con ajuste",V704="Rechazada"),W704&lt;&gt;""),W704,""))</f>
        <v/>
      </c>
    </row>
    <row r="705">
      <c r="A705" s="18" t="inlineStr">
        <is>
          <t>C0704</t>
        </is>
      </c>
      <c r="B705" s="18" t="inlineStr">
        <is>
          <t>Certificaciones</t>
        </is>
      </c>
      <c r="C705" s="18" t="inlineStr">
        <is>
          <t>certification</t>
        </is>
      </c>
      <c r="D705" s="18" t="inlineStr">
        <is>
          <t>certificates</t>
        </is>
      </c>
      <c r="E705" s="18" t="n">
        <v>130</v>
      </c>
      <c r="F705" s="18" t="inlineStr">
        <is>
          <t>signer_name</t>
        </is>
      </c>
      <c r="G705" s="18" t="inlineStr">
        <is>
          <t>character varying(255)</t>
        </is>
      </c>
      <c r="H705" s="18" t="inlineStr">
        <is>
          <t>Sí</t>
        </is>
      </c>
      <c r="I705" s="18" t="inlineStr"/>
      <c r="J705" s="18" t="inlineStr"/>
      <c r="K705" s="18" t="inlineStr"/>
      <c r="L705" s="18" t="inlineStr">
        <is>
          <t>No</t>
        </is>
      </c>
      <c r="M705" s="18" t="inlineStr">
        <is>
          <t>No</t>
        </is>
      </c>
      <c r="N705" s="18" t="inlineStr"/>
      <c r="O705" s="18" t="inlineStr"/>
      <c r="P705" s="18" t="inlineStr">
        <is>
          <t>db/init/old/005_schema_certification.sql:109: Certificate signer ALBA LUCÍA MARÍN ZULUAGA</t>
        </is>
      </c>
      <c r="Q705" s="18" t="inlineStr">
        <is>
          <t>Código fuente</t>
        </is>
      </c>
      <c r="R705" s="18" t="inlineStr">
        <is>
          <t>Nombre del firmante del certificado.</t>
        </is>
      </c>
      <c r="S705" s="18" t="inlineStr">
        <is>
          <t>Alta</t>
        </is>
      </c>
      <c r="T705" s="18" t="inlineStr">
        <is>
          <t>código: db/init/old/005_schema_certification.sql:109</t>
        </is>
      </c>
      <c r="U705" s="18" t="inlineStr"/>
      <c r="V705" s="19" t="inlineStr">
        <is>
          <t>Aprobada</t>
        </is>
      </c>
      <c r="W705" s="19" t="inlineStr"/>
      <c r="X705" s="19" t="inlineStr">
        <is>
          <t>Aldair González (aprobación en bloque)</t>
        </is>
      </c>
      <c r="Y705" s="20" t="n">
        <v>46321</v>
      </c>
      <c r="Z705" s="19" t="inlineStr">
        <is>
          <t>Nivel 1: propuesta del comentario del desarrollador o de confianza alta, o regla de fecha/responsable/motivo.</t>
        </is>
      </c>
      <c r="AA705" s="18">
        <f>IF(OR(V705="Aprobada"),R705,IF(AND(OR(V705="Aprobada con ajuste",V705="Rechazada"),W705&lt;&gt;""),W705,""))</f>
        <v/>
      </c>
    </row>
    <row r="706">
      <c r="A706" s="18" t="inlineStr">
        <is>
          <t>C0705</t>
        </is>
      </c>
      <c r="B706" s="18" t="inlineStr">
        <is>
          <t>Certificaciones</t>
        </is>
      </c>
      <c r="C706" s="18" t="inlineStr">
        <is>
          <t>certification</t>
        </is>
      </c>
      <c r="D706" s="18" t="inlineStr">
        <is>
          <t>certificates</t>
        </is>
      </c>
      <c r="E706" s="18" t="n">
        <v>130</v>
      </c>
      <c r="F706" s="18" t="inlineStr">
        <is>
          <t>signer_position</t>
        </is>
      </c>
      <c r="G706" s="18" t="inlineStr">
        <is>
          <t>character varying(255)</t>
        </is>
      </c>
      <c r="H706" s="18" t="inlineStr">
        <is>
          <t>Sí</t>
        </is>
      </c>
      <c r="I706" s="18" t="inlineStr"/>
      <c r="J706" s="18" t="inlineStr"/>
      <c r="K706" s="18" t="inlineStr"/>
      <c r="L706" s="18" t="inlineStr">
        <is>
          <t>No</t>
        </is>
      </c>
      <c r="M706" s="18" t="inlineStr">
        <is>
          <t>No</t>
        </is>
      </c>
      <c r="N706" s="18" t="inlineStr"/>
      <c r="O706" s="18" t="inlineStr"/>
      <c r="P706" s="18" t="inlineStr">
        <is>
          <t>db/init/old/005_schema_certification.sql:110: TECHNICAL DIRECTOR OF HUMAN TALENT</t>
        </is>
      </c>
      <c r="Q706" s="18" t="inlineStr">
        <is>
          <t>Código fuente</t>
        </is>
      </c>
      <c r="R706" s="18" t="inlineStr">
        <is>
          <t>Cargo del firmante del certificado (por ejemplo, Director Técnico de Talento Humano).</t>
        </is>
      </c>
      <c r="S706" s="18" t="inlineStr">
        <is>
          <t>Alta</t>
        </is>
      </c>
      <c r="T706" s="18" t="inlineStr">
        <is>
          <t>código: db/init/old/005_schema_certification.sql:110</t>
        </is>
      </c>
      <c r="U706" s="18" t="inlineStr"/>
      <c r="V706" s="19" t="inlineStr">
        <is>
          <t>Aprobada</t>
        </is>
      </c>
      <c r="W706" s="19" t="inlineStr"/>
      <c r="X706" s="19" t="inlineStr">
        <is>
          <t>Aldair González (aprobación en bloque)</t>
        </is>
      </c>
      <c r="Y706" s="20" t="n">
        <v>46321</v>
      </c>
      <c r="Z706" s="19" t="inlineStr">
        <is>
          <t>Nivel 1: propuesta del comentario del desarrollador o de confianza alta, o regla de fecha/responsable/motivo.</t>
        </is>
      </c>
      <c r="AA706" s="18">
        <f>IF(OR(V706="Aprobada"),R706,IF(AND(OR(V706="Aprobada con ajuste",V706="Rechazada"),W706&lt;&gt;""),W706,""))</f>
        <v/>
      </c>
    </row>
    <row r="707">
      <c r="A707" s="18" t="inlineStr">
        <is>
          <t>C0706</t>
        </is>
      </c>
      <c r="B707" s="18" t="inlineStr">
        <is>
          <t>Certificaciones</t>
        </is>
      </c>
      <c r="C707" s="18" t="inlineStr">
        <is>
          <t>certification</t>
        </is>
      </c>
      <c r="D707" s="18" t="inlineStr">
        <is>
          <t>certificates</t>
        </is>
      </c>
      <c r="E707" s="18" t="n">
        <v>130</v>
      </c>
      <c r="F707" s="18" t="inlineStr">
        <is>
          <t>signer_department</t>
        </is>
      </c>
      <c r="G707" s="18" t="inlineStr">
        <is>
          <t>character varying(255)</t>
        </is>
      </c>
      <c r="H707" s="18" t="inlineStr">
        <is>
          <t>Sí</t>
        </is>
      </c>
      <c r="I707" s="18" t="inlineStr"/>
      <c r="J707" s="18" t="inlineStr"/>
      <c r="K707" s="18" t="inlineStr"/>
      <c r="L707" s="18" t="inlineStr">
        <is>
          <t>No</t>
        </is>
      </c>
      <c r="M707" s="18" t="inlineStr">
        <is>
          <t>No</t>
        </is>
      </c>
      <c r="N707" s="18" t="inlineStr"/>
      <c r="O707" s="18" t="inlineStr"/>
      <c r="P707" s="18" t="inlineStr">
        <is>
          <t>Mapeada en certification-service/src/certificates/certificate.entity.ts:99 (Certificate.signer_department)</t>
        </is>
      </c>
      <c r="Q707" s="18" t="inlineStr">
        <is>
          <t>Propuesta semántica</t>
        </is>
      </c>
      <c r="R707" s="18" t="inlineStr">
        <is>
          <t>Dependencia del firmante del certificado, copiada al momento de la expedición.</t>
        </is>
      </c>
      <c r="S707" s="18" t="inlineStr">
        <is>
          <t>Alta</t>
        </is>
      </c>
      <c r="T707" s="18" t="inlineStr">
        <is>
          <t>nombre + columnas vecinas (signer_name, signer_position) ~</t>
        </is>
      </c>
      <c r="U707" s="18" t="inlineStr"/>
      <c r="V707" s="19" t="inlineStr">
        <is>
          <t>Aprobada</t>
        </is>
      </c>
      <c r="W707" s="19" t="inlineStr"/>
      <c r="X707" s="19" t="inlineStr">
        <is>
          <t>Aldair González (aprobación en bloque)</t>
        </is>
      </c>
      <c r="Y707" s="20" t="n">
        <v>46321</v>
      </c>
      <c r="Z707" s="19" t="inlineStr">
        <is>
          <t>Nivel 1: propuesta del comentario del desarrollador o de confianza alta, o regla de fecha/responsable/motivo.</t>
        </is>
      </c>
      <c r="AA707" s="18">
        <f>IF(OR(V707="Aprobada"),R707,IF(AND(OR(V707="Aprobada con ajuste",V707="Rechazada"),W707&lt;&gt;""),W707,""))</f>
        <v/>
      </c>
    </row>
    <row r="708">
      <c r="A708" s="18" t="inlineStr">
        <is>
          <t>C0707</t>
        </is>
      </c>
      <c r="B708" s="18" t="inlineStr">
        <is>
          <t>Certificaciones</t>
        </is>
      </c>
      <c r="C708" s="18" t="inlineStr">
        <is>
          <t>certification</t>
        </is>
      </c>
      <c r="D708" s="18" t="inlineStr">
        <is>
          <t>certificates</t>
        </is>
      </c>
      <c r="E708" s="18" t="n">
        <v>130</v>
      </c>
      <c r="F708" s="18" t="inlineStr">
        <is>
          <t>pdf_url</t>
        </is>
      </c>
      <c r="G708" s="18" t="inlineStr">
        <is>
          <t>character varying(500)</t>
        </is>
      </c>
      <c r="H708" s="18" t="inlineStr">
        <is>
          <t>Sí</t>
        </is>
      </c>
      <c r="I708" s="18" t="inlineStr"/>
      <c r="J708" s="18" t="inlineStr"/>
      <c r="K708" s="18" t="inlineStr"/>
      <c r="L708" s="18" t="inlineStr">
        <is>
          <t>No</t>
        </is>
      </c>
      <c r="M708" s="18" t="inlineStr">
        <is>
          <t>No</t>
        </is>
      </c>
      <c r="N708" s="18" t="inlineStr"/>
      <c r="O708" s="18" t="inlineStr"/>
      <c r="P708" s="18" t="inlineStr">
        <is>
          <t>db/init/old/005_schema_certification.sql:114: PDF file Path or URL of the generated PDF</t>
        </is>
      </c>
      <c r="Q708" s="18" t="inlineStr">
        <is>
          <t>Código fuente</t>
        </is>
      </c>
      <c r="R708" s="18" t="inlineStr">
        <is>
          <t>Ruta o URL del archivo PDF generado del certificado.</t>
        </is>
      </c>
      <c r="S708" s="18" t="inlineStr">
        <is>
          <t>Alta</t>
        </is>
      </c>
      <c r="T708" s="18" t="inlineStr">
        <is>
          <t>código: db/init/old/005_schema_certification.sql:114</t>
        </is>
      </c>
      <c r="U708" s="18" t="inlineStr"/>
      <c r="V708" s="19" t="inlineStr">
        <is>
          <t>Aprobada</t>
        </is>
      </c>
      <c r="W708" s="19" t="inlineStr"/>
      <c r="X708" s="19" t="inlineStr">
        <is>
          <t>Aldair González (aprobación en bloque)</t>
        </is>
      </c>
      <c r="Y708" s="20" t="n">
        <v>46321</v>
      </c>
      <c r="Z708" s="19" t="inlineStr">
        <is>
          <t>Nivel 1: propuesta del comentario del desarrollador o de confianza alta, o regla de fecha/responsable/motivo.</t>
        </is>
      </c>
      <c r="AA708" s="18">
        <f>IF(OR(V708="Aprobada"),R708,IF(AND(OR(V708="Aprobada con ajuste",V708="Rechazada"),W708&lt;&gt;""),W708,""))</f>
        <v/>
      </c>
    </row>
    <row r="709">
      <c r="A709" s="18" t="inlineStr">
        <is>
          <t>C0708</t>
        </is>
      </c>
      <c r="B709" s="18" t="inlineStr">
        <is>
          <t>Certificaciones</t>
        </is>
      </c>
      <c r="C709" s="18" t="inlineStr">
        <is>
          <t>certification</t>
        </is>
      </c>
      <c r="D709" s="18" t="inlineStr">
        <is>
          <t>certificates</t>
        </is>
      </c>
      <c r="E709" s="18" t="n">
        <v>130</v>
      </c>
      <c r="F709" s="18" t="inlineStr">
        <is>
          <t>status</t>
        </is>
      </c>
      <c r="G709" s="18" t="inlineStr">
        <is>
          <t>character varying(50)</t>
        </is>
      </c>
      <c r="H709" s="18" t="inlineStr">
        <is>
          <t>No</t>
        </is>
      </c>
      <c r="I709" s="18" t="inlineStr"/>
      <c r="J709" s="18" t="inlineStr"/>
      <c r="K709" s="18" t="inlineStr"/>
      <c r="L709" s="18" t="inlineStr">
        <is>
          <t>No</t>
        </is>
      </c>
      <c r="M709" s="18" t="inlineStr">
        <is>
          <t>No</t>
        </is>
      </c>
      <c r="N709" s="18" t="inlineStr"/>
      <c r="O709" s="18" t="inlineStr">
        <is>
          <t>idx_certificates_status</t>
        </is>
      </c>
      <c r="P709" s="18" t="inlineStr">
        <is>
          <t>db/init/old/005_schema_certification.sql:118: Status VALID, REVOKED, EXPIRED</t>
        </is>
      </c>
      <c r="Q709" s="18" t="inlineStr">
        <is>
          <t>Código fuente</t>
        </is>
      </c>
      <c r="R709" s="18" t="inlineStr">
        <is>
          <t>Estado del certificado laboral. Valores previstos: VALID, REVOKED, EXPIRED; por defecto VALID.</t>
        </is>
      </c>
      <c r="S709" s="18" t="inlineStr">
        <is>
          <t>Alta</t>
        </is>
      </c>
      <c r="T709" s="18" t="inlineStr">
        <is>
          <t>código: db/init/old/005_schema_certification.sql:118</t>
        </is>
      </c>
      <c r="U709" s="18" t="inlineStr"/>
      <c r="V709" s="19" t="inlineStr">
        <is>
          <t>Aprobada</t>
        </is>
      </c>
      <c r="W709" s="19" t="inlineStr"/>
      <c r="X709" s="19" t="inlineStr">
        <is>
          <t>Aldair González (aprobación en bloque)</t>
        </is>
      </c>
      <c r="Y709" s="20" t="n">
        <v>46321</v>
      </c>
      <c r="Z709" s="19" t="inlineStr">
        <is>
          <t>Nivel 1: propuesta del comentario del desarrollador o de confianza alta, o regla de fecha/responsable/motivo.</t>
        </is>
      </c>
      <c r="AA709" s="18">
        <f>IF(OR(V709="Aprobada"),R709,IF(AND(OR(V709="Aprobada con ajuste",V709="Rechazada"),W709&lt;&gt;""),W709,""))</f>
        <v/>
      </c>
    </row>
    <row r="710">
      <c r="A710" s="18" t="inlineStr">
        <is>
          <t>C0709</t>
        </is>
      </c>
      <c r="B710" s="18" t="inlineStr">
        <is>
          <t>Certificaciones</t>
        </is>
      </c>
      <c r="C710" s="18" t="inlineStr">
        <is>
          <t>certification</t>
        </is>
      </c>
      <c r="D710" s="18" t="inlineStr">
        <is>
          <t>certificates</t>
        </is>
      </c>
      <c r="E710" s="18" t="n">
        <v>130</v>
      </c>
      <c r="F710" s="18" t="inlineStr">
        <is>
          <t>validation_count</t>
        </is>
      </c>
      <c r="G710" s="18" t="inlineStr">
        <is>
          <t>integer</t>
        </is>
      </c>
      <c r="H710" s="18" t="inlineStr">
        <is>
          <t>Sí</t>
        </is>
      </c>
      <c r="I710" s="18" t="inlineStr"/>
      <c r="J710" s="18" t="inlineStr"/>
      <c r="K710" s="18" t="inlineStr"/>
      <c r="L710" s="18" t="inlineStr">
        <is>
          <t>No</t>
        </is>
      </c>
      <c r="M710" s="18" t="inlineStr">
        <is>
          <t>No</t>
        </is>
      </c>
      <c r="N710" s="18" t="inlineStr"/>
      <c r="O710" s="18" t="inlineStr"/>
      <c r="P710" s="18" t="inlineStr">
        <is>
          <t>db/init/old/005_schema_certification.sql:124: Validations</t>
        </is>
      </c>
      <c r="Q710" s="18" t="inlineStr">
        <is>
          <t>Código fuente</t>
        </is>
      </c>
      <c r="R710" s="18" t="inlineStr">
        <is>
          <t>Número de veces que se ha validado el certificado; por defecto 0.</t>
        </is>
      </c>
      <c r="S710" s="18" t="inlineStr">
        <is>
          <t>Alta</t>
        </is>
      </c>
      <c r="T710" s="18" t="inlineStr">
        <is>
          <t>nombre + tipo + defecto + tabla certificate_validations</t>
        </is>
      </c>
      <c r="U710" s="18" t="inlineStr"/>
      <c r="V710" s="19" t="inlineStr">
        <is>
          <t>Aprobada</t>
        </is>
      </c>
      <c r="W710" s="19" t="inlineStr"/>
      <c r="X710" s="19" t="inlineStr">
        <is>
          <t>Aldair González (aprobación en bloque)</t>
        </is>
      </c>
      <c r="Y710" s="20" t="n">
        <v>46321</v>
      </c>
      <c r="Z710" s="19" t="inlineStr">
        <is>
          <t>Nivel 1: propuesta del comentario del desarrollador o de confianza alta, o regla de fecha/responsable/motivo.</t>
        </is>
      </c>
      <c r="AA710" s="18">
        <f>IF(OR(V710="Aprobada"),R710,IF(AND(OR(V710="Aprobada con ajuste",V710="Rechazada"),W710&lt;&gt;""),W710,""))</f>
        <v/>
      </c>
    </row>
    <row r="711">
      <c r="A711" s="18" t="inlineStr">
        <is>
          <t>C0710</t>
        </is>
      </c>
      <c r="B711" s="18" t="inlineStr">
        <is>
          <t>Certificaciones</t>
        </is>
      </c>
      <c r="C711" s="18" t="inlineStr">
        <is>
          <t>certification</t>
        </is>
      </c>
      <c r="D711" s="18" t="inlineStr">
        <is>
          <t>certificates</t>
        </is>
      </c>
      <c r="E711" s="18" t="n">
        <v>130</v>
      </c>
      <c r="F711" s="18" t="inlineStr">
        <is>
          <t>technical_bonus</t>
        </is>
      </c>
      <c r="G711" s="18" t="inlineStr">
        <is>
          <t>numeric(12,2)</t>
        </is>
      </c>
      <c r="H711" s="18" t="inlineStr">
        <is>
          <t>Sí</t>
        </is>
      </c>
      <c r="I711" s="18" t="inlineStr"/>
      <c r="J711" s="18" t="inlineStr"/>
      <c r="K711" s="18" t="inlineStr"/>
      <c r="L711" s="18" t="inlineStr">
        <is>
          <t>No</t>
        </is>
      </c>
      <c r="M711" s="18" t="inlineStr">
        <is>
          <t>No</t>
        </is>
      </c>
      <c r="N711" s="18" t="inlineStr"/>
      <c r="O711" s="18" t="inlineStr"/>
      <c r="P711" s="18" t="inlineStr">
        <is>
          <t>Mapeada en certification-service/src/certificates/certificate.entity.ts:44 (Certificate.technical_bonus)</t>
        </is>
      </c>
      <c r="Q711" s="18" t="inlineStr">
        <is>
          <t>Código fuente (verificado)</t>
        </is>
      </c>
      <c r="R711" s="18" t="inlineStr">
        <is>
          <t>Valor en pesos de la prima técnica o de coordinación incluida en el certificado: suma, para cada asignación activa de technical_bonus_assignments del empleado, del salario mensual por su porcentaje. El detalle por categoría queda en technical_bonuses; 0 si no aplica.</t>
        </is>
      </c>
      <c r="S711" s="18" t="inlineStr">
        <is>
          <t>Alta</t>
        </is>
      </c>
      <c r="T711" s="18" t="inlineStr">
        <is>
          <t>backend/certification-service/src/certificates/certificates.service.ts:958-970: resolveTechnicalBonusAmount (salario y porcentaje) | backend/certification-service/src/certificates/certificates.service.ts:1086-1096: value = suma de los valores | backend/certification-service/src/certificates/certificates.service.ts:5039-5041: technical_bonus y technical_bonuses del certificado | backend/certification-service/src/certificates/certificates.service.ts:2482: etiqueta 'Prima técnica o de coordinación'</t>
        </is>
      </c>
      <c r="U711" s="18" t="inlineStr"/>
      <c r="V711" s="19" t="inlineStr">
        <is>
          <t>Aprobada</t>
        </is>
      </c>
      <c r="W711" s="19" t="inlineStr"/>
      <c r="X711" s="19" t="inlineStr">
        <is>
          <t>Aldair González (aprobación en bloque)</t>
        </is>
      </c>
      <c r="Y711" s="20" t="n">
        <v>46321</v>
      </c>
      <c r="Z711" s="19" t="inlineStr">
        <is>
          <t>Nivel 3: verificada con el código de la aplicación.</t>
        </is>
      </c>
      <c r="AA711" s="18">
        <f>IF(OR(V711="Aprobada"),R711,IF(AND(OR(V711="Aprobada con ajuste",V711="Rechazada"),W711&lt;&gt;""),W711,""))</f>
        <v/>
      </c>
    </row>
    <row r="712">
      <c r="A712" s="18" t="inlineStr">
        <is>
          <t>C0711</t>
        </is>
      </c>
      <c r="B712" s="18" t="inlineStr">
        <is>
          <t>Certificaciones</t>
        </is>
      </c>
      <c r="C712" s="18" t="inlineStr">
        <is>
          <t>certification</t>
        </is>
      </c>
      <c r="D712" s="18" t="inlineStr">
        <is>
          <t>certificates</t>
        </is>
      </c>
      <c r="E712" s="18" t="n">
        <v>130</v>
      </c>
      <c r="F712" s="18" t="inlineStr">
        <is>
          <t>last_corrected_at</t>
        </is>
      </c>
      <c r="G712" s="18" t="inlineStr">
        <is>
          <t>timestamp without time zone</t>
        </is>
      </c>
      <c r="H712" s="18" t="inlineStr">
        <is>
          <t>Sí</t>
        </is>
      </c>
      <c r="I712" s="18" t="inlineStr"/>
      <c r="J712" s="18" t="inlineStr"/>
      <c r="K712" s="18" t="inlineStr"/>
      <c r="L712" s="18" t="inlineStr">
        <is>
          <t>No</t>
        </is>
      </c>
      <c r="M712" s="18" t="inlineStr">
        <is>
          <t>No</t>
        </is>
      </c>
      <c r="N712" s="18" t="inlineStr"/>
      <c r="O712" s="18" t="inlineStr"/>
      <c r="P712" s="18" t="inlineStr">
        <is>
          <t>Mapeada en certification-service/src/certificates/certificate.entity.ts:120 (Certificate.last_corrected_at)</t>
        </is>
      </c>
      <c r="Q712" s="18" t="inlineStr">
        <is>
          <t>Propuesta semántica</t>
        </is>
      </c>
      <c r="R712" s="18" t="inlineStr">
        <is>
          <t>Fecha y hora de la última corrección del certificado.</t>
        </is>
      </c>
      <c r="S712" s="18" t="inlineStr">
        <is>
          <t>Alta</t>
        </is>
      </c>
      <c r="T712" s="18" t="inlineStr">
        <is>
          <t>nombre + tipo + columnas vecinas (is_corrected) ~</t>
        </is>
      </c>
      <c r="U712" s="18" t="inlineStr"/>
      <c r="V712" s="19" t="inlineStr">
        <is>
          <t>Aprobada</t>
        </is>
      </c>
      <c r="W712" s="19" t="inlineStr"/>
      <c r="X712" s="19" t="inlineStr">
        <is>
          <t>Aldair González (aprobación en bloque)</t>
        </is>
      </c>
      <c r="Y712" s="20" t="n">
        <v>46321</v>
      </c>
      <c r="Z712" s="19" t="inlineStr">
        <is>
          <t>Nivel 1: propuesta del comentario del desarrollador o de confianza alta, o regla de fecha/responsable/motivo.</t>
        </is>
      </c>
      <c r="AA712" s="18">
        <f>IF(OR(V712="Aprobada"),R712,IF(AND(OR(V712="Aprobada con ajuste",V712="Rechazada"),W712&lt;&gt;""),W712,""))</f>
        <v/>
      </c>
    </row>
    <row r="713">
      <c r="A713" s="18" t="inlineStr">
        <is>
          <t>C0712</t>
        </is>
      </c>
      <c r="B713" s="18" t="inlineStr">
        <is>
          <t>Certificaciones</t>
        </is>
      </c>
      <c r="C713" s="18" t="inlineStr">
        <is>
          <t>certification</t>
        </is>
      </c>
      <c r="D713" s="18" t="inlineStr">
        <is>
          <t>labor_function_profiles</t>
        </is>
      </c>
      <c r="E713" s="18" t="n">
        <v>19</v>
      </c>
      <c r="F713" s="18" t="inlineStr">
        <is>
          <t>position_code</t>
        </is>
      </c>
      <c r="G713" s="18" t="inlineStr">
        <is>
          <t>character varying(20)</t>
        </is>
      </c>
      <c r="H713" s="18" t="inlineStr">
        <is>
          <t>Sí</t>
        </is>
      </c>
      <c r="I713" s="18" t="inlineStr"/>
      <c r="J713" s="18" t="inlineStr"/>
      <c r="K713" s="18" t="inlineStr"/>
      <c r="L713" s="18" t="inlineStr">
        <is>
          <t>No</t>
        </is>
      </c>
      <c r="M713" s="18" t="inlineStr">
        <is>
          <t>No</t>
        </is>
      </c>
      <c r="N713" s="18" t="inlineStr"/>
      <c r="O713" s="18" t="inlineStr">
        <is>
          <t>idx_labor_function_profiles_position_grade</t>
        </is>
      </c>
      <c r="P713" s="18" t="inlineStr">
        <is>
          <t>certification-service/src/certificates/labor-function-profile.entity.ts:24: Legacy context is retained for recovery, never used to associate functions.</t>
        </is>
      </c>
      <c r="Q713" s="18" t="inlineStr">
        <is>
          <t>Código fuente (verificado)</t>
        </is>
      </c>
      <c r="R713" s="18" t="inlineStr">
        <is>
          <t>Código del cargo del perfil de funciones, conservado como contexto heredado para recuperación; no se usa para asociar funciones, que se asignan por id_number (match_key document|&lt;número&gt;).</t>
        </is>
      </c>
      <c r="S713" s="18" t="inlineStr">
        <is>
          <t>Alta</t>
        </is>
      </c>
      <c r="T713" s="18" t="inlineStr">
        <is>
          <t>backend/certification-service/src/certificates/labor-function-profile.entity.ts:24: comentario 'never used to associate functions' | backend/certification-service/src/certificates/labor-functions.service.ts:136-137: match_key = document|idNumber | backend/certification-service/src/certificates/labor-functions.service.ts:353-354: asignación por documento; la matriz es informativa | db/migrations/664_labor_functions_by_identification.sql:9: position_code admite nulos</t>
        </is>
      </c>
      <c r="U713" s="18" t="inlineStr"/>
      <c r="V713" s="19" t="inlineStr">
        <is>
          <t>Aprobada</t>
        </is>
      </c>
      <c r="W713" s="19" t="inlineStr"/>
      <c r="X713" s="19" t="inlineStr">
        <is>
          <t>Aldair González (aprobación en bloque)</t>
        </is>
      </c>
      <c r="Y713" s="20" t="n">
        <v>46321</v>
      </c>
      <c r="Z713" s="19" t="inlineStr">
        <is>
          <t>Nivel 3: verificada con el código de la aplicación.</t>
        </is>
      </c>
      <c r="AA713" s="18">
        <f>IF(OR(V713="Aprobada"),R713,IF(AND(OR(V713="Aprobada con ajuste",V713="Rechazada"),W713&lt;&gt;""),W713,""))</f>
        <v/>
      </c>
    </row>
    <row r="714">
      <c r="A714" s="18" t="inlineStr">
        <is>
          <t>C0713</t>
        </is>
      </c>
      <c r="B714" s="18" t="inlineStr">
        <is>
          <t>Certificaciones</t>
        </is>
      </c>
      <c r="C714" s="18" t="inlineStr">
        <is>
          <t>certification</t>
        </is>
      </c>
      <c r="D714" s="18" t="inlineStr">
        <is>
          <t>labor_function_profiles</t>
        </is>
      </c>
      <c r="E714" s="18" t="n">
        <v>19</v>
      </c>
      <c r="F714" s="18" t="inlineStr">
        <is>
          <t>grade_code</t>
        </is>
      </c>
      <c r="G714" s="18" t="inlineStr">
        <is>
          <t>character varying(20)</t>
        </is>
      </c>
      <c r="H714" s="18" t="inlineStr">
        <is>
          <t>Sí</t>
        </is>
      </c>
      <c r="I714" s="18" t="inlineStr"/>
      <c r="J714" s="18" t="inlineStr"/>
      <c r="K714" s="18" t="inlineStr"/>
      <c r="L714" s="18" t="inlineStr">
        <is>
          <t>No</t>
        </is>
      </c>
      <c r="M714" s="18" t="inlineStr">
        <is>
          <t>No</t>
        </is>
      </c>
      <c r="N714" s="18" t="inlineStr"/>
      <c r="O714" s="18" t="inlineStr">
        <is>
          <t>idx_labor_function_profiles_position_grade</t>
        </is>
      </c>
      <c r="P714" s="18" t="inlineStr">
        <is>
          <t>Mapeada en certification-service/src/certificates/labor-function-profile.entity.ts:27 (LaborFunctionProfile.grade_code)</t>
        </is>
      </c>
      <c r="Q714" s="18" t="inlineStr">
        <is>
          <t>Propuesta semántica</t>
        </is>
      </c>
      <c r="R714" s="18" t="inlineStr">
        <is>
          <t>Código del grado del cargo en el perfil de funciones, según la Matriz de Funciones ESAP.</t>
        </is>
      </c>
      <c r="S714" s="18" t="inlineStr">
        <is>
          <t>Alta</t>
        </is>
      </c>
      <c r="T714" s="18" t="inlineStr">
        <is>
          <t>nombre + descripción de la tabla + índice con position_code ~</t>
        </is>
      </c>
      <c r="U714" s="18" t="inlineStr"/>
      <c r="V714" s="19" t="inlineStr">
        <is>
          <t>Aprobada</t>
        </is>
      </c>
      <c r="W714" s="19" t="inlineStr"/>
      <c r="X714" s="19" t="inlineStr">
        <is>
          <t>Aldair González (aprobación en bloque)</t>
        </is>
      </c>
      <c r="Y714" s="20" t="n">
        <v>46321</v>
      </c>
      <c r="Z714" s="19" t="inlineStr">
        <is>
          <t>Nivel 1: propuesta del comentario del desarrollador o de confianza alta, o regla de fecha/responsable/motivo.</t>
        </is>
      </c>
      <c r="AA714" s="18">
        <f>IF(OR(V714="Aprobada"),R714,IF(AND(OR(V714="Aprobada con ajuste",V714="Rechazada"),W714&lt;&gt;""),W714,""))</f>
        <v/>
      </c>
    </row>
    <row r="715">
      <c r="A715" s="18" t="inlineStr">
        <is>
          <t>C0714</t>
        </is>
      </c>
      <c r="B715" s="18" t="inlineStr">
        <is>
          <t>Certificaciones</t>
        </is>
      </c>
      <c r="C715" s="18" t="inlineStr">
        <is>
          <t>certification</t>
        </is>
      </c>
      <c r="D715" s="18" t="inlineStr">
        <is>
          <t>labor_function_profiles</t>
        </is>
      </c>
      <c r="E715" s="18" t="n">
        <v>19</v>
      </c>
      <c r="F715" s="18" t="inlineStr">
        <is>
          <t>hierarchical_level</t>
        </is>
      </c>
      <c r="G715" s="18" t="inlineStr">
        <is>
          <t>character varying(100)</t>
        </is>
      </c>
      <c r="H715" s="18" t="inlineStr">
        <is>
          <t>Sí</t>
        </is>
      </c>
      <c r="I715" s="18" t="inlineStr"/>
      <c r="J715" s="18" t="inlineStr"/>
      <c r="K715" s="18" t="inlineStr"/>
      <c r="L715" s="18" t="inlineStr">
        <is>
          <t>No</t>
        </is>
      </c>
      <c r="M715" s="18" t="inlineStr">
        <is>
          <t>No</t>
        </is>
      </c>
      <c r="N715" s="18" t="inlineStr"/>
      <c r="O715" s="18" t="inlineStr"/>
      <c r="P715" s="18" t="inlineStr">
        <is>
          <t>Mapeada en certification-service/src/certificates/labor-function-profile.entity.ts:36 (LaborFunctionProfile.hierarchical_level)</t>
        </is>
      </c>
      <c r="Q715" s="18" t="inlineStr">
        <is>
          <t>Código fuente (verificado)</t>
        </is>
      </c>
      <c r="R715" s="18" t="inlineStr">
        <is>
          <t>Nivel jerárquico del cargo del perfil de funciones.</t>
        </is>
      </c>
      <c r="S715" s="18" t="inlineStr">
        <is>
          <t>Media</t>
        </is>
      </c>
      <c r="T715" s="18" t="inlineStr">
        <is>
          <t>backend/certification-service/src/certificates/labor-function-profile.entity.ts:36: varchar(100) sin enumeración | backend/certification-service/src/certificates/labor-oracle-integration.service.ts:455-457: en solicitudes se toma de NIVEL_JERARQUICO de Oracle</t>
        </is>
      </c>
      <c r="U715" s="18" t="inlineStr">
        <is>
          <t>¿hierarchical_level usa los niveles jerárquicos del Decreto 785 de 2005 u otra clasificación? El código no declara valores.</t>
        </is>
      </c>
      <c r="V715" s="19" t="inlineStr">
        <is>
          <t>Aprobada</t>
        </is>
      </c>
      <c r="W715" s="19" t="inlineStr"/>
      <c r="X715" s="19" t="inlineStr">
        <is>
          <t>Aldair González (validación del responsable de BD)</t>
        </is>
      </c>
      <c r="Y715" s="20" t="n">
        <v>46321</v>
      </c>
      <c r="Z715" s="19" t="inlineStr">
        <is>
          <t>Nivel 3: validada por decisión del responsable de la base de datos. Pregunta registrada para desarrollo: ¿hierarchical_level usa los niveles jerárquicos del Decreto 785 de 2005 u otra clasificación? El código no declara valores.</t>
        </is>
      </c>
      <c r="AA715" s="18">
        <f>IF(OR(V715="Aprobada"),R715,IF(AND(OR(V715="Aprobada con ajuste",V715="Rechazada"),W715&lt;&gt;""),W715,""))</f>
        <v/>
      </c>
    </row>
    <row r="716">
      <c r="A716" s="18" t="inlineStr">
        <is>
          <t>C0715</t>
        </is>
      </c>
      <c r="B716" s="18" t="inlineStr">
        <is>
          <t>Certificaciones</t>
        </is>
      </c>
      <c r="C716" s="18" t="inlineStr">
        <is>
          <t>certification</t>
        </is>
      </c>
      <c r="D716" s="18" t="inlineStr">
        <is>
          <t>labor_function_profiles</t>
        </is>
      </c>
      <c r="E716" s="18" t="n">
        <v>19</v>
      </c>
      <c r="F716" s="18" t="inlineStr">
        <is>
          <t>position_name</t>
        </is>
      </c>
      <c r="G716" s="18" t="inlineStr">
        <is>
          <t>character varying(255)</t>
        </is>
      </c>
      <c r="H716" s="18" t="inlineStr">
        <is>
          <t>Sí</t>
        </is>
      </c>
      <c r="I716" s="18" t="inlineStr"/>
      <c r="J716" s="18" t="inlineStr"/>
      <c r="K716" s="18" t="inlineStr"/>
      <c r="L716" s="18" t="inlineStr">
        <is>
          <t>No</t>
        </is>
      </c>
      <c r="M716" s="18" t="inlineStr">
        <is>
          <t>No</t>
        </is>
      </c>
      <c r="N716" s="18" t="inlineStr"/>
      <c r="O716" s="18" t="inlineStr"/>
      <c r="P716" s="18" t="inlineStr">
        <is>
          <t>Mapeada en certification-service/src/certificates/labor-function-profile.entity.ts:39 (LaborFunctionProfile.position_name)</t>
        </is>
      </c>
      <c r="Q716" s="18" t="inlineStr">
        <is>
          <t>Propuesta semántica</t>
        </is>
      </c>
      <c r="R716" s="18" t="inlineStr">
        <is>
          <t>Denominación del cargo del perfil de funciones.</t>
        </is>
      </c>
      <c r="S716" s="18" t="inlineStr">
        <is>
          <t>Alta</t>
        </is>
      </c>
      <c r="T716" s="18" t="inlineStr">
        <is>
          <t>nombre + tipo + descripción de la tabla ~</t>
        </is>
      </c>
      <c r="U716" s="18" t="inlineStr"/>
      <c r="V716" s="19" t="inlineStr">
        <is>
          <t>Aprobada</t>
        </is>
      </c>
      <c r="W716" s="19" t="inlineStr"/>
      <c r="X716" s="19" t="inlineStr">
        <is>
          <t>Aldair González (aprobación en bloque)</t>
        </is>
      </c>
      <c r="Y716" s="20" t="n">
        <v>46321</v>
      </c>
      <c r="Z716" s="19" t="inlineStr">
        <is>
          <t>Nivel 1: propuesta del comentario del desarrollador o de confianza alta, o regla de fecha/responsable/motivo.</t>
        </is>
      </c>
      <c r="AA716" s="18">
        <f>IF(OR(V716="Aprobada"),R716,IF(AND(OR(V716="Aprobada con ajuste",V716="Rechazada"),W716&lt;&gt;""),W716,""))</f>
        <v/>
      </c>
    </row>
    <row r="717">
      <c r="A717" s="18" t="inlineStr">
        <is>
          <t>C0716</t>
        </is>
      </c>
      <c r="B717" s="18" t="inlineStr">
        <is>
          <t>Certificaciones</t>
        </is>
      </c>
      <c r="C717" s="18" t="inlineStr">
        <is>
          <t>certification</t>
        </is>
      </c>
      <c r="D717" s="18" t="inlineStr">
        <is>
          <t>labor_function_profiles</t>
        </is>
      </c>
      <c r="E717" s="18" t="n">
        <v>19</v>
      </c>
      <c r="F717" s="18" t="inlineStr">
        <is>
          <t>department_name</t>
        </is>
      </c>
      <c r="G717" s="18" t="inlineStr">
        <is>
          <t>character varying(500)</t>
        </is>
      </c>
      <c r="H717" s="18" t="inlineStr">
        <is>
          <t>Sí</t>
        </is>
      </c>
      <c r="I717" s="18" t="inlineStr"/>
      <c r="J717" s="18" t="inlineStr"/>
      <c r="K717" s="18" t="inlineStr"/>
      <c r="L717" s="18" t="inlineStr">
        <is>
          <t>No</t>
        </is>
      </c>
      <c r="M717" s="18" t="inlineStr">
        <is>
          <t>No</t>
        </is>
      </c>
      <c r="N717" s="18" t="inlineStr"/>
      <c r="O717" s="18" t="inlineStr"/>
      <c r="P717" s="18" t="inlineStr">
        <is>
          <t>Mapeada en certification-service/src/certificates/labor-function-profile.entity.ts:42 (LaborFunctionProfile.department_name)</t>
        </is>
      </c>
      <c r="Q717" s="18" t="inlineStr">
        <is>
          <t>Propuesta semántica</t>
        </is>
      </c>
      <c r="R717" s="18" t="inlineStr">
        <is>
          <t>Nombre de la dependencia a la que pertenece el cargo, según la Matriz de Funciones ESAP.</t>
        </is>
      </c>
      <c r="S717" s="18" t="inlineStr">
        <is>
          <t>Alta</t>
        </is>
      </c>
      <c r="T717" s="18" t="inlineStr">
        <is>
          <t>nombre + tipo + descripción de la tabla ~</t>
        </is>
      </c>
      <c r="U717" s="18" t="inlineStr"/>
      <c r="V717" s="19" t="inlineStr">
        <is>
          <t>Aprobada</t>
        </is>
      </c>
      <c r="W717" s="19" t="inlineStr"/>
      <c r="X717" s="19" t="inlineStr">
        <is>
          <t>Aldair González (aprobación en bloque)</t>
        </is>
      </c>
      <c r="Y717" s="20" t="n">
        <v>46321</v>
      </c>
      <c r="Z717" s="19" t="inlineStr">
        <is>
          <t>Nivel 1: propuesta del comentario del desarrollador o de confianza alta, o regla de fecha/responsable/motivo.</t>
        </is>
      </c>
      <c r="AA717" s="18">
        <f>IF(OR(V717="Aprobada"),R717,IF(AND(OR(V717="Aprobada con ajuste",V717="Rechazada"),W717&lt;&gt;""),W717,""))</f>
        <v/>
      </c>
    </row>
    <row r="718">
      <c r="A718" s="18" t="inlineStr">
        <is>
          <t>C0717</t>
        </is>
      </c>
      <c r="B718" s="18" t="inlineStr">
        <is>
          <t>Certificaciones</t>
        </is>
      </c>
      <c r="C718" s="18" t="inlineStr">
        <is>
          <t>certification</t>
        </is>
      </c>
      <c r="D718" s="18" t="inlineStr">
        <is>
          <t>labor_function_profiles</t>
        </is>
      </c>
      <c r="E718" s="18" t="n">
        <v>19</v>
      </c>
      <c r="F718" s="18" t="inlineStr">
        <is>
          <t>department_key</t>
        </is>
      </c>
      <c r="G718" s="18" t="inlineStr">
        <is>
          <t>character varying(500)</t>
        </is>
      </c>
      <c r="H718" s="18" t="inlineStr">
        <is>
          <t>Sí</t>
        </is>
      </c>
      <c r="I718" s="18" t="inlineStr"/>
      <c r="J718" s="18" t="inlineStr"/>
      <c r="K718" s="18" t="inlineStr"/>
      <c r="L718" s="18" t="inlineStr">
        <is>
          <t>No</t>
        </is>
      </c>
      <c r="M718" s="18" t="inlineStr">
        <is>
          <t>No</t>
        </is>
      </c>
      <c r="N718" s="18" t="inlineStr"/>
      <c r="O718" s="18" t="inlineStr"/>
      <c r="P718" s="18" t="inlineStr">
        <is>
          <t>Mapeada en certification-service/src/certificates/labor-function-profile.entity.ts:45 (LaborFunctionProfile.department_key)</t>
        </is>
      </c>
      <c r="Q718" s="18" t="inlineStr">
        <is>
          <t>Código fuente (verificado)</t>
        </is>
      </c>
      <c r="R718" s="18" t="inlineStr">
        <is>
          <t>Clave del nombre de la dependencia del perfil de funciones, conservada del catálogo inicial.</t>
        </is>
      </c>
      <c r="S718" s="18" t="inlineStr">
        <is>
          <t>Media</t>
        </is>
      </c>
      <c r="T718" s="18" t="inlineStr">
        <is>
          <t>backend/certification-service/src/certificates/labor-function-profile.entity.ts:45: varchar(500) | db/migrations/406_create_labor_functions_catalog.sql:17: columna creada sin regla | el servicio actual no la escribe ni la lee</t>
        </is>
      </c>
      <c r="U718" s="18" t="inlineStr">
        <is>
          <t>¿Cómo se calculó department_key y sigue en uso? El código actual no la escribe ni la lee.</t>
        </is>
      </c>
      <c r="V718" s="19" t="inlineStr">
        <is>
          <t>Aprobada</t>
        </is>
      </c>
      <c r="W718" s="19" t="inlineStr"/>
      <c r="X718" s="19" t="inlineStr">
        <is>
          <t>Aldair González (validación del responsable de BD)</t>
        </is>
      </c>
      <c r="Y718" s="20" t="n">
        <v>46321</v>
      </c>
      <c r="Z718" s="19" t="inlineStr">
        <is>
          <t>Nivel 3: validada por decisión del responsable de la base de datos. Pregunta registrada para desarrollo: ¿Cómo se calculó department_key y sigue en uso? El código actual no la escribe ni la lee.</t>
        </is>
      </c>
      <c r="AA718" s="18">
        <f>IF(OR(V718="Aprobada"),R718,IF(AND(OR(V718="Aprobada con ajuste",V718="Rechazada"),W718&lt;&gt;""),W718,""))</f>
        <v/>
      </c>
    </row>
    <row r="719">
      <c r="A719" s="18" t="inlineStr">
        <is>
          <t>C0718</t>
        </is>
      </c>
      <c r="B719" s="18" t="inlineStr">
        <is>
          <t>Certificaciones</t>
        </is>
      </c>
      <c r="C719" s="18" t="inlineStr">
        <is>
          <t>certification</t>
        </is>
      </c>
      <c r="D719" s="18" t="inlineStr">
        <is>
          <t>labor_function_profiles</t>
        </is>
      </c>
      <c r="E719" s="18" t="n">
        <v>19</v>
      </c>
      <c r="F719" s="18" t="inlineStr">
        <is>
          <t>internal_group</t>
        </is>
      </c>
      <c r="G719" s="18" t="inlineStr">
        <is>
          <t>character varying(500)</t>
        </is>
      </c>
      <c r="H719" s="18" t="inlineStr">
        <is>
          <t>Sí</t>
        </is>
      </c>
      <c r="I719" s="18" t="inlineStr"/>
      <c r="J719" s="18" t="inlineStr"/>
      <c r="K719" s="18" t="inlineStr"/>
      <c r="L719" s="18" t="inlineStr">
        <is>
          <t>No</t>
        </is>
      </c>
      <c r="M719" s="18" t="inlineStr">
        <is>
          <t>No</t>
        </is>
      </c>
      <c r="N719" s="18" t="inlineStr"/>
      <c r="O719" s="18" t="inlineStr"/>
      <c r="P719" s="18" t="inlineStr">
        <is>
          <t>Mapeada en certification-service/src/certificates/labor-function-profile.entity.ts:48 (LaborFunctionProfile.internal_group)</t>
        </is>
      </c>
      <c r="Q719" s="18" t="inlineStr">
        <is>
          <t>Propuesta semántica</t>
        </is>
      </c>
      <c r="R719" s="18" t="inlineStr">
        <is>
          <t>Nombre del grupo interno de trabajo al que pertenece el cargo.</t>
        </is>
      </c>
      <c r="S719" s="18" t="inlineStr">
        <is>
          <t>Alta</t>
        </is>
      </c>
      <c r="T719" s="18" t="inlineStr">
        <is>
          <t>nombre + tipo + descripción de la tabla ~</t>
        </is>
      </c>
      <c r="U719" s="18" t="inlineStr"/>
      <c r="V719" s="19" t="inlineStr">
        <is>
          <t>Aprobada</t>
        </is>
      </c>
      <c r="W719" s="19" t="inlineStr"/>
      <c r="X719" s="19" t="inlineStr">
        <is>
          <t>Aldair González (aprobación en bloque)</t>
        </is>
      </c>
      <c r="Y719" s="20" t="n">
        <v>46321</v>
      </c>
      <c r="Z719" s="19" t="inlineStr">
        <is>
          <t>Nivel 1: propuesta del comentario del desarrollador o de confianza alta, o regla de fecha/responsable/motivo.</t>
        </is>
      </c>
      <c r="AA719" s="18">
        <f>IF(OR(V719="Aprobada"),R719,IF(AND(OR(V719="Aprobada con ajuste",V719="Rechazada"),W719&lt;&gt;""),W719,""))</f>
        <v/>
      </c>
    </row>
    <row r="720">
      <c r="A720" s="18" t="inlineStr">
        <is>
          <t>C0719</t>
        </is>
      </c>
      <c r="B720" s="18" t="inlineStr">
        <is>
          <t>Certificaciones</t>
        </is>
      </c>
      <c r="C720" s="18" t="inlineStr">
        <is>
          <t>certification</t>
        </is>
      </c>
      <c r="D720" s="18" t="inlineStr">
        <is>
          <t>labor_function_profiles</t>
        </is>
      </c>
      <c r="E720" s="18" t="n">
        <v>19</v>
      </c>
      <c r="F720" s="18" t="inlineStr">
        <is>
          <t>internal_group_key</t>
        </is>
      </c>
      <c r="G720" s="18" t="inlineStr">
        <is>
          <t>character varying(500)</t>
        </is>
      </c>
      <c r="H720" s="18" t="inlineStr">
        <is>
          <t>Sí</t>
        </is>
      </c>
      <c r="I720" s="18" t="inlineStr"/>
      <c r="J720" s="18" t="inlineStr"/>
      <c r="K720" s="18" t="inlineStr"/>
      <c r="L720" s="18" t="inlineStr">
        <is>
          <t>No</t>
        </is>
      </c>
      <c r="M720" s="18" t="inlineStr">
        <is>
          <t>No</t>
        </is>
      </c>
      <c r="N720" s="18" t="inlineStr"/>
      <c r="O720" s="18" t="inlineStr"/>
      <c r="P720" s="18" t="inlineStr">
        <is>
          <t>Mapeada en certification-service/src/certificates/labor-function-profile.entity.ts:51 (LaborFunctionProfile.internal_group_key)</t>
        </is>
      </c>
      <c r="Q720" s="18" t="inlineStr">
        <is>
          <t>Código fuente (verificado)</t>
        </is>
      </c>
      <c r="R720" s="18" t="inlineStr">
        <is>
          <t>Clave del nombre del grupo interno de trabajo del perfil de funciones, conservada del catálogo inicial.</t>
        </is>
      </c>
      <c r="S720" s="18" t="inlineStr">
        <is>
          <t>Media</t>
        </is>
      </c>
      <c r="T720" s="18" t="inlineStr">
        <is>
          <t>backend/certification-service/src/certificates/labor-function-profile.entity.ts:51: varchar(500) | db/migrations/406_create_labor_functions_catalog.sql:19: columna creada sin regla | el servicio actual no la escribe ni la lee</t>
        </is>
      </c>
      <c r="U720" s="18" t="inlineStr">
        <is>
          <t>¿Cómo se calculó internal_group_key y sigue en uso? El código actual no la escribe ni la lee.</t>
        </is>
      </c>
      <c r="V720" s="19" t="inlineStr">
        <is>
          <t>Aprobada</t>
        </is>
      </c>
      <c r="W720" s="19" t="inlineStr"/>
      <c r="X720" s="19" t="inlineStr">
        <is>
          <t>Aldair González (validación del responsable de BD)</t>
        </is>
      </c>
      <c r="Y720" s="20" t="n">
        <v>46321</v>
      </c>
      <c r="Z720" s="19" t="inlineStr">
        <is>
          <t>Nivel 3: validada por decisión del responsable de la base de datos. Pregunta registrada para desarrollo: ¿Cómo se calculó internal_group_key y sigue en uso? El código actual no la escribe ni la lee.</t>
        </is>
      </c>
      <c r="AA720" s="18">
        <f>IF(OR(V720="Aprobada"),R720,IF(AND(OR(V720="Aprobada con ajuste",V720="Rechazada"),W720&lt;&gt;""),W720,""))</f>
        <v/>
      </c>
    </row>
    <row r="721">
      <c r="A721" s="18" t="inlineStr">
        <is>
          <t>C0720</t>
        </is>
      </c>
      <c r="B721" s="18" t="inlineStr">
        <is>
          <t>Certificaciones</t>
        </is>
      </c>
      <c r="C721" s="18" t="inlineStr">
        <is>
          <t>certification</t>
        </is>
      </c>
      <c r="D721" s="18" t="inlineStr">
        <is>
          <t>labor_function_profiles</t>
        </is>
      </c>
      <c r="E721" s="18" t="n">
        <v>19</v>
      </c>
      <c r="F721" s="18" t="inlineStr">
        <is>
          <t>cost_center</t>
        </is>
      </c>
      <c r="G721" s="18" t="inlineStr">
        <is>
          <t>character varying(255)</t>
        </is>
      </c>
      <c r="H721" s="18" t="inlineStr">
        <is>
          <t>Sí</t>
        </is>
      </c>
      <c r="I721" s="18" t="inlineStr"/>
      <c r="J721" s="18" t="inlineStr"/>
      <c r="K721" s="18" t="inlineStr"/>
      <c r="L721" s="18" t="inlineStr">
        <is>
          <t>No</t>
        </is>
      </c>
      <c r="M721" s="18" t="inlineStr">
        <is>
          <t>No</t>
        </is>
      </c>
      <c r="N721" s="18" t="inlineStr"/>
      <c r="O721" s="18" t="inlineStr"/>
      <c r="P721" s="18" t="inlineStr">
        <is>
          <t>Mapeada en certification-service/src/certificates/labor-function-profile.entity.ts:54 (LaborFunctionProfile.cost_center)</t>
        </is>
      </c>
      <c r="Q721" s="18" t="inlineStr">
        <is>
          <t>Código fuente (verificado)</t>
        </is>
      </c>
      <c r="R721" s="18" t="inlineStr">
        <is>
          <t>Centro de costo del cargo (CENTROCOSTO), que el código trata como el nombre heredado del grupo interno de trabajo y usa cuando internal_group está vacío.</t>
        </is>
      </c>
      <c r="S721" s="18" t="inlineStr">
        <is>
          <t>Alta</t>
        </is>
      </c>
      <c r="T721" s="18" t="inlineStr">
        <is>
          <t>backend/certification-service/src/certificates/labor-functions.utils.ts:49-50: 'CENTROCOSTO is the legacy source name for Grupo Interno de Trabajo' | backend/certification-service/src/certificates/labor-functions.service.ts:388-391: resolveLaborInternalGroup(internal_group, cost_center)</t>
        </is>
      </c>
      <c r="U721" s="18" t="inlineStr"/>
      <c r="V721" s="19" t="inlineStr">
        <is>
          <t>Aprobada</t>
        </is>
      </c>
      <c r="W721" s="19" t="inlineStr"/>
      <c r="X721" s="19" t="inlineStr">
        <is>
          <t>Aldair González (aprobación en bloque)</t>
        </is>
      </c>
      <c r="Y721" s="20" t="n">
        <v>46321</v>
      </c>
      <c r="Z721" s="19" t="inlineStr">
        <is>
          <t>Nivel 3: verificada con el código de la aplicación.</t>
        </is>
      </c>
      <c r="AA721" s="18">
        <f>IF(OR(V721="Aprobada"),R721,IF(AND(OR(V721="Aprobada con ajuste",V721="Rechazada"),W721&lt;&gt;""),W721,""))</f>
        <v/>
      </c>
    </row>
    <row r="722">
      <c r="A722" s="18" t="inlineStr">
        <is>
          <t>C0721</t>
        </is>
      </c>
      <c r="B722" s="18" t="inlineStr">
        <is>
          <t>Certificaciones</t>
        </is>
      </c>
      <c r="C722" s="18" t="inlineStr">
        <is>
          <t>certification</t>
        </is>
      </c>
      <c r="D722" s="18" t="inlineStr">
        <is>
          <t>labor_function_profiles</t>
        </is>
      </c>
      <c r="E722" s="18" t="n">
        <v>19</v>
      </c>
      <c r="F722" s="18" t="inlineStr">
        <is>
          <t>source_sheet</t>
        </is>
      </c>
      <c r="G722" s="18" t="inlineStr">
        <is>
          <t>character varying(255)</t>
        </is>
      </c>
      <c r="H722" s="18" t="inlineStr">
        <is>
          <t>Sí</t>
        </is>
      </c>
      <c r="I722" s="18" t="inlineStr"/>
      <c r="J722" s="18" t="inlineStr"/>
      <c r="K722" s="18" t="inlineStr"/>
      <c r="L722" s="18" t="inlineStr">
        <is>
          <t>No</t>
        </is>
      </c>
      <c r="M722" s="18" t="inlineStr">
        <is>
          <t>No</t>
        </is>
      </c>
      <c r="N722" s="18" t="inlineStr"/>
      <c r="O722" s="18" t="inlineStr"/>
      <c r="P722" s="18" t="inlineStr">
        <is>
          <t>Mapeada en certification-service/src/certificates/labor-function-profile.entity.ts:57 (LaborFunctionProfile.source_sheet)</t>
        </is>
      </c>
      <c r="Q722" s="18" t="inlineStr">
        <is>
          <t>Propuesta semántica</t>
        </is>
      </c>
      <c r="R722" s="18" t="inlineStr">
        <is>
          <t>Nombre de la hoja de la Matriz de Funciones ESAP de la que se importó el perfil.</t>
        </is>
      </c>
      <c r="S722" s="18" t="inlineStr">
        <is>
          <t>Alta</t>
        </is>
      </c>
      <c r="T722" s="18" t="inlineStr">
        <is>
          <t>nombre + descripción de la tabla (importación de la matriz) ~</t>
        </is>
      </c>
      <c r="U722" s="18" t="inlineStr"/>
      <c r="V722" s="19" t="inlineStr">
        <is>
          <t>Aprobada</t>
        </is>
      </c>
      <c r="W722" s="19" t="inlineStr"/>
      <c r="X722" s="19" t="inlineStr">
        <is>
          <t>Aldair González (aprobación en bloque)</t>
        </is>
      </c>
      <c r="Y722" s="20" t="n">
        <v>46321</v>
      </c>
      <c r="Z722" s="19" t="inlineStr">
        <is>
          <t>Nivel 1: propuesta del comentario del desarrollador o de confianza alta, o regla de fecha/responsable/motivo.</t>
        </is>
      </c>
      <c r="AA722" s="18">
        <f>IF(OR(V722="Aprobada"),R722,IF(AND(OR(V722="Aprobada con ajuste",V722="Rechazada"),W722&lt;&gt;""),W722,""))</f>
        <v/>
      </c>
    </row>
    <row r="723">
      <c r="A723" s="18" t="inlineStr">
        <is>
          <t>C0722</t>
        </is>
      </c>
      <c r="B723" s="18" t="inlineStr">
        <is>
          <t>Certificaciones</t>
        </is>
      </c>
      <c r="C723" s="18" t="inlineStr">
        <is>
          <t>certification</t>
        </is>
      </c>
      <c r="D723" s="18" t="inlineStr">
        <is>
          <t>labor_function_profiles</t>
        </is>
      </c>
      <c r="E723" s="18" t="n">
        <v>19</v>
      </c>
      <c r="F723" s="18" t="inlineStr">
        <is>
          <t>is_active</t>
        </is>
      </c>
      <c r="G723" s="18" t="inlineStr">
        <is>
          <t>boolean</t>
        </is>
      </c>
      <c r="H723" s="18" t="inlineStr">
        <is>
          <t>No</t>
        </is>
      </c>
      <c r="I723" s="18" t="inlineStr"/>
      <c r="J723" s="18" t="inlineStr"/>
      <c r="K723" s="18" t="inlineStr"/>
      <c r="L723" s="18" t="inlineStr">
        <is>
          <t>No</t>
        </is>
      </c>
      <c r="M723" s="18" t="inlineStr">
        <is>
          <t>No</t>
        </is>
      </c>
      <c r="N723" s="18" t="inlineStr"/>
      <c r="O723" s="18" t="inlineStr"/>
      <c r="P723" s="18" t="inlineStr">
        <is>
          <t>Mapeada en certification-service/src/certificates/labor-function-profile.entity.ts:60 (LaborFunctionProfile.is_active)</t>
        </is>
      </c>
      <c r="Q723" s="18" t="inlineStr">
        <is>
          <t>Regla estructural (redacción revisada)</t>
        </is>
      </c>
      <c r="R723" s="18" t="inlineStr">
        <is>
          <t>Indica si el perfil de funciones del cargo está activo.</t>
        </is>
      </c>
      <c r="S723" s="18" t="inlineStr">
        <is>
          <t>Alta</t>
        </is>
      </c>
      <c r="T723" s="18" t="inlineStr">
        <is>
          <t>Convención de nombre, redactada con el contexto de la tabla y el código.</t>
        </is>
      </c>
      <c r="U723" s="18" t="inlineStr"/>
      <c r="V723" s="19" t="inlineStr">
        <is>
          <t>Aprobada</t>
        </is>
      </c>
      <c r="W723" s="19" t="inlineStr"/>
      <c r="X723" s="19" t="inlineStr">
        <is>
          <t>Aldair González (aprobación en bloque)</t>
        </is>
      </c>
      <c r="Y723" s="20" t="n">
        <v>46321</v>
      </c>
      <c r="Z723" s="19" t="inlineStr">
        <is>
          <t>Nivel 2: regla estructural con redacción revisada.</t>
        </is>
      </c>
      <c r="AA723" s="18">
        <f>IF(OR(V723="Aprobada"),R723,IF(AND(OR(V723="Aprobada con ajuste",V723="Rechazada"),W723&lt;&gt;""),W723,""))</f>
        <v/>
      </c>
    </row>
    <row r="724">
      <c r="A724" s="18" t="inlineStr">
        <is>
          <t>C0723</t>
        </is>
      </c>
      <c r="B724" s="18" t="inlineStr">
        <is>
          <t>Certificaciones</t>
        </is>
      </c>
      <c r="C724" s="18" t="inlineStr">
        <is>
          <t>certification</t>
        </is>
      </c>
      <c r="D724" s="18" t="inlineStr">
        <is>
          <t>labor_function_profiles</t>
        </is>
      </c>
      <c r="E724" s="18" t="n">
        <v>19</v>
      </c>
      <c r="F724" s="18" t="inlineStr">
        <is>
          <t>id_number</t>
        </is>
      </c>
      <c r="G724" s="18" t="inlineStr">
        <is>
          <t>character varying(50)</t>
        </is>
      </c>
      <c r="H724" s="18" t="inlineStr">
        <is>
          <t>Sí</t>
        </is>
      </c>
      <c r="I724" s="18" t="inlineStr">
        <is>
          <t>CHECK</t>
        </is>
      </c>
      <c r="J724" s="18" t="inlineStr"/>
      <c r="K724" s="18" t="inlineStr"/>
      <c r="L724" s="18" t="inlineStr">
        <is>
          <t>No</t>
        </is>
      </c>
      <c r="M724" s="18" t="inlineStr">
        <is>
          <t>No</t>
        </is>
      </c>
      <c r="N724" s="18" t="inlineStr"/>
      <c r="O724" s="18" t="inlineStr">
        <is>
          <t>ux_labor_function_profiles_id_number</t>
        </is>
      </c>
      <c r="P724" s="18" t="inlineStr">
        <is>
          <t>Mapeada en certification-service/src/certificates/labor-function-profile.entity.ts:20 (LaborFunctionProfile.id_number)</t>
        </is>
      </c>
      <c r="Q724" s="18" t="inlineStr">
        <is>
          <t>Código fuente (verificado)</t>
        </is>
      </c>
      <c r="R724" s="18" t="inlineStr">
        <is>
          <t>Número de identificación del empleado al que se asignan las funciones del perfil; solo dígitos (hasta 50) y único. Queda vacío en los perfiles anteriores pendientes de asignación.</t>
        </is>
      </c>
      <c r="S724" s="18" t="inlineStr">
        <is>
          <t>Alta</t>
        </is>
      </c>
      <c r="T724" s="18" t="inlineStr">
        <is>
          <t>backend/certification-service/src/certificates/labor-function-profile.entity.ts:15-20: índice único | db/migrations/664_labor_functions_by_identification.sql:8-26: columna, índice único y CHECK ^[0-9]{1,50}$; registros anteriores quedan pendientes | backend/certification-service/src/certificates/labor-functions.service.ts:156-157: needs_assignment cuando id_number es nulo | backend/certification-service/src/certificates/labor-functions.service.ts:196-203: resolución de funciones por documento</t>
        </is>
      </c>
      <c r="U724" s="18" t="inlineStr"/>
      <c r="V724" s="19" t="inlineStr">
        <is>
          <t>Aprobada</t>
        </is>
      </c>
      <c r="W724" s="19" t="inlineStr"/>
      <c r="X724" s="19" t="inlineStr">
        <is>
          <t>Aldair González (aprobación en bloque)</t>
        </is>
      </c>
      <c r="Y724" s="20" t="n">
        <v>46321</v>
      </c>
      <c r="Z724" s="19" t="inlineStr">
        <is>
          <t>Nivel 3: verificada con el código de la aplicación.</t>
        </is>
      </c>
      <c r="AA724" s="18">
        <f>IF(OR(V724="Aprobada"),R724,IF(AND(OR(V724="Aprobada con ajuste",V724="Rechazada"),W724&lt;&gt;""),W724,""))</f>
        <v/>
      </c>
    </row>
    <row r="725">
      <c r="A725" s="18" t="inlineStr">
        <is>
          <t>C0724</t>
        </is>
      </c>
      <c r="B725" s="18" t="inlineStr">
        <is>
          <t>Certificaciones</t>
        </is>
      </c>
      <c r="C725" s="18" t="inlineStr">
        <is>
          <t>certification</t>
        </is>
      </c>
      <c r="D725" s="18" t="inlineStr">
        <is>
          <t>labor_functions</t>
        </is>
      </c>
      <c r="E725" s="18" t="n">
        <v>190</v>
      </c>
      <c r="F725" s="18" t="inlineStr">
        <is>
          <t>ordinal</t>
        </is>
      </c>
      <c r="G725" s="18" t="inlineStr">
        <is>
          <t>integer</t>
        </is>
      </c>
      <c r="H725" s="18" t="inlineStr">
        <is>
          <t>No</t>
        </is>
      </c>
      <c r="I725" s="18" t="inlineStr">
        <is>
          <t>CHECK</t>
        </is>
      </c>
      <c r="J725" s="18" t="inlineStr"/>
      <c r="K725" s="18" t="inlineStr"/>
      <c r="L725" s="18" t="inlineStr">
        <is>
          <t>No</t>
        </is>
      </c>
      <c r="M725" s="18" t="inlineStr">
        <is>
          <t>No</t>
        </is>
      </c>
      <c r="N725" s="18" t="inlineStr"/>
      <c r="O725" s="18" t="inlineStr">
        <is>
          <t>ux_labor_functions_profile_ordinal</t>
        </is>
      </c>
      <c r="P725" s="18" t="inlineStr">
        <is>
          <t>Mapeada en certification-service/src/certificates/labor-function.entity.ts:24 (LaborFunction.ordinal)</t>
        </is>
      </c>
      <c r="Q725" s="18" t="inlineStr">
        <is>
          <t>Propuesta semántica</t>
        </is>
      </c>
      <c r="R725" s="18" t="inlineStr">
        <is>
          <t>Número de orden de la función dentro del perfil del cargo; único por perfil.</t>
        </is>
      </c>
      <c r="S725" s="18" t="inlineStr">
        <is>
          <t>Alta</t>
        </is>
      </c>
      <c r="T725" s="18" t="inlineStr">
        <is>
          <t>nombre + índice único (profile_id, ordinal) + descripción de la tabla ~</t>
        </is>
      </c>
      <c r="U725" s="18" t="inlineStr"/>
      <c r="V725" s="19" t="inlineStr">
        <is>
          <t>Aprobada</t>
        </is>
      </c>
      <c r="W725" s="19" t="inlineStr"/>
      <c r="X725" s="19" t="inlineStr">
        <is>
          <t>Aldair González (aprobación en bloque)</t>
        </is>
      </c>
      <c r="Y725" s="20" t="n">
        <v>46321</v>
      </c>
      <c r="Z725" s="19" t="inlineStr">
        <is>
          <t>Nivel 1: propuesta del comentario del desarrollador o de confianza alta, o regla de fecha/responsable/motivo.</t>
        </is>
      </c>
      <c r="AA725" s="18">
        <f>IF(OR(V725="Aprobada"),R725,IF(AND(OR(V725="Aprobada con ajuste",V725="Rechazada"),W725&lt;&gt;""),W725,""))</f>
        <v/>
      </c>
    </row>
    <row r="726">
      <c r="A726" s="18" t="inlineStr">
        <is>
          <t>C0725</t>
        </is>
      </c>
      <c r="B726" s="18" t="inlineStr">
        <is>
          <t>Certificaciones</t>
        </is>
      </c>
      <c r="C726" s="18" t="inlineStr">
        <is>
          <t>certification</t>
        </is>
      </c>
      <c r="D726" s="18" t="inlineStr">
        <is>
          <t>labor_functions</t>
        </is>
      </c>
      <c r="E726" s="18" t="n">
        <v>190</v>
      </c>
      <c r="F726" s="18" t="inlineStr">
        <is>
          <t>description</t>
        </is>
      </c>
      <c r="G726" s="18" t="inlineStr">
        <is>
          <t>text</t>
        </is>
      </c>
      <c r="H726" s="18" t="inlineStr">
        <is>
          <t>No</t>
        </is>
      </c>
      <c r="I726" s="18" t="inlineStr">
        <is>
          <t>CHECK</t>
        </is>
      </c>
      <c r="J726" s="18" t="inlineStr"/>
      <c r="K726" s="18" t="inlineStr"/>
      <c r="L726" s="18" t="inlineStr">
        <is>
          <t>No</t>
        </is>
      </c>
      <c r="M726" s="18" t="inlineStr">
        <is>
          <t>No</t>
        </is>
      </c>
      <c r="N726" s="18" t="inlineStr"/>
      <c r="O726" s="18" t="inlineStr"/>
      <c r="P726" s="18" t="inlineStr">
        <is>
          <t>Mapeada en certification-service/src/certificates/labor-function.entity.ts:27 (LaborFunction.description)</t>
        </is>
      </c>
      <c r="Q726" s="18" t="inlineStr">
        <is>
          <t>Regla estructural (redacción revisada)</t>
        </is>
      </c>
      <c r="R726" s="18" t="inlineStr">
        <is>
          <t>Descripción de la función laboral del perfil del cargo.</t>
        </is>
      </c>
      <c r="S726" s="18" t="inlineStr">
        <is>
          <t>Alta</t>
        </is>
      </c>
      <c r="T726" s="18" t="inlineStr">
        <is>
          <t>Convención de nombre, redactada con el contexto de la tabla y el código.</t>
        </is>
      </c>
      <c r="U726" s="18" t="inlineStr"/>
      <c r="V726" s="19" t="inlineStr">
        <is>
          <t>Aprobada</t>
        </is>
      </c>
      <c r="W726" s="19" t="inlineStr"/>
      <c r="X726" s="19" t="inlineStr">
        <is>
          <t>Aldair González (aprobación en bloque)</t>
        </is>
      </c>
      <c r="Y726" s="20" t="n">
        <v>46321</v>
      </c>
      <c r="Z726" s="19" t="inlineStr">
        <is>
          <t>Nivel 2: regla estructural con redacción revisada.</t>
        </is>
      </c>
      <c r="AA726" s="18">
        <f>IF(OR(V726="Aprobada"),R726,IF(AND(OR(V726="Aprobada con ajuste",V726="Rechazada"),W726&lt;&gt;""),W726,""))</f>
        <v/>
      </c>
    </row>
    <row r="727">
      <c r="A727" s="18" t="inlineStr">
        <is>
          <t>C0726</t>
        </is>
      </c>
      <c r="B727" s="18" t="inlineStr">
        <is>
          <t>Certificaciones</t>
        </is>
      </c>
      <c r="C727" s="18" t="inlineStr">
        <is>
          <t>certification</t>
        </is>
      </c>
      <c r="D727" s="18" t="inlineStr">
        <is>
          <t>signers</t>
        </is>
      </c>
      <c r="E727" s="18" t="n">
        <v>1</v>
      </c>
      <c r="F727" s="18" t="inlineStr">
        <is>
          <t>full_name</t>
        </is>
      </c>
      <c r="G727" s="18" t="inlineStr">
        <is>
          <t>character varying(255)</t>
        </is>
      </c>
      <c r="H727" s="18" t="inlineStr">
        <is>
          <t>No</t>
        </is>
      </c>
      <c r="I727" s="18" t="inlineStr"/>
      <c r="J727" s="18" t="inlineStr"/>
      <c r="K727" s="18" t="inlineStr"/>
      <c r="L727" s="18" t="inlineStr">
        <is>
          <t>No</t>
        </is>
      </c>
      <c r="M727" s="18" t="inlineStr">
        <is>
          <t>No</t>
        </is>
      </c>
      <c r="N727" s="18" t="inlineStr"/>
      <c r="O727" s="18" t="inlineStr"/>
      <c r="P727" s="18" t="inlineStr">
        <is>
          <t>db/init/old/005_schema_certification.sql:185: Signer data</t>
        </is>
      </c>
      <c r="Q727" s="18" t="inlineStr">
        <is>
          <t>Código fuente</t>
        </is>
      </c>
      <c r="R727" s="18" t="inlineStr">
        <is>
          <t>Nombre completo del firmante autorizado de certificados laborales.</t>
        </is>
      </c>
      <c r="S727" s="18" t="inlineStr">
        <is>
          <t>Alta</t>
        </is>
      </c>
      <c r="T727" s="18" t="inlineStr">
        <is>
          <t>código: db/init/old/005_schema_certification.sql:185</t>
        </is>
      </c>
      <c r="U727" s="18" t="inlineStr"/>
      <c r="V727" s="19" t="inlineStr">
        <is>
          <t>Aprobada</t>
        </is>
      </c>
      <c r="W727" s="19" t="inlineStr"/>
      <c r="X727" s="19" t="inlineStr">
        <is>
          <t>Aldair González (aprobación en bloque)</t>
        </is>
      </c>
      <c r="Y727" s="20" t="n">
        <v>46321</v>
      </c>
      <c r="Z727" s="19" t="inlineStr">
        <is>
          <t>Nivel 1: propuesta del comentario del desarrollador o de confianza alta, o regla de fecha/responsable/motivo.</t>
        </is>
      </c>
      <c r="AA727" s="18">
        <f>IF(OR(V727="Aprobada"),R727,IF(AND(OR(V727="Aprobada con ajuste",V727="Rechazada"),W727&lt;&gt;""),W727,""))</f>
        <v/>
      </c>
    </row>
    <row r="728">
      <c r="A728" s="18" t="inlineStr">
        <is>
          <t>C0727</t>
        </is>
      </c>
      <c r="B728" s="18" t="inlineStr">
        <is>
          <t>Certificaciones</t>
        </is>
      </c>
      <c r="C728" s="18" t="inlineStr">
        <is>
          <t>certification</t>
        </is>
      </c>
      <c r="D728" s="18" t="inlineStr">
        <is>
          <t>signers</t>
        </is>
      </c>
      <c r="E728" s="18" t="n">
        <v>1</v>
      </c>
      <c r="F728" s="18" t="inlineStr">
        <is>
          <t>position</t>
        </is>
      </c>
      <c r="G728" s="18" t="inlineStr">
        <is>
          <t>character varying(255)</t>
        </is>
      </c>
      <c r="H728" s="18" t="inlineStr">
        <is>
          <t>No</t>
        </is>
      </c>
      <c r="I728" s="18" t="inlineStr"/>
      <c r="J728" s="18" t="inlineStr"/>
      <c r="K728" s="18" t="inlineStr"/>
      <c r="L728" s="18" t="inlineStr">
        <is>
          <t>No</t>
        </is>
      </c>
      <c r="M728" s="18" t="inlineStr">
        <is>
          <t>No</t>
        </is>
      </c>
      <c r="N728" s="18" t="inlineStr"/>
      <c r="O728" s="18" t="inlineStr"/>
      <c r="P728" s="18" t="inlineStr">
        <is>
          <t>Mapeada en certification-service/src/certificates/signer.entity.ts:11 (Signer.position)</t>
        </is>
      </c>
      <c r="Q728" s="18" t="inlineStr">
        <is>
          <t>Propuesta semántica</t>
        </is>
      </c>
      <c r="R728" s="18" t="inlineStr">
        <is>
          <t>Cargo del firmante autorizado.</t>
        </is>
      </c>
      <c r="S728" s="18" t="inlineStr">
        <is>
          <t>Alta</t>
        </is>
      </c>
      <c r="T728" s="18" t="inlineStr">
        <is>
          <t>nombre + tipo + columnas vecinas (full_name, department) ~</t>
        </is>
      </c>
      <c r="U728" s="18" t="inlineStr"/>
      <c r="V728" s="19" t="inlineStr">
        <is>
          <t>Aprobada</t>
        </is>
      </c>
      <c r="W728" s="19" t="inlineStr"/>
      <c r="X728" s="19" t="inlineStr">
        <is>
          <t>Aldair González (aprobación en bloque)</t>
        </is>
      </c>
      <c r="Y728" s="20" t="n">
        <v>46321</v>
      </c>
      <c r="Z728" s="19" t="inlineStr">
        <is>
          <t>Nivel 1: propuesta del comentario del desarrollador o de confianza alta, o regla de fecha/responsable/motivo.</t>
        </is>
      </c>
      <c r="AA728" s="18">
        <f>IF(OR(V728="Aprobada"),R728,IF(AND(OR(V728="Aprobada con ajuste",V728="Rechazada"),W728&lt;&gt;""),W728,""))</f>
        <v/>
      </c>
    </row>
    <row r="729">
      <c r="A729" s="18" t="inlineStr">
        <is>
          <t>C0728</t>
        </is>
      </c>
      <c r="B729" s="18" t="inlineStr">
        <is>
          <t>Certificaciones</t>
        </is>
      </c>
      <c r="C729" s="18" t="inlineStr">
        <is>
          <t>certification</t>
        </is>
      </c>
      <c r="D729" s="18" t="inlineStr">
        <is>
          <t>signers</t>
        </is>
      </c>
      <c r="E729" s="18" t="n">
        <v>1</v>
      </c>
      <c r="F729" s="18" t="inlineStr">
        <is>
          <t>department</t>
        </is>
      </c>
      <c r="G729" s="18" t="inlineStr">
        <is>
          <t>character varying(255)</t>
        </is>
      </c>
      <c r="H729" s="18" t="inlineStr">
        <is>
          <t>Sí</t>
        </is>
      </c>
      <c r="I729" s="18" t="inlineStr"/>
      <c r="J729" s="18" t="inlineStr"/>
      <c r="K729" s="18" t="inlineStr"/>
      <c r="L729" s="18" t="inlineStr">
        <is>
          <t>No</t>
        </is>
      </c>
      <c r="M729" s="18" t="inlineStr">
        <is>
          <t>No</t>
        </is>
      </c>
      <c r="N729" s="18" t="inlineStr"/>
      <c r="O729" s="18" t="inlineStr"/>
      <c r="P729" s="18" t="inlineStr">
        <is>
          <t>Mapeada en certification-service/src/certificates/signer.entity.ts:14 (Signer.department)</t>
        </is>
      </c>
      <c r="Q729" s="18" t="inlineStr">
        <is>
          <t>Propuesta semántica</t>
        </is>
      </c>
      <c r="R729" s="18" t="inlineStr">
        <is>
          <t>Dependencia a la que pertenece el firmante autorizado.</t>
        </is>
      </c>
      <c r="S729" s="18" t="inlineStr">
        <is>
          <t>Alta</t>
        </is>
      </c>
      <c r="T729" s="18" t="inlineStr">
        <is>
          <t>nombre + tipo + columnas vecinas ~</t>
        </is>
      </c>
      <c r="U729" s="18" t="inlineStr"/>
      <c r="V729" s="19" t="inlineStr">
        <is>
          <t>Aprobada</t>
        </is>
      </c>
      <c r="W729" s="19" t="inlineStr"/>
      <c r="X729" s="19" t="inlineStr">
        <is>
          <t>Aldair González (aprobación en bloque)</t>
        </is>
      </c>
      <c r="Y729" s="20" t="n">
        <v>46321</v>
      </c>
      <c r="Z729" s="19" t="inlineStr">
        <is>
          <t>Nivel 1: propuesta del comentario del desarrollador o de confianza alta, o regla de fecha/responsable/motivo.</t>
        </is>
      </c>
      <c r="AA729" s="18">
        <f>IF(OR(V729="Aprobada"),R729,IF(AND(OR(V729="Aprobada con ajuste",V729="Rechazada"),W729&lt;&gt;""),W729,""))</f>
        <v/>
      </c>
    </row>
    <row r="730">
      <c r="A730" s="18" t="inlineStr">
        <is>
          <t>C0729</t>
        </is>
      </c>
      <c r="B730" s="18" t="inlineStr">
        <is>
          <t>Certificaciones</t>
        </is>
      </c>
      <c r="C730" s="18" t="inlineStr">
        <is>
          <t>certification</t>
        </is>
      </c>
      <c r="D730" s="18" t="inlineStr">
        <is>
          <t>signers</t>
        </is>
      </c>
      <c r="E730" s="18" t="n">
        <v>1</v>
      </c>
      <c r="F730" s="18" t="inlineStr">
        <is>
          <t>signature_url</t>
        </is>
      </c>
      <c r="G730" s="18" t="inlineStr">
        <is>
          <t>character varying(500)</t>
        </is>
      </c>
      <c r="H730" s="18" t="inlineStr">
        <is>
          <t>Sí</t>
        </is>
      </c>
      <c r="I730" s="18" t="inlineStr"/>
      <c r="J730" s="18" t="inlineStr"/>
      <c r="K730" s="18" t="inlineStr"/>
      <c r="L730" s="18" t="inlineStr">
        <is>
          <t>No</t>
        </is>
      </c>
      <c r="M730" s="18" t="inlineStr">
        <is>
          <t>No</t>
        </is>
      </c>
      <c r="N730" s="18" t="inlineStr"/>
      <c r="O730" s="18" t="inlineStr"/>
      <c r="P730" s="18" t="inlineStr">
        <is>
          <t>db/init/old/005_schema_certification.sql:190: Digital signature (image)</t>
        </is>
      </c>
      <c r="Q730" s="18" t="inlineStr">
        <is>
          <t>Código fuente</t>
        </is>
      </c>
      <c r="R730" s="18" t="inlineStr">
        <is>
          <t>Ruta o URL de la imagen de la firma digital del firmante.</t>
        </is>
      </c>
      <c r="S730" s="18" t="inlineStr">
        <is>
          <t>Alta</t>
        </is>
      </c>
      <c r="T730" s="18" t="inlineStr">
        <is>
          <t>código: db/init/old/005_schema_certification.sql:190</t>
        </is>
      </c>
      <c r="U730" s="18" t="inlineStr"/>
      <c r="V730" s="19" t="inlineStr">
        <is>
          <t>Aprobada</t>
        </is>
      </c>
      <c r="W730" s="19" t="inlineStr"/>
      <c r="X730" s="19" t="inlineStr">
        <is>
          <t>Aldair González (aprobación en bloque)</t>
        </is>
      </c>
      <c r="Y730" s="20" t="n">
        <v>46321</v>
      </c>
      <c r="Z730" s="19" t="inlineStr">
        <is>
          <t>Nivel 1: propuesta del comentario del desarrollador o de confianza alta, o regla de fecha/responsable/motivo.</t>
        </is>
      </c>
      <c r="AA730" s="18">
        <f>IF(OR(V730="Aprobada"),R730,IF(AND(OR(V730="Aprobada con ajuste",V730="Rechazada"),W730&lt;&gt;""),W730,""))</f>
        <v/>
      </c>
    </row>
    <row r="731">
      <c r="A731" s="18" t="inlineStr">
        <is>
          <t>C0730</t>
        </is>
      </c>
      <c r="B731" s="18" t="inlineStr">
        <is>
          <t>Certificaciones</t>
        </is>
      </c>
      <c r="C731" s="18" t="inlineStr">
        <is>
          <t>certification</t>
        </is>
      </c>
      <c r="D731" s="18" t="inlineStr">
        <is>
          <t>signers</t>
        </is>
      </c>
      <c r="E731" s="18" t="n">
        <v>1</v>
      </c>
      <c r="F731" s="18" t="inlineStr">
        <is>
          <t>is_active</t>
        </is>
      </c>
      <c r="G731" s="18" t="inlineStr">
        <is>
          <t>boolean</t>
        </is>
      </c>
      <c r="H731" s="18" t="inlineStr">
        <is>
          <t>Sí</t>
        </is>
      </c>
      <c r="I731" s="18" t="inlineStr"/>
      <c r="J731" s="18" t="inlineStr"/>
      <c r="K731" s="18" t="inlineStr"/>
      <c r="L731" s="18" t="inlineStr">
        <is>
          <t>No</t>
        </is>
      </c>
      <c r="M731" s="18" t="inlineStr">
        <is>
          <t>No</t>
        </is>
      </c>
      <c r="N731" s="18" t="inlineStr"/>
      <c r="O731" s="18" t="inlineStr"/>
      <c r="P731" s="18" t="inlineStr">
        <is>
          <t>db/init/old/005_schema_certification.sql:194: Status</t>
        </is>
      </c>
      <c r="Q731" s="18" t="inlineStr">
        <is>
          <t>Código fuente</t>
        </is>
      </c>
      <c r="R731" s="18" t="inlineStr">
        <is>
          <t>Indica si el firmante está activo; por defecto verdadero.</t>
        </is>
      </c>
      <c r="S731" s="18" t="inlineStr">
        <is>
          <t>Alta</t>
        </is>
      </c>
      <c r="T731" s="18" t="inlineStr">
        <is>
          <t>código: db/init/old/005_schema_certification.sql:194</t>
        </is>
      </c>
      <c r="U731" s="18" t="inlineStr"/>
      <c r="V731" s="19" t="inlineStr">
        <is>
          <t>Aprobada</t>
        </is>
      </c>
      <c r="W731" s="19" t="inlineStr"/>
      <c r="X731" s="19" t="inlineStr">
        <is>
          <t>Aldair González (aprobación en bloque)</t>
        </is>
      </c>
      <c r="Y731" s="20" t="n">
        <v>46321</v>
      </c>
      <c r="Z731" s="19" t="inlineStr">
        <is>
          <t>Nivel 1: propuesta del comentario del desarrollador o de confianza alta, o regla de fecha/responsable/motivo.</t>
        </is>
      </c>
      <c r="AA731" s="18">
        <f>IF(OR(V731="Aprobada"),R731,IF(AND(OR(V731="Aprobada con ajuste",V731="Rechazada"),W731&lt;&gt;""),W731,""))</f>
        <v/>
      </c>
    </row>
    <row r="732">
      <c r="A732" s="18" t="inlineStr">
        <is>
          <t>C0731</t>
        </is>
      </c>
      <c r="B732" s="18" t="inlineStr">
        <is>
          <t>Certificaciones</t>
        </is>
      </c>
      <c r="C732" s="18" t="inlineStr">
        <is>
          <t>certification</t>
        </is>
      </c>
      <c r="D732" s="18" t="inlineStr">
        <is>
          <t>signers</t>
        </is>
      </c>
      <c r="E732" s="18" t="n">
        <v>1</v>
      </c>
      <c r="F732" s="18" t="inlineStr">
        <is>
          <t>is_primary</t>
        </is>
      </c>
      <c r="G732" s="18" t="inlineStr">
        <is>
          <t>boolean</t>
        </is>
      </c>
      <c r="H732" s="18" t="inlineStr">
        <is>
          <t>Sí</t>
        </is>
      </c>
      <c r="I732" s="18" t="inlineStr"/>
      <c r="J732" s="18" t="inlineStr"/>
      <c r="K732" s="18" t="inlineStr"/>
      <c r="L732" s="18" t="inlineStr">
        <is>
          <t>No</t>
        </is>
      </c>
      <c r="M732" s="18" t="inlineStr">
        <is>
          <t>No</t>
        </is>
      </c>
      <c r="N732" s="18" t="inlineStr"/>
      <c r="O732" s="18" t="inlineStr"/>
      <c r="P732" s="18" t="inlineStr">
        <is>
          <t>db/init/old/005_schema_certification.sql:195: Primary/default signer</t>
        </is>
      </c>
      <c r="Q732" s="18" t="inlineStr">
        <is>
          <t>Código fuente</t>
        </is>
      </c>
      <c r="R732" s="18" t="inlineStr">
        <is>
          <t>Indica si es el firmante principal, usado por defecto; por defecto falso.</t>
        </is>
      </c>
      <c r="S732" s="18" t="inlineStr">
        <is>
          <t>Alta</t>
        </is>
      </c>
      <c r="T732" s="18" t="inlineStr">
        <is>
          <t>código: db/init/old/005_schema_certification.sql:195</t>
        </is>
      </c>
      <c r="U732" s="18" t="inlineStr"/>
      <c r="V732" s="19" t="inlineStr">
        <is>
          <t>Aprobada</t>
        </is>
      </c>
      <c r="W732" s="19" t="inlineStr"/>
      <c r="X732" s="19" t="inlineStr">
        <is>
          <t>Aldair González (aprobación en bloque)</t>
        </is>
      </c>
      <c r="Y732" s="20" t="n">
        <v>46321</v>
      </c>
      <c r="Z732" s="19" t="inlineStr">
        <is>
          <t>Nivel 1: propuesta del comentario del desarrollador o de confianza alta, o regla de fecha/responsable/motivo.</t>
        </is>
      </c>
      <c r="AA732" s="18">
        <f>IF(OR(V732="Aprobada"),R732,IF(AND(OR(V732="Aprobada con ajuste",V732="Rechazada"),W732&lt;&gt;""),W732,""))</f>
        <v/>
      </c>
    </row>
    <row r="733">
      <c r="A733" s="18" t="inlineStr">
        <is>
          <t>C0732</t>
        </is>
      </c>
      <c r="B733" s="18" t="inlineStr">
        <is>
          <t>Certificaciones</t>
        </is>
      </c>
      <c r="C733" s="18" t="inlineStr">
        <is>
          <t>certification</t>
        </is>
      </c>
      <c r="D733" s="18" t="inlineStr">
        <is>
          <t>technical_bonus_assignments</t>
        </is>
      </c>
      <c r="E733" s="18" t="n">
        <v>53</v>
      </c>
      <c r="F733" s="18" t="inlineStr">
        <is>
          <t>full_name</t>
        </is>
      </c>
      <c r="G733" s="18" t="inlineStr">
        <is>
          <t>character varying(255)</t>
        </is>
      </c>
      <c r="H733" s="18" t="inlineStr">
        <is>
          <t>No</t>
        </is>
      </c>
      <c r="I733" s="18" t="inlineStr"/>
      <c r="J733" s="18" t="inlineStr"/>
      <c r="K733" s="18" t="inlineStr"/>
      <c r="L733" s="18" t="inlineStr">
        <is>
          <t>No</t>
        </is>
      </c>
      <c r="M733" s="18" t="inlineStr">
        <is>
          <t>No</t>
        </is>
      </c>
      <c r="N733" s="18" t="inlineStr"/>
      <c r="O733" s="18" t="inlineStr"/>
      <c r="P733" s="18" t="inlineStr">
        <is>
          <t>Mapeada en certification-service/src/certificates/technical-bonus-assignment.entity.ts:26 (TechnicalBonusAssignment.full_name)</t>
        </is>
      </c>
      <c r="Q733" s="18" t="inlineStr">
        <is>
          <t>Propuesta semántica</t>
        </is>
      </c>
      <c r="R733" s="18" t="inlineStr">
        <is>
          <t>Nombre completo del empleado al que se asigna el porcentaje de bonificación técnica.</t>
        </is>
      </c>
      <c r="S733" s="18" t="inlineStr">
        <is>
          <t>Alta</t>
        </is>
      </c>
      <c r="T733" s="18" t="inlineStr">
        <is>
          <t>nombre + tipo + columnas vecinas (id_number, percentage) ~</t>
        </is>
      </c>
      <c r="U733" s="18" t="inlineStr"/>
      <c r="V733" s="19" t="inlineStr">
        <is>
          <t>Aprobada</t>
        </is>
      </c>
      <c r="W733" s="19" t="inlineStr"/>
      <c r="X733" s="19" t="inlineStr">
        <is>
          <t>Aldair González (aprobación en bloque)</t>
        </is>
      </c>
      <c r="Y733" s="20" t="n">
        <v>46321</v>
      </c>
      <c r="Z733" s="19" t="inlineStr">
        <is>
          <t>Nivel 1: propuesta del comentario del desarrollador o de confianza alta, o regla de fecha/responsable/motivo.</t>
        </is>
      </c>
      <c r="AA733" s="18">
        <f>IF(OR(V733="Aprobada"),R733,IF(AND(OR(V733="Aprobada con ajuste",V733="Rechazada"),W733&lt;&gt;""),W733,""))</f>
        <v/>
      </c>
    </row>
    <row r="734">
      <c r="A734" s="18" t="inlineStr">
        <is>
          <t>C0733</t>
        </is>
      </c>
      <c r="B734" s="18" t="inlineStr">
        <is>
          <t>Certificaciones</t>
        </is>
      </c>
      <c r="C734" s="18" t="inlineStr">
        <is>
          <t>certification</t>
        </is>
      </c>
      <c r="D734" s="18" t="inlineStr">
        <is>
          <t>technical_bonus_templates</t>
        </is>
      </c>
      <c r="E734" s="18" t="n">
        <v>3</v>
      </c>
      <c r="F734" s="18" t="inlineStr">
        <is>
          <t>label</t>
        </is>
      </c>
      <c r="G734" s="18" t="inlineStr">
        <is>
          <t>character varying(120)</t>
        </is>
      </c>
      <c r="H734" s="18" t="inlineStr">
        <is>
          <t>Sí</t>
        </is>
      </c>
      <c r="I734" s="18" t="inlineStr"/>
      <c r="J734" s="18" t="inlineStr"/>
      <c r="K734" s="18" t="inlineStr"/>
      <c r="L734" s="18" t="inlineStr">
        <is>
          <t>No</t>
        </is>
      </c>
      <c r="M734" s="18" t="inlineStr">
        <is>
          <t>No</t>
        </is>
      </c>
      <c r="N734" s="18" t="inlineStr"/>
      <c r="O734" s="18" t="inlineStr"/>
      <c r="P734" s="18" t="inlineStr">
        <is>
          <t>Mapeada en certification-service/src/certificates/technical-bonus-template.entity.ts:34 (TechnicalBonusTemplate.label)</t>
        </is>
      </c>
      <c r="Q734" s="18" t="inlineStr">
        <is>
          <t>Código fuente (verificado)</t>
        </is>
      </c>
      <c r="R734" s="18" t="inlineStr">
        <is>
          <t>Nombre visible de la categoría de prima técnica de la plantilla; si está vacío se deriva de la categoría.</t>
        </is>
      </c>
      <c r="S734" s="18" t="inlineStr">
        <is>
          <t>Alta</t>
        </is>
      </c>
      <c r="T734" s="18" t="inlineStr">
        <is>
          <t>backend/certification-service/src/certificates/technical-bonus-template.entity.ts:35: varchar(120) nulo | backend/certification-service/src/certificates/certificates.service.ts:4640: label = record.label o getTechnicalBonusDefaultLabel(category) | backend/certification-service/src/certificates/certificates.service.ts:789-798: etiqueta por defecto desde la categoría</t>
        </is>
      </c>
      <c r="U734" s="18" t="inlineStr"/>
      <c r="V734" s="19" t="inlineStr">
        <is>
          <t>Aprobada</t>
        </is>
      </c>
      <c r="W734" s="19" t="inlineStr"/>
      <c r="X734" s="19" t="inlineStr">
        <is>
          <t>Aldair González (aprobación en bloque)</t>
        </is>
      </c>
      <c r="Y734" s="20" t="n">
        <v>46321</v>
      </c>
      <c r="Z734" s="19" t="inlineStr">
        <is>
          <t>Nivel 3: verificada con el código de la aplicación.</t>
        </is>
      </c>
      <c r="AA734" s="18">
        <f>IF(OR(V734="Aprobada"),R734,IF(AND(OR(V734="Aprobada con ajuste",V734="Rechazada"),W734&lt;&gt;""),W734,""))</f>
        <v/>
      </c>
    </row>
    <row r="735">
      <c r="A735" s="18" t="inlineStr">
        <is>
          <t>C0734</t>
        </is>
      </c>
      <c r="B735" s="18" t="inlineStr">
        <is>
          <t>Certificaciones</t>
        </is>
      </c>
      <c r="C735" s="18" t="inlineStr">
        <is>
          <t>certification</t>
        </is>
      </c>
      <c r="D735" s="18" t="inlineStr">
        <is>
          <t>technical_bonus_templates</t>
        </is>
      </c>
      <c r="E735" s="18" t="n">
        <v>3</v>
      </c>
      <c r="F735" s="18" t="inlineStr">
        <is>
          <t>description</t>
        </is>
      </c>
      <c r="G735" s="18" t="inlineStr">
        <is>
          <t>character varying(255)</t>
        </is>
      </c>
      <c r="H735" s="18" t="inlineStr">
        <is>
          <t>Sí</t>
        </is>
      </c>
      <c r="I735" s="18" t="inlineStr"/>
      <c r="J735" s="18" t="inlineStr"/>
      <c r="K735" s="18" t="inlineStr"/>
      <c r="L735" s="18" t="inlineStr">
        <is>
          <t>No</t>
        </is>
      </c>
      <c r="M735" s="18" t="inlineStr">
        <is>
          <t>No</t>
        </is>
      </c>
      <c r="N735" s="18" t="inlineStr"/>
      <c r="O735" s="18" t="inlineStr"/>
      <c r="P735" s="18" t="inlineStr">
        <is>
          <t>Mapeada en certification-service/src/certificates/technical-bonus-template.entity.ts:37 (TechnicalBonusTemplate.description)</t>
        </is>
      </c>
      <c r="Q735" s="18" t="inlineStr">
        <is>
          <t>Regla estructural (redacción revisada)</t>
        </is>
      </c>
      <c r="R735" s="18" t="inlineStr">
        <is>
          <t>Descripción de la plantilla de párrafo de bonificación técnica.</t>
        </is>
      </c>
      <c r="S735" s="18" t="inlineStr">
        <is>
          <t>Alta</t>
        </is>
      </c>
      <c r="T735" s="18" t="inlineStr">
        <is>
          <t>Convención de nombre, redactada con el contexto de la tabla y el código.</t>
        </is>
      </c>
      <c r="U735" s="18" t="inlineStr"/>
      <c r="V735" s="19" t="inlineStr">
        <is>
          <t>Aprobada</t>
        </is>
      </c>
      <c r="W735" s="19" t="inlineStr"/>
      <c r="X735" s="19" t="inlineStr">
        <is>
          <t>Aldair González (aprobación en bloque)</t>
        </is>
      </c>
      <c r="Y735" s="20" t="n">
        <v>46321</v>
      </c>
      <c r="Z735" s="19" t="inlineStr">
        <is>
          <t>Nivel 2: regla estructural con redacción revisada.</t>
        </is>
      </c>
      <c r="AA735" s="18">
        <f>IF(OR(V735="Aprobada"),R735,IF(AND(OR(V735="Aprobada con ajuste",V735="Rechazada"),W735&lt;&gt;""),W735,""))</f>
        <v/>
      </c>
    </row>
    <row r="736">
      <c r="A736" s="18" t="inlineStr">
        <is>
          <t>C0735</t>
        </is>
      </c>
      <c r="B736" s="18" t="inlineStr">
        <is>
          <t>Certificaciones</t>
        </is>
      </c>
      <c r="C736" s="18" t="inlineStr">
        <is>
          <t>certification</t>
        </is>
      </c>
      <c r="D736" s="18" t="inlineStr">
        <is>
          <t>technical_bonus_templates</t>
        </is>
      </c>
      <c r="E736" s="18" t="n">
        <v>3</v>
      </c>
      <c r="F736" s="18" t="inlineStr">
        <is>
          <t>display_order</t>
        </is>
      </c>
      <c r="G736" s="18" t="inlineStr">
        <is>
          <t>integer</t>
        </is>
      </c>
      <c r="H736" s="18" t="inlineStr">
        <is>
          <t>No</t>
        </is>
      </c>
      <c r="I736" s="18" t="inlineStr"/>
      <c r="J736" s="18" t="inlineStr"/>
      <c r="K736" s="18" t="inlineStr"/>
      <c r="L736" s="18" t="inlineStr">
        <is>
          <t>No</t>
        </is>
      </c>
      <c r="M736" s="18" t="inlineStr">
        <is>
          <t>No</t>
        </is>
      </c>
      <c r="N736" s="18" t="inlineStr"/>
      <c r="O736" s="18" t="inlineStr"/>
      <c r="P736" s="18" t="inlineStr">
        <is>
          <t>Mapeada en certification-service/src/certificates/technical-bonus-template.entity.ts:43 (TechnicalBonusTemplate.display_order)</t>
        </is>
      </c>
      <c r="Q736" s="18" t="inlineStr">
        <is>
          <t>Propuesta semántica</t>
        </is>
      </c>
      <c r="R736" s="18" t="inlineStr">
        <is>
          <t>Orden de presentación de la plantilla en las listas; 0 por defecto.</t>
        </is>
      </c>
      <c r="S736" s="18" t="inlineStr">
        <is>
          <t>Alta</t>
        </is>
      </c>
      <c r="T736" s="18" t="inlineStr">
        <is>
          <t>nombre + tipo + defecto 0 ~</t>
        </is>
      </c>
      <c r="U736" s="18" t="inlineStr"/>
      <c r="V736" s="19" t="inlineStr">
        <is>
          <t>Aprobada</t>
        </is>
      </c>
      <c r="W736" s="19" t="inlineStr"/>
      <c r="X736" s="19" t="inlineStr">
        <is>
          <t>Aldair González (aprobación en bloque)</t>
        </is>
      </c>
      <c r="Y736" s="20" t="n">
        <v>46321</v>
      </c>
      <c r="Z736" s="19" t="inlineStr">
        <is>
          <t>Nivel 1: propuesta del comentario del desarrollador o de confianza alta, o regla de fecha/responsable/motivo.</t>
        </is>
      </c>
      <c r="AA736" s="18">
        <f>IF(OR(V736="Aprobada"),R736,IF(AND(OR(V736="Aprobada con ajuste",V736="Rechazada"),W736&lt;&gt;""),W736,""))</f>
        <v/>
      </c>
    </row>
    <row r="737">
      <c r="A737" s="18" t="inlineStr">
        <is>
          <t>C0736</t>
        </is>
      </c>
      <c r="B737" s="18" t="inlineStr">
        <is>
          <t>Certificaciones</t>
        </is>
      </c>
      <c r="C737" s="18" t="inlineStr">
        <is>
          <t>certification</t>
        </is>
      </c>
      <c r="D737" s="18" t="inlineStr">
        <is>
          <t>technical_bonus_templates</t>
        </is>
      </c>
      <c r="E737" s="18" t="n">
        <v>3</v>
      </c>
      <c r="F737" s="18" t="inlineStr">
        <is>
          <t>is_system</t>
        </is>
      </c>
      <c r="G737" s="18" t="inlineStr">
        <is>
          <t>boolean</t>
        </is>
      </c>
      <c r="H737" s="18" t="inlineStr">
        <is>
          <t>No</t>
        </is>
      </c>
      <c r="I737" s="18" t="inlineStr"/>
      <c r="J737" s="18" t="inlineStr"/>
      <c r="K737" s="18" t="inlineStr"/>
      <c r="L737" s="18" t="inlineStr">
        <is>
          <t>No</t>
        </is>
      </c>
      <c r="M737" s="18" t="inlineStr">
        <is>
          <t>No</t>
        </is>
      </c>
      <c r="N737" s="18" t="inlineStr"/>
      <c r="O737" s="18" t="inlineStr"/>
      <c r="P737" s="18" t="inlineStr">
        <is>
          <t>Mapeada en certification-service/src/certificates/technical-bonus-template.entity.ts:46 (TechnicalBonusTemplate.is_system)</t>
        </is>
      </c>
      <c r="Q737" s="18" t="inlineStr">
        <is>
          <t>Regla estructural (redacción revisada)</t>
        </is>
      </c>
      <c r="R737" s="18" t="inlineStr">
        <is>
          <t>Indica si la plantilla de bonificación técnica es del sistema.</t>
        </is>
      </c>
      <c r="S737" s="18" t="inlineStr">
        <is>
          <t>Alta</t>
        </is>
      </c>
      <c r="T737" s="18" t="inlineStr">
        <is>
          <t>Convención de nombre, redactada con el contexto de la tabla y el código.</t>
        </is>
      </c>
      <c r="U737" s="18" t="inlineStr"/>
      <c r="V737" s="19" t="inlineStr">
        <is>
          <t>Aprobada</t>
        </is>
      </c>
      <c r="W737" s="19" t="inlineStr"/>
      <c r="X737" s="19" t="inlineStr">
        <is>
          <t>Aldair González (aprobación en bloque)</t>
        </is>
      </c>
      <c r="Y737" s="20" t="n">
        <v>46321</v>
      </c>
      <c r="Z737" s="19" t="inlineStr">
        <is>
          <t>Nivel 2: regla estructural con redacción revisada.</t>
        </is>
      </c>
      <c r="AA737" s="18">
        <f>IF(OR(V737="Aprobada"),R737,IF(AND(OR(V737="Aprobada con ajuste",V737="Rechazada"),W737&lt;&gt;""),W737,""))</f>
        <v/>
      </c>
    </row>
    <row r="738">
      <c r="A738" s="18" t="inlineStr">
        <is>
          <t>C0737</t>
        </is>
      </c>
      <c r="B738" s="18" t="inlineStr">
        <is>
          <t>Certificaciones</t>
        </is>
      </c>
      <c r="C738" s="18" t="inlineStr">
        <is>
          <t>certification</t>
        </is>
      </c>
      <c r="D738" s="18" t="inlineStr">
        <is>
          <t>technical_bonus_templates</t>
        </is>
      </c>
      <c r="E738" s="18" t="n">
        <v>3</v>
      </c>
      <c r="F738" s="18" t="inlineStr">
        <is>
          <t>is_active</t>
        </is>
      </c>
      <c r="G738" s="18" t="inlineStr">
        <is>
          <t>boolean</t>
        </is>
      </c>
      <c r="H738" s="18" t="inlineStr">
        <is>
          <t>No</t>
        </is>
      </c>
      <c r="I738" s="18" t="inlineStr"/>
      <c r="J738" s="18" t="inlineStr"/>
      <c r="K738" s="18" t="inlineStr"/>
      <c r="L738" s="18" t="inlineStr">
        <is>
          <t>No</t>
        </is>
      </c>
      <c r="M738" s="18" t="inlineStr">
        <is>
          <t>No</t>
        </is>
      </c>
      <c r="N738" s="18" t="inlineStr"/>
      <c r="O738" s="18" t="inlineStr"/>
      <c r="P738" s="18" t="inlineStr">
        <is>
          <t>Mapeada en certification-service/src/certificates/technical-bonus-template.entity.ts:49 (TechnicalBonusTemplate.is_active)</t>
        </is>
      </c>
      <c r="Q738" s="18" t="inlineStr">
        <is>
          <t>Regla estructural (redacción revisada)</t>
        </is>
      </c>
      <c r="R738" s="18" t="inlineStr">
        <is>
          <t>Indica si la plantilla de bonificación técnica está activa.</t>
        </is>
      </c>
      <c r="S738" s="18" t="inlineStr">
        <is>
          <t>Alta</t>
        </is>
      </c>
      <c r="T738" s="18" t="inlineStr">
        <is>
          <t>Convención de nombre, redactada con el contexto de la tabla y el código.</t>
        </is>
      </c>
      <c r="U738" s="18" t="inlineStr"/>
      <c r="V738" s="19" t="inlineStr">
        <is>
          <t>Aprobada</t>
        </is>
      </c>
      <c r="W738" s="19" t="inlineStr"/>
      <c r="X738" s="19" t="inlineStr">
        <is>
          <t>Aldair González (aprobación en bloque)</t>
        </is>
      </c>
      <c r="Y738" s="20" t="n">
        <v>46321</v>
      </c>
      <c r="Z738" s="19" t="inlineStr">
        <is>
          <t>Nivel 2: regla estructural con redacción revisada.</t>
        </is>
      </c>
      <c r="AA738" s="18">
        <f>IF(OR(V738="Aprobada"),R738,IF(AND(OR(V738="Aprobada con ajuste",V738="Rechazada"),W738&lt;&gt;""),W738,""))</f>
        <v/>
      </c>
    </row>
    <row r="739">
      <c r="A739" s="18" t="inlineStr">
        <is>
          <t>C0738</t>
        </is>
      </c>
      <c r="B739" s="18" t="inlineStr">
        <is>
          <t>Certificaciones</t>
        </is>
      </c>
      <c r="C739" s="18" t="inlineStr">
        <is>
          <t>certification</t>
        </is>
      </c>
      <c r="D739" s="18" t="inlineStr">
        <is>
          <t>template_config_changes</t>
        </is>
      </c>
      <c r="E739" s="18" t="n">
        <v>206</v>
      </c>
      <c r="F739" s="18" t="inlineStr">
        <is>
          <t>changed_at</t>
        </is>
      </c>
      <c r="G739" s="18" t="inlineStr">
        <is>
          <t>timestamp without time zone</t>
        </is>
      </c>
      <c r="H739" s="18" t="inlineStr">
        <is>
          <t>Sí</t>
        </is>
      </c>
      <c r="I739" s="18" t="inlineStr"/>
      <c r="J739" s="18" t="inlineStr"/>
      <c r="K739" s="18" t="inlineStr"/>
      <c r="L739" s="18" t="inlineStr">
        <is>
          <t>No</t>
        </is>
      </c>
      <c r="M739" s="18" t="inlineStr">
        <is>
          <t>No</t>
        </is>
      </c>
      <c r="N739" s="18" t="inlineStr"/>
      <c r="O739" s="18" t="inlineStr">
        <is>
          <t>idx_template_config_changes_date</t>
        </is>
      </c>
      <c r="P739" s="18" t="inlineStr">
        <is>
          <t>Mapeada en certification-service/src/certificates/template-config-change.entity.ts:38 (TemplateConfigChange.changedAt)</t>
        </is>
      </c>
      <c r="Q739" s="18" t="inlineStr">
        <is>
          <t>Propuesta semántica</t>
        </is>
      </c>
      <c r="R739" s="18" t="inlineStr">
        <is>
          <t>Fecha y hora en que se registró el cambio de configuración de la plantilla.</t>
        </is>
      </c>
      <c r="S739" s="18" t="inlineStr">
        <is>
          <t>Alta</t>
        </is>
      </c>
      <c r="T739" s="18" t="inlineStr">
        <is>
          <t>nombre + tipo + defecto CURRENT_TIMESTAMP ~</t>
        </is>
      </c>
      <c r="U739" s="18" t="inlineStr"/>
      <c r="V739" s="19" t="inlineStr">
        <is>
          <t>Aprobada</t>
        </is>
      </c>
      <c r="W739" s="19" t="inlineStr"/>
      <c r="X739" s="19" t="inlineStr">
        <is>
          <t>Aldair González (aprobación en bloque)</t>
        </is>
      </c>
      <c r="Y739" s="20" t="n">
        <v>46321</v>
      </c>
      <c r="Z739" s="19" t="inlineStr">
        <is>
          <t>Nivel 1: propuesta del comentario del desarrollador o de confianza alta, o regla de fecha/responsable/motivo.</t>
        </is>
      </c>
      <c r="AA739" s="18">
        <f>IF(OR(V739="Aprobada"),R739,IF(AND(OR(V739="Aprobada con ajuste",V739="Rechazada"),W739&lt;&gt;""),W739,""))</f>
        <v/>
      </c>
    </row>
    <row r="740">
      <c r="A740" s="18" t="inlineStr">
        <is>
          <t>C0739</t>
        </is>
      </c>
      <c r="B740" s="18" t="inlineStr">
        <is>
          <t>Certificaciones</t>
        </is>
      </c>
      <c r="C740" s="18" t="inlineStr">
        <is>
          <t>certification</t>
        </is>
      </c>
      <c r="D740" s="18" t="inlineStr">
        <is>
          <t>template_config_changes</t>
        </is>
      </c>
      <c r="E740" s="18" t="n">
        <v>206</v>
      </c>
      <c r="F740" s="18" t="inlineStr">
        <is>
          <t>changed_by</t>
        </is>
      </c>
      <c r="G740" s="18" t="inlineStr">
        <is>
          <t>character varying(255)</t>
        </is>
      </c>
      <c r="H740" s="18" t="inlineStr">
        <is>
          <t>Sí</t>
        </is>
      </c>
      <c r="I740" s="18" t="inlineStr"/>
      <c r="J740" s="18" t="inlineStr"/>
      <c r="K740" s="18" t="inlineStr"/>
      <c r="L740" s="18" t="inlineStr">
        <is>
          <t>No</t>
        </is>
      </c>
      <c r="M740" s="18" t="inlineStr">
        <is>
          <t>No</t>
        </is>
      </c>
      <c r="N740" s="18" t="inlineStr"/>
      <c r="O740" s="18" t="inlineStr"/>
      <c r="P740" s="18" t="inlineStr">
        <is>
          <t>Mapeada en certification-service/src/certificates/template-config-change.entity.ts:41 (TemplateConfigChange.changedBy)</t>
        </is>
      </c>
      <c r="Q740" s="18" t="inlineStr">
        <is>
          <t>Código fuente (verificado)</t>
        </is>
      </c>
      <c r="R740" s="18" t="inlineStr">
        <is>
          <t>Nombre de usuario que realizó el cambio de configuración de la plantilla, enviado por el cliente o tomado de la cabecera x-user-username; Usuario si no se informa.</t>
        </is>
      </c>
      <c r="S740" s="18" t="inlineStr">
        <is>
          <t>Alta</t>
        </is>
      </c>
      <c r="T740" s="18" t="inlineStr">
        <is>
          <t>backend/certification-service/src/certificates/template-config-change.entity.ts:41: varchar nulo | backend/certification-service/src/certificates/certificates.controller.ts:15-21: resolveRequestUsername (x-user-username o req.user.username) | backend/certification-service/src/certificates/template-config.controller.ts:48: valor por defecto 'Usuario' | backend/certification-service/src/certificates/template-config.service.ts:216: changedBy = updatedBy</t>
        </is>
      </c>
      <c r="U740" s="18" t="inlineStr"/>
      <c r="V740" s="19" t="inlineStr">
        <is>
          <t>Aprobada</t>
        </is>
      </c>
      <c r="W740" s="19" t="inlineStr"/>
      <c r="X740" s="19" t="inlineStr">
        <is>
          <t>Aldair González (aprobación en bloque)</t>
        </is>
      </c>
      <c r="Y740" s="20" t="n">
        <v>46321</v>
      </c>
      <c r="Z740" s="19" t="inlineStr">
        <is>
          <t>Nivel 3: verificada con el código de la aplicación.</t>
        </is>
      </c>
      <c r="AA740" s="18">
        <f>IF(OR(V740="Aprobada"),R740,IF(AND(OR(V740="Aprobada con ajuste",V740="Rechazada"),W740&lt;&gt;""),W740,""))</f>
        <v/>
      </c>
    </row>
    <row r="741">
      <c r="A741" s="18" t="inlineStr">
        <is>
          <t>C0740</t>
        </is>
      </c>
      <c r="B741" s="18" t="inlineStr">
        <is>
          <t>Certificaciones</t>
        </is>
      </c>
      <c r="C741" s="18" t="inlineStr">
        <is>
          <t>certification</t>
        </is>
      </c>
      <c r="D741" s="18" t="inlineStr">
        <is>
          <t>template_signers</t>
        </is>
      </c>
      <c r="E741" s="18" t="n">
        <v>1</v>
      </c>
      <c r="F741" s="18" t="inlineStr">
        <is>
          <t>full_name</t>
        </is>
      </c>
      <c r="G741" s="18" t="inlineStr">
        <is>
          <t>character varying(255)</t>
        </is>
      </c>
      <c r="H741" s="18" t="inlineStr">
        <is>
          <t>No</t>
        </is>
      </c>
      <c r="I741" s="18" t="inlineStr"/>
      <c r="J741" s="18" t="inlineStr"/>
      <c r="K741" s="18" t="inlineStr"/>
      <c r="L741" s="18" t="inlineStr">
        <is>
          <t>No</t>
        </is>
      </c>
      <c r="M741" s="18" t="inlineStr">
        <is>
          <t>No</t>
        </is>
      </c>
      <c r="N741" s="18" t="inlineStr"/>
      <c r="O741" s="18" t="inlineStr"/>
      <c r="P741" s="18" t="inlineStr">
        <is>
          <t>Mapeada en certification-service/src/certificates/template-signer.entity.ts:14 (TemplateSigner.full_name)</t>
        </is>
      </c>
      <c r="Q741" s="18" t="inlineStr">
        <is>
          <t>Propuesta semántica</t>
        </is>
      </c>
      <c r="R741" s="18" t="inlineStr">
        <is>
          <t>Nombre completo del firmante disponible para las plantillas de certificado laboral.</t>
        </is>
      </c>
      <c r="S741" s="18" t="inlineStr">
        <is>
          <t>Alta</t>
        </is>
      </c>
      <c r="T741" s="18" t="inlineStr">
        <is>
          <t>nombre + tipo + descripción de la tabla ~</t>
        </is>
      </c>
      <c r="U741" s="18" t="inlineStr"/>
      <c r="V741" s="19" t="inlineStr">
        <is>
          <t>Aprobada</t>
        </is>
      </c>
      <c r="W741" s="19" t="inlineStr"/>
      <c r="X741" s="19" t="inlineStr">
        <is>
          <t>Aldair González (aprobación en bloque)</t>
        </is>
      </c>
      <c r="Y741" s="20" t="n">
        <v>46321</v>
      </c>
      <c r="Z741" s="19" t="inlineStr">
        <is>
          <t>Nivel 1: propuesta del comentario del desarrollador o de confianza alta, o regla de fecha/responsable/motivo.</t>
        </is>
      </c>
      <c r="AA741" s="18">
        <f>IF(OR(V741="Aprobada"),R741,IF(AND(OR(V741="Aprobada con ajuste",V741="Rechazada"),W741&lt;&gt;""),W741,""))</f>
        <v/>
      </c>
    </row>
    <row r="742">
      <c r="A742" s="18" t="inlineStr">
        <is>
          <t>C0741</t>
        </is>
      </c>
      <c r="B742" s="18" t="inlineStr">
        <is>
          <t>Certificaciones</t>
        </is>
      </c>
      <c r="C742" s="18" t="inlineStr">
        <is>
          <t>certification</t>
        </is>
      </c>
      <c r="D742" s="18" t="inlineStr">
        <is>
          <t>template_signers</t>
        </is>
      </c>
      <c r="E742" s="18" t="n">
        <v>1</v>
      </c>
      <c r="F742" s="18" t="inlineStr">
        <is>
          <t>position</t>
        </is>
      </c>
      <c r="G742" s="18" t="inlineStr">
        <is>
          <t>character varying(150)</t>
        </is>
      </c>
      <c r="H742" s="18" t="inlineStr">
        <is>
          <t>No</t>
        </is>
      </c>
      <c r="I742" s="18" t="inlineStr"/>
      <c r="J742" s="18" t="inlineStr"/>
      <c r="K742" s="18" t="inlineStr"/>
      <c r="L742" s="18" t="inlineStr">
        <is>
          <t>No</t>
        </is>
      </c>
      <c r="M742" s="18" t="inlineStr">
        <is>
          <t>No</t>
        </is>
      </c>
      <c r="N742" s="18" t="inlineStr"/>
      <c r="O742" s="18" t="inlineStr"/>
      <c r="P742" s="18" t="inlineStr">
        <is>
          <t>Mapeada en certification-service/src/certificates/template-signer.entity.ts:17 (TemplateSigner.position)</t>
        </is>
      </c>
      <c r="Q742" s="18" t="inlineStr">
        <is>
          <t>Propuesta semántica</t>
        </is>
      </c>
      <c r="R742" s="18" t="inlineStr">
        <is>
          <t>Cargo del firmante.</t>
        </is>
      </c>
      <c r="S742" s="18" t="inlineStr">
        <is>
          <t>Alta</t>
        </is>
      </c>
      <c r="T742" s="18" t="inlineStr">
        <is>
          <t>nombre + tipo + columnas vecinas ~</t>
        </is>
      </c>
      <c r="U742" s="18" t="inlineStr"/>
      <c r="V742" s="19" t="inlineStr">
        <is>
          <t>Aprobada</t>
        </is>
      </c>
      <c r="W742" s="19" t="inlineStr"/>
      <c r="X742" s="19" t="inlineStr">
        <is>
          <t>Aldair González (aprobación en bloque)</t>
        </is>
      </c>
      <c r="Y742" s="20" t="n">
        <v>46321</v>
      </c>
      <c r="Z742" s="19" t="inlineStr">
        <is>
          <t>Nivel 1: propuesta del comentario del desarrollador o de confianza alta, o regla de fecha/responsable/motivo.</t>
        </is>
      </c>
      <c r="AA742" s="18">
        <f>IF(OR(V742="Aprobada"),R742,IF(AND(OR(V742="Aprobada con ajuste",V742="Rechazada"),W742&lt;&gt;""),W742,""))</f>
        <v/>
      </c>
    </row>
    <row r="743">
      <c r="A743" s="18" t="inlineStr">
        <is>
          <t>C0742</t>
        </is>
      </c>
      <c r="B743" s="18" t="inlineStr">
        <is>
          <t>Certificaciones</t>
        </is>
      </c>
      <c r="C743" s="18" t="inlineStr">
        <is>
          <t>certification</t>
        </is>
      </c>
      <c r="D743" s="18" t="inlineStr">
        <is>
          <t>template_signers</t>
        </is>
      </c>
      <c r="E743" s="18" t="n">
        <v>1</v>
      </c>
      <c r="F743" s="18" t="inlineStr">
        <is>
          <t>department</t>
        </is>
      </c>
      <c r="G743" s="18" t="inlineStr">
        <is>
          <t>character varying(255)</t>
        </is>
      </c>
      <c r="H743" s="18" t="inlineStr">
        <is>
          <t>No</t>
        </is>
      </c>
      <c r="I743" s="18" t="inlineStr"/>
      <c r="J743" s="18" t="inlineStr"/>
      <c r="K743" s="18" t="inlineStr"/>
      <c r="L743" s="18" t="inlineStr">
        <is>
          <t>No</t>
        </is>
      </c>
      <c r="M743" s="18" t="inlineStr">
        <is>
          <t>No</t>
        </is>
      </c>
      <c r="N743" s="18" t="inlineStr"/>
      <c r="O743" s="18" t="inlineStr"/>
      <c r="P743" s="18" t="inlineStr">
        <is>
          <t>Mapeada en certification-service/src/certificates/template-signer.entity.ts:20 (TemplateSigner.department)</t>
        </is>
      </c>
      <c r="Q743" s="18" t="inlineStr">
        <is>
          <t>Propuesta semántica</t>
        </is>
      </c>
      <c r="R743" s="18" t="inlineStr">
        <is>
          <t>Dependencia a la que pertenece el firmante.</t>
        </is>
      </c>
      <c r="S743" s="18" t="inlineStr">
        <is>
          <t>Alta</t>
        </is>
      </c>
      <c r="T743" s="18" t="inlineStr">
        <is>
          <t>nombre + tipo + columnas vecinas ~</t>
        </is>
      </c>
      <c r="U743" s="18" t="inlineStr"/>
      <c r="V743" s="19" t="inlineStr">
        <is>
          <t>Aprobada</t>
        </is>
      </c>
      <c r="W743" s="19" t="inlineStr"/>
      <c r="X743" s="19" t="inlineStr">
        <is>
          <t>Aldair González (aprobación en bloque)</t>
        </is>
      </c>
      <c r="Y743" s="20" t="n">
        <v>46321</v>
      </c>
      <c r="Z743" s="19" t="inlineStr">
        <is>
          <t>Nivel 1: propuesta del comentario del desarrollador o de confianza alta, o regla de fecha/responsable/motivo.</t>
        </is>
      </c>
      <c r="AA743" s="18">
        <f>IF(OR(V743="Aprobada"),R743,IF(AND(OR(V743="Aprobada con ajuste",V743="Rechazada"),W743&lt;&gt;""),W743,""))</f>
        <v/>
      </c>
    </row>
    <row r="744">
      <c r="A744" s="18" t="inlineStr">
        <is>
          <t>C0743</t>
        </is>
      </c>
      <c r="B744" s="18" t="inlineStr">
        <is>
          <t>Certificaciones</t>
        </is>
      </c>
      <c r="C744" s="18" t="inlineStr">
        <is>
          <t>certification</t>
        </is>
      </c>
      <c r="D744" s="18" t="inlineStr">
        <is>
          <t>template_signers</t>
        </is>
      </c>
      <c r="E744" s="18" t="n">
        <v>1</v>
      </c>
      <c r="F744" s="18" t="inlineStr">
        <is>
          <t>is_active</t>
        </is>
      </c>
      <c r="G744" s="18" t="inlineStr">
        <is>
          <t>boolean</t>
        </is>
      </c>
      <c r="H744" s="18" t="inlineStr">
        <is>
          <t>Sí</t>
        </is>
      </c>
      <c r="I744" s="18" t="inlineStr"/>
      <c r="J744" s="18" t="inlineStr"/>
      <c r="K744" s="18" t="inlineStr"/>
      <c r="L744" s="18" t="inlineStr">
        <is>
          <t>No</t>
        </is>
      </c>
      <c r="M744" s="18" t="inlineStr">
        <is>
          <t>No</t>
        </is>
      </c>
      <c r="N744" s="18" t="inlineStr"/>
      <c r="O744" s="18" t="inlineStr"/>
      <c r="P744" s="18" t="inlineStr">
        <is>
          <t>Mapeada en certification-service/src/certificates/template-signer.entity.ts:23 (TemplateSigner.is_active)</t>
        </is>
      </c>
      <c r="Q744" s="18" t="inlineStr">
        <is>
          <t>Regla estructural (redacción revisada)</t>
        </is>
      </c>
      <c r="R744" s="18" t="inlineStr">
        <is>
          <t>Indica si el firmante de plantillas de certificado laboral está activo.</t>
        </is>
      </c>
      <c r="S744" s="18" t="inlineStr">
        <is>
          <t>Alta</t>
        </is>
      </c>
      <c r="T744" s="18" t="inlineStr">
        <is>
          <t>Convención de nombre, redactada con el contexto de la tabla y el código.</t>
        </is>
      </c>
      <c r="U744" s="18" t="inlineStr"/>
      <c r="V744" s="19" t="inlineStr">
        <is>
          <t>Aprobada</t>
        </is>
      </c>
      <c r="W744" s="19" t="inlineStr"/>
      <c r="X744" s="19" t="inlineStr">
        <is>
          <t>Aldair González (aprobación en bloque)</t>
        </is>
      </c>
      <c r="Y744" s="20" t="n">
        <v>46321</v>
      </c>
      <c r="Z744" s="19" t="inlineStr">
        <is>
          <t>Nivel 2: regla estructural con redacción revisada.</t>
        </is>
      </c>
      <c r="AA744" s="18">
        <f>IF(OR(V744="Aprobada"),R744,IF(AND(OR(V744="Aprobada con ajuste",V744="Rechazada"),W744&lt;&gt;""),W744,""))</f>
        <v/>
      </c>
    </row>
    <row r="745">
      <c r="A745" s="18" t="inlineStr">
        <is>
          <t>C0744</t>
        </is>
      </c>
      <c r="B745" s="18" t="inlineStr">
        <is>
          <t>Gestión jurídica</t>
        </is>
      </c>
      <c r="C745" s="18" t="inlineStr">
        <is>
          <t>legal_management</t>
        </is>
      </c>
      <c r="D745" s="18" t="inlineStr">
        <is>
          <t>actas</t>
        </is>
      </c>
      <c r="E745" s="18" t="n">
        <v>0</v>
      </c>
      <c r="F745" s="18" t="inlineStr">
        <is>
          <t>numero_acta</t>
        </is>
      </c>
      <c r="G745" s="18" t="inlineStr">
        <is>
          <t>character varying(100)</t>
        </is>
      </c>
      <c r="H745" s="18" t="inlineStr">
        <is>
          <t>Sí</t>
        </is>
      </c>
      <c r="I745" s="18" t="inlineStr"/>
      <c r="J745" s="18" t="inlineStr"/>
      <c r="K745" s="18" t="inlineStr"/>
      <c r="L745" s="18" t="inlineStr">
        <is>
          <t>No</t>
        </is>
      </c>
      <c r="M745" s="18" t="inlineStr">
        <is>
          <t>No</t>
        </is>
      </c>
      <c r="N745" s="18" t="inlineStr"/>
      <c r="O745" s="18" t="inlineStr"/>
      <c r="P745" s="18" t="inlineStr">
        <is>
          <t>Mapeada en legal-management-service/src/entities/acta.entity.ts:16 (Acta.numeroActa)</t>
        </is>
      </c>
      <c r="Q745" s="18" t="inlineStr">
        <is>
          <t>Propuesta semántica</t>
        </is>
      </c>
      <c r="R745" s="18" t="inlineStr">
        <is>
          <t>Número del acta.</t>
        </is>
      </c>
      <c r="S745" s="18" t="inlineStr">
        <is>
          <t>Alta</t>
        </is>
      </c>
      <c r="T745" s="18" t="inlineStr">
        <is>
          <t>nombre + tipo + columnas vecinas</t>
        </is>
      </c>
      <c r="U745" s="18" t="inlineStr"/>
      <c r="V745" s="19" t="inlineStr">
        <is>
          <t>Aprobada</t>
        </is>
      </c>
      <c r="W745" s="19" t="inlineStr"/>
      <c r="X745" s="19" t="inlineStr">
        <is>
          <t>Aldair González (aprobación en bloque)</t>
        </is>
      </c>
      <c r="Y745" s="20" t="n">
        <v>46321</v>
      </c>
      <c r="Z745" s="19" t="inlineStr">
        <is>
          <t>Nivel 1: propuesta del comentario del desarrollador o de confianza alta, o regla de fecha/responsable/motivo.</t>
        </is>
      </c>
      <c r="AA745" s="18">
        <f>IF(OR(V745="Aprobada"),R745,IF(AND(OR(V745="Aprobada con ajuste",V745="Rechazada"),W745&lt;&gt;""),W745,""))</f>
        <v/>
      </c>
    </row>
    <row r="746">
      <c r="A746" s="18" t="inlineStr">
        <is>
          <t>C0745</t>
        </is>
      </c>
      <c r="B746" s="18" t="inlineStr">
        <is>
          <t>Gestión jurídica</t>
        </is>
      </c>
      <c r="C746" s="18" t="inlineStr">
        <is>
          <t>legal_management</t>
        </is>
      </c>
      <c r="D746" s="18" t="inlineStr">
        <is>
          <t>actas</t>
        </is>
      </c>
      <c r="E746" s="18" t="n">
        <v>0</v>
      </c>
      <c r="F746" s="18" t="inlineStr">
        <is>
          <t>fecha</t>
        </is>
      </c>
      <c r="G746" s="18" t="inlineStr">
        <is>
          <t>date</t>
        </is>
      </c>
      <c r="H746" s="18" t="inlineStr">
        <is>
          <t>Sí</t>
        </is>
      </c>
      <c r="I746" s="18" t="inlineStr"/>
      <c r="J746" s="18" t="inlineStr"/>
      <c r="K746" s="18" t="inlineStr"/>
      <c r="L746" s="18" t="inlineStr">
        <is>
          <t>No</t>
        </is>
      </c>
      <c r="M746" s="18" t="inlineStr">
        <is>
          <t>No</t>
        </is>
      </c>
      <c r="N746" s="18" t="inlineStr"/>
      <c r="O746" s="18" t="inlineStr"/>
      <c r="P746" s="18" t="inlineStr">
        <is>
          <t>Mapeada en legal-management-service/src/entities/acta.entity.ts:19 (Acta.fecha)</t>
        </is>
      </c>
      <c r="Q746" s="18" t="inlineStr">
        <is>
          <t>Propuesta semántica</t>
        </is>
      </c>
      <c r="R746" s="18" t="inlineStr">
        <is>
          <t>Fecha de la reunión o sesión que consta en el acta.</t>
        </is>
      </c>
      <c r="S746" s="18" t="inlineStr">
        <is>
          <t>Alta</t>
        </is>
      </c>
      <c r="T746" s="18" t="inlineStr">
        <is>
          <t>nombre + tipo + columnas vecinas</t>
        </is>
      </c>
      <c r="U746" s="18" t="inlineStr"/>
      <c r="V746" s="19" t="inlineStr">
        <is>
          <t>Aprobada</t>
        </is>
      </c>
      <c r="W746" s="19" t="inlineStr"/>
      <c r="X746" s="19" t="inlineStr">
        <is>
          <t>Aldair González (aprobación en bloque)</t>
        </is>
      </c>
      <c r="Y746" s="20" t="n">
        <v>46321</v>
      </c>
      <c r="Z746" s="19" t="inlineStr">
        <is>
          <t>Nivel 1: propuesta del comentario del desarrollador o de confianza alta, o regla de fecha/responsable/motivo.</t>
        </is>
      </c>
      <c r="AA746" s="18">
        <f>IF(OR(V746="Aprobada"),R746,IF(AND(OR(V746="Aprobada con ajuste",V746="Rechazada"),W746&lt;&gt;""),W746,""))</f>
        <v/>
      </c>
    </row>
    <row r="747">
      <c r="A747" s="18" t="inlineStr">
        <is>
          <t>C0746</t>
        </is>
      </c>
      <c r="B747" s="18" t="inlineStr">
        <is>
          <t>Gestión jurídica</t>
        </is>
      </c>
      <c r="C747" s="18" t="inlineStr">
        <is>
          <t>legal_management</t>
        </is>
      </c>
      <c r="D747" s="18" t="inlineStr">
        <is>
          <t>actas</t>
        </is>
      </c>
      <c r="E747" s="18" t="n">
        <v>0</v>
      </c>
      <c r="F747" s="18" t="inlineStr">
        <is>
          <t>horario</t>
        </is>
      </c>
      <c r="G747" s="18" t="inlineStr">
        <is>
          <t>character varying(50)</t>
        </is>
      </c>
      <c r="H747" s="18" t="inlineStr">
        <is>
          <t>Sí</t>
        </is>
      </c>
      <c r="I747" s="18" t="inlineStr"/>
      <c r="J747" s="18" t="inlineStr"/>
      <c r="K747" s="18" t="inlineStr"/>
      <c r="L747" s="18" t="inlineStr">
        <is>
          <t>No</t>
        </is>
      </c>
      <c r="M747" s="18" t="inlineStr">
        <is>
          <t>No</t>
        </is>
      </c>
      <c r="N747" s="18" t="inlineStr"/>
      <c r="O747" s="18" t="inlineStr"/>
      <c r="P747" s="18" t="inlineStr">
        <is>
          <t>Mapeada en legal-management-service/src/entities/acta.entity.ts:22 (Acta.horario)</t>
        </is>
      </c>
      <c r="Q747" s="18" t="inlineStr">
        <is>
          <t>Código fuente (verificado)</t>
        </is>
      </c>
      <c r="R747" s="18" t="inlineStr">
        <is>
          <t>Horario de la reunión registrada en el acta, en texto libre.</t>
        </is>
      </c>
      <c r="S747" s="18" t="inlineStr">
        <is>
          <t>Media</t>
        </is>
      </c>
      <c r="T747" s="18" t="inlineStr">
        <is>
          <t>legal-management-service/src/controllers/actas.controller.ts:110: toma body.horario sin validar formato | legal-management-service/src/entities/acta.entity.ts:22: columna de texto</t>
        </is>
      </c>
      <c r="U747" s="18" t="inlineStr">
        <is>
          <t>¿Qué formato tiene horario (por ejemplo, hora inicio–fin)?</t>
        </is>
      </c>
      <c r="V747" s="19" t="inlineStr">
        <is>
          <t>Aprobada</t>
        </is>
      </c>
      <c r="W747" s="19" t="inlineStr"/>
      <c r="X747" s="19" t="inlineStr">
        <is>
          <t>Aldair González (validación del responsable de BD)</t>
        </is>
      </c>
      <c r="Y747" s="20" t="n">
        <v>46321</v>
      </c>
      <c r="Z747" s="19" t="inlineStr">
        <is>
          <t>Nivel 3: validada por decisión del responsable de la base de datos. Pregunta registrada para desarrollo: ¿Qué formato tiene horario (por ejemplo, hora inicio–fin)?</t>
        </is>
      </c>
      <c r="AA747" s="18">
        <f>IF(OR(V747="Aprobada"),R747,IF(AND(OR(V747="Aprobada con ajuste",V747="Rechazada"),W747&lt;&gt;""),W747,""))</f>
        <v/>
      </c>
    </row>
    <row r="748">
      <c r="A748" s="18" t="inlineStr">
        <is>
          <t>C0747</t>
        </is>
      </c>
      <c r="B748" s="18" t="inlineStr">
        <is>
          <t>Gestión jurídica</t>
        </is>
      </c>
      <c r="C748" s="18" t="inlineStr">
        <is>
          <t>legal_management</t>
        </is>
      </c>
      <c r="D748" s="18" t="inlineStr">
        <is>
          <t>actas</t>
        </is>
      </c>
      <c r="E748" s="18" t="n">
        <v>0</v>
      </c>
      <c r="F748" s="18" t="inlineStr">
        <is>
          <t>duracion</t>
        </is>
      </c>
      <c r="G748" s="18" t="inlineStr">
        <is>
          <t>character varying(50)</t>
        </is>
      </c>
      <c r="H748" s="18" t="inlineStr">
        <is>
          <t>Sí</t>
        </is>
      </c>
      <c r="I748" s="18" t="inlineStr"/>
      <c r="J748" s="18" t="inlineStr"/>
      <c r="K748" s="18" t="inlineStr"/>
      <c r="L748" s="18" t="inlineStr">
        <is>
          <t>No</t>
        </is>
      </c>
      <c r="M748" s="18" t="inlineStr">
        <is>
          <t>No</t>
        </is>
      </c>
      <c r="N748" s="18" t="inlineStr"/>
      <c r="O748" s="18" t="inlineStr"/>
      <c r="P748" s="18" t="inlineStr">
        <is>
          <t>Mapeada en legal-management-service/src/entities/acta.entity.ts:25 (Acta.duracion)</t>
        </is>
      </c>
      <c r="Q748" s="18" t="inlineStr">
        <is>
          <t>Código fuente (verificado)</t>
        </is>
      </c>
      <c r="R748" s="18" t="inlineStr">
        <is>
          <t>Duración de la reunión registrada en el acta, en texto libre.</t>
        </is>
      </c>
      <c r="S748" s="18" t="inlineStr">
        <is>
          <t>Media</t>
        </is>
      </c>
      <c r="T748" s="18" t="inlineStr">
        <is>
          <t>legal-management-service/src/controllers/actas.controller.ts:111: toma body.duracion sin validar | legal-management-service/src/entities/acta.entity.ts:25: columna de texto</t>
        </is>
      </c>
      <c r="U748" s="18" t="inlineStr">
        <is>
          <t>¿En qué unidad o formato se registra la duración?</t>
        </is>
      </c>
      <c r="V748" s="19" t="inlineStr">
        <is>
          <t>Aprobada</t>
        </is>
      </c>
      <c r="W748" s="19" t="inlineStr"/>
      <c r="X748" s="19" t="inlineStr">
        <is>
          <t>Aldair González (validación del responsable de BD)</t>
        </is>
      </c>
      <c r="Y748" s="20" t="n">
        <v>46321</v>
      </c>
      <c r="Z748" s="19" t="inlineStr">
        <is>
          <t>Nivel 3: validada por decisión del responsable de la base de datos. Pregunta registrada para desarrollo: ¿En qué unidad o formato se registra la duración?</t>
        </is>
      </c>
      <c r="AA748" s="18">
        <f>IF(OR(V748="Aprobada"),R748,IF(AND(OR(V748="Aprobada con ajuste",V748="Rechazada"),W748&lt;&gt;""),W748,""))</f>
        <v/>
      </c>
    </row>
    <row r="749">
      <c r="A749" s="18" t="inlineStr">
        <is>
          <t>C0748</t>
        </is>
      </c>
      <c r="B749" s="18" t="inlineStr">
        <is>
          <t>Gestión jurídica</t>
        </is>
      </c>
      <c r="C749" s="18" t="inlineStr">
        <is>
          <t>legal_management</t>
        </is>
      </c>
      <c r="D749" s="18" t="inlineStr">
        <is>
          <t>actas</t>
        </is>
      </c>
      <c r="E749" s="18" t="n">
        <v>0</v>
      </c>
      <c r="F749" s="18" t="inlineStr">
        <is>
          <t>lugar</t>
        </is>
      </c>
      <c r="G749" s="18" t="inlineStr">
        <is>
          <t>character varying(255)</t>
        </is>
      </c>
      <c r="H749" s="18" t="inlineStr">
        <is>
          <t>Sí</t>
        </is>
      </c>
      <c r="I749" s="18" t="inlineStr"/>
      <c r="J749" s="18" t="inlineStr"/>
      <c r="K749" s="18" t="inlineStr"/>
      <c r="L749" s="18" t="inlineStr">
        <is>
          <t>No</t>
        </is>
      </c>
      <c r="M749" s="18" t="inlineStr">
        <is>
          <t>No</t>
        </is>
      </c>
      <c r="N749" s="18" t="inlineStr"/>
      <c r="O749" s="18" t="inlineStr"/>
      <c r="P749" s="18" t="inlineStr">
        <is>
          <t>Mapeada en legal-management-service/src/entities/acta.entity.ts:28 (Acta.lugar)</t>
        </is>
      </c>
      <c r="Q749" s="18" t="inlineStr">
        <is>
          <t>Propuesta semántica</t>
        </is>
      </c>
      <c r="R749" s="18" t="inlineStr">
        <is>
          <t>Lugar donde se realizó la reunión.</t>
        </is>
      </c>
      <c r="S749" s="18" t="inlineStr">
        <is>
          <t>Alta</t>
        </is>
      </c>
      <c r="T749" s="18" t="inlineStr">
        <is>
          <t>nombre + tipo + columnas vecinas</t>
        </is>
      </c>
      <c r="U749" s="18" t="inlineStr"/>
      <c r="V749" s="19" t="inlineStr">
        <is>
          <t>Aprobada</t>
        </is>
      </c>
      <c r="W749" s="19" t="inlineStr"/>
      <c r="X749" s="19" t="inlineStr">
        <is>
          <t>Aldair González (aprobación en bloque)</t>
        </is>
      </c>
      <c r="Y749" s="20" t="n">
        <v>46321</v>
      </c>
      <c r="Z749" s="19" t="inlineStr">
        <is>
          <t>Nivel 1: propuesta del comentario del desarrollador o de confianza alta, o regla de fecha/responsable/motivo.</t>
        </is>
      </c>
      <c r="AA749" s="18">
        <f>IF(OR(V749="Aprobada"),R749,IF(AND(OR(V749="Aprobada con ajuste",V749="Rechazada"),W749&lt;&gt;""),W749,""))</f>
        <v/>
      </c>
    </row>
    <row r="750">
      <c r="A750" s="18" t="inlineStr">
        <is>
          <t>C0749</t>
        </is>
      </c>
      <c r="B750" s="18" t="inlineStr">
        <is>
          <t>Gestión jurídica</t>
        </is>
      </c>
      <c r="C750" s="18" t="inlineStr">
        <is>
          <t>legal_management</t>
        </is>
      </c>
      <c r="D750" s="18" t="inlineStr">
        <is>
          <t>actas</t>
        </is>
      </c>
      <c r="E750" s="18" t="n">
        <v>0</v>
      </c>
      <c r="F750" s="18" t="inlineStr">
        <is>
          <t>presidente</t>
        </is>
      </c>
      <c r="G750" s="18" t="inlineStr">
        <is>
          <t>character varying(255)</t>
        </is>
      </c>
      <c r="H750" s="18" t="inlineStr">
        <is>
          <t>Sí</t>
        </is>
      </c>
      <c r="I750" s="18" t="inlineStr"/>
      <c r="J750" s="18" t="inlineStr"/>
      <c r="K750" s="18" t="inlineStr"/>
      <c r="L750" s="18" t="inlineStr">
        <is>
          <t>No</t>
        </is>
      </c>
      <c r="M750" s="18" t="inlineStr">
        <is>
          <t>No</t>
        </is>
      </c>
      <c r="N750" s="18" t="inlineStr"/>
      <c r="O750" s="18" t="inlineStr"/>
      <c r="P750" s="18" t="inlineStr">
        <is>
          <t>Mapeada en legal-management-service/src/entities/acta.entity.ts:31 (Acta.presidente)</t>
        </is>
      </c>
      <c r="Q750" s="18" t="inlineStr">
        <is>
          <t>Propuesta semántica</t>
        </is>
      </c>
      <c r="R750" s="18" t="inlineStr">
        <is>
          <t>Nombre de quien presidió la reunión.</t>
        </is>
      </c>
      <c r="S750" s="18" t="inlineStr">
        <is>
          <t>Alta</t>
        </is>
      </c>
      <c r="T750" s="18" t="inlineStr">
        <is>
          <t>nombre + tipo + columnas vecinas</t>
        </is>
      </c>
      <c r="U750" s="18" t="inlineStr"/>
      <c r="V750" s="19" t="inlineStr">
        <is>
          <t>Aprobada</t>
        </is>
      </c>
      <c r="W750" s="19" t="inlineStr"/>
      <c r="X750" s="19" t="inlineStr">
        <is>
          <t>Aldair González (aprobación en bloque)</t>
        </is>
      </c>
      <c r="Y750" s="20" t="n">
        <v>46321</v>
      </c>
      <c r="Z750" s="19" t="inlineStr">
        <is>
          <t>Nivel 1: propuesta del comentario del desarrollador o de confianza alta, o regla de fecha/responsable/motivo.</t>
        </is>
      </c>
      <c r="AA750" s="18">
        <f>IF(OR(V750="Aprobada"),R750,IF(AND(OR(V750="Aprobada con ajuste",V750="Rechazada"),W750&lt;&gt;""),W750,""))</f>
        <v/>
      </c>
    </row>
    <row r="751">
      <c r="A751" s="18" t="inlineStr">
        <is>
          <t>C0750</t>
        </is>
      </c>
      <c r="B751" s="18" t="inlineStr">
        <is>
          <t>Gestión jurídica</t>
        </is>
      </c>
      <c r="C751" s="18" t="inlineStr">
        <is>
          <t>legal_management</t>
        </is>
      </c>
      <c r="D751" s="18" t="inlineStr">
        <is>
          <t>actas</t>
        </is>
      </c>
      <c r="E751" s="18" t="n">
        <v>0</v>
      </c>
      <c r="F751" s="18" t="inlineStr">
        <is>
          <t>participantes</t>
        </is>
      </c>
      <c r="G751" s="18" t="inlineStr">
        <is>
          <t>text</t>
        </is>
      </c>
      <c r="H751" s="18" t="inlineStr">
        <is>
          <t>Sí</t>
        </is>
      </c>
      <c r="I751" s="18" t="inlineStr"/>
      <c r="J751" s="18" t="inlineStr"/>
      <c r="K751" s="18" t="inlineStr"/>
      <c r="L751" s="18" t="inlineStr">
        <is>
          <t>No</t>
        </is>
      </c>
      <c r="M751" s="18" t="inlineStr">
        <is>
          <t>No</t>
        </is>
      </c>
      <c r="N751" s="18" t="inlineStr"/>
      <c r="O751" s="18" t="inlineStr"/>
      <c r="P751" s="18" t="inlineStr">
        <is>
          <t>db/migrations/old/047_create_evidencias_actas.sql:28: Can store JSON or comma-separated list</t>
        </is>
      </c>
      <c r="Q751" s="18" t="inlineStr">
        <is>
          <t>Código fuente (verificado)</t>
        </is>
      </c>
      <c r="R751" s="18" t="inlineStr">
        <is>
          <t>Participantes del acta, guardados como JSON o como lista separada por comas.</t>
        </is>
      </c>
      <c r="S751" s="18" t="inlineStr">
        <is>
          <t>Media</t>
        </is>
      </c>
      <c r="T751" s="18" t="inlineStr">
        <is>
          <t>legal-management-service/src/controllers/actas.controller.ts:114: guarda body.participantes tal como llega | db/migrations/old/047_create_evidencias_actas.sql:28: admite JSON o lista separada por comas</t>
        </is>
      </c>
      <c r="U751" s="18" t="inlineStr">
        <is>
          <t>¿Qué formato envía hoy el frontend al guardar los participantes: JSON o lista separada por comas?</t>
        </is>
      </c>
      <c r="V751" s="19" t="inlineStr">
        <is>
          <t>Aprobada</t>
        </is>
      </c>
      <c r="W751" s="19" t="inlineStr"/>
      <c r="X751" s="19" t="inlineStr">
        <is>
          <t>Aldair González (validación del responsable de BD)</t>
        </is>
      </c>
      <c r="Y751" s="20" t="n">
        <v>46321</v>
      </c>
      <c r="Z751" s="19" t="inlineStr">
        <is>
          <t>Nivel 3: validada por decisión del responsable de la base de datos. Pregunta registrada para desarrollo: ¿Qué formato envía hoy el frontend al guardar los participantes: JSON o lista separada por comas?</t>
        </is>
      </c>
      <c r="AA751" s="18">
        <f>IF(OR(V751="Aprobada"),R751,IF(AND(OR(V751="Aprobada con ajuste",V751="Rechazada"),W751&lt;&gt;""),W751,""))</f>
        <v/>
      </c>
    </row>
    <row r="752">
      <c r="A752" s="18" t="inlineStr">
        <is>
          <t>C0751</t>
        </is>
      </c>
      <c r="B752" s="18" t="inlineStr">
        <is>
          <t>Gestión jurídica</t>
        </is>
      </c>
      <c r="C752" s="18" t="inlineStr">
        <is>
          <t>legal_management</t>
        </is>
      </c>
      <c r="D752" s="18" t="inlineStr">
        <is>
          <t>actas</t>
        </is>
      </c>
      <c r="E752" s="18" t="n">
        <v>0</v>
      </c>
      <c r="F752" s="18" t="inlineStr">
        <is>
          <t>resumen</t>
        </is>
      </c>
      <c r="G752" s="18" t="inlineStr">
        <is>
          <t>text</t>
        </is>
      </c>
      <c r="H752" s="18" t="inlineStr">
        <is>
          <t>Sí</t>
        </is>
      </c>
      <c r="I752" s="18" t="inlineStr"/>
      <c r="J752" s="18" t="inlineStr"/>
      <c r="K752" s="18" t="inlineStr"/>
      <c r="L752" s="18" t="inlineStr">
        <is>
          <t>No</t>
        </is>
      </c>
      <c r="M752" s="18" t="inlineStr">
        <is>
          <t>No</t>
        </is>
      </c>
      <c r="N752" s="18" t="inlineStr"/>
      <c r="O752" s="18" t="inlineStr"/>
      <c r="P752" s="18" t="inlineStr">
        <is>
          <t>Mapeada en legal-management-service/src/entities/acta.entity.ts:37 (Acta.resumen)</t>
        </is>
      </c>
      <c r="Q752" s="18" t="inlineStr">
        <is>
          <t>Propuesta semántica</t>
        </is>
      </c>
      <c r="R752" s="18" t="inlineStr">
        <is>
          <t>Resumen del contenido del acta.</t>
        </is>
      </c>
      <c r="S752" s="18" t="inlineStr">
        <is>
          <t>Alta</t>
        </is>
      </c>
      <c r="T752" s="18" t="inlineStr">
        <is>
          <t>nombre + tipo + columnas vecinas</t>
        </is>
      </c>
      <c r="U752" s="18" t="inlineStr"/>
      <c r="V752" s="19" t="inlineStr">
        <is>
          <t>Aprobada</t>
        </is>
      </c>
      <c r="W752" s="19" t="inlineStr"/>
      <c r="X752" s="19" t="inlineStr">
        <is>
          <t>Aldair González (aprobación en bloque)</t>
        </is>
      </c>
      <c r="Y752" s="20" t="n">
        <v>46321</v>
      </c>
      <c r="Z752" s="19" t="inlineStr">
        <is>
          <t>Nivel 1: propuesta del comentario del desarrollador o de confianza alta, o regla de fecha/responsable/motivo.</t>
        </is>
      </c>
      <c r="AA752" s="18">
        <f>IF(OR(V752="Aprobada"),R752,IF(AND(OR(V752="Aprobada con ajuste",V752="Rechazada"),W752&lt;&gt;""),W752,""))</f>
        <v/>
      </c>
    </row>
    <row r="753">
      <c r="A753" s="18" t="inlineStr">
        <is>
          <t>C0752</t>
        </is>
      </c>
      <c r="B753" s="18" t="inlineStr">
        <is>
          <t>Gestión jurídica</t>
        </is>
      </c>
      <c r="C753" s="18" t="inlineStr">
        <is>
          <t>legal_management</t>
        </is>
      </c>
      <c r="D753" s="18" t="inlineStr">
        <is>
          <t>actas</t>
        </is>
      </c>
      <c r="E753" s="18" t="n">
        <v>0</v>
      </c>
      <c r="F753" s="18" t="inlineStr">
        <is>
          <t>decisiones_tomadas</t>
        </is>
      </c>
      <c r="G753" s="18" t="inlineStr">
        <is>
          <t>text</t>
        </is>
      </c>
      <c r="H753" s="18" t="inlineStr">
        <is>
          <t>Sí</t>
        </is>
      </c>
      <c r="I753" s="18" t="inlineStr"/>
      <c r="J753" s="18" t="inlineStr"/>
      <c r="K753" s="18" t="inlineStr"/>
      <c r="L753" s="18" t="inlineStr">
        <is>
          <t>No</t>
        </is>
      </c>
      <c r="M753" s="18" t="inlineStr">
        <is>
          <t>No</t>
        </is>
      </c>
      <c r="N753" s="18" t="inlineStr"/>
      <c r="O753" s="18" t="inlineStr"/>
      <c r="P753" s="18" t="inlineStr">
        <is>
          <t>Mapeada en legal-management-service/src/entities/acta.entity.ts:40 (Acta.decisionesTomadas)</t>
        </is>
      </c>
      <c r="Q753" s="18" t="inlineStr">
        <is>
          <t>Propuesta semántica</t>
        </is>
      </c>
      <c r="R753" s="18" t="inlineStr">
        <is>
          <t>Decisiones tomadas en la reunión.</t>
        </is>
      </c>
      <c r="S753" s="18" t="inlineStr">
        <is>
          <t>Alta</t>
        </is>
      </c>
      <c r="T753" s="18" t="inlineStr">
        <is>
          <t>nombre + tipo + columnas vecinas</t>
        </is>
      </c>
      <c r="U753" s="18" t="inlineStr"/>
      <c r="V753" s="19" t="inlineStr">
        <is>
          <t>Aprobada</t>
        </is>
      </c>
      <c r="W753" s="19" t="inlineStr"/>
      <c r="X753" s="19" t="inlineStr">
        <is>
          <t>Aldair González (aprobación en bloque)</t>
        </is>
      </c>
      <c r="Y753" s="20" t="n">
        <v>46321</v>
      </c>
      <c r="Z753" s="19" t="inlineStr">
        <is>
          <t>Nivel 1: propuesta del comentario del desarrollador o de confianza alta, o regla de fecha/responsable/motivo.</t>
        </is>
      </c>
      <c r="AA753" s="18">
        <f>IF(OR(V753="Aprobada"),R753,IF(AND(OR(V753="Aprobada con ajuste",V753="Rechazada"),W753&lt;&gt;""),W753,""))</f>
        <v/>
      </c>
    </row>
    <row r="754">
      <c r="A754" s="18" t="inlineStr">
        <is>
          <t>C0753</t>
        </is>
      </c>
      <c r="B754" s="18" t="inlineStr">
        <is>
          <t>Gestión jurídica</t>
        </is>
      </c>
      <c r="C754" s="18" t="inlineStr">
        <is>
          <t>legal_management</t>
        </is>
      </c>
      <c r="D754" s="18" t="inlineStr">
        <is>
          <t>actas</t>
        </is>
      </c>
      <c r="E754" s="18" t="n">
        <v>0</v>
      </c>
      <c r="F754" s="18" t="inlineStr">
        <is>
          <t>estado</t>
        </is>
      </c>
      <c r="G754" s="18" t="inlineStr">
        <is>
          <t>character varying(50)</t>
        </is>
      </c>
      <c r="H754" s="18" t="inlineStr">
        <is>
          <t>Sí</t>
        </is>
      </c>
      <c r="I754" s="18" t="inlineStr">
        <is>
          <t>CHECK</t>
        </is>
      </c>
      <c r="J754" s="18" t="inlineStr">
        <is>
          <t>Firmada, Programada</t>
        </is>
      </c>
      <c r="K754" s="18" t="inlineStr"/>
      <c r="L754" s="18" t="inlineStr">
        <is>
          <t>Sí</t>
        </is>
      </c>
      <c r="M754" s="18" t="inlineStr">
        <is>
          <t>No</t>
        </is>
      </c>
      <c r="N754" s="18" t="inlineStr"/>
      <c r="O754" s="18" t="inlineStr"/>
      <c r="P754" s="18" t="inlineStr">
        <is>
          <t>Mapeada en legal-management-service/src/entities/acta.entity.ts:43 (Acta.estado)</t>
        </is>
      </c>
      <c r="Q754" s="18" t="inlineStr">
        <is>
          <t>Regla estructural (redacción revisada)</t>
        </is>
      </c>
      <c r="R754" s="18" t="inlineStr">
        <is>
          <t>Estado del acta (Firmada o Programada).</t>
        </is>
      </c>
      <c r="S754" s="18" t="inlineStr">
        <is>
          <t>Alta</t>
        </is>
      </c>
      <c r="T754" s="18" t="inlineStr">
        <is>
          <t>Convención de nombre, redactada con el contexto de la tabla y el código.</t>
        </is>
      </c>
      <c r="U754" s="18" t="inlineStr"/>
      <c r="V754" s="19" t="inlineStr">
        <is>
          <t>Aprobada</t>
        </is>
      </c>
      <c r="W754" s="19" t="inlineStr"/>
      <c r="X754" s="19" t="inlineStr">
        <is>
          <t>Aldair González (aprobación en bloque)</t>
        </is>
      </c>
      <c r="Y754" s="20" t="n">
        <v>46321</v>
      </c>
      <c r="Z754" s="19" t="inlineStr">
        <is>
          <t>Nivel 2: regla estructural con redacción revisada.</t>
        </is>
      </c>
      <c r="AA754" s="18">
        <f>IF(OR(V754="Aprobada"),R754,IF(AND(OR(V754="Aprobada con ajuste",V754="Rechazada"),W754&lt;&gt;""),W754,""))</f>
        <v/>
      </c>
    </row>
    <row r="755">
      <c r="A755" s="18" t="inlineStr">
        <is>
          <t>C0754</t>
        </is>
      </c>
      <c r="B755" s="18" t="inlineStr">
        <is>
          <t>Gestión jurídica</t>
        </is>
      </c>
      <c r="C755" s="18" t="inlineStr">
        <is>
          <t>legal_management</t>
        </is>
      </c>
      <c r="D755" s="18" t="inlineStr">
        <is>
          <t>actas</t>
        </is>
      </c>
      <c r="E755" s="18" t="n">
        <v>0</v>
      </c>
      <c r="F755" s="18" t="inlineStr">
        <is>
          <t>archivo_nombre</t>
        </is>
      </c>
      <c r="G755" s="18" t="inlineStr">
        <is>
          <t>character varying(255)</t>
        </is>
      </c>
      <c r="H755" s="18" t="inlineStr">
        <is>
          <t>Sí</t>
        </is>
      </c>
      <c r="I755" s="18" t="inlineStr"/>
      <c r="J755" s="18" t="inlineStr"/>
      <c r="K755" s="18" t="inlineStr"/>
      <c r="L755" s="18" t="inlineStr">
        <is>
          <t>No</t>
        </is>
      </c>
      <c r="M755" s="18" t="inlineStr">
        <is>
          <t>No</t>
        </is>
      </c>
      <c r="N755" s="18" t="inlineStr"/>
      <c r="O755" s="18" t="inlineStr"/>
      <c r="P755" s="18" t="inlineStr">
        <is>
          <t>Mapeada en legal-management-service/src/entities/acta.entity.ts:46 (Acta.archivoNombre)</t>
        </is>
      </c>
      <c r="Q755" s="18" t="inlineStr">
        <is>
          <t>Propuesta semántica</t>
        </is>
      </c>
      <c r="R755" s="18" t="inlineStr">
        <is>
          <t>Nombre del archivo del acta.</t>
        </is>
      </c>
      <c r="S755" s="18" t="inlineStr">
        <is>
          <t>Alta</t>
        </is>
      </c>
      <c r="T755" s="18" t="inlineStr">
        <is>
          <t>nombre + tipo + columnas vecinas (archivo_url)</t>
        </is>
      </c>
      <c r="U755" s="18" t="inlineStr"/>
      <c r="V755" s="19" t="inlineStr">
        <is>
          <t>Aprobada</t>
        </is>
      </c>
      <c r="W755" s="19" t="inlineStr"/>
      <c r="X755" s="19" t="inlineStr">
        <is>
          <t>Aldair González (aprobación en bloque)</t>
        </is>
      </c>
      <c r="Y755" s="20" t="n">
        <v>46321</v>
      </c>
      <c r="Z755" s="19" t="inlineStr">
        <is>
          <t>Nivel 1: propuesta del comentario del desarrollador o de confianza alta, o regla de fecha/responsable/motivo.</t>
        </is>
      </c>
      <c r="AA755" s="18">
        <f>IF(OR(V755="Aprobada"),R755,IF(AND(OR(V755="Aprobada con ajuste",V755="Rechazada"),W755&lt;&gt;""),W755,""))</f>
        <v/>
      </c>
    </row>
    <row r="756">
      <c r="A756" s="18" t="inlineStr">
        <is>
          <t>C0755</t>
        </is>
      </c>
      <c r="B756" s="18" t="inlineStr">
        <is>
          <t>Gestión jurídica</t>
        </is>
      </c>
      <c r="C756" s="18" t="inlineStr">
        <is>
          <t>legal_management</t>
        </is>
      </c>
      <c r="D756" s="18" t="inlineStr">
        <is>
          <t>actas</t>
        </is>
      </c>
      <c r="E756" s="18" t="n">
        <v>0</v>
      </c>
      <c r="F756" s="18" t="inlineStr">
        <is>
          <t>archivo_url</t>
        </is>
      </c>
      <c r="G756" s="18" t="inlineStr">
        <is>
          <t>text</t>
        </is>
      </c>
      <c r="H756" s="18" t="inlineStr">
        <is>
          <t>Sí</t>
        </is>
      </c>
      <c r="I756" s="18" t="inlineStr"/>
      <c r="J756" s="18" t="inlineStr"/>
      <c r="K756" s="18" t="inlineStr"/>
      <c r="L756" s="18" t="inlineStr">
        <is>
          <t>No</t>
        </is>
      </c>
      <c r="M756" s="18" t="inlineStr">
        <is>
          <t>No</t>
        </is>
      </c>
      <c r="N756" s="18" t="inlineStr"/>
      <c r="O756" s="18" t="inlineStr"/>
      <c r="P756" s="18" t="inlineStr">
        <is>
          <t>Mapeada en legal-management-service/src/entities/acta.entity.ts:49 (Acta.archivoUrl)</t>
        </is>
      </c>
      <c r="Q756" s="18" t="inlineStr">
        <is>
          <t>Propuesta semántica</t>
        </is>
      </c>
      <c r="R756" s="18" t="inlineStr">
        <is>
          <t>URL del archivo del acta.</t>
        </is>
      </c>
      <c r="S756" s="18" t="inlineStr">
        <is>
          <t>Alta</t>
        </is>
      </c>
      <c r="T756" s="18" t="inlineStr">
        <is>
          <t>nombre + tipo + columnas vecinas</t>
        </is>
      </c>
      <c r="U756" s="18" t="inlineStr"/>
      <c r="V756" s="19" t="inlineStr">
        <is>
          <t>Aprobada</t>
        </is>
      </c>
      <c r="W756" s="19" t="inlineStr"/>
      <c r="X756" s="19" t="inlineStr">
        <is>
          <t>Aldair González (aprobación en bloque)</t>
        </is>
      </c>
      <c r="Y756" s="20" t="n">
        <v>46321</v>
      </c>
      <c r="Z756" s="19" t="inlineStr">
        <is>
          <t>Nivel 1: propuesta del comentario del desarrollador o de confianza alta, o regla de fecha/responsable/motivo.</t>
        </is>
      </c>
      <c r="AA756" s="18">
        <f>IF(OR(V756="Aprobada"),R756,IF(AND(OR(V756="Aprobada con ajuste",V756="Rechazada"),W756&lt;&gt;""),W756,""))</f>
        <v/>
      </c>
    </row>
    <row r="757">
      <c r="A757" s="18" t="inlineStr">
        <is>
          <t>C0756</t>
        </is>
      </c>
      <c r="B757" s="18" t="inlineStr">
        <is>
          <t>Gestión jurídica</t>
        </is>
      </c>
      <c r="C757" s="18" t="inlineStr">
        <is>
          <t>legal_management</t>
        </is>
      </c>
      <c r="D757" s="18" t="inlineStr">
        <is>
          <t>actas</t>
        </is>
      </c>
      <c r="E757" s="18" t="n">
        <v>0</v>
      </c>
      <c r="F757" s="18" t="inlineStr">
        <is>
          <t>archivo_tamano</t>
        </is>
      </c>
      <c r="G757" s="18" t="inlineStr">
        <is>
          <t>integer</t>
        </is>
      </c>
      <c r="H757" s="18" t="inlineStr">
        <is>
          <t>Sí</t>
        </is>
      </c>
      <c r="I757" s="18" t="inlineStr"/>
      <c r="J757" s="18" t="inlineStr"/>
      <c r="K757" s="18" t="inlineStr"/>
      <c r="L757" s="18" t="inlineStr">
        <is>
          <t>No</t>
        </is>
      </c>
      <c r="M757" s="18" t="inlineStr">
        <is>
          <t>No</t>
        </is>
      </c>
      <c r="N757" s="18" t="inlineStr"/>
      <c r="O757" s="18" t="inlineStr"/>
      <c r="P757" s="18" t="inlineStr">
        <is>
          <t>Mapeada en legal-management-service/src/entities/acta.entity.ts:52 (Acta.archivoTamano)</t>
        </is>
      </c>
      <c r="Q757" s="18" t="inlineStr">
        <is>
          <t>Código fuente (verificado)</t>
        </is>
      </c>
      <c r="R757" s="18" t="inlineStr">
        <is>
          <t>Tamaño del archivo del acta, en bytes.</t>
        </is>
      </c>
      <c r="S757" s="18" t="inlineStr">
        <is>
          <t>Alta</t>
        </is>
      </c>
      <c r="T757" s="18" t="inlineStr">
        <is>
          <t>legal-management-service/src/services/actas.service.ts:57: archivoTamano = file.size (Multer, bytes) | legal-management-service/src/services/actas.service.ts:108: idem al reemplazar el archivo</t>
        </is>
      </c>
      <c r="U757" s="18" t="inlineStr"/>
      <c r="V757" s="19" t="inlineStr">
        <is>
          <t>Aprobada</t>
        </is>
      </c>
      <c r="W757" s="19" t="inlineStr"/>
      <c r="X757" s="19" t="inlineStr">
        <is>
          <t>Aldair González (aprobación en bloque)</t>
        </is>
      </c>
      <c r="Y757" s="20" t="n">
        <v>46321</v>
      </c>
      <c r="Z757" s="19" t="inlineStr">
        <is>
          <t>Nivel 3: verificada con el código de la aplicación.</t>
        </is>
      </c>
      <c r="AA757" s="18">
        <f>IF(OR(V757="Aprobada"),R757,IF(AND(OR(V757="Aprobada con ajuste",V757="Rechazada"),W757&lt;&gt;""),W757,""))</f>
        <v/>
      </c>
    </row>
    <row r="758">
      <c r="A758" s="18" t="inlineStr">
        <is>
          <t>C0757</t>
        </is>
      </c>
      <c r="B758" s="18" t="inlineStr">
        <is>
          <t>Gestión jurídica</t>
        </is>
      </c>
      <c r="C758" s="18" t="inlineStr">
        <is>
          <t>legal_management</t>
        </is>
      </c>
      <c r="D758" s="18" t="inlineStr">
        <is>
          <t>actas</t>
        </is>
      </c>
      <c r="E758" s="18" t="n">
        <v>0</v>
      </c>
      <c r="F758" s="18" t="inlineStr">
        <is>
          <t>tipo</t>
        </is>
      </c>
      <c r="G758" s="18" t="inlineStr">
        <is>
          <t>character varying(100)</t>
        </is>
      </c>
      <c r="H758" s="18" t="inlineStr">
        <is>
          <t>Sí</t>
        </is>
      </c>
      <c r="I758" s="18" t="inlineStr"/>
      <c r="J758" s="18" t="inlineStr"/>
      <c r="K758" s="18" t="inlineStr"/>
      <c r="L758" s="18" t="inlineStr">
        <is>
          <t>No</t>
        </is>
      </c>
      <c r="M758" s="18" t="inlineStr">
        <is>
          <t>No</t>
        </is>
      </c>
      <c r="N758" s="18" t="inlineStr"/>
      <c r="O758" s="18" t="inlineStr"/>
      <c r="P758" s="18" t="inlineStr">
        <is>
          <t>Mapeada en legal-management-service/src/entities/acta.entity.ts:55 (Acta.tipo)</t>
        </is>
      </c>
      <c r="Q758" s="18" t="inlineStr">
        <is>
          <t>Regla estructural (redacción revisada)</t>
        </is>
      </c>
      <c r="R758" s="18" t="inlineStr">
        <is>
          <t>Tipo de acta.</t>
        </is>
      </c>
      <c r="S758" s="18" t="inlineStr">
        <is>
          <t>Alta</t>
        </is>
      </c>
      <c r="T758" s="18" t="inlineStr">
        <is>
          <t>Convención de nombre, redactada con el contexto de la tabla y el código.</t>
        </is>
      </c>
      <c r="U758" s="18" t="inlineStr"/>
      <c r="V758" s="19" t="inlineStr">
        <is>
          <t>Aprobada</t>
        </is>
      </c>
      <c r="W758" s="19" t="inlineStr"/>
      <c r="X758" s="19" t="inlineStr">
        <is>
          <t>Aldair González (aprobación en bloque)</t>
        </is>
      </c>
      <c r="Y758" s="20" t="n">
        <v>46321</v>
      </c>
      <c r="Z758" s="19" t="inlineStr">
        <is>
          <t>Nivel 2: regla estructural con redacción revisada.</t>
        </is>
      </c>
      <c r="AA758" s="18">
        <f>IF(OR(V758="Aprobada"),R758,IF(AND(OR(V758="Aprobada con ajuste",V758="Rechazada"),W758&lt;&gt;""),W758,""))</f>
        <v/>
      </c>
    </row>
    <row r="759">
      <c r="A759" s="18" t="inlineStr">
        <is>
          <t>C0758</t>
        </is>
      </c>
      <c r="B759" s="18" t="inlineStr">
        <is>
          <t>Gestión jurídica</t>
        </is>
      </c>
      <c r="C759" s="18" t="inlineStr">
        <is>
          <t>legal_management</t>
        </is>
      </c>
      <c r="D759" s="18" t="inlineStr">
        <is>
          <t>actors</t>
        </is>
      </c>
      <c r="E759" s="18" t="n">
        <v>168</v>
      </c>
      <c r="F759" s="18" t="inlineStr">
        <is>
          <t>nombre</t>
        </is>
      </c>
      <c r="G759" s="18" t="inlineStr">
        <is>
          <t>character varying(255)</t>
        </is>
      </c>
      <c r="H759" s="18" t="inlineStr">
        <is>
          <t>No</t>
        </is>
      </c>
      <c r="I759" s="18" t="inlineStr"/>
      <c r="J759" s="18" t="inlineStr"/>
      <c r="K759" s="18" t="inlineStr"/>
      <c r="L759" s="18" t="inlineStr">
        <is>
          <t>No</t>
        </is>
      </c>
      <c r="M759" s="18" t="inlineStr">
        <is>
          <t>No</t>
        </is>
      </c>
      <c r="N759" s="18" t="inlineStr"/>
      <c r="O759" s="18" t="inlineStr"/>
      <c r="P759" s="18" t="inlineStr">
        <is>
          <t>Mapeada en legal-management-service/src/entities/actor.entity.ts:17 (Actor.nombre)</t>
        </is>
      </c>
      <c r="Q759" s="18" t="inlineStr">
        <is>
          <t>Regla estructural (redacción revisada)</t>
        </is>
      </c>
      <c r="R759" s="18" t="inlineStr">
        <is>
          <t>Nombre del actor del expediente.</t>
        </is>
      </c>
      <c r="S759" s="18" t="inlineStr">
        <is>
          <t>Alta</t>
        </is>
      </c>
      <c r="T759" s="18" t="inlineStr">
        <is>
          <t>Convención de nombre, redactada con el contexto de la tabla y el código.</t>
        </is>
      </c>
      <c r="U759" s="18" t="inlineStr"/>
      <c r="V759" s="19" t="inlineStr">
        <is>
          <t>Aprobada</t>
        </is>
      </c>
      <c r="W759" s="19" t="inlineStr"/>
      <c r="X759" s="19" t="inlineStr">
        <is>
          <t>Aldair González (aprobación en bloque)</t>
        </is>
      </c>
      <c r="Y759" s="20" t="n">
        <v>46321</v>
      </c>
      <c r="Z759" s="19" t="inlineStr">
        <is>
          <t>Nivel 2: regla estructural con redacción revisada.</t>
        </is>
      </c>
      <c r="AA759" s="18">
        <f>IF(OR(V759="Aprobada"),R759,IF(AND(OR(V759="Aprobada con ajuste",V759="Rechazada"),W759&lt;&gt;""),W759,""))</f>
        <v/>
      </c>
    </row>
    <row r="760">
      <c r="A760" s="18" t="inlineStr">
        <is>
          <t>C0759</t>
        </is>
      </c>
      <c r="B760" s="18" t="inlineStr">
        <is>
          <t>Gestión jurídica</t>
        </is>
      </c>
      <c r="C760" s="18" t="inlineStr">
        <is>
          <t>legal_management</t>
        </is>
      </c>
      <c r="D760" s="18" t="inlineStr">
        <is>
          <t>actors</t>
        </is>
      </c>
      <c r="E760" s="18" t="n">
        <v>168</v>
      </c>
      <c r="F760" s="18" t="inlineStr">
        <is>
          <t>tipo_persona</t>
        </is>
      </c>
      <c r="G760" s="18" t="inlineStr">
        <is>
          <t>character varying(50)</t>
        </is>
      </c>
      <c r="H760" s="18" t="inlineStr">
        <is>
          <t>No</t>
        </is>
      </c>
      <c r="I760" s="18" t="inlineStr"/>
      <c r="J760" s="18" t="inlineStr"/>
      <c r="K760" s="18" t="inlineStr"/>
      <c r="L760" s="18" t="inlineStr">
        <is>
          <t>No</t>
        </is>
      </c>
      <c r="M760" s="18" t="inlineStr">
        <is>
          <t>No</t>
        </is>
      </c>
      <c r="N760" s="18" t="inlineStr"/>
      <c r="O760" s="18" t="inlineStr"/>
      <c r="P760" s="18" t="inlineStr">
        <is>
          <t>legal-management-service/src/entities/actor.entity.ts:20: NATURAL, JURIDICA | db/migrations/110_add_actors_table.sql:9: NATURAL, JURIDICA</t>
        </is>
      </c>
      <c r="Q760" s="18" t="inlineStr">
        <is>
          <t>Código fuente</t>
        </is>
      </c>
      <c r="R760" s="18" t="inlineStr">
        <is>
          <t>Tipo de persona del actor. Valores: NATURAL, JURIDICA.</t>
        </is>
      </c>
      <c r="S760" s="18" t="inlineStr">
        <is>
          <t>Alta</t>
        </is>
      </c>
      <c r="T760" s="18" t="inlineStr">
        <is>
          <t>código: actor.entity.ts:20</t>
        </is>
      </c>
      <c r="U760" s="18" t="inlineStr"/>
      <c r="V760" s="19" t="inlineStr">
        <is>
          <t>Aprobada</t>
        </is>
      </c>
      <c r="W760" s="19" t="inlineStr"/>
      <c r="X760" s="19" t="inlineStr">
        <is>
          <t>Aldair González (aprobación en bloque)</t>
        </is>
      </c>
      <c r="Y760" s="20" t="n">
        <v>46321</v>
      </c>
      <c r="Z760" s="19" t="inlineStr">
        <is>
          <t>Nivel 1: propuesta del comentario del desarrollador o de confianza alta, o regla de fecha/responsable/motivo.</t>
        </is>
      </c>
      <c r="AA760" s="18">
        <f>IF(OR(V760="Aprobada"),R760,IF(AND(OR(V760="Aprobada con ajuste",V760="Rechazada"),W760&lt;&gt;""),W760,""))</f>
        <v/>
      </c>
    </row>
    <row r="761">
      <c r="A761" s="18" t="inlineStr">
        <is>
          <t>C0760</t>
        </is>
      </c>
      <c r="B761" s="18" t="inlineStr">
        <is>
          <t>Gestión jurídica</t>
        </is>
      </c>
      <c r="C761" s="18" t="inlineStr">
        <is>
          <t>legal_management</t>
        </is>
      </c>
      <c r="D761" s="18" t="inlineStr">
        <is>
          <t>actors</t>
        </is>
      </c>
      <c r="E761" s="18" t="n">
        <v>168</v>
      </c>
      <c r="F761" s="18" t="inlineStr">
        <is>
          <t>identificacion</t>
        </is>
      </c>
      <c r="G761" s="18" t="inlineStr">
        <is>
          <t>character varying(50)</t>
        </is>
      </c>
      <c r="H761" s="18" t="inlineStr">
        <is>
          <t>Sí</t>
        </is>
      </c>
      <c r="I761" s="18" t="inlineStr"/>
      <c r="J761" s="18" t="inlineStr"/>
      <c r="K761" s="18" t="inlineStr"/>
      <c r="L761" s="18" t="inlineStr">
        <is>
          <t>No</t>
        </is>
      </c>
      <c r="M761" s="18" t="inlineStr">
        <is>
          <t>No</t>
        </is>
      </c>
      <c r="N761" s="18" t="inlineStr"/>
      <c r="O761" s="18" t="inlineStr"/>
      <c r="P761" s="18" t="inlineStr">
        <is>
          <t>Mapeada en legal-management-service/src/entities/actor.entity.ts:23 (Actor.identificacion)</t>
        </is>
      </c>
      <c r="Q761" s="18" t="inlineStr">
        <is>
          <t>Regla estructural (redacción revisada)</t>
        </is>
      </c>
      <c r="R761" s="18" t="inlineStr">
        <is>
          <t>Número de identificación del actor del expediente.</t>
        </is>
      </c>
      <c r="S761" s="18" t="inlineStr">
        <is>
          <t>Alta</t>
        </is>
      </c>
      <c r="T761" s="18" t="inlineStr">
        <is>
          <t>Convención de nombre, redactada con el contexto de la tabla y el código.</t>
        </is>
      </c>
      <c r="U761" s="18" t="inlineStr"/>
      <c r="V761" s="19" t="inlineStr">
        <is>
          <t>Aprobada</t>
        </is>
      </c>
      <c r="W761" s="19" t="inlineStr"/>
      <c r="X761" s="19" t="inlineStr">
        <is>
          <t>Aldair González (aprobación en bloque)</t>
        </is>
      </c>
      <c r="Y761" s="20" t="n">
        <v>46321</v>
      </c>
      <c r="Z761" s="19" t="inlineStr">
        <is>
          <t>Nivel 2: regla estructural con redacción revisada.</t>
        </is>
      </c>
      <c r="AA761" s="18">
        <f>IF(OR(V761="Aprobada"),R761,IF(AND(OR(V761="Aprobada con ajuste",V761="Rechazada"),W761&lt;&gt;""),W761,""))</f>
        <v/>
      </c>
    </row>
    <row r="762">
      <c r="A762" s="18" t="inlineStr">
        <is>
          <t>C0761</t>
        </is>
      </c>
      <c r="B762" s="18" t="inlineStr">
        <is>
          <t>Gestión jurídica</t>
        </is>
      </c>
      <c r="C762" s="18" t="inlineStr">
        <is>
          <t>legal_management</t>
        </is>
      </c>
      <c r="D762" s="18" t="inlineStr">
        <is>
          <t>actors</t>
        </is>
      </c>
      <c r="E762" s="18" t="n">
        <v>168</v>
      </c>
      <c r="F762" s="18" t="inlineStr">
        <is>
          <t>rol</t>
        </is>
      </c>
      <c r="G762" s="18" t="inlineStr">
        <is>
          <t>character varying(50)</t>
        </is>
      </c>
      <c r="H762" s="18" t="inlineStr">
        <is>
          <t>No</t>
        </is>
      </c>
      <c r="I762" s="18" t="inlineStr"/>
      <c r="J762" s="18" t="inlineStr"/>
      <c r="K762" s="18" t="inlineStr"/>
      <c r="L762" s="18" t="inlineStr">
        <is>
          <t>No</t>
        </is>
      </c>
      <c r="M762" s="18" t="inlineStr">
        <is>
          <t>No</t>
        </is>
      </c>
      <c r="N762" s="18" t="inlineStr"/>
      <c r="O762" s="18" t="inlineStr">
        <is>
          <t>idx_actors_rol</t>
        </is>
      </c>
      <c r="P762" s="18" t="inlineStr">
        <is>
          <t>legal-management-service/src/entities/actor.entity.ts:26: DEMANDANTE, DEMANDADO, OTRO | db/migrations/110_add_actors_table.sql:11: DEMANDANTE, DEMANDADO, OTRO</t>
        </is>
      </c>
      <c r="Q762" s="18" t="inlineStr">
        <is>
          <t>Código fuente</t>
        </is>
      </c>
      <c r="R762" s="18" t="inlineStr">
        <is>
          <t>Rol del actor en el expediente. Valores: DEMANDANTE, DEMANDADO, OTRO.</t>
        </is>
      </c>
      <c r="S762" s="18" t="inlineStr">
        <is>
          <t>Alta</t>
        </is>
      </c>
      <c r="T762" s="18" t="inlineStr">
        <is>
          <t>código: actor.entity.ts:26</t>
        </is>
      </c>
      <c r="U762" s="18" t="inlineStr"/>
      <c r="V762" s="19" t="inlineStr">
        <is>
          <t>Aprobada</t>
        </is>
      </c>
      <c r="W762" s="19" t="inlineStr"/>
      <c r="X762" s="19" t="inlineStr">
        <is>
          <t>Aldair González (aprobación en bloque)</t>
        </is>
      </c>
      <c r="Y762" s="20" t="n">
        <v>46321</v>
      </c>
      <c r="Z762" s="19" t="inlineStr">
        <is>
          <t>Nivel 1: propuesta del comentario del desarrollador o de confianza alta, o regla de fecha/responsable/motivo.</t>
        </is>
      </c>
      <c r="AA762" s="18">
        <f>IF(OR(V762="Aprobada"),R762,IF(AND(OR(V762="Aprobada con ajuste",V762="Rechazada"),W762&lt;&gt;""),W762,""))</f>
        <v/>
      </c>
    </row>
    <row r="763">
      <c r="A763" s="18" t="inlineStr">
        <is>
          <t>C0762</t>
        </is>
      </c>
      <c r="B763" s="18" t="inlineStr">
        <is>
          <t>Gestión jurídica</t>
        </is>
      </c>
      <c r="C763" s="18" t="inlineStr">
        <is>
          <t>legal_management</t>
        </is>
      </c>
      <c r="D763" s="18" t="inlineStr">
        <is>
          <t>actors</t>
        </is>
      </c>
      <c r="E763" s="18" t="n">
        <v>168</v>
      </c>
      <c r="F763" s="18" t="inlineStr">
        <is>
          <t>cargo</t>
        </is>
      </c>
      <c r="G763" s="18" t="inlineStr">
        <is>
          <t>character varying(100)</t>
        </is>
      </c>
      <c r="H763" s="18" t="inlineStr">
        <is>
          <t>Sí</t>
        </is>
      </c>
      <c r="I763" s="18" t="inlineStr"/>
      <c r="J763" s="18" t="inlineStr"/>
      <c r="K763" s="18" t="inlineStr"/>
      <c r="L763" s="18" t="inlineStr">
        <is>
          <t>No</t>
        </is>
      </c>
      <c r="M763" s="18" t="inlineStr">
        <is>
          <t>No</t>
        </is>
      </c>
      <c r="N763" s="18" t="inlineStr"/>
      <c r="O763" s="18" t="inlineStr"/>
      <c r="P763" s="18" t="inlineStr">
        <is>
          <t>db/migrations/110_add_actors_table.sql:12: Opcional, para demandados/otros</t>
        </is>
      </c>
      <c r="Q763" s="18" t="inlineStr">
        <is>
          <t>Código fuente</t>
        </is>
      </c>
      <c r="R763" s="18" t="inlineStr">
        <is>
          <t>Cargo del actor; opcional, para demandados y otros.</t>
        </is>
      </c>
      <c r="S763" s="18" t="inlineStr">
        <is>
          <t>Alta</t>
        </is>
      </c>
      <c r="T763" s="18" t="inlineStr">
        <is>
          <t>código: db/migrations/110_add_actors_table.sql:12</t>
        </is>
      </c>
      <c r="U763" s="18" t="inlineStr"/>
      <c r="V763" s="19" t="inlineStr">
        <is>
          <t>Aprobada</t>
        </is>
      </c>
      <c r="W763" s="19" t="inlineStr"/>
      <c r="X763" s="19" t="inlineStr">
        <is>
          <t>Aldair González (aprobación en bloque)</t>
        </is>
      </c>
      <c r="Y763" s="20" t="n">
        <v>46321</v>
      </c>
      <c r="Z763" s="19" t="inlineStr">
        <is>
          <t>Nivel 1: propuesta del comentario del desarrollador o de confianza alta, o regla de fecha/responsable/motivo.</t>
        </is>
      </c>
      <c r="AA763" s="18">
        <f>IF(OR(V763="Aprobada"),R763,IF(AND(OR(V763="Aprobada con ajuste",V763="Rechazada"),W763&lt;&gt;""),W763,""))</f>
        <v/>
      </c>
    </row>
    <row r="764">
      <c r="A764" s="18" t="inlineStr">
        <is>
          <t>C0763</t>
        </is>
      </c>
      <c r="B764" s="18" t="inlineStr">
        <is>
          <t>Gestión jurídica</t>
        </is>
      </c>
      <c r="C764" s="18" t="inlineStr">
        <is>
          <t>legal_management</t>
        </is>
      </c>
      <c r="D764" s="18" t="inlineStr">
        <is>
          <t>actors</t>
        </is>
      </c>
      <c r="E764" s="18" t="n">
        <v>168</v>
      </c>
      <c r="F764" s="18" t="inlineStr">
        <is>
          <t>email</t>
        </is>
      </c>
      <c r="G764" s="18" t="inlineStr">
        <is>
          <t>character varying(255)</t>
        </is>
      </c>
      <c r="H764" s="18" t="inlineStr">
        <is>
          <t>Sí</t>
        </is>
      </c>
      <c r="I764" s="18" t="inlineStr"/>
      <c r="J764" s="18" t="inlineStr"/>
      <c r="K764" s="18" t="inlineStr"/>
      <c r="L764" s="18" t="inlineStr">
        <is>
          <t>No</t>
        </is>
      </c>
      <c r="M764" s="18" t="inlineStr">
        <is>
          <t>No</t>
        </is>
      </c>
      <c r="N764" s="18" t="inlineStr"/>
      <c r="O764" s="18" t="inlineStr"/>
      <c r="P764" s="18" t="inlineStr">
        <is>
          <t>Mapeada en legal-management-service/src/entities/actor.entity.ts:35 (Actor.email)</t>
        </is>
      </c>
      <c r="Q764" s="18" t="inlineStr">
        <is>
          <t>Regla estructural (redacción revisada)</t>
        </is>
      </c>
      <c r="R764" s="18" t="inlineStr">
        <is>
          <t>Correo electrónico del actor del expediente.</t>
        </is>
      </c>
      <c r="S764" s="18" t="inlineStr">
        <is>
          <t>Alta</t>
        </is>
      </c>
      <c r="T764" s="18" t="inlineStr">
        <is>
          <t>Convención de nombre, redactada con el contexto de la tabla y el código.</t>
        </is>
      </c>
      <c r="U764" s="18" t="inlineStr"/>
      <c r="V764" s="19" t="inlineStr">
        <is>
          <t>Aprobada</t>
        </is>
      </c>
      <c r="W764" s="19" t="inlineStr"/>
      <c r="X764" s="19" t="inlineStr">
        <is>
          <t>Aldair González (aprobación en bloque)</t>
        </is>
      </c>
      <c r="Y764" s="20" t="n">
        <v>46321</v>
      </c>
      <c r="Z764" s="19" t="inlineStr">
        <is>
          <t>Nivel 2: regla estructural con redacción revisada.</t>
        </is>
      </c>
      <c r="AA764" s="18">
        <f>IF(OR(V764="Aprobada"),R764,IF(AND(OR(V764="Aprobada con ajuste",V764="Rechazada"),W764&lt;&gt;""),W764,""))</f>
        <v/>
      </c>
    </row>
    <row r="765">
      <c r="A765" s="18" t="inlineStr">
        <is>
          <t>C0764</t>
        </is>
      </c>
      <c r="B765" s="18" t="inlineStr">
        <is>
          <t>Gestión jurídica</t>
        </is>
      </c>
      <c r="C765" s="18" t="inlineStr">
        <is>
          <t>legal_management</t>
        </is>
      </c>
      <c r="D765" s="18" t="inlineStr">
        <is>
          <t>actors</t>
        </is>
      </c>
      <c r="E765" s="18" t="n">
        <v>168</v>
      </c>
      <c r="F765" s="18" t="inlineStr">
        <is>
          <t>telefono</t>
        </is>
      </c>
      <c r="G765" s="18" t="inlineStr">
        <is>
          <t>character varying(50)</t>
        </is>
      </c>
      <c r="H765" s="18" t="inlineStr">
        <is>
          <t>Sí</t>
        </is>
      </c>
      <c r="I765" s="18" t="inlineStr"/>
      <c r="J765" s="18" t="inlineStr"/>
      <c r="K765" s="18" t="inlineStr"/>
      <c r="L765" s="18" t="inlineStr">
        <is>
          <t>No</t>
        </is>
      </c>
      <c r="M765" s="18" t="inlineStr">
        <is>
          <t>No</t>
        </is>
      </c>
      <c r="N765" s="18" t="inlineStr"/>
      <c r="O765" s="18" t="inlineStr"/>
      <c r="P765" s="18" t="inlineStr">
        <is>
          <t>Mapeada en legal-management-service/src/entities/actor.entity.ts:38 (Actor.telefono)</t>
        </is>
      </c>
      <c r="Q765" s="18" t="inlineStr">
        <is>
          <t>Regla estructural (redacción revisada)</t>
        </is>
      </c>
      <c r="R765" s="18" t="inlineStr">
        <is>
          <t>Número de teléfono del actor del expediente.</t>
        </is>
      </c>
      <c r="S765" s="18" t="inlineStr">
        <is>
          <t>Alta</t>
        </is>
      </c>
      <c r="T765" s="18" t="inlineStr">
        <is>
          <t>Convención de nombre, redactada con el contexto de la tabla y el código.</t>
        </is>
      </c>
      <c r="U765" s="18" t="inlineStr"/>
      <c r="V765" s="19" t="inlineStr">
        <is>
          <t>Aprobada</t>
        </is>
      </c>
      <c r="W765" s="19" t="inlineStr"/>
      <c r="X765" s="19" t="inlineStr">
        <is>
          <t>Aldair González (aprobación en bloque)</t>
        </is>
      </c>
      <c r="Y765" s="20" t="n">
        <v>46321</v>
      </c>
      <c r="Z765" s="19" t="inlineStr">
        <is>
          <t>Nivel 2: regla estructural con redacción revisada.</t>
        </is>
      </c>
      <c r="AA765" s="18">
        <f>IF(OR(V765="Aprobada"),R765,IF(AND(OR(V765="Aprobada con ajuste",V765="Rechazada"),W765&lt;&gt;""),W765,""))</f>
        <v/>
      </c>
    </row>
    <row r="766">
      <c r="A766" s="18" t="inlineStr">
        <is>
          <t>C0765</t>
        </is>
      </c>
      <c r="B766" s="18" t="inlineStr">
        <is>
          <t>Gestión jurídica</t>
        </is>
      </c>
      <c r="C766" s="18" t="inlineStr">
        <is>
          <t>legal_management</t>
        </is>
      </c>
      <c r="D766" s="18" t="inlineStr">
        <is>
          <t>actors</t>
        </is>
      </c>
      <c r="E766" s="18" t="n">
        <v>168</v>
      </c>
      <c r="F766" s="18" t="inlineStr">
        <is>
          <t>direccion</t>
        </is>
      </c>
      <c r="G766" s="18" t="inlineStr">
        <is>
          <t>character varying(255)</t>
        </is>
      </c>
      <c r="H766" s="18" t="inlineStr">
        <is>
          <t>Sí</t>
        </is>
      </c>
      <c r="I766" s="18" t="inlineStr"/>
      <c r="J766" s="18" t="inlineStr"/>
      <c r="K766" s="18" t="inlineStr"/>
      <c r="L766" s="18" t="inlineStr">
        <is>
          <t>No</t>
        </is>
      </c>
      <c r="M766" s="18" t="inlineStr">
        <is>
          <t>No</t>
        </is>
      </c>
      <c r="N766" s="18" t="inlineStr"/>
      <c r="O766" s="18" t="inlineStr"/>
      <c r="P766" s="18" t="inlineStr">
        <is>
          <t>Mapeada en legal-management-service/src/entities/actor.entity.ts:41 (Actor.direccion)</t>
        </is>
      </c>
      <c r="Q766" s="18" t="inlineStr">
        <is>
          <t>Propuesta semántica</t>
        </is>
      </c>
      <c r="R766" s="18" t="inlineStr">
        <is>
          <t>Dirección del actor del expediente.</t>
        </is>
      </c>
      <c r="S766" s="18" t="inlineStr">
        <is>
          <t>Alta</t>
        </is>
      </c>
      <c r="T766" s="18" t="inlineStr">
        <is>
          <t>nombre + tipo + columnas vecinas</t>
        </is>
      </c>
      <c r="U766" s="18" t="inlineStr"/>
      <c r="V766" s="19" t="inlineStr">
        <is>
          <t>Aprobada</t>
        </is>
      </c>
      <c r="W766" s="19" t="inlineStr"/>
      <c r="X766" s="19" t="inlineStr">
        <is>
          <t>Aldair González (aprobación en bloque)</t>
        </is>
      </c>
      <c r="Y766" s="20" t="n">
        <v>46321</v>
      </c>
      <c r="Z766" s="19" t="inlineStr">
        <is>
          <t>Nivel 1: propuesta del comentario del desarrollador o de confianza alta, o regla de fecha/responsable/motivo.</t>
        </is>
      </c>
      <c r="AA766" s="18">
        <f>IF(OR(V766="Aprobada"),R766,IF(AND(OR(V766="Aprobada con ajuste",V766="Rechazada"),W766&lt;&gt;""),W766,""))</f>
        <v/>
      </c>
    </row>
    <row r="767">
      <c r="A767" s="18" t="inlineStr">
        <is>
          <t>C0766</t>
        </is>
      </c>
      <c r="B767" s="18" t="inlineStr">
        <is>
          <t>Gestión jurídica</t>
        </is>
      </c>
      <c r="C767" s="18" t="inlineStr">
        <is>
          <t>legal_management</t>
        </is>
      </c>
      <c r="D767" s="18" t="inlineStr">
        <is>
          <t>actors</t>
        </is>
      </c>
      <c r="E767" s="18" t="n">
        <v>168</v>
      </c>
      <c r="F767" s="18" t="inlineStr">
        <is>
          <t>apoderado</t>
        </is>
      </c>
      <c r="G767" s="18" t="inlineStr">
        <is>
          <t>character varying(255)</t>
        </is>
      </c>
      <c r="H767" s="18" t="inlineStr">
        <is>
          <t>Sí</t>
        </is>
      </c>
      <c r="I767" s="18" t="inlineStr"/>
      <c r="J767" s="18" t="inlineStr"/>
      <c r="K767" s="18" t="inlineStr"/>
      <c r="L767" s="18" t="inlineStr">
        <is>
          <t>No</t>
        </is>
      </c>
      <c r="M767" s="18" t="inlineStr">
        <is>
          <t>No</t>
        </is>
      </c>
      <c r="N767" s="18" t="inlineStr"/>
      <c r="O767" s="18" t="inlineStr"/>
      <c r="P767" s="18" t="inlineStr">
        <is>
          <t>Mapeada en legal-management-service/src/entities/actor.entity.ts:44 (Actor.apoderado)</t>
        </is>
      </c>
      <c r="Q767" s="18" t="inlineStr">
        <is>
          <t>Propuesta semántica</t>
        </is>
      </c>
      <c r="R767" s="18" t="inlineStr">
        <is>
          <t>Nombre del apoderado del actor.</t>
        </is>
      </c>
      <c r="S767" s="18" t="inlineStr">
        <is>
          <t>Alta</t>
        </is>
      </c>
      <c r="T767" s="18" t="inlineStr">
        <is>
          <t>nombre + tipo + columnas vecinas</t>
        </is>
      </c>
      <c r="U767" s="18" t="inlineStr"/>
      <c r="V767" s="19" t="inlineStr">
        <is>
          <t>Aprobada</t>
        </is>
      </c>
      <c r="W767" s="19" t="inlineStr"/>
      <c r="X767" s="19" t="inlineStr">
        <is>
          <t>Aldair González (aprobación en bloque)</t>
        </is>
      </c>
      <c r="Y767" s="20" t="n">
        <v>46321</v>
      </c>
      <c r="Z767" s="19" t="inlineStr">
        <is>
          <t>Nivel 1: propuesta del comentario del desarrollador o de confianza alta, o regla de fecha/responsable/motivo.</t>
        </is>
      </c>
      <c r="AA767" s="18">
        <f>IF(OR(V767="Aprobada"),R767,IF(AND(OR(V767="Aprobada con ajuste",V767="Rechazada"),W767&lt;&gt;""),W767,""))</f>
        <v/>
      </c>
    </row>
    <row r="768">
      <c r="A768" s="18" t="inlineStr">
        <is>
          <t>C0767</t>
        </is>
      </c>
      <c r="B768" s="18" t="inlineStr">
        <is>
          <t>Gestión jurídica</t>
        </is>
      </c>
      <c r="C768" s="18" t="inlineStr">
        <is>
          <t>legal_management</t>
        </is>
      </c>
      <c r="D768" s="18" t="inlineStr">
        <is>
          <t>actors</t>
        </is>
      </c>
      <c r="E768" s="18" t="n">
        <v>168</v>
      </c>
      <c r="F768" s="18" t="inlineStr">
        <is>
          <t>dependencia</t>
        </is>
      </c>
      <c r="G768" s="18" t="inlineStr">
        <is>
          <t>character varying(150)</t>
        </is>
      </c>
      <c r="H768" s="18" t="inlineStr">
        <is>
          <t>Sí</t>
        </is>
      </c>
      <c r="I768" s="18" t="inlineStr"/>
      <c r="J768" s="18" t="inlineStr"/>
      <c r="K768" s="18" t="inlineStr"/>
      <c r="L768" s="18" t="inlineStr">
        <is>
          <t>No</t>
        </is>
      </c>
      <c r="M768" s="18" t="inlineStr">
        <is>
          <t>No</t>
        </is>
      </c>
      <c r="N768" s="18" t="inlineStr"/>
      <c r="O768" s="18" t="inlineStr"/>
      <c r="P768" s="18" t="inlineStr">
        <is>
          <t>Mapeada en legal-management-service/src/entities/actor.entity.ts:32 (Actor.dependencia)</t>
        </is>
      </c>
      <c r="Q768" s="18" t="inlineStr">
        <is>
          <t>Código fuente (verificado)</t>
        </is>
      </c>
      <c r="R768" s="18" t="inlineStr">
        <is>
          <t>Dependencia del actor (parte del expediente: demandante, demandado u otro).</t>
        </is>
      </c>
      <c r="S768" s="18" t="inlineStr">
        <is>
          <t>Media</t>
        </is>
      </c>
      <c r="T768" s="18" t="inlineStr">
        <is>
          <t>legal-management-service/src/entities/actor.entity.ts:32: columna sin validación | legal-management-service/src/entities/actor.entity.ts:27: rol DEMANDANTE, DEMANDADO, OTRO | legal-management-service/src/services/expediente.service.ts:562: los actores llegan del formulario del expediente</t>
        </is>
      </c>
      <c r="U768" s="18" t="inlineStr">
        <is>
          <t>¿La dependencia aplica solo a actores internos de la ESAP?</t>
        </is>
      </c>
      <c r="V768" s="19" t="inlineStr">
        <is>
          <t>Aprobada</t>
        </is>
      </c>
      <c r="W768" s="19" t="inlineStr"/>
      <c r="X768" s="19" t="inlineStr">
        <is>
          <t>Aldair González (validación del responsable de BD)</t>
        </is>
      </c>
      <c r="Y768" s="20" t="n">
        <v>46321</v>
      </c>
      <c r="Z768" s="19" t="inlineStr">
        <is>
          <t>Nivel 3: validada por decisión del responsable de la base de datos. Pregunta registrada para desarrollo: ¿La dependencia aplica solo a actores internos de la ESAP?</t>
        </is>
      </c>
      <c r="AA768" s="18">
        <f>IF(OR(V768="Aprobada"),R768,IF(AND(OR(V768="Aprobada con ajuste",V768="Rechazada"),W768&lt;&gt;""),W768,""))</f>
        <v/>
      </c>
    </row>
    <row r="769">
      <c r="A769" s="18" t="inlineStr">
        <is>
          <t>C0768</t>
        </is>
      </c>
      <c r="B769" s="18" t="inlineStr">
        <is>
          <t>Gestión jurídica</t>
        </is>
      </c>
      <c r="C769" s="18" t="inlineStr">
        <is>
          <t>legal_management</t>
        </is>
      </c>
      <c r="D769" s="18" t="inlineStr">
        <is>
          <t>actuaciones</t>
        </is>
      </c>
      <c r="E769" s="18" t="n">
        <v>427</v>
      </c>
      <c r="F769" s="18" t="inlineStr">
        <is>
          <t>expediente_id</t>
        </is>
      </c>
      <c r="G769" s="18" t="inlineStr">
        <is>
          <t>character varying(255)</t>
        </is>
      </c>
      <c r="H769" s="18" t="inlineStr">
        <is>
          <t>No</t>
        </is>
      </c>
      <c r="I769" s="18" t="inlineStr"/>
      <c r="J769" s="18" t="inlineStr"/>
      <c r="K769" s="18" t="inlineStr"/>
      <c r="L769" s="18" t="inlineStr">
        <is>
          <t>No</t>
        </is>
      </c>
      <c r="M769" s="18" t="inlineStr">
        <is>
          <t>No</t>
        </is>
      </c>
      <c r="N769" s="18" t="inlineStr"/>
      <c r="O769" s="18" t="inlineStr">
        <is>
          <t>idx_actuaciones_expediente</t>
        </is>
      </c>
      <c r="P769" s="18" t="inlineStr">
        <is>
          <t>legal-management-service/src/entities/actuacion.entity.ts:11: Changed to simple string column to support both GUIDs (Judicial) and Radicados (Disciplinario) FK constraint was removed in DB to allow this polymorphism</t>
        </is>
      </c>
      <c r="Q769" s="18" t="inlineStr">
        <is>
          <t>Código fuente</t>
        </is>
      </c>
      <c r="R769" s="18" t="inlineStr">
        <is>
          <t>Identificador del expediente o proceso al que pertenece la actuación: GUID en procesos judiciales o radicado en procesos disciplinarios. No tiene clave foránea.</t>
        </is>
      </c>
      <c r="S769" s="18" t="inlineStr">
        <is>
          <t>Alta</t>
        </is>
      </c>
      <c r="T769" s="18" t="inlineStr">
        <is>
          <t>código: legal-management-service/src/entities/actuacion.entity.ts:11</t>
        </is>
      </c>
      <c r="U769" s="18" t="inlineStr"/>
      <c r="V769" s="19" t="inlineStr">
        <is>
          <t>Aprobada</t>
        </is>
      </c>
      <c r="W769" s="19" t="inlineStr"/>
      <c r="X769" s="19" t="inlineStr">
        <is>
          <t>Aldair González (aprobación en bloque)</t>
        </is>
      </c>
      <c r="Y769" s="20" t="n">
        <v>46321</v>
      </c>
      <c r="Z769" s="19" t="inlineStr">
        <is>
          <t>Nivel 1: propuesta del comentario del desarrollador o de confianza alta, o regla de fecha/responsable/motivo.</t>
        </is>
      </c>
      <c r="AA769" s="18">
        <f>IF(OR(V769="Aprobada"),R769,IF(AND(OR(V769="Aprobada con ajuste",V769="Rechazada"),W769&lt;&gt;""),W769,""))</f>
        <v/>
      </c>
    </row>
    <row r="770">
      <c r="A770" s="18" t="inlineStr">
        <is>
          <t>C0769</t>
        </is>
      </c>
      <c r="B770" s="18" t="inlineStr">
        <is>
          <t>Gestión jurídica</t>
        </is>
      </c>
      <c r="C770" s="18" t="inlineStr">
        <is>
          <t>legal_management</t>
        </is>
      </c>
      <c r="D770" s="18" t="inlineStr">
        <is>
          <t>actuaciones</t>
        </is>
      </c>
      <c r="E770" s="18" t="n">
        <v>427</v>
      </c>
      <c r="F770" s="18" t="inlineStr">
        <is>
          <t>tipo_actuacion</t>
        </is>
      </c>
      <c r="G770" s="18" t="inlineStr">
        <is>
          <t>character varying(100)</t>
        </is>
      </c>
      <c r="H770" s="18" t="inlineStr">
        <is>
          <t>No</t>
        </is>
      </c>
      <c r="I770" s="18" t="inlineStr"/>
      <c r="J770" s="18" t="inlineStr"/>
      <c r="K770" s="18" t="inlineStr"/>
      <c r="L770" s="18" t="inlineStr">
        <is>
          <t>No</t>
        </is>
      </c>
      <c r="M770" s="18" t="inlineStr">
        <is>
          <t>No</t>
        </is>
      </c>
      <c r="N770" s="18" t="inlineStr"/>
      <c r="O770" s="18" t="inlineStr"/>
      <c r="P770" s="18" t="inlineStr">
        <is>
          <t>db/init/old/02_actuaciones_schema.sql:7: AUTO_ADMISORIO, PRUEBAS, FALLO, etc.</t>
        </is>
      </c>
      <c r="Q770" s="18" t="inlineStr">
        <is>
          <t>Código fuente (verificado)</t>
        </is>
      </c>
      <c r="R770" s="18" t="inlineStr">
        <is>
          <t>Tipo de actuación, en texto abierto sin catálogo cerrado. Por defecto, ACTUACION. El código registra, entre otros, AUTO_ADMISORIO, FALLO, NOTA_INTERNA, OFICIO, CAMBIO_ETAPA, PRUEBAS, EVIDENCIA, OTROS y el título de eventos automáticos.</t>
        </is>
      </c>
      <c r="S770" s="18" t="inlineStr">
        <is>
          <t>Alta</t>
        </is>
      </c>
      <c r="T770" s="18" t="inlineStr">
        <is>
          <t>legal-management-service/src/entities/actuacion.entity.ts:17: default ACTUACION | legal-management-service/src/services/actuacion.service.ts:739: el título del evento actúa como tipo | legal-management-service/src/controllers/juzgamiento.controller.ts:237: guarda el tipo del documento cargado | legal-management-service/src/services/expediente.service.ts:483: CAMBIO_ETAPA</t>
        </is>
      </c>
      <c r="U770" s="18" t="inlineStr"/>
      <c r="V770" s="19" t="inlineStr">
        <is>
          <t>Aprobada</t>
        </is>
      </c>
      <c r="W770" s="19" t="inlineStr"/>
      <c r="X770" s="19" t="inlineStr">
        <is>
          <t>Aldair González (aprobación en bloque)</t>
        </is>
      </c>
      <c r="Y770" s="20" t="n">
        <v>46321</v>
      </c>
      <c r="Z770" s="19" t="inlineStr">
        <is>
          <t>Nivel 3: verificada con el código de la aplicación.</t>
        </is>
      </c>
      <c r="AA770" s="18">
        <f>IF(OR(V770="Aprobada"),R770,IF(AND(OR(V770="Aprobada con ajuste",V770="Rechazada"),W770&lt;&gt;""),W770,""))</f>
        <v/>
      </c>
    </row>
    <row r="771">
      <c r="A771" s="18" t="inlineStr">
        <is>
          <t>C0770</t>
        </is>
      </c>
      <c r="B771" s="18" t="inlineStr">
        <is>
          <t>Gestión jurídica</t>
        </is>
      </c>
      <c r="C771" s="18" t="inlineStr">
        <is>
          <t>legal_management</t>
        </is>
      </c>
      <c r="D771" s="18" t="inlineStr">
        <is>
          <t>actuaciones</t>
        </is>
      </c>
      <c r="E771" s="18" t="n">
        <v>427</v>
      </c>
      <c r="F771" s="18" t="inlineStr">
        <is>
          <t>descripcion</t>
        </is>
      </c>
      <c r="G771" s="18" t="inlineStr">
        <is>
          <t>text</t>
        </is>
      </c>
      <c r="H771" s="18" t="inlineStr">
        <is>
          <t>Sí</t>
        </is>
      </c>
      <c r="I771" s="18" t="inlineStr"/>
      <c r="J771" s="18" t="inlineStr"/>
      <c r="K771" s="18" t="inlineStr"/>
      <c r="L771" s="18" t="inlineStr">
        <is>
          <t>No</t>
        </is>
      </c>
      <c r="M771" s="18" t="inlineStr">
        <is>
          <t>No</t>
        </is>
      </c>
      <c r="N771" s="18" t="inlineStr"/>
      <c r="O771" s="18" t="inlineStr"/>
      <c r="P771" s="18" t="inlineStr">
        <is>
          <t>Mapeada en legal-management-service/src/entities/actuacion.entity.ts:20 (Actuacion.descripcion)</t>
        </is>
      </c>
      <c r="Q771" s="18" t="inlineStr">
        <is>
          <t>Regla estructural (redacción revisada)</t>
        </is>
      </c>
      <c r="R771" s="18" t="inlineStr">
        <is>
          <t>Descripción de la actuación del expediente.</t>
        </is>
      </c>
      <c r="S771" s="18" t="inlineStr">
        <is>
          <t>Alta</t>
        </is>
      </c>
      <c r="T771" s="18" t="inlineStr">
        <is>
          <t>Convención de nombre, redactada con el contexto de la tabla y el código.</t>
        </is>
      </c>
      <c r="U771" s="18" t="inlineStr"/>
      <c r="V771" s="19" t="inlineStr">
        <is>
          <t>Aprobada</t>
        </is>
      </c>
      <c r="W771" s="19" t="inlineStr"/>
      <c r="X771" s="19" t="inlineStr">
        <is>
          <t>Aldair González (aprobación en bloque)</t>
        </is>
      </c>
      <c r="Y771" s="20" t="n">
        <v>46321</v>
      </c>
      <c r="Z771" s="19" t="inlineStr">
        <is>
          <t>Nivel 2: regla estructural con redacción revisada.</t>
        </is>
      </c>
      <c r="AA771" s="18">
        <f>IF(OR(V771="Aprobada"),R771,IF(AND(OR(V771="Aprobada con ajuste",V771="Rechazada"),W771&lt;&gt;""),W771,""))</f>
        <v/>
      </c>
    </row>
    <row r="772">
      <c r="A772" s="18" t="inlineStr">
        <is>
          <t>C0771</t>
        </is>
      </c>
      <c r="B772" s="18" t="inlineStr">
        <is>
          <t>Gestión jurídica</t>
        </is>
      </c>
      <c r="C772" s="18" t="inlineStr">
        <is>
          <t>legal_management</t>
        </is>
      </c>
      <c r="D772" s="18" t="inlineStr">
        <is>
          <t>actuaciones</t>
        </is>
      </c>
      <c r="E772" s="18" t="n">
        <v>427</v>
      </c>
      <c r="F772" s="18" t="inlineStr">
        <is>
          <t>fecha_actuacion</t>
        </is>
      </c>
      <c r="G772" s="18" t="inlineStr">
        <is>
          <t>timestamp without time zone</t>
        </is>
      </c>
      <c r="H772" s="18" t="inlineStr">
        <is>
          <t>No</t>
        </is>
      </c>
      <c r="I772" s="18" t="inlineStr"/>
      <c r="J772" s="18" t="inlineStr"/>
      <c r="K772" s="18" t="inlineStr"/>
      <c r="L772" s="18" t="inlineStr">
        <is>
          <t>No</t>
        </is>
      </c>
      <c r="M772" s="18" t="inlineStr">
        <is>
          <t>No</t>
        </is>
      </c>
      <c r="N772" s="18" t="inlineStr"/>
      <c r="O772" s="18" t="inlineStr"/>
      <c r="P772" s="18" t="inlineStr">
        <is>
          <t>Mapeada en legal-management-service/src/entities/actuacion.entity.ts:23 (Actuacion.fechaActuacion)</t>
        </is>
      </c>
      <c r="Q772" s="18" t="inlineStr">
        <is>
          <t>Regla estructural (redacción revisada)</t>
        </is>
      </c>
      <c r="R772" s="18" t="inlineStr">
        <is>
          <t>Fecha y hora de la actuación del expediente.</t>
        </is>
      </c>
      <c r="S772" s="18" t="inlineStr">
        <is>
          <t>Alta</t>
        </is>
      </c>
      <c r="T772" s="18" t="inlineStr">
        <is>
          <t>Convención de nombre, redactada con el contexto de la tabla y el código.</t>
        </is>
      </c>
      <c r="U772" s="18" t="inlineStr"/>
      <c r="V772" s="19" t="inlineStr">
        <is>
          <t>Aprobada</t>
        </is>
      </c>
      <c r="W772" s="19" t="inlineStr"/>
      <c r="X772" s="19" t="inlineStr">
        <is>
          <t>Aldair González (aprobación en bloque)</t>
        </is>
      </c>
      <c r="Y772" s="20" t="n">
        <v>46321</v>
      </c>
      <c r="Z772" s="19" t="inlineStr">
        <is>
          <t>Nivel 2: regla estructural con redacción revisada.</t>
        </is>
      </c>
      <c r="AA772" s="18">
        <f>IF(OR(V772="Aprobada"),R772,IF(AND(OR(V772="Aprobada con ajuste",V772="Rechazada"),W772&lt;&gt;""),W772,""))</f>
        <v/>
      </c>
    </row>
    <row r="773">
      <c r="A773" s="18" t="inlineStr">
        <is>
          <t>C0772</t>
        </is>
      </c>
      <c r="B773" s="18" t="inlineStr">
        <is>
          <t>Gestión jurídica</t>
        </is>
      </c>
      <c r="C773" s="18" t="inlineStr">
        <is>
          <t>legal_management</t>
        </is>
      </c>
      <c r="D773" s="18" t="inlineStr">
        <is>
          <t>actuaciones</t>
        </is>
      </c>
      <c r="E773" s="18" t="n">
        <v>427</v>
      </c>
      <c r="F773" s="18" t="inlineStr">
        <is>
          <t>documento_url</t>
        </is>
      </c>
      <c r="G773" s="18" t="inlineStr">
        <is>
          <t>character varying(255)</t>
        </is>
      </c>
      <c r="H773" s="18" t="inlineStr">
        <is>
          <t>Sí</t>
        </is>
      </c>
      <c r="I773" s="18" t="inlineStr"/>
      <c r="J773" s="18" t="inlineStr"/>
      <c r="K773" s="18" t="inlineStr"/>
      <c r="L773" s="18" t="inlineStr">
        <is>
          <t>No</t>
        </is>
      </c>
      <c r="M773" s="18" t="inlineStr">
        <is>
          <t>No</t>
        </is>
      </c>
      <c r="N773" s="18" t="inlineStr"/>
      <c r="O773" s="18" t="inlineStr"/>
      <c r="P773" s="18" t="inlineStr">
        <is>
          <t>Mapeada en legal-management-service/src/entities/actuacion.entity.ts:26 (Actuacion.documentoUrl)</t>
        </is>
      </c>
      <c r="Q773" s="18" t="inlineStr">
        <is>
          <t>Propuesta semántica</t>
        </is>
      </c>
      <c r="R773" s="18" t="inlineStr">
        <is>
          <t>URL del documento soporte de la actuación.</t>
        </is>
      </c>
      <c r="S773" s="18" t="inlineStr">
        <is>
          <t>Alta</t>
        </is>
      </c>
      <c r="T773" s="18" t="inlineStr">
        <is>
          <t>nombre + tipo + columnas vecinas</t>
        </is>
      </c>
      <c r="U773" s="18" t="inlineStr"/>
      <c r="V773" s="19" t="inlineStr">
        <is>
          <t>Aprobada</t>
        </is>
      </c>
      <c r="W773" s="19" t="inlineStr"/>
      <c r="X773" s="19" t="inlineStr">
        <is>
          <t>Aldair González (aprobación en bloque)</t>
        </is>
      </c>
      <c r="Y773" s="20" t="n">
        <v>46321</v>
      </c>
      <c r="Z773" s="19" t="inlineStr">
        <is>
          <t>Nivel 1: propuesta del comentario del desarrollador o de confianza alta, o regla de fecha/responsable/motivo.</t>
        </is>
      </c>
      <c r="AA773" s="18">
        <f>IF(OR(V773="Aprobada"),R773,IF(AND(OR(V773="Aprobada con ajuste",V773="Rechazada"),W773&lt;&gt;""),W773,""))</f>
        <v/>
      </c>
    </row>
    <row r="774">
      <c r="A774" s="18" t="inlineStr">
        <is>
          <t>C0773</t>
        </is>
      </c>
      <c r="B774" s="18" t="inlineStr">
        <is>
          <t>Gestión jurídica</t>
        </is>
      </c>
      <c r="C774" s="18" t="inlineStr">
        <is>
          <t>legal_management</t>
        </is>
      </c>
      <c r="D774" s="18" t="inlineStr">
        <is>
          <t>actuaciones</t>
        </is>
      </c>
      <c r="E774" s="18" t="n">
        <v>427</v>
      </c>
      <c r="F774" s="18" t="inlineStr">
        <is>
          <t>documento_nombre</t>
        </is>
      </c>
      <c r="G774" s="18" t="inlineStr">
        <is>
          <t>character varying(255)</t>
        </is>
      </c>
      <c r="H774" s="18" t="inlineStr">
        <is>
          <t>Sí</t>
        </is>
      </c>
      <c r="I774" s="18" t="inlineStr"/>
      <c r="J774" s="18" t="inlineStr"/>
      <c r="K774" s="18" t="inlineStr"/>
      <c r="L774" s="18" t="inlineStr">
        <is>
          <t>No</t>
        </is>
      </c>
      <c r="M774" s="18" t="inlineStr">
        <is>
          <t>No</t>
        </is>
      </c>
      <c r="N774" s="18" t="inlineStr"/>
      <c r="O774" s="18" t="inlineStr"/>
      <c r="P774" s="18" t="inlineStr">
        <is>
          <t>Mapeada en legal-management-service/src/entities/actuacion.entity.ts:29 (Actuacion.documentoNombre)</t>
        </is>
      </c>
      <c r="Q774" s="18" t="inlineStr">
        <is>
          <t>Propuesta semántica</t>
        </is>
      </c>
      <c r="R774" s="18" t="inlineStr">
        <is>
          <t>Nombre del documento soporte de la actuación.</t>
        </is>
      </c>
      <c r="S774" s="18" t="inlineStr">
        <is>
          <t>Alta</t>
        </is>
      </c>
      <c r="T774" s="18" t="inlineStr">
        <is>
          <t>nombre + tipo + columnas vecinas</t>
        </is>
      </c>
      <c r="U774" s="18" t="inlineStr"/>
      <c r="V774" s="19" t="inlineStr">
        <is>
          <t>Aprobada</t>
        </is>
      </c>
      <c r="W774" s="19" t="inlineStr"/>
      <c r="X774" s="19" t="inlineStr">
        <is>
          <t>Aldair González (aprobación en bloque)</t>
        </is>
      </c>
      <c r="Y774" s="20" t="n">
        <v>46321</v>
      </c>
      <c r="Z774" s="19" t="inlineStr">
        <is>
          <t>Nivel 1: propuesta del comentario del desarrollador o de confianza alta, o regla de fecha/responsable/motivo.</t>
        </is>
      </c>
      <c r="AA774" s="18">
        <f>IF(OR(V774="Aprobada"),R774,IF(AND(OR(V774="Aprobada con ajuste",V774="Rechazada"),W774&lt;&gt;""),W774,""))</f>
        <v/>
      </c>
    </row>
    <row r="775">
      <c r="A775" s="18" t="inlineStr">
        <is>
          <t>C0774</t>
        </is>
      </c>
      <c r="B775" s="18" t="inlineStr">
        <is>
          <t>Gestión jurídica</t>
        </is>
      </c>
      <c r="C775" s="18" t="inlineStr">
        <is>
          <t>legal_management</t>
        </is>
      </c>
      <c r="D775" s="18" t="inlineStr">
        <is>
          <t>actuaciones</t>
        </is>
      </c>
      <c r="E775" s="18" t="n">
        <v>427</v>
      </c>
      <c r="F775" s="18" t="inlineStr">
        <is>
          <t>usuario_responsable</t>
        </is>
      </c>
      <c r="G775" s="18" t="inlineStr">
        <is>
          <t>character varying(100)</t>
        </is>
      </c>
      <c r="H775" s="18" t="inlineStr">
        <is>
          <t>Sí</t>
        </is>
      </c>
      <c r="I775" s="18" t="inlineStr"/>
      <c r="J775" s="18" t="inlineStr"/>
      <c r="K775" s="18" t="inlineStr"/>
      <c r="L775" s="18" t="inlineStr">
        <is>
          <t>No</t>
        </is>
      </c>
      <c r="M775" s="18" t="inlineStr">
        <is>
          <t>No</t>
        </is>
      </c>
      <c r="N775" s="18" t="inlineStr"/>
      <c r="O775" s="18" t="inlineStr"/>
      <c r="P775" s="18" t="inlineStr">
        <is>
          <t>Mapeada en legal-management-service/src/entities/actuacion.entity.ts:32 (Actuacion.usuarioResponsable)</t>
        </is>
      </c>
      <c r="Q775" s="18" t="inlineStr">
        <is>
          <t>Código fuente (verificado)</t>
        </is>
      </c>
      <c r="R775" s="18" t="inlineStr">
        <is>
          <t>Nombre para mostrar del usuario responsable de la actuación. Valor por defecto: Sistema. El identificador del usuario (auth."user") que se notifica va en responsable_id.</t>
        </is>
      </c>
      <c r="S775" s="18" t="inlineStr">
        <is>
          <t>Alta</t>
        </is>
      </c>
      <c r="T775" s="18" t="inlineStr">
        <is>
          <t>legal-management-service/src/entities/actuacion.entity.ts:35: comentario: usuario_responsable solo guarda el nombre; responsable_id es el id de auth."user" | legal-management-service/src/controllers/actuacion.controller.ts:97: usuarioResponsable = body.responsable o Sistema</t>
        </is>
      </c>
      <c r="U775" s="18" t="inlineStr"/>
      <c r="V775" s="19" t="inlineStr">
        <is>
          <t>Aprobada</t>
        </is>
      </c>
      <c r="W775" s="19" t="inlineStr"/>
      <c r="X775" s="19" t="inlineStr">
        <is>
          <t>Aldair González (aprobación en bloque)</t>
        </is>
      </c>
      <c r="Y775" s="20" t="n">
        <v>46321</v>
      </c>
      <c r="Z775" s="19" t="inlineStr">
        <is>
          <t>Nivel 3: verificada con el código de la aplicación.</t>
        </is>
      </c>
      <c r="AA775" s="18">
        <f>IF(OR(V775="Aprobada"),R775,IF(AND(OR(V775="Aprobada con ajuste",V775="Rechazada"),W775&lt;&gt;""),W775,""))</f>
        <v/>
      </c>
    </row>
    <row r="776">
      <c r="A776" s="18" t="inlineStr">
        <is>
          <t>C0775</t>
        </is>
      </c>
      <c r="B776" s="18" t="inlineStr">
        <is>
          <t>Gestión jurídica</t>
        </is>
      </c>
      <c r="C776" s="18" t="inlineStr">
        <is>
          <t>legal_management</t>
        </is>
      </c>
      <c r="D776" s="18" t="inlineStr">
        <is>
          <t>actuaciones</t>
        </is>
      </c>
      <c r="E776" s="18" t="n">
        <v>427</v>
      </c>
      <c r="F776" s="18" t="inlineStr">
        <is>
          <t>origen</t>
        </is>
      </c>
      <c r="G776" s="18" t="inlineStr">
        <is>
          <t>character varying(50)</t>
        </is>
      </c>
      <c r="H776" s="18" t="inlineStr">
        <is>
          <t>Sí</t>
        </is>
      </c>
      <c r="I776" s="18" t="inlineStr"/>
      <c r="J776" s="18" t="inlineStr"/>
      <c r="K776" s="18" t="inlineStr"/>
      <c r="L776" s="18" t="inlineStr">
        <is>
          <t>No</t>
        </is>
      </c>
      <c r="M776" s="18" t="inlineStr">
        <is>
          <t>No</t>
        </is>
      </c>
      <c r="N776" s="18" t="inlineStr"/>
      <c r="O776" s="18" t="inlineStr"/>
      <c r="P776" s="18" t="inlineStr">
        <is>
          <t>legal-management-service/src/entities/actuacion.entity.ts:41: 'MANUAL', 'AUDIENCIA', 'AUTO', 'ACTA', 'EVIDENCIA', 'OFICIO' | db/migrations/old/094_add_unified_history_columns.sql:5: 'MANUAL', 'AUDIENCIA', 'AUTO', 'ACTA', 'EVIDENCIA', 'OFICIO'</t>
        </is>
      </c>
      <c r="Q776" s="18" t="inlineStr">
        <is>
          <t>Código fuente</t>
        </is>
      </c>
      <c r="R776" s="18" t="inlineStr">
        <is>
          <t>Origen de la actuación en el historial unificado. Valores: MANUAL, AUDIENCIA, AUTO, ACTA, EVIDENCIA, OFICIO. Por defecto, MANUAL.</t>
        </is>
      </c>
      <c r="S776" s="18" t="inlineStr">
        <is>
          <t>Alta</t>
        </is>
      </c>
      <c r="T776" s="18" t="inlineStr">
        <is>
          <t>código: actuacion.entity.ts:41</t>
        </is>
      </c>
      <c r="U776" s="18" t="inlineStr"/>
      <c r="V776" s="19" t="inlineStr">
        <is>
          <t>Aprobada</t>
        </is>
      </c>
      <c r="W776" s="19" t="inlineStr"/>
      <c r="X776" s="19" t="inlineStr">
        <is>
          <t>Aldair González (aprobación en bloque)</t>
        </is>
      </c>
      <c r="Y776" s="20" t="n">
        <v>46321</v>
      </c>
      <c r="Z776" s="19" t="inlineStr">
        <is>
          <t>Nivel 1: propuesta del comentario del desarrollador o de confianza alta, o regla de fecha/responsable/motivo.</t>
        </is>
      </c>
      <c r="AA776" s="18">
        <f>IF(OR(V776="Aprobada"),R776,IF(AND(OR(V776="Aprobada con ajuste",V776="Rechazada"),W776&lt;&gt;""),W776,""))</f>
        <v/>
      </c>
    </row>
    <row r="777">
      <c r="A777" s="18" t="inlineStr">
        <is>
          <t>C0776</t>
        </is>
      </c>
      <c r="B777" s="18" t="inlineStr">
        <is>
          <t>Gestión jurídica</t>
        </is>
      </c>
      <c r="C777" s="18" t="inlineStr">
        <is>
          <t>legal_management</t>
        </is>
      </c>
      <c r="D777" s="18" t="inlineStr">
        <is>
          <t>actuaciones</t>
        </is>
      </c>
      <c r="E777" s="18" t="n">
        <v>427</v>
      </c>
      <c r="F777" s="18" t="inlineStr">
        <is>
          <t>referencia_id</t>
        </is>
      </c>
      <c r="G777" s="18" t="inlineStr">
        <is>
          <t>uuid</t>
        </is>
      </c>
      <c r="H777" s="18" t="inlineStr">
        <is>
          <t>Sí</t>
        </is>
      </c>
      <c r="I777" s="18" t="inlineStr"/>
      <c r="J777" s="18" t="inlineStr"/>
      <c r="K777" s="18" t="inlineStr"/>
      <c r="L777" s="18" t="inlineStr">
        <is>
          <t>No</t>
        </is>
      </c>
      <c r="M777" s="18" t="inlineStr">
        <is>
          <t>No</t>
        </is>
      </c>
      <c r="N777" s="18" t="inlineStr"/>
      <c r="O777" s="18" t="inlineStr">
        <is>
          <t>idx_actuaciones_referencia</t>
        </is>
      </c>
      <c r="P777" s="18" t="inlineStr">
        <is>
          <t>db/migrations/old/094_add_unified_history_columns.sql:6: ID del registro original (Auto, Audiencia, etc.)</t>
        </is>
      </c>
      <c r="Q777" s="18" t="inlineStr">
        <is>
          <t>Código fuente</t>
        </is>
      </c>
      <c r="R777" s="18" t="inlineStr">
        <is>
          <t>Identificador del registro original que generó la actuación (auto, audiencia, etc.).</t>
        </is>
      </c>
      <c r="S777" s="18" t="inlineStr">
        <is>
          <t>Alta</t>
        </is>
      </c>
      <c r="T777" s="18" t="inlineStr">
        <is>
          <t>código: db/migrations/old/094_add_unified_history_columns.sql:6</t>
        </is>
      </c>
      <c r="U777" s="18" t="inlineStr"/>
      <c r="V777" s="19" t="inlineStr">
        <is>
          <t>Aprobada</t>
        </is>
      </c>
      <c r="W777" s="19" t="inlineStr"/>
      <c r="X777" s="19" t="inlineStr">
        <is>
          <t>Aldair González (aprobación en bloque)</t>
        </is>
      </c>
      <c r="Y777" s="20" t="n">
        <v>46321</v>
      </c>
      <c r="Z777" s="19" t="inlineStr">
        <is>
          <t>Nivel 1: propuesta del comentario del desarrollador o de confianza alta, o regla de fecha/responsable/motivo.</t>
        </is>
      </c>
      <c r="AA777" s="18">
        <f>IF(OR(V777="Aprobada"),R777,IF(AND(OR(V777="Aprobada con ajuste",V777="Rechazada"),W777&lt;&gt;""),W777,""))</f>
        <v/>
      </c>
    </row>
    <row r="778">
      <c r="A778" s="18" t="inlineStr">
        <is>
          <t>C0777</t>
        </is>
      </c>
      <c r="B778" s="18" t="inlineStr">
        <is>
          <t>Gestión jurídica</t>
        </is>
      </c>
      <c r="C778" s="18" t="inlineStr">
        <is>
          <t>legal_management</t>
        </is>
      </c>
      <c r="D778" s="18" t="inlineStr">
        <is>
          <t>actuaciones</t>
        </is>
      </c>
      <c r="E778" s="18" t="n">
        <v>427</v>
      </c>
      <c r="F778" s="18" t="inlineStr">
        <is>
          <t>metadata</t>
        </is>
      </c>
      <c r="G778" s="18" t="inlineStr">
        <is>
          <t>jsonb</t>
        </is>
      </c>
      <c r="H778" s="18" t="inlineStr">
        <is>
          <t>Sí</t>
        </is>
      </c>
      <c r="I778" s="18" t="inlineStr"/>
      <c r="J778" s="18" t="inlineStr"/>
      <c r="K778" s="18" t="inlineStr"/>
      <c r="L778" s="18" t="inlineStr">
        <is>
          <t>No</t>
        </is>
      </c>
      <c r="M778" s="18" t="inlineStr">
        <is>
          <t>No</t>
        </is>
      </c>
      <c r="N778" s="18" t="inlineStr"/>
      <c r="O778" s="18" t="inlineStr"/>
      <c r="P778" s="18" t="inlineStr">
        <is>
          <t>db/migrations/old/094_add_unified_history_columns.sql:7: Para guardar datos extra si se requiere</t>
        </is>
      </c>
      <c r="Q778" s="18" t="inlineStr">
        <is>
          <t>Código fuente</t>
        </is>
      </c>
      <c r="R778" s="18" t="inlineStr">
        <is>
          <t>Datos adicionales de la actuación, en formato JSON.</t>
        </is>
      </c>
      <c r="S778" s="18" t="inlineStr">
        <is>
          <t>Alta</t>
        </is>
      </c>
      <c r="T778" s="18" t="inlineStr">
        <is>
          <t>código: db/migrations/old/094_add_unified_history_columns.sql:7</t>
        </is>
      </c>
      <c r="U778" s="18" t="inlineStr"/>
      <c r="V778" s="19" t="inlineStr">
        <is>
          <t>Aprobada</t>
        </is>
      </c>
      <c r="W778" s="19" t="inlineStr"/>
      <c r="X778" s="19" t="inlineStr">
        <is>
          <t>Aldair González (aprobación en bloque)</t>
        </is>
      </c>
      <c r="Y778" s="20" t="n">
        <v>46321</v>
      </c>
      <c r="Z778" s="19" t="inlineStr">
        <is>
          <t>Nivel 1: propuesta del comentario del desarrollador o de confianza alta, o regla de fecha/responsable/motivo.</t>
        </is>
      </c>
      <c r="AA778" s="18">
        <f>IF(OR(V778="Aprobada"),R778,IF(AND(OR(V778="Aprobada con ajuste",V778="Rechazada"),W778&lt;&gt;""),W778,""))</f>
        <v/>
      </c>
    </row>
    <row r="779">
      <c r="A779" s="18" t="inlineStr">
        <is>
          <t>C0778</t>
        </is>
      </c>
      <c r="B779" s="18" t="inlineStr">
        <is>
          <t>Gestión jurídica</t>
        </is>
      </c>
      <c r="C779" s="18" t="inlineStr">
        <is>
          <t>legal_management</t>
        </is>
      </c>
      <c r="D779" s="18" t="inlineStr">
        <is>
          <t>actuaciones</t>
        </is>
      </c>
      <c r="E779" s="18" t="n">
        <v>427</v>
      </c>
      <c r="F779" s="18" t="inlineStr">
        <is>
          <t>responsable_id</t>
        </is>
      </c>
      <c r="G779" s="18" t="inlineStr">
        <is>
          <t>character varying(255)</t>
        </is>
      </c>
      <c r="H779" s="18" t="inlineStr">
        <is>
          <t>Sí</t>
        </is>
      </c>
      <c r="I779" s="18" t="inlineStr"/>
      <c r="J779" s="18" t="inlineStr"/>
      <c r="K779" s="18" t="inlineStr"/>
      <c r="L779" s="18" t="inlineStr">
        <is>
          <t>No</t>
        </is>
      </c>
      <c r="M779" s="18" t="inlineStr">
        <is>
          <t>No</t>
        </is>
      </c>
      <c r="N779" s="18" t="inlineStr"/>
      <c r="O779" s="18" t="inlineStr"/>
      <c r="P779" s="18" t="inlineStr">
        <is>
          <t>legal-management-service/src/entities/actuacion.entity.ts:38: Id del usuario (auth."user") asignado como responsable de la actuación, usado para notificarle que tiene una nueva actividad pendiente. `usuarioResponsable` arriba solo guarda el nombre para mostrar y no basta para resolver a quién notificar.</t>
        </is>
      </c>
      <c r="Q779" s="18" t="inlineStr">
        <is>
          <t>Código fuente</t>
        </is>
      </c>
      <c r="R779" s="18" t="inlineStr">
        <is>
          <t>Identificador del usuario (auth."user") asignado como responsable de la actuación; se usa para notificarle la nueva actividad pendiente.</t>
        </is>
      </c>
      <c r="S779" s="18" t="inlineStr">
        <is>
          <t>Alta</t>
        </is>
      </c>
      <c r="T779" s="18" t="inlineStr">
        <is>
          <t>código: legal-management-service/src/entities/actuacion.entity.ts:38</t>
        </is>
      </c>
      <c r="U779" s="18" t="inlineStr"/>
      <c r="V779" s="19" t="inlineStr">
        <is>
          <t>Aprobada</t>
        </is>
      </c>
      <c r="W779" s="19" t="inlineStr"/>
      <c r="X779" s="19" t="inlineStr">
        <is>
          <t>Aldair González (aprobación en bloque)</t>
        </is>
      </c>
      <c r="Y779" s="20" t="n">
        <v>46321</v>
      </c>
      <c r="Z779" s="19" t="inlineStr">
        <is>
          <t>Nivel 1: propuesta del comentario del desarrollador o de confianza alta, o regla de fecha/responsable/motivo.</t>
        </is>
      </c>
      <c r="AA779" s="18">
        <f>IF(OR(V779="Aprobada"),R779,IF(AND(OR(V779="Aprobada con ajuste",V779="Rechazada"),W779&lt;&gt;""),W779,""))</f>
        <v/>
      </c>
    </row>
    <row r="780">
      <c r="A780" s="18" t="inlineStr">
        <is>
          <t>C0779</t>
        </is>
      </c>
      <c r="B780" s="18" t="inlineStr">
        <is>
          <t>Gestión jurídica</t>
        </is>
      </c>
      <c r="C780" s="18" t="inlineStr">
        <is>
          <t>legal_management</t>
        </is>
      </c>
      <c r="D780" s="18" t="inlineStr">
        <is>
          <t>adjuntos_correo</t>
        </is>
      </c>
      <c r="E780" s="18" t="n">
        <v>2554</v>
      </c>
      <c r="F780" s="18" t="inlineStr">
        <is>
          <t>graph_message_id</t>
        </is>
      </c>
      <c r="G780" s="18" t="inlineStr">
        <is>
          <t>character varying(500)</t>
        </is>
      </c>
      <c r="H780" s="18" t="inlineStr">
        <is>
          <t>No</t>
        </is>
      </c>
      <c r="I780" s="18" t="inlineStr"/>
      <c r="J780" s="18" t="inlineStr"/>
      <c r="K780" s="18" t="inlineStr"/>
      <c r="L780" s="18" t="inlineStr">
        <is>
          <t>No</t>
        </is>
      </c>
      <c r="M780" s="18" t="inlineStr">
        <is>
          <t>No</t>
        </is>
      </c>
      <c r="N780" s="18" t="inlineStr"/>
      <c r="O780" s="18" t="inlineStr">
        <is>
          <t>idx_adjuntos_graph_message</t>
        </is>
      </c>
      <c r="P780" s="18" t="inlineStr">
        <is>
          <t>Mapeada en legal-management-service/src/entities/adjunto-correo.entity.ts:16 (AdjuntoCorreo.graphMessageId)</t>
        </is>
      </c>
      <c r="Q780" s="18" t="inlineStr">
        <is>
          <t>Propuesta semántica</t>
        </is>
      </c>
      <c r="R780" s="18" t="inlineStr">
        <is>
          <t>Identificador del mensaje en Microsoft Graph al que pertenece el adjunto.</t>
        </is>
      </c>
      <c r="S780" s="18" t="inlineStr">
        <is>
          <t>Alta</t>
        </is>
      </c>
      <c r="T780" s="18" t="inlineStr">
        <is>
          <t>nombre + tipo + columnas vecinas + descripción de la tabla</t>
        </is>
      </c>
      <c r="U780" s="18" t="inlineStr"/>
      <c r="V780" s="19" t="inlineStr">
        <is>
          <t>Aprobada</t>
        </is>
      </c>
      <c r="W780" s="19" t="inlineStr"/>
      <c r="X780" s="19" t="inlineStr">
        <is>
          <t>Aldair González (aprobación en bloque)</t>
        </is>
      </c>
      <c r="Y780" s="20" t="n">
        <v>46321</v>
      </c>
      <c r="Z780" s="19" t="inlineStr">
        <is>
          <t>Nivel 1: propuesta del comentario del desarrollador o de confianza alta, o regla de fecha/responsable/motivo.</t>
        </is>
      </c>
      <c r="AA780" s="18">
        <f>IF(OR(V780="Aprobada"),R780,IF(AND(OR(V780="Aprobada con ajuste",V780="Rechazada"),W780&lt;&gt;""),W780,""))</f>
        <v/>
      </c>
    </row>
    <row r="781">
      <c r="A781" s="18" t="inlineStr">
        <is>
          <t>C0780</t>
        </is>
      </c>
      <c r="B781" s="18" t="inlineStr">
        <is>
          <t>Gestión jurídica</t>
        </is>
      </c>
      <c r="C781" s="18" t="inlineStr">
        <is>
          <t>legal_management</t>
        </is>
      </c>
      <c r="D781" s="18" t="inlineStr">
        <is>
          <t>adjuntos_correo</t>
        </is>
      </c>
      <c r="E781" s="18" t="n">
        <v>2554</v>
      </c>
      <c r="F781" s="18" t="inlineStr">
        <is>
          <t>nombre</t>
        </is>
      </c>
      <c r="G781" s="18" t="inlineStr">
        <is>
          <t>character varying(500)</t>
        </is>
      </c>
      <c r="H781" s="18" t="inlineStr">
        <is>
          <t>No</t>
        </is>
      </c>
      <c r="I781" s="18" t="inlineStr"/>
      <c r="J781" s="18" t="inlineStr"/>
      <c r="K781" s="18" t="inlineStr"/>
      <c r="L781" s="18" t="inlineStr">
        <is>
          <t>No</t>
        </is>
      </c>
      <c r="M781" s="18" t="inlineStr">
        <is>
          <t>No</t>
        </is>
      </c>
      <c r="N781" s="18" t="inlineStr"/>
      <c r="O781" s="18" t="inlineStr"/>
      <c r="P781" s="18" t="inlineStr">
        <is>
          <t>Mapeada en legal-management-service/src/entities/adjunto-correo.entity.ts:22 (AdjuntoCorreo.nombre)</t>
        </is>
      </c>
      <c r="Q781" s="18" t="inlineStr">
        <is>
          <t>Regla estructural (redacción revisada)</t>
        </is>
      </c>
      <c r="R781" s="18" t="inlineStr">
        <is>
          <t>Nombre del archivo adjunto del correo electrónico.</t>
        </is>
      </c>
      <c r="S781" s="18" t="inlineStr">
        <is>
          <t>Alta</t>
        </is>
      </c>
      <c r="T781" s="18" t="inlineStr">
        <is>
          <t>Convención de nombre, redactada con el contexto de la tabla y el código.</t>
        </is>
      </c>
      <c r="U781" s="18" t="inlineStr"/>
      <c r="V781" s="19" t="inlineStr">
        <is>
          <t>Aprobada</t>
        </is>
      </c>
      <c r="W781" s="19" t="inlineStr"/>
      <c r="X781" s="19" t="inlineStr">
        <is>
          <t>Aldair González (aprobación en bloque)</t>
        </is>
      </c>
      <c r="Y781" s="20" t="n">
        <v>46321</v>
      </c>
      <c r="Z781" s="19" t="inlineStr">
        <is>
          <t>Nivel 2: regla estructural con redacción revisada.</t>
        </is>
      </c>
      <c r="AA781" s="18">
        <f>IF(OR(V781="Aprobada"),R781,IF(AND(OR(V781="Aprobada con ajuste",V781="Rechazada"),W781&lt;&gt;""),W781,""))</f>
        <v/>
      </c>
    </row>
    <row r="782">
      <c r="A782" s="18" t="inlineStr">
        <is>
          <t>C0781</t>
        </is>
      </c>
      <c r="B782" s="18" t="inlineStr">
        <is>
          <t>Gestión jurídica</t>
        </is>
      </c>
      <c r="C782" s="18" t="inlineStr">
        <is>
          <t>legal_management</t>
        </is>
      </c>
      <c r="D782" s="18" t="inlineStr">
        <is>
          <t>adjuntos_correo</t>
        </is>
      </c>
      <c r="E782" s="18" t="n">
        <v>2554</v>
      </c>
      <c r="F782" s="18" t="inlineStr">
        <is>
          <t>content_type</t>
        </is>
      </c>
      <c r="G782" s="18" t="inlineStr">
        <is>
          <t>character varying(255)</t>
        </is>
      </c>
      <c r="H782" s="18" t="inlineStr">
        <is>
          <t>Sí</t>
        </is>
      </c>
      <c r="I782" s="18" t="inlineStr"/>
      <c r="J782" s="18" t="inlineStr"/>
      <c r="K782" s="18" t="inlineStr"/>
      <c r="L782" s="18" t="inlineStr">
        <is>
          <t>No</t>
        </is>
      </c>
      <c r="M782" s="18" t="inlineStr">
        <is>
          <t>No</t>
        </is>
      </c>
      <c r="N782" s="18" t="inlineStr"/>
      <c r="O782" s="18" t="inlineStr"/>
      <c r="P782" s="18" t="inlineStr">
        <is>
          <t>Mapeada en legal-management-service/src/entities/adjunto-correo.entity.ts:25 (AdjuntoCorreo.contentType)</t>
        </is>
      </c>
      <c r="Q782" s="18" t="inlineStr">
        <is>
          <t>Propuesta semántica</t>
        </is>
      </c>
      <c r="R782" s="18" t="inlineStr">
        <is>
          <t>Tipo de contenido (MIME) del adjunto.</t>
        </is>
      </c>
      <c r="S782" s="18" t="inlineStr">
        <is>
          <t>Alta</t>
        </is>
      </c>
      <c r="T782" s="18" t="inlineStr">
        <is>
          <t>nombre + tipo + columnas vecinas</t>
        </is>
      </c>
      <c r="U782" s="18" t="inlineStr"/>
      <c r="V782" s="19" t="inlineStr">
        <is>
          <t>Aprobada</t>
        </is>
      </c>
      <c r="W782" s="19" t="inlineStr"/>
      <c r="X782" s="19" t="inlineStr">
        <is>
          <t>Aldair González (aprobación en bloque)</t>
        </is>
      </c>
      <c r="Y782" s="20" t="n">
        <v>46321</v>
      </c>
      <c r="Z782" s="19" t="inlineStr">
        <is>
          <t>Nivel 1: propuesta del comentario del desarrollador o de confianza alta, o regla de fecha/responsable/motivo.</t>
        </is>
      </c>
      <c r="AA782" s="18">
        <f>IF(OR(V782="Aprobada"),R782,IF(AND(OR(V782="Aprobada con ajuste",V782="Rechazada"),W782&lt;&gt;""),W782,""))</f>
        <v/>
      </c>
    </row>
    <row r="783">
      <c r="A783" s="18" t="inlineStr">
        <is>
          <t>C0782</t>
        </is>
      </c>
      <c r="B783" s="18" t="inlineStr">
        <is>
          <t>Gestión jurídica</t>
        </is>
      </c>
      <c r="C783" s="18" t="inlineStr">
        <is>
          <t>legal_management</t>
        </is>
      </c>
      <c r="D783" s="18" t="inlineStr">
        <is>
          <t>adjuntos_correo</t>
        </is>
      </c>
      <c r="E783" s="18" t="n">
        <v>2554</v>
      </c>
      <c r="F783" s="18" t="inlineStr">
        <is>
          <t>tamanio</t>
        </is>
      </c>
      <c r="G783" s="18" t="inlineStr">
        <is>
          <t>integer</t>
        </is>
      </c>
      <c r="H783" s="18" t="inlineStr">
        <is>
          <t>Sí</t>
        </is>
      </c>
      <c r="I783" s="18" t="inlineStr"/>
      <c r="J783" s="18" t="inlineStr"/>
      <c r="K783" s="18" t="inlineStr"/>
      <c r="L783" s="18" t="inlineStr">
        <is>
          <t>No</t>
        </is>
      </c>
      <c r="M783" s="18" t="inlineStr">
        <is>
          <t>No</t>
        </is>
      </c>
      <c r="N783" s="18" t="inlineStr"/>
      <c r="O783" s="18" t="inlineStr"/>
      <c r="P783" s="18" t="inlineStr">
        <is>
          <t>Mapeada en legal-management-service/src/entities/adjunto-correo.entity.ts:28 (AdjuntoCorreo.tamanio)</t>
        </is>
      </c>
      <c r="Q783" s="18" t="inlineStr">
        <is>
          <t>Código fuente (verificado)</t>
        </is>
      </c>
      <c r="R783" s="18" t="inlineStr">
        <is>
          <t>Tamaño del adjunto, en bytes. Valor por defecto: 0.</t>
        </is>
      </c>
      <c r="S783" s="18" t="inlineStr">
        <is>
          <t>Alta</t>
        </is>
      </c>
      <c r="T783" s="18" t="inlineStr">
        <is>
          <t>legal-management-service/src/services/correos-juridicos.service.ts:495: tamanio = att.size | legal-management-service/src/services/correos-juridicos.service.ts:926: buffer.length | legal-management-service/src/services/correos-juridicos.service.ts:967: se convierte a MB dividiendo entre 1024*1024</t>
        </is>
      </c>
      <c r="U783" s="18" t="inlineStr"/>
      <c r="V783" s="19" t="inlineStr">
        <is>
          <t>Aprobada</t>
        </is>
      </c>
      <c r="W783" s="19" t="inlineStr"/>
      <c r="X783" s="19" t="inlineStr">
        <is>
          <t>Aldair González (aprobación en bloque)</t>
        </is>
      </c>
      <c r="Y783" s="20" t="n">
        <v>46321</v>
      </c>
      <c r="Z783" s="19" t="inlineStr">
        <is>
          <t>Nivel 3: verificada con el código de la aplicación.</t>
        </is>
      </c>
      <c r="AA783" s="18">
        <f>IF(OR(V783="Aprobada"),R783,IF(AND(OR(V783="Aprobada con ajuste",V783="Rechazada"),W783&lt;&gt;""),W783,""))</f>
        <v/>
      </c>
    </row>
    <row r="784">
      <c r="A784" s="18" t="inlineStr">
        <is>
          <t>C0783</t>
        </is>
      </c>
      <c r="B784" s="18" t="inlineStr">
        <is>
          <t>Gestión jurídica</t>
        </is>
      </c>
      <c r="C784" s="18" t="inlineStr">
        <is>
          <t>legal_management</t>
        </is>
      </c>
      <c r="D784" s="18" t="inlineStr">
        <is>
          <t>adjuntos_correo</t>
        </is>
      </c>
      <c r="E784" s="18" t="n">
        <v>2554</v>
      </c>
      <c r="F784" s="18" t="inlineStr">
        <is>
          <t>descargado</t>
        </is>
      </c>
      <c r="G784" s="18" t="inlineStr">
        <is>
          <t>boolean</t>
        </is>
      </c>
      <c r="H784" s="18" t="inlineStr">
        <is>
          <t>Sí</t>
        </is>
      </c>
      <c r="I784" s="18" t="inlineStr"/>
      <c r="J784" s="18" t="inlineStr"/>
      <c r="K784" s="18" t="inlineStr"/>
      <c r="L784" s="18" t="inlineStr">
        <is>
          <t>No</t>
        </is>
      </c>
      <c r="M784" s="18" t="inlineStr">
        <is>
          <t>No</t>
        </is>
      </c>
      <c r="N784" s="18" t="inlineStr"/>
      <c r="O784" s="18" t="inlineStr"/>
      <c r="P784" s="18" t="inlineStr">
        <is>
          <t>Mapeada en legal-management-service/src/entities/adjunto-correo.entity.ts:34 (AdjuntoCorreo.descargado)</t>
        </is>
      </c>
      <c r="Q784" s="18" t="inlineStr">
        <is>
          <t>Regla estructural (redacción revisada)</t>
        </is>
      </c>
      <c r="R784" s="18" t="inlineStr">
        <is>
          <t>Indica si el adjunto del correo electrónico se descargó.</t>
        </is>
      </c>
      <c r="S784" s="18" t="inlineStr">
        <is>
          <t>Alta</t>
        </is>
      </c>
      <c r="T784" s="18" t="inlineStr">
        <is>
          <t>Convención de nombre, redactada con el contexto de la tabla y el código.</t>
        </is>
      </c>
      <c r="U784" s="18" t="inlineStr"/>
      <c r="V784" s="19" t="inlineStr">
        <is>
          <t>Aprobada</t>
        </is>
      </c>
      <c r="W784" s="19" t="inlineStr"/>
      <c r="X784" s="19" t="inlineStr">
        <is>
          <t>Aldair González (aprobación en bloque)</t>
        </is>
      </c>
      <c r="Y784" s="20" t="n">
        <v>46321</v>
      </c>
      <c r="Z784" s="19" t="inlineStr">
        <is>
          <t>Nivel 2: regla estructural con redacción revisada.</t>
        </is>
      </c>
      <c r="AA784" s="18">
        <f>IF(OR(V784="Aprobada"),R784,IF(AND(OR(V784="Aprobada con ajuste",V784="Rechazada"),W784&lt;&gt;""),W784,""))</f>
        <v/>
      </c>
    </row>
    <row r="785">
      <c r="A785" s="18" t="inlineStr">
        <is>
          <t>C0784</t>
        </is>
      </c>
      <c r="B785" s="18" t="inlineStr">
        <is>
          <t>Gestión jurídica</t>
        </is>
      </c>
      <c r="C785" s="18" t="inlineStr">
        <is>
          <t>legal_management</t>
        </is>
      </c>
      <c r="D785" s="18" t="inlineStr">
        <is>
          <t>audiencias</t>
        </is>
      </c>
      <c r="E785" s="18" t="n">
        <v>18</v>
      </c>
      <c r="F785" s="18" t="inlineStr">
        <is>
          <t>abogado_id</t>
        </is>
      </c>
      <c r="G785" s="18" t="inlineStr">
        <is>
          <t>uuid</t>
        </is>
      </c>
      <c r="H785" s="18" t="inlineStr">
        <is>
          <t>No</t>
        </is>
      </c>
      <c r="I785" s="18" t="inlineStr"/>
      <c r="J785" s="18" t="inlineStr"/>
      <c r="K785" s="18" t="inlineStr"/>
      <c r="L785" s="18" t="inlineStr">
        <is>
          <t>No</t>
        </is>
      </c>
      <c r="M785" s="18" t="inlineStr">
        <is>
          <t>No</t>
        </is>
      </c>
      <c r="N785" s="18" t="inlineStr"/>
      <c r="O785" s="18" t="inlineStr"/>
      <c r="P785" s="18" t="inlineStr">
        <is>
          <t>Mapeada en legal-management-service/src/entities/audiencia.entity.ts:16 (Audiencia.abogadoId)</t>
        </is>
      </c>
      <c r="Q785" s="18" t="inlineStr">
        <is>
          <t>Código fuente (verificado)</t>
        </is>
      </c>
      <c r="R785" s="18" t="inlineStr">
        <is>
          <t>Identificador del abogado responsable de la audiencia. Tenía FK a la tabla abogados, que fue eliminada al pasar a la autenticación federada.</t>
        </is>
      </c>
      <c r="S785" s="18" t="inlineStr">
        <is>
          <t>Media</t>
        </is>
      </c>
      <c r="T785" s="18" t="inlineStr">
        <is>
          <t>db/migrations/315_cleanup_legal_obsolete_tables.sql:19: suelta audiencias_abogado_id_fkey | db/migrations/315_cleanup_legal_obsolete_tables.sql:2: abogados reemplazada por auth federado | legal-management-service/src/services/audiencia.service.ts:108: valida cruce de horario por abogado_id</t>
        </is>
      </c>
      <c r="U785" s="18" t="inlineStr">
        <is>
          <t>¿abogado_id guarda hoy el id_user de auth."user" u otro identificador?</t>
        </is>
      </c>
      <c r="V785" s="19" t="inlineStr">
        <is>
          <t>Aprobada</t>
        </is>
      </c>
      <c r="W785" s="19" t="inlineStr"/>
      <c r="X785" s="19" t="inlineStr">
        <is>
          <t>Aldair González (validación del responsable de BD)</t>
        </is>
      </c>
      <c r="Y785" s="20" t="n">
        <v>46321</v>
      </c>
      <c r="Z785" s="19" t="inlineStr">
        <is>
          <t>Nivel 3: validada por decisión del responsable de la base de datos. Pregunta registrada para desarrollo: ¿abogado_id guarda hoy el id_user de auth."user" u otro identificador?</t>
        </is>
      </c>
      <c r="AA785" s="18">
        <f>IF(OR(V785="Aprobada"),R785,IF(AND(OR(V785="Aprobada con ajuste",V785="Rechazada"),W785&lt;&gt;""),W785,""))</f>
        <v/>
      </c>
    </row>
    <row r="786">
      <c r="A786" s="18" t="inlineStr">
        <is>
          <t>C0785</t>
        </is>
      </c>
      <c r="B786" s="18" t="inlineStr">
        <is>
          <t>Gestión jurídica</t>
        </is>
      </c>
      <c r="C786" s="18" t="inlineStr">
        <is>
          <t>legal_management</t>
        </is>
      </c>
      <c r="D786" s="18" t="inlineStr">
        <is>
          <t>audiencias</t>
        </is>
      </c>
      <c r="E786" s="18" t="n">
        <v>18</v>
      </c>
      <c r="F786" s="18" t="inlineStr">
        <is>
          <t>titulo</t>
        </is>
      </c>
      <c r="G786" s="18" t="inlineStr">
        <is>
          <t>character varying(255)</t>
        </is>
      </c>
      <c r="H786" s="18" t="inlineStr">
        <is>
          <t>No</t>
        </is>
      </c>
      <c r="I786" s="18" t="inlineStr"/>
      <c r="J786" s="18" t="inlineStr"/>
      <c r="K786" s="18" t="inlineStr"/>
      <c r="L786" s="18" t="inlineStr">
        <is>
          <t>No</t>
        </is>
      </c>
      <c r="M786" s="18" t="inlineStr">
        <is>
          <t>No</t>
        </is>
      </c>
      <c r="N786" s="18" t="inlineStr"/>
      <c r="O786" s="18" t="inlineStr"/>
      <c r="P786" s="18" t="inlineStr">
        <is>
          <t>Mapeada en legal-management-service/src/entities/audiencia.entity.ts:25 (Audiencia.titulo)</t>
        </is>
      </c>
      <c r="Q786" s="18" t="inlineStr">
        <is>
          <t>Propuesta semántica</t>
        </is>
      </c>
      <c r="R786" s="18" t="inlineStr">
        <is>
          <t>Título de la audiencia.</t>
        </is>
      </c>
      <c r="S786" s="18" t="inlineStr">
        <is>
          <t>Alta</t>
        </is>
      </c>
      <c r="T786" s="18" t="inlineStr">
        <is>
          <t>nombre + tipo + columnas vecinas</t>
        </is>
      </c>
      <c r="U786" s="18" t="inlineStr"/>
      <c r="V786" s="19" t="inlineStr">
        <is>
          <t>Aprobada</t>
        </is>
      </c>
      <c r="W786" s="19" t="inlineStr"/>
      <c r="X786" s="19" t="inlineStr">
        <is>
          <t>Aldair González (aprobación en bloque)</t>
        </is>
      </c>
      <c r="Y786" s="20" t="n">
        <v>46321</v>
      </c>
      <c r="Z786" s="19" t="inlineStr">
        <is>
          <t>Nivel 1: propuesta del comentario del desarrollador o de confianza alta, o regla de fecha/responsable/motivo.</t>
        </is>
      </c>
      <c r="AA786" s="18">
        <f>IF(OR(V786="Aprobada"),R786,IF(AND(OR(V786="Aprobada con ajuste",V786="Rechazada"),W786&lt;&gt;""),W786,""))</f>
        <v/>
      </c>
    </row>
    <row r="787">
      <c r="A787" s="18" t="inlineStr">
        <is>
          <t>C0786</t>
        </is>
      </c>
      <c r="B787" s="18" t="inlineStr">
        <is>
          <t>Gestión jurídica</t>
        </is>
      </c>
      <c r="C787" s="18" t="inlineStr">
        <is>
          <t>legal_management</t>
        </is>
      </c>
      <c r="D787" s="18" t="inlineStr">
        <is>
          <t>audiencias</t>
        </is>
      </c>
      <c r="E787" s="18" t="n">
        <v>18</v>
      </c>
      <c r="F787" s="18" t="inlineStr">
        <is>
          <t>fecha_hora_inicio</t>
        </is>
      </c>
      <c r="G787" s="18" t="inlineStr">
        <is>
          <t>timestamp without time zone</t>
        </is>
      </c>
      <c r="H787" s="18" t="inlineStr">
        <is>
          <t>No</t>
        </is>
      </c>
      <c r="I787" s="18" t="inlineStr"/>
      <c r="J787" s="18" t="inlineStr"/>
      <c r="K787" s="18" t="inlineStr"/>
      <c r="L787" s="18" t="inlineStr">
        <is>
          <t>No</t>
        </is>
      </c>
      <c r="M787" s="18" t="inlineStr">
        <is>
          <t>No</t>
        </is>
      </c>
      <c r="N787" s="18" t="inlineStr"/>
      <c r="O787" s="18" t="inlineStr"/>
      <c r="P787" s="18" t="inlineStr">
        <is>
          <t>Mapeada en legal-management-service/src/entities/audiencia.entity.ts:28 (Audiencia.fechaHoraInicio)</t>
        </is>
      </c>
      <c r="Q787" s="18" t="inlineStr">
        <is>
          <t>Regla estructural (redacción revisada)</t>
        </is>
      </c>
      <c r="R787" s="18" t="inlineStr">
        <is>
          <t>Fecha y hora de inicio de la audiencia.</t>
        </is>
      </c>
      <c r="S787" s="18" t="inlineStr">
        <is>
          <t>Alta</t>
        </is>
      </c>
      <c r="T787" s="18" t="inlineStr">
        <is>
          <t>Convención de nombre, redactada con el contexto de la tabla y el código.</t>
        </is>
      </c>
      <c r="U787" s="18" t="inlineStr"/>
      <c r="V787" s="19" t="inlineStr">
        <is>
          <t>Aprobada</t>
        </is>
      </c>
      <c r="W787" s="19" t="inlineStr"/>
      <c r="X787" s="19" t="inlineStr">
        <is>
          <t>Aldair González (aprobación en bloque)</t>
        </is>
      </c>
      <c r="Y787" s="20" t="n">
        <v>46321</v>
      </c>
      <c r="Z787" s="19" t="inlineStr">
        <is>
          <t>Nivel 2: regla estructural con redacción revisada.</t>
        </is>
      </c>
      <c r="AA787" s="18">
        <f>IF(OR(V787="Aprobada"),R787,IF(AND(OR(V787="Aprobada con ajuste",V787="Rechazada"),W787&lt;&gt;""),W787,""))</f>
        <v/>
      </c>
    </row>
    <row r="788">
      <c r="A788" s="18" t="inlineStr">
        <is>
          <t>C0787</t>
        </is>
      </c>
      <c r="B788" s="18" t="inlineStr">
        <is>
          <t>Gestión jurídica</t>
        </is>
      </c>
      <c r="C788" s="18" t="inlineStr">
        <is>
          <t>legal_management</t>
        </is>
      </c>
      <c r="D788" s="18" t="inlineStr">
        <is>
          <t>audiencias</t>
        </is>
      </c>
      <c r="E788" s="18" t="n">
        <v>18</v>
      </c>
      <c r="F788" s="18" t="inlineStr">
        <is>
          <t>duracion_minutos</t>
        </is>
      </c>
      <c r="G788" s="18" t="inlineStr">
        <is>
          <t>integer</t>
        </is>
      </c>
      <c r="H788" s="18" t="inlineStr">
        <is>
          <t>No</t>
        </is>
      </c>
      <c r="I788" s="18" t="inlineStr"/>
      <c r="J788" s="18" t="inlineStr"/>
      <c r="K788" s="18" t="inlineStr"/>
      <c r="L788" s="18" t="inlineStr">
        <is>
          <t>No</t>
        </is>
      </c>
      <c r="M788" s="18" t="inlineStr">
        <is>
          <t>No</t>
        </is>
      </c>
      <c r="N788" s="18" t="inlineStr"/>
      <c r="O788" s="18" t="inlineStr"/>
      <c r="P788" s="18" t="inlineStr">
        <is>
          <t>Mapeada en legal-management-service/src/entities/audiencia.entity.ts:31 (Audiencia.duracionMinutos)</t>
        </is>
      </c>
      <c r="Q788" s="18" t="inlineStr">
        <is>
          <t>Propuesta semántica</t>
        </is>
      </c>
      <c r="R788" s="18" t="inlineStr">
        <is>
          <t>Duración de la audiencia, en minutos.</t>
        </is>
      </c>
      <c r="S788" s="18" t="inlineStr">
        <is>
          <t>Alta</t>
        </is>
      </c>
      <c r="T788" s="18" t="inlineStr">
        <is>
          <t>nombre + tipo + columnas vecinas</t>
        </is>
      </c>
      <c r="U788" s="18" t="inlineStr"/>
      <c r="V788" s="19" t="inlineStr">
        <is>
          <t>Aprobada</t>
        </is>
      </c>
      <c r="W788" s="19" t="inlineStr"/>
      <c r="X788" s="19" t="inlineStr">
        <is>
          <t>Aldair González (aprobación en bloque)</t>
        </is>
      </c>
      <c r="Y788" s="20" t="n">
        <v>46321</v>
      </c>
      <c r="Z788" s="19" t="inlineStr">
        <is>
          <t>Nivel 1: propuesta del comentario del desarrollador o de confianza alta, o regla de fecha/responsable/motivo.</t>
        </is>
      </c>
      <c r="AA788" s="18">
        <f>IF(OR(V788="Aprobada"),R788,IF(AND(OR(V788="Aprobada con ajuste",V788="Rechazada"),W788&lt;&gt;""),W788,""))</f>
        <v/>
      </c>
    </row>
    <row r="789">
      <c r="A789" s="18" t="inlineStr">
        <is>
          <t>C0788</t>
        </is>
      </c>
      <c r="B789" s="18" t="inlineStr">
        <is>
          <t>Gestión jurídica</t>
        </is>
      </c>
      <c r="C789" s="18" t="inlineStr">
        <is>
          <t>legal_management</t>
        </is>
      </c>
      <c r="D789" s="18" t="inlineStr">
        <is>
          <t>audiencias</t>
        </is>
      </c>
      <c r="E789" s="18" t="n">
        <v>18</v>
      </c>
      <c r="F789" s="18" t="inlineStr">
        <is>
          <t>modalidad</t>
        </is>
      </c>
      <c r="G789" s="18" t="inlineStr">
        <is>
          <t>character varying(50)</t>
        </is>
      </c>
      <c r="H789" s="18" t="inlineStr">
        <is>
          <t>No</t>
        </is>
      </c>
      <c r="I789" s="18" t="inlineStr"/>
      <c r="J789" s="18" t="inlineStr"/>
      <c r="K789" s="18" t="inlineStr"/>
      <c r="L789" s="18" t="inlineStr">
        <is>
          <t>No</t>
        </is>
      </c>
      <c r="M789" s="18" t="inlineStr">
        <is>
          <t>No</t>
        </is>
      </c>
      <c r="N789" s="18" t="inlineStr"/>
      <c r="O789" s="18" t="inlineStr"/>
      <c r="P789" s="18" t="inlineStr">
        <is>
          <t>legal-management-service/src/entities/audiencia.entity.ts:34: 'VIRTUAL' | 'PRESENCIAL' | db/migrations/old/034_complete_abogados_data.sql:36: 'VIRTUAL', 'PRESENCIAL' | db/init/old/04_abogados_calendario_schema.sql:25: 'VIRTUAL', 'PRESENCIAL'</t>
        </is>
      </c>
      <c r="Q789" s="18" t="inlineStr">
        <is>
          <t>Código fuente</t>
        </is>
      </c>
      <c r="R789" s="18" t="inlineStr">
        <is>
          <t>Modalidad de la audiencia. Valores: VIRTUAL, PRESENCIAL.</t>
        </is>
      </c>
      <c r="S789" s="18" t="inlineStr">
        <is>
          <t>Alta</t>
        </is>
      </c>
      <c r="T789" s="18" t="inlineStr">
        <is>
          <t>código: audiencia.entity.ts:34</t>
        </is>
      </c>
      <c r="U789" s="18" t="inlineStr"/>
      <c r="V789" s="19" t="inlineStr">
        <is>
          <t>Aprobada</t>
        </is>
      </c>
      <c r="W789" s="19" t="inlineStr"/>
      <c r="X789" s="19" t="inlineStr">
        <is>
          <t>Aldair González (aprobación en bloque)</t>
        </is>
      </c>
      <c r="Y789" s="20" t="n">
        <v>46321</v>
      </c>
      <c r="Z789" s="19" t="inlineStr">
        <is>
          <t>Nivel 1: propuesta del comentario del desarrollador o de confianza alta, o regla de fecha/responsable/motivo.</t>
        </is>
      </c>
      <c r="AA789" s="18">
        <f>IF(OR(V789="Aprobada"),R789,IF(AND(OR(V789="Aprobada con ajuste",V789="Rechazada"),W789&lt;&gt;""),W789,""))</f>
        <v/>
      </c>
    </row>
    <row r="790">
      <c r="A790" s="18" t="inlineStr">
        <is>
          <t>C0789</t>
        </is>
      </c>
      <c r="B790" s="18" t="inlineStr">
        <is>
          <t>Gestión jurídica</t>
        </is>
      </c>
      <c r="C790" s="18" t="inlineStr">
        <is>
          <t>legal_management</t>
        </is>
      </c>
      <c r="D790" s="18" t="inlineStr">
        <is>
          <t>audiencias</t>
        </is>
      </c>
      <c r="E790" s="18" t="n">
        <v>18</v>
      </c>
      <c r="F790" s="18" t="inlineStr">
        <is>
          <t>ubicacion</t>
        </is>
      </c>
      <c r="G790" s="18" t="inlineStr">
        <is>
          <t>character varying(255)</t>
        </is>
      </c>
      <c r="H790" s="18" t="inlineStr">
        <is>
          <t>Sí</t>
        </is>
      </c>
      <c r="I790" s="18" t="inlineStr"/>
      <c r="J790" s="18" t="inlineStr"/>
      <c r="K790" s="18" t="inlineStr"/>
      <c r="L790" s="18" t="inlineStr">
        <is>
          <t>No</t>
        </is>
      </c>
      <c r="M790" s="18" t="inlineStr">
        <is>
          <t>No</t>
        </is>
      </c>
      <c r="N790" s="18" t="inlineStr"/>
      <c r="O790" s="18" t="inlineStr"/>
      <c r="P790" s="18" t="inlineStr">
        <is>
          <t>Mapeada en legal-management-service/src/entities/audiencia.entity.ts:37 (Audiencia.ubicacion)</t>
        </is>
      </c>
      <c r="Q790" s="18" t="inlineStr">
        <is>
          <t>Código fuente (verificado)</t>
        </is>
      </c>
      <c r="R790" s="18" t="inlineStr">
        <is>
          <t>Lugar de realización de la audiencia.</t>
        </is>
      </c>
      <c r="S790" s="18" t="inlineStr">
        <is>
          <t>Media</t>
        </is>
      </c>
      <c r="T790" s="18" t="inlineStr">
        <is>
          <t>legal-management-service/src/dtos/audiencia.dto.ts:10: opcional, sin regla según modalidad | legal-management-service/src/entities/audiencia.entity.ts:35: modalidad VIRTUAL o PRESENCIAL</t>
        </is>
      </c>
      <c r="U790" s="18" t="inlineStr">
        <is>
          <t>¿Se llena solo cuando la modalidad es PRESENCIAL?</t>
        </is>
      </c>
      <c r="V790" s="19" t="inlineStr">
        <is>
          <t>Aprobada</t>
        </is>
      </c>
      <c r="W790" s="19" t="inlineStr"/>
      <c r="X790" s="19" t="inlineStr">
        <is>
          <t>Aldair González (validación del responsable de BD)</t>
        </is>
      </c>
      <c r="Y790" s="20" t="n">
        <v>46321</v>
      </c>
      <c r="Z790" s="19" t="inlineStr">
        <is>
          <t>Nivel 3: validada por decisión del responsable de la base de datos. Pregunta registrada para desarrollo: ¿Se llena solo cuando la modalidad es PRESENCIAL?</t>
        </is>
      </c>
      <c r="AA790" s="18">
        <f>IF(OR(V790="Aprobada"),R790,IF(AND(OR(V790="Aprobada con ajuste",V790="Rechazada"),W790&lt;&gt;""),W790,""))</f>
        <v/>
      </c>
    </row>
    <row r="791">
      <c r="A791" s="18" t="inlineStr">
        <is>
          <t>C0790</t>
        </is>
      </c>
      <c r="B791" s="18" t="inlineStr">
        <is>
          <t>Gestión jurídica</t>
        </is>
      </c>
      <c r="C791" s="18" t="inlineStr">
        <is>
          <t>legal_management</t>
        </is>
      </c>
      <c r="D791" s="18" t="inlineStr">
        <is>
          <t>audiencias</t>
        </is>
      </c>
      <c r="E791" s="18" t="n">
        <v>18</v>
      </c>
      <c r="F791" s="18" t="inlineStr">
        <is>
          <t>link_reunion</t>
        </is>
      </c>
      <c r="G791" s="18" t="inlineStr">
        <is>
          <t>text</t>
        </is>
      </c>
      <c r="H791" s="18" t="inlineStr">
        <is>
          <t>Sí</t>
        </is>
      </c>
      <c r="I791" s="18" t="inlineStr"/>
      <c r="J791" s="18" t="inlineStr"/>
      <c r="K791" s="18" t="inlineStr"/>
      <c r="L791" s="18" t="inlineStr">
        <is>
          <t>No</t>
        </is>
      </c>
      <c r="M791" s="18" t="inlineStr">
        <is>
          <t>No</t>
        </is>
      </c>
      <c r="N791" s="18" t="inlineStr"/>
      <c r="O791" s="18" t="inlineStr"/>
      <c r="P791" s="18" t="inlineStr">
        <is>
          <t>Mapeada en legal-management-service/src/entities/audiencia.entity.ts:40 (Audiencia.linkReunion)</t>
        </is>
      </c>
      <c r="Q791" s="18" t="inlineStr">
        <is>
          <t>Propuesta semántica</t>
        </is>
      </c>
      <c r="R791" s="18" t="inlineStr">
        <is>
          <t>Enlace de la reunión virtual de la audiencia.</t>
        </is>
      </c>
      <c r="S791" s="18" t="inlineStr">
        <is>
          <t>Alta</t>
        </is>
      </c>
      <c r="T791" s="18" t="inlineStr">
        <is>
          <t>nombre + tipo + columnas vecinas (modalidad)</t>
        </is>
      </c>
      <c r="U791" s="18" t="inlineStr"/>
      <c r="V791" s="19" t="inlineStr">
        <is>
          <t>Aprobada</t>
        </is>
      </c>
      <c r="W791" s="19" t="inlineStr"/>
      <c r="X791" s="19" t="inlineStr">
        <is>
          <t>Aldair González (aprobación en bloque)</t>
        </is>
      </c>
      <c r="Y791" s="20" t="n">
        <v>46321</v>
      </c>
      <c r="Z791" s="19" t="inlineStr">
        <is>
          <t>Nivel 1: propuesta del comentario del desarrollador o de confianza alta, o regla de fecha/responsable/motivo.</t>
        </is>
      </c>
      <c r="AA791" s="18">
        <f>IF(OR(V791="Aprobada"),R791,IF(AND(OR(V791="Aprobada con ajuste",V791="Rechazada"),W791&lt;&gt;""),W791,""))</f>
        <v/>
      </c>
    </row>
    <row r="792">
      <c r="A792" s="18" t="inlineStr">
        <is>
          <t>C0791</t>
        </is>
      </c>
      <c r="B792" s="18" t="inlineStr">
        <is>
          <t>Gestión jurídica</t>
        </is>
      </c>
      <c r="C792" s="18" t="inlineStr">
        <is>
          <t>legal_management</t>
        </is>
      </c>
      <c r="D792" s="18" t="inlineStr">
        <is>
          <t>audiencias</t>
        </is>
      </c>
      <c r="E792" s="18" t="n">
        <v>18</v>
      </c>
      <c r="F792" s="18" t="inlineStr">
        <is>
          <t>estado</t>
        </is>
      </c>
      <c r="G792" s="18" t="inlineStr">
        <is>
          <t>character varying(50)</t>
        </is>
      </c>
      <c r="H792" s="18" t="inlineStr">
        <is>
          <t>Sí</t>
        </is>
      </c>
      <c r="I792" s="18" t="inlineStr"/>
      <c r="J792" s="18" t="inlineStr"/>
      <c r="K792" s="18" t="inlineStr"/>
      <c r="L792" s="18" t="inlineStr">
        <is>
          <t>No</t>
        </is>
      </c>
      <c r="M792" s="18" t="inlineStr">
        <is>
          <t>No</t>
        </is>
      </c>
      <c r="N792" s="18" t="inlineStr"/>
      <c r="O792" s="18" t="inlineStr"/>
      <c r="P792" s="18" t="inlineStr">
        <is>
          <t>legal-management-service/src/entities/audiencia.entity.ts:43: 'PROGRAMADA', 'REALIZADA', 'CANCELADA', 'APLAZADA' | db/migrations/old/034_complete_abogados_data.sql:39: 'PROGRAMADA', 'REALIZADA', 'CANCELADA', 'APLAZADA' | db/init/old/04_abogados_calendario_schema.sql:28: 'PROGRAMADA', 'REALIZADA', 'CANCELADA', 'APLAZADA'</t>
        </is>
      </c>
      <c r="Q792" s="18" t="inlineStr">
        <is>
          <t>Código fuente</t>
        </is>
      </c>
      <c r="R792" s="18" t="inlineStr">
        <is>
          <t>Estado de la audiencia. Valores: PROGRAMADA, REALIZADA, CANCELADA, APLAZADA. Por defecto, PROGRAMADA.</t>
        </is>
      </c>
      <c r="S792" s="18" t="inlineStr">
        <is>
          <t>Alta</t>
        </is>
      </c>
      <c r="T792" s="18" t="inlineStr">
        <is>
          <t>código: audiencia.entity.ts:43</t>
        </is>
      </c>
      <c r="U792" s="18" t="inlineStr"/>
      <c r="V792" s="19" t="inlineStr">
        <is>
          <t>Aprobada</t>
        </is>
      </c>
      <c r="W792" s="19" t="inlineStr"/>
      <c r="X792" s="19" t="inlineStr">
        <is>
          <t>Aldair González (aprobación en bloque)</t>
        </is>
      </c>
      <c r="Y792" s="20" t="n">
        <v>46321</v>
      </c>
      <c r="Z792" s="19" t="inlineStr">
        <is>
          <t>Nivel 1: propuesta del comentario del desarrollador o de confianza alta, o regla de fecha/responsable/motivo.</t>
        </is>
      </c>
      <c r="AA792" s="18">
        <f>IF(OR(V792="Aprobada"),R792,IF(AND(OR(V792="Aprobada con ajuste",V792="Rechazada"),W792&lt;&gt;""),W792,""))</f>
        <v/>
      </c>
    </row>
    <row r="793">
      <c r="A793" s="18" t="inlineStr">
        <is>
          <t>C0792</t>
        </is>
      </c>
      <c r="B793" s="18" t="inlineStr">
        <is>
          <t>Gestión jurídica</t>
        </is>
      </c>
      <c r="C793" s="18" t="inlineStr">
        <is>
          <t>legal_management</t>
        </is>
      </c>
      <c r="D793" s="18" t="inlineStr">
        <is>
          <t>audiencias</t>
        </is>
      </c>
      <c r="E793" s="18" t="n">
        <v>18</v>
      </c>
      <c r="F793" s="18" t="inlineStr">
        <is>
          <t>notas_preparacion</t>
        </is>
      </c>
      <c r="G793" s="18" t="inlineStr">
        <is>
          <t>text</t>
        </is>
      </c>
      <c r="H793" s="18" t="inlineStr">
        <is>
          <t>Sí</t>
        </is>
      </c>
      <c r="I793" s="18" t="inlineStr"/>
      <c r="J793" s="18" t="inlineStr"/>
      <c r="K793" s="18" t="inlineStr"/>
      <c r="L793" s="18" t="inlineStr">
        <is>
          <t>No</t>
        </is>
      </c>
      <c r="M793" s="18" t="inlineStr">
        <is>
          <t>No</t>
        </is>
      </c>
      <c r="N793" s="18" t="inlineStr"/>
      <c r="O793" s="18" t="inlineStr"/>
      <c r="P793" s="18" t="inlineStr">
        <is>
          <t>Mapeada en legal-management-service/src/entities/audiencia.entity.ts:46 (Audiencia.notasPreparacion)</t>
        </is>
      </c>
      <c r="Q793" s="18" t="inlineStr">
        <is>
          <t>Código fuente (verificado)</t>
        </is>
      </c>
      <c r="R793" s="18" t="inlineStr">
        <is>
          <t>Notas de preparación de la audiencia, registradas al crearla o editarla.</t>
        </is>
      </c>
      <c r="S793" s="18" t="inlineStr">
        <is>
          <t>Media</t>
        </is>
      </c>
      <c r="T793" s="18" t="inlineStr">
        <is>
          <t>legal-management-service/src/dtos/audiencia.dto.ts:12: campo opcional del formulario | legal-management-service/src/services/audiencia.service.ts:40: se actualiza con los datos enviados</t>
        </is>
      </c>
      <c r="U793" s="18" t="inlineStr">
        <is>
          <t>¿Quién registra las notas de preparación (el abogado asignado u otro rol)?</t>
        </is>
      </c>
      <c r="V793" s="19" t="inlineStr">
        <is>
          <t>Aprobada</t>
        </is>
      </c>
      <c r="W793" s="19" t="inlineStr"/>
      <c r="X793" s="19" t="inlineStr">
        <is>
          <t>Aldair González (validación del responsable de BD)</t>
        </is>
      </c>
      <c r="Y793" s="20" t="n">
        <v>46321</v>
      </c>
      <c r="Z793" s="19" t="inlineStr">
        <is>
          <t>Nivel 3: validada por decisión del responsable de la base de datos. Pregunta registrada para desarrollo: ¿Quién registra las notas de preparación (el abogado asignado u otro rol)?</t>
        </is>
      </c>
      <c r="AA793" s="18">
        <f>IF(OR(V793="Aprobada"),R793,IF(AND(OR(V793="Aprobada con ajuste",V793="Rechazada"),W793&lt;&gt;""),W793,""))</f>
        <v/>
      </c>
    </row>
    <row r="794">
      <c r="A794" s="18" t="inlineStr">
        <is>
          <t>C0793</t>
        </is>
      </c>
      <c r="B794" s="18" t="inlineStr">
        <is>
          <t>Gestión jurídica</t>
        </is>
      </c>
      <c r="C794" s="18" t="inlineStr">
        <is>
          <t>legal_management</t>
        </is>
      </c>
      <c r="D794" s="18" t="inlineStr">
        <is>
          <t>audiencias</t>
        </is>
      </c>
      <c r="E794" s="18" t="n">
        <v>18</v>
      </c>
      <c r="F794" s="18" t="inlineStr">
        <is>
          <t>historial</t>
        </is>
      </c>
      <c r="G794" s="18" t="inlineStr">
        <is>
          <t>jsonb</t>
        </is>
      </c>
      <c r="H794" s="18" t="inlineStr">
        <is>
          <t>Sí</t>
        </is>
      </c>
      <c r="I794" s="18" t="inlineStr"/>
      <c r="J794" s="18" t="inlineStr"/>
      <c r="K794" s="18" t="inlineStr"/>
      <c r="L794" s="18" t="inlineStr">
        <is>
          <t>No</t>
        </is>
      </c>
      <c r="M794" s="18" t="inlineStr">
        <is>
          <t>No</t>
        </is>
      </c>
      <c r="N794" s="18" t="inlineStr"/>
      <c r="O794" s="18" t="inlineStr"/>
      <c r="P794" s="18" t="inlineStr">
        <is>
          <t>Mapeada en legal-management-service/src/entities/audiencia.entity.ts:49 (Audiencia.historial)</t>
        </is>
      </c>
      <c r="Q794" s="18" t="inlineStr">
        <is>
          <t>Código fuente (verificado)</t>
        </is>
      </c>
      <c r="R794" s="18" t="inlineStr">
        <is>
          <t>Historial de reprogramaciones de la audiencia, en formato JSON. Cada elemento tiene fechaOriginal, fechaNueva, motivo, detalle, registradoPor y fechaRegistro; se agrega cuando se informa un motivo de reasignación. Valor por defecto: arreglo vacío.</t>
        </is>
      </c>
      <c r="S794" s="18" t="inlineStr">
        <is>
          <t>Alta</t>
        </is>
      </c>
      <c r="T794" s="18" t="inlineStr">
        <is>
          <t>legal-management-service/src/services/audiencia.service.ts:46: estructura del evento | legal-management-service/src/services/audiencia.service.ts:55: se anexa al historial</t>
        </is>
      </c>
      <c r="U794" s="18" t="inlineStr"/>
      <c r="V794" s="19" t="inlineStr">
        <is>
          <t>Aprobada</t>
        </is>
      </c>
      <c r="W794" s="19" t="inlineStr"/>
      <c r="X794" s="19" t="inlineStr">
        <is>
          <t>Aldair González (aprobación en bloque)</t>
        </is>
      </c>
      <c r="Y794" s="20" t="n">
        <v>46321</v>
      </c>
      <c r="Z794" s="19" t="inlineStr">
        <is>
          <t>Nivel 3: verificada con el código de la aplicación.</t>
        </is>
      </c>
      <c r="AA794" s="18">
        <f>IF(OR(V794="Aprobada"),R794,IF(AND(OR(V794="Aprobada con ajuste",V794="Rechazada"),W794&lt;&gt;""),W794,""))</f>
        <v/>
      </c>
    </row>
    <row r="795">
      <c r="A795" s="18" t="inlineStr">
        <is>
          <t>C0794</t>
        </is>
      </c>
      <c r="B795" s="18" t="inlineStr">
        <is>
          <t>Gestión jurídica</t>
        </is>
      </c>
      <c r="C795" s="18" t="inlineStr">
        <is>
          <t>legal_management</t>
        </is>
      </c>
      <c r="D795" s="18" t="inlineStr">
        <is>
          <t>audiencias</t>
        </is>
      </c>
      <c r="E795" s="18" t="n">
        <v>18</v>
      </c>
      <c r="F795" s="18" t="inlineStr">
        <is>
          <t>abogado_nombre</t>
        </is>
      </c>
      <c r="G795" s="18" t="inlineStr">
        <is>
          <t>character varying(255)</t>
        </is>
      </c>
      <c r="H795" s="18" t="inlineStr">
        <is>
          <t>Sí</t>
        </is>
      </c>
      <c r="I795" s="18" t="inlineStr"/>
      <c r="J795" s="18" t="inlineStr"/>
      <c r="K795" s="18" t="inlineStr"/>
      <c r="L795" s="18" t="inlineStr">
        <is>
          <t>No</t>
        </is>
      </c>
      <c r="M795" s="18" t="inlineStr">
        <is>
          <t>No</t>
        </is>
      </c>
      <c r="N795" s="18" t="inlineStr"/>
      <c r="O795" s="18" t="inlineStr"/>
      <c r="P795" s="18" t="inlineStr">
        <is>
          <t>Mapeada en legal-management-service/src/entities/audiencia.entity.ts:19 (Audiencia.abogadoNombre)</t>
        </is>
      </c>
      <c r="Q795" s="18" t="inlineStr">
        <is>
          <t>Propuesta semántica</t>
        </is>
      </c>
      <c r="R795" s="18" t="inlineStr">
        <is>
          <t>Nombre del abogado responsable de la audiencia.</t>
        </is>
      </c>
      <c r="S795" s="18" t="inlineStr">
        <is>
          <t>Alta</t>
        </is>
      </c>
      <c r="T795" s="18" t="inlineStr">
        <is>
          <t>nombre + tipo + columnas vecinas</t>
        </is>
      </c>
      <c r="U795" s="18" t="inlineStr"/>
      <c r="V795" s="19" t="inlineStr">
        <is>
          <t>Aprobada</t>
        </is>
      </c>
      <c r="W795" s="19" t="inlineStr"/>
      <c r="X795" s="19" t="inlineStr">
        <is>
          <t>Aldair González (aprobación en bloque)</t>
        </is>
      </c>
      <c r="Y795" s="20" t="n">
        <v>46321</v>
      </c>
      <c r="Z795" s="19" t="inlineStr">
        <is>
          <t>Nivel 1: propuesta del comentario del desarrollador o de confianza alta, o regla de fecha/responsable/motivo.</t>
        </is>
      </c>
      <c r="AA795" s="18">
        <f>IF(OR(V795="Aprobada"),R795,IF(AND(OR(V795="Aprobada con ajuste",V795="Rechazada"),W795&lt;&gt;""),W795,""))</f>
        <v/>
      </c>
    </row>
    <row r="796">
      <c r="A796" s="18" t="inlineStr">
        <is>
          <t>C0795</t>
        </is>
      </c>
      <c r="B796" s="18" t="inlineStr">
        <is>
          <t>Gestión jurídica</t>
        </is>
      </c>
      <c r="C796" s="18" t="inlineStr">
        <is>
          <t>legal_management</t>
        </is>
      </c>
      <c r="D796" s="18" t="inlineStr">
        <is>
          <t>audiencias</t>
        </is>
      </c>
      <c r="E796" s="18" t="n">
        <v>18</v>
      </c>
      <c r="F796" s="18" t="inlineStr">
        <is>
          <t>abogado_email</t>
        </is>
      </c>
      <c r="G796" s="18" t="inlineStr">
        <is>
          <t>character varying(255)</t>
        </is>
      </c>
      <c r="H796" s="18" t="inlineStr">
        <is>
          <t>Sí</t>
        </is>
      </c>
      <c r="I796" s="18" t="inlineStr"/>
      <c r="J796" s="18" t="inlineStr"/>
      <c r="K796" s="18" t="inlineStr"/>
      <c r="L796" s="18" t="inlineStr">
        <is>
          <t>No</t>
        </is>
      </c>
      <c r="M796" s="18" t="inlineStr">
        <is>
          <t>No</t>
        </is>
      </c>
      <c r="N796" s="18" t="inlineStr"/>
      <c r="O796" s="18" t="inlineStr"/>
      <c r="P796" s="18" t="inlineStr">
        <is>
          <t>Mapeada en legal-management-service/src/entities/audiencia.entity.ts:22 (Audiencia.abogadoEmail)</t>
        </is>
      </c>
      <c r="Q796" s="18" t="inlineStr">
        <is>
          <t>Propuesta semántica</t>
        </is>
      </c>
      <c r="R796" s="18" t="inlineStr">
        <is>
          <t>Correo electrónico del abogado responsable de la audiencia.</t>
        </is>
      </c>
      <c r="S796" s="18" t="inlineStr">
        <is>
          <t>Alta</t>
        </is>
      </c>
      <c r="T796" s="18" t="inlineStr">
        <is>
          <t>nombre + tipo + columnas vecinas</t>
        </is>
      </c>
      <c r="U796" s="18" t="inlineStr"/>
      <c r="V796" s="19" t="inlineStr">
        <is>
          <t>Aprobada</t>
        </is>
      </c>
      <c r="W796" s="19" t="inlineStr"/>
      <c r="X796" s="19" t="inlineStr">
        <is>
          <t>Aldair González (aprobación en bloque)</t>
        </is>
      </c>
      <c r="Y796" s="20" t="n">
        <v>46321</v>
      </c>
      <c r="Z796" s="19" t="inlineStr">
        <is>
          <t>Nivel 1: propuesta del comentario del desarrollador o de confianza alta, o regla de fecha/responsable/motivo.</t>
        </is>
      </c>
      <c r="AA796" s="18">
        <f>IF(OR(V796="Aprobada"),R796,IF(AND(OR(V796="Aprobada con ajuste",V796="Rechazada"),W796&lt;&gt;""),W796,""))</f>
        <v/>
      </c>
    </row>
    <row r="797">
      <c r="A797" s="18" t="inlineStr">
        <is>
          <t>C0796</t>
        </is>
      </c>
      <c r="B797" s="18" t="inlineStr">
        <is>
          <t>Gestión jurídica</t>
        </is>
      </c>
      <c r="C797" s="18" t="inlineStr">
        <is>
          <t>legal_management</t>
        </is>
      </c>
      <c r="D797" s="18" t="inlineStr">
        <is>
          <t>autos</t>
        </is>
      </c>
      <c r="E797" s="18" t="n">
        <v>4</v>
      </c>
      <c r="F797" s="18" t="inlineStr">
        <is>
          <t>numero</t>
        </is>
      </c>
      <c r="G797" s="18" t="inlineStr">
        <is>
          <t>character varying</t>
        </is>
      </c>
      <c r="H797" s="18" t="inlineStr">
        <is>
          <t>No</t>
        </is>
      </c>
      <c r="I797" s="18" t="inlineStr"/>
      <c r="J797" s="18" t="inlineStr"/>
      <c r="K797" s="18" t="inlineStr"/>
      <c r="L797" s="18" t="inlineStr">
        <is>
          <t>No</t>
        </is>
      </c>
      <c r="M797" s="18" t="inlineStr">
        <is>
          <t>No</t>
        </is>
      </c>
      <c r="N797" s="18" t="inlineStr"/>
      <c r="O797" s="18" t="inlineStr"/>
      <c r="P797" s="18" t="inlineStr">
        <is>
          <t>db/migrations/old/046_create_autos_juzgamiento.sql:7: e.g. AUTO-001-2024</t>
        </is>
      </c>
      <c r="Q797" s="18" t="inlineStr">
        <is>
          <t>Código fuente</t>
        </is>
      </c>
      <c r="R797" s="18" t="inlineStr">
        <is>
          <t>Número del auto (por ejemplo, AUTO-001-2024).</t>
        </is>
      </c>
      <c r="S797" s="18" t="inlineStr">
        <is>
          <t>Alta</t>
        </is>
      </c>
      <c r="T797" s="18" t="inlineStr">
        <is>
          <t>código: db/migrations/old/046_create_autos_juzgamiento.sql:7</t>
        </is>
      </c>
      <c r="U797" s="18" t="inlineStr"/>
      <c r="V797" s="19" t="inlineStr">
        <is>
          <t>Aprobada</t>
        </is>
      </c>
      <c r="W797" s="19" t="inlineStr"/>
      <c r="X797" s="19" t="inlineStr">
        <is>
          <t>Aldair González (aprobación en bloque)</t>
        </is>
      </c>
      <c r="Y797" s="20" t="n">
        <v>46321</v>
      </c>
      <c r="Z797" s="19" t="inlineStr">
        <is>
          <t>Nivel 1: propuesta del comentario del desarrollador o de confianza alta, o regla de fecha/responsable/motivo.</t>
        </is>
      </c>
      <c r="AA797" s="18">
        <f>IF(OR(V797="Aprobada"),R797,IF(AND(OR(V797="Aprobada con ajuste",V797="Rechazada"),W797&lt;&gt;""),W797,""))</f>
        <v/>
      </c>
    </row>
    <row r="798">
      <c r="A798" s="18" t="inlineStr">
        <is>
          <t>C0797</t>
        </is>
      </c>
      <c r="B798" s="18" t="inlineStr">
        <is>
          <t>Gestión jurídica</t>
        </is>
      </c>
      <c r="C798" s="18" t="inlineStr">
        <is>
          <t>legal_management</t>
        </is>
      </c>
      <c r="D798" s="18" t="inlineStr">
        <is>
          <t>autos</t>
        </is>
      </c>
      <c r="E798" s="18" t="n">
        <v>4</v>
      </c>
      <c r="F798" s="18" t="inlineStr">
        <is>
          <t>tipo</t>
        </is>
      </c>
      <c r="G798" s="18" t="inlineStr">
        <is>
          <t>character varying</t>
        </is>
      </c>
      <c r="H798" s="18" t="inlineStr">
        <is>
          <t>No</t>
        </is>
      </c>
      <c r="I798" s="18" t="inlineStr"/>
      <c r="J798" s="18" t="inlineStr"/>
      <c r="K798" s="18" t="inlineStr"/>
      <c r="L798" s="18" t="inlineStr">
        <is>
          <t>No</t>
        </is>
      </c>
      <c r="M798" s="18" t="inlineStr">
        <is>
          <t>No</t>
        </is>
      </c>
      <c r="N798" s="18" t="inlineStr"/>
      <c r="O798" s="18" t="inlineStr"/>
      <c r="P798" s="18" t="inlineStr">
        <is>
          <t>db/migrations/old/046_create_autos_juzgamiento.sql:8: e.g. Auto Admisorio</t>
        </is>
      </c>
      <c r="Q798" s="18" t="inlineStr">
        <is>
          <t>Código fuente (verificado)</t>
        </is>
      </c>
      <c r="R798" s="18" t="inlineStr">
        <is>
          <t>Tipo de auto (por ejemplo, Auto Admisorio), enviado como texto desde el formulario.</t>
        </is>
      </c>
      <c r="S798" s="18" t="inlineStr">
        <is>
          <t>Media</t>
        </is>
      </c>
      <c r="T798" s="18" t="inlineStr">
        <is>
          <t>legal-management-service/src/controllers/autos.controller.ts:96: tipo = body.tipo sin catálogo | legal-management-service/src/entities/auto.entity.ts:20: columna de texto</t>
        </is>
      </c>
      <c r="U798" s="18" t="inlineStr">
        <is>
          <t>¿Hay un catálogo cerrado de tipos de auto en el frontend o en la configuración?</t>
        </is>
      </c>
      <c r="V798" s="19" t="inlineStr">
        <is>
          <t>Aprobada</t>
        </is>
      </c>
      <c r="W798" s="19" t="inlineStr"/>
      <c r="X798" s="19" t="inlineStr">
        <is>
          <t>Aldair González (validación del responsable de BD)</t>
        </is>
      </c>
      <c r="Y798" s="20" t="n">
        <v>46321</v>
      </c>
      <c r="Z798" s="19" t="inlineStr">
        <is>
          <t>Nivel 3: validada por decisión del responsable de la base de datos. Pregunta registrada para desarrollo: ¿Hay un catálogo cerrado de tipos de auto en el frontend o en la configuración?</t>
        </is>
      </c>
      <c r="AA798" s="18">
        <f>IF(OR(V798="Aprobada"),R798,IF(AND(OR(V798="Aprobada con ajuste",V798="Rechazada"),W798&lt;&gt;""),W798,""))</f>
        <v/>
      </c>
    </row>
    <row r="799">
      <c r="A799" s="18" t="inlineStr">
        <is>
          <t>C0798</t>
        </is>
      </c>
      <c r="B799" s="18" t="inlineStr">
        <is>
          <t>Gestión jurídica</t>
        </is>
      </c>
      <c r="C799" s="18" t="inlineStr">
        <is>
          <t>legal_management</t>
        </is>
      </c>
      <c r="D799" s="18" t="inlineStr">
        <is>
          <t>autos</t>
        </is>
      </c>
      <c r="E799" s="18" t="n">
        <v>4</v>
      </c>
      <c r="F799" s="18" t="inlineStr">
        <is>
          <t>fecha_auto</t>
        </is>
      </c>
      <c r="G799" s="18" t="inlineStr">
        <is>
          <t>timestamp without time zone</t>
        </is>
      </c>
      <c r="H799" s="18" t="inlineStr">
        <is>
          <t>No</t>
        </is>
      </c>
      <c r="I799" s="18" t="inlineStr"/>
      <c r="J799" s="18" t="inlineStr"/>
      <c r="K799" s="18" t="inlineStr"/>
      <c r="L799" s="18" t="inlineStr">
        <is>
          <t>No</t>
        </is>
      </c>
      <c r="M799" s="18" t="inlineStr">
        <is>
          <t>No</t>
        </is>
      </c>
      <c r="N799" s="18" t="inlineStr"/>
      <c r="O799" s="18" t="inlineStr"/>
      <c r="P799" s="18" t="inlineStr">
        <is>
          <t>Mapeada en legal-management-service/src/entities/auto.entity.ts:22 (Auto.fechaAuto)</t>
        </is>
      </c>
      <c r="Q799" s="18" t="inlineStr">
        <is>
          <t>Regla estructural (redacción revisada)</t>
        </is>
      </c>
      <c r="R799" s="18" t="inlineStr">
        <is>
          <t>Fecha y hora del auto.</t>
        </is>
      </c>
      <c r="S799" s="18" t="inlineStr">
        <is>
          <t>Alta</t>
        </is>
      </c>
      <c r="T799" s="18" t="inlineStr">
        <is>
          <t>Convención de nombre, redactada con el contexto de la tabla y el código.</t>
        </is>
      </c>
      <c r="U799" s="18" t="inlineStr"/>
      <c r="V799" s="19" t="inlineStr">
        <is>
          <t>Aprobada</t>
        </is>
      </c>
      <c r="W799" s="19" t="inlineStr"/>
      <c r="X799" s="19" t="inlineStr">
        <is>
          <t>Aldair González (aprobación en bloque)</t>
        </is>
      </c>
      <c r="Y799" s="20" t="n">
        <v>46321</v>
      </c>
      <c r="Z799" s="19" t="inlineStr">
        <is>
          <t>Nivel 2: regla estructural con redacción revisada.</t>
        </is>
      </c>
      <c r="AA799" s="18">
        <f>IF(OR(V799="Aprobada"),R799,IF(AND(OR(V799="Aprobada con ajuste",V799="Rechazada"),W799&lt;&gt;""),W799,""))</f>
        <v/>
      </c>
    </row>
    <row r="800">
      <c r="A800" s="18" t="inlineStr">
        <is>
          <t>C0799</t>
        </is>
      </c>
      <c r="B800" s="18" t="inlineStr">
        <is>
          <t>Gestión jurídica</t>
        </is>
      </c>
      <c r="C800" s="18" t="inlineStr">
        <is>
          <t>legal_management</t>
        </is>
      </c>
      <c r="D800" s="18" t="inlineStr">
        <is>
          <t>autos</t>
        </is>
      </c>
      <c r="E800" s="18" t="n">
        <v>4</v>
      </c>
      <c r="F800" s="18" t="inlineStr">
        <is>
          <t>juzgado</t>
        </is>
      </c>
      <c r="G800" s="18" t="inlineStr">
        <is>
          <t>character varying</t>
        </is>
      </c>
      <c r="H800" s="18" t="inlineStr">
        <is>
          <t>No</t>
        </is>
      </c>
      <c r="I800" s="18" t="inlineStr"/>
      <c r="J800" s="18" t="inlineStr"/>
      <c r="K800" s="18" t="inlineStr"/>
      <c r="L800" s="18" t="inlineStr">
        <is>
          <t>No</t>
        </is>
      </c>
      <c r="M800" s="18" t="inlineStr">
        <is>
          <t>No</t>
        </is>
      </c>
      <c r="N800" s="18" t="inlineStr"/>
      <c r="O800" s="18" t="inlineStr"/>
      <c r="P800" s="18" t="inlineStr">
        <is>
          <t>Mapeada en legal-management-service/src/entities/auto.entity.ts:25 (Auto.juzgado)</t>
        </is>
      </c>
      <c r="Q800" s="18" t="inlineStr">
        <is>
          <t>Propuesta semántica</t>
        </is>
      </c>
      <c r="R800" s="18" t="inlineStr">
        <is>
          <t>Juzgado que emite el auto. Valor por defecto: Juzgado Interno Disciplinario.</t>
        </is>
      </c>
      <c r="S800" s="18" t="inlineStr">
        <is>
          <t>Alta</t>
        </is>
      </c>
      <c r="T800" s="18" t="inlineStr">
        <is>
          <t>nombre + tipo + columnas vecinas + defecto</t>
        </is>
      </c>
      <c r="U800" s="18" t="inlineStr"/>
      <c r="V800" s="19" t="inlineStr">
        <is>
          <t>Aprobada</t>
        </is>
      </c>
      <c r="W800" s="19" t="inlineStr"/>
      <c r="X800" s="19" t="inlineStr">
        <is>
          <t>Aldair González (aprobación en bloque)</t>
        </is>
      </c>
      <c r="Y800" s="20" t="n">
        <v>46321</v>
      </c>
      <c r="Z800" s="19" t="inlineStr">
        <is>
          <t>Nivel 1: propuesta del comentario del desarrollador o de confianza alta, o regla de fecha/responsable/motivo.</t>
        </is>
      </c>
      <c r="AA800" s="18">
        <f>IF(OR(V800="Aprobada"),R800,IF(AND(OR(V800="Aprobada con ajuste",V800="Rechazada"),W800&lt;&gt;""),W800,""))</f>
        <v/>
      </c>
    </row>
    <row r="801">
      <c r="A801" s="18" t="inlineStr">
        <is>
          <t>C0800</t>
        </is>
      </c>
      <c r="B801" s="18" t="inlineStr">
        <is>
          <t>Gestión jurídica</t>
        </is>
      </c>
      <c r="C801" s="18" t="inlineStr">
        <is>
          <t>legal_management</t>
        </is>
      </c>
      <c r="D801" s="18" t="inlineStr">
        <is>
          <t>autos</t>
        </is>
      </c>
      <c r="E801" s="18" t="n">
        <v>4</v>
      </c>
      <c r="F801" s="18" t="inlineStr">
        <is>
          <t>resumen</t>
        </is>
      </c>
      <c r="G801" s="18" t="inlineStr">
        <is>
          <t>text</t>
        </is>
      </c>
      <c r="H801" s="18" t="inlineStr">
        <is>
          <t>Sí</t>
        </is>
      </c>
      <c r="I801" s="18" t="inlineStr"/>
      <c r="J801" s="18" t="inlineStr"/>
      <c r="K801" s="18" t="inlineStr"/>
      <c r="L801" s="18" t="inlineStr">
        <is>
          <t>No</t>
        </is>
      </c>
      <c r="M801" s="18" t="inlineStr">
        <is>
          <t>No</t>
        </is>
      </c>
      <c r="N801" s="18" t="inlineStr"/>
      <c r="O801" s="18" t="inlineStr"/>
      <c r="P801" s="18" t="inlineStr">
        <is>
          <t>Mapeada en legal-management-service/src/entities/auto.entity.ts:28 (Auto.resumen)</t>
        </is>
      </c>
      <c r="Q801" s="18" t="inlineStr">
        <is>
          <t>Propuesta semántica</t>
        </is>
      </c>
      <c r="R801" s="18" t="inlineStr">
        <is>
          <t>Resumen del contenido del auto.</t>
        </is>
      </c>
      <c r="S801" s="18" t="inlineStr">
        <is>
          <t>Alta</t>
        </is>
      </c>
      <c r="T801" s="18" t="inlineStr">
        <is>
          <t>nombre + tipo + columnas vecinas</t>
        </is>
      </c>
      <c r="U801" s="18" t="inlineStr"/>
      <c r="V801" s="19" t="inlineStr">
        <is>
          <t>Aprobada</t>
        </is>
      </c>
      <c r="W801" s="19" t="inlineStr"/>
      <c r="X801" s="19" t="inlineStr">
        <is>
          <t>Aldair González (aprobación en bloque)</t>
        </is>
      </c>
      <c r="Y801" s="20" t="n">
        <v>46321</v>
      </c>
      <c r="Z801" s="19" t="inlineStr">
        <is>
          <t>Nivel 1: propuesta del comentario del desarrollador o de confianza alta, o regla de fecha/responsable/motivo.</t>
        </is>
      </c>
      <c r="AA801" s="18">
        <f>IF(OR(V801="Aprobada"),R801,IF(AND(OR(V801="Aprobada con ajuste",V801="Rechazada"),W801&lt;&gt;""),W801,""))</f>
        <v/>
      </c>
    </row>
    <row r="802">
      <c r="A802" s="18" t="inlineStr">
        <is>
          <t>C0801</t>
        </is>
      </c>
      <c r="B802" s="18" t="inlineStr">
        <is>
          <t>Gestión jurídica</t>
        </is>
      </c>
      <c r="C802" s="18" t="inlineStr">
        <is>
          <t>legal_management</t>
        </is>
      </c>
      <c r="D802" s="18" t="inlineStr">
        <is>
          <t>autos</t>
        </is>
      </c>
      <c r="E802" s="18" t="n">
        <v>4</v>
      </c>
      <c r="F802" s="18" t="inlineStr">
        <is>
          <t>estado</t>
        </is>
      </c>
      <c r="G802" s="18" t="inlineStr">
        <is>
          <t>character varying</t>
        </is>
      </c>
      <c r="H802" s="18" t="inlineStr">
        <is>
          <t>No</t>
        </is>
      </c>
      <c r="I802" s="18" t="inlineStr"/>
      <c r="J802" s="18" t="inlineStr"/>
      <c r="K802" s="18" t="inlineStr"/>
      <c r="L802" s="18" t="inlineStr">
        <is>
          <t>No</t>
        </is>
      </c>
      <c r="M802" s="18" t="inlineStr">
        <is>
          <t>No</t>
        </is>
      </c>
      <c r="N802" s="18" t="inlineStr"/>
      <c r="O802" s="18" t="inlineStr"/>
      <c r="P802" s="18" t="inlineStr">
        <is>
          <t>legal-management-service/src/entities/auto.entity.ts:31: Pendiente, Notificado, Archivado | db/migrations/old/046_create_autos_juzgamiento.sql:12: Pendiente, Notificado, Archivado</t>
        </is>
      </c>
      <c r="Q802" s="18" t="inlineStr">
        <is>
          <t>Código fuente</t>
        </is>
      </c>
      <c r="R802" s="18" t="inlineStr">
        <is>
          <t>Estado del auto. Valores: Pendiente, Notificado, Archivado. Por defecto, Pendiente.</t>
        </is>
      </c>
      <c r="S802" s="18" t="inlineStr">
        <is>
          <t>Alta</t>
        </is>
      </c>
      <c r="T802" s="18" t="inlineStr">
        <is>
          <t>código: auto.entity.ts:31</t>
        </is>
      </c>
      <c r="U802" s="18" t="inlineStr"/>
      <c r="V802" s="19" t="inlineStr">
        <is>
          <t>Aprobada</t>
        </is>
      </c>
      <c r="W802" s="19" t="inlineStr"/>
      <c r="X802" s="19" t="inlineStr">
        <is>
          <t>Aldair González (aprobación en bloque)</t>
        </is>
      </c>
      <c r="Y802" s="20" t="n">
        <v>46321</v>
      </c>
      <c r="Z802" s="19" t="inlineStr">
        <is>
          <t>Nivel 1: propuesta del comentario del desarrollador o de confianza alta, o regla de fecha/responsable/motivo.</t>
        </is>
      </c>
      <c r="AA802" s="18">
        <f>IF(OR(V802="Aprobada"),R802,IF(AND(OR(V802="Aprobada con ajuste",V802="Rechazada"),W802&lt;&gt;""),W802,""))</f>
        <v/>
      </c>
    </row>
    <row r="803">
      <c r="A803" s="18" t="inlineStr">
        <is>
          <t>C0802</t>
        </is>
      </c>
      <c r="B803" s="18" t="inlineStr">
        <is>
          <t>Gestión jurídica</t>
        </is>
      </c>
      <c r="C803" s="18" t="inlineStr">
        <is>
          <t>legal_management</t>
        </is>
      </c>
      <c r="D803" s="18" t="inlineStr">
        <is>
          <t>autos</t>
        </is>
      </c>
      <c r="E803" s="18" t="n">
        <v>4</v>
      </c>
      <c r="F803" s="18" t="inlineStr">
        <is>
          <t>fecha_notificacion</t>
        </is>
      </c>
      <c r="G803" s="18" t="inlineStr">
        <is>
          <t>timestamp without time zone</t>
        </is>
      </c>
      <c r="H803" s="18" t="inlineStr">
        <is>
          <t>Sí</t>
        </is>
      </c>
      <c r="I803" s="18" t="inlineStr"/>
      <c r="J803" s="18" t="inlineStr"/>
      <c r="K803" s="18" t="inlineStr"/>
      <c r="L803" s="18" t="inlineStr">
        <is>
          <t>No</t>
        </is>
      </c>
      <c r="M803" s="18" t="inlineStr">
        <is>
          <t>No</t>
        </is>
      </c>
      <c r="N803" s="18" t="inlineStr"/>
      <c r="O803" s="18" t="inlineStr"/>
      <c r="P803" s="18" t="inlineStr">
        <is>
          <t>Mapeada en legal-management-service/src/entities/auto.entity.ts:34 (Auto.fechaNotificacion) | Validación: IsDateString</t>
        </is>
      </c>
      <c r="Q803" s="18" t="inlineStr">
        <is>
          <t>Regla estructural (redacción revisada)</t>
        </is>
      </c>
      <c r="R803" s="18" t="inlineStr">
        <is>
          <t>Fecha y hora de notificación del auto.</t>
        </is>
      </c>
      <c r="S803" s="18" t="inlineStr">
        <is>
          <t>Alta</t>
        </is>
      </c>
      <c r="T803" s="18" t="inlineStr">
        <is>
          <t>Convención de nombre, redactada con el contexto de la tabla y el código.</t>
        </is>
      </c>
      <c r="U803" s="18" t="inlineStr"/>
      <c r="V803" s="19" t="inlineStr">
        <is>
          <t>Aprobada</t>
        </is>
      </c>
      <c r="W803" s="19" t="inlineStr"/>
      <c r="X803" s="19" t="inlineStr">
        <is>
          <t>Aldair González (aprobación en bloque)</t>
        </is>
      </c>
      <c r="Y803" s="20" t="n">
        <v>46321</v>
      </c>
      <c r="Z803" s="19" t="inlineStr">
        <is>
          <t>Nivel 2: regla estructural con redacción revisada.</t>
        </is>
      </c>
      <c r="AA803" s="18">
        <f>IF(OR(V803="Aprobada"),R803,IF(AND(OR(V803="Aprobada con ajuste",V803="Rechazada"),W803&lt;&gt;""),W803,""))</f>
        <v/>
      </c>
    </row>
    <row r="804">
      <c r="A804" s="18" t="inlineStr">
        <is>
          <t>C0803</t>
        </is>
      </c>
      <c r="B804" s="18" t="inlineStr">
        <is>
          <t>Gestión jurídica</t>
        </is>
      </c>
      <c r="C804" s="18" t="inlineStr">
        <is>
          <t>legal_management</t>
        </is>
      </c>
      <c r="D804" s="18" t="inlineStr">
        <is>
          <t>autos</t>
        </is>
      </c>
      <c r="E804" s="18" t="n">
        <v>4</v>
      </c>
      <c r="F804" s="18" t="inlineStr">
        <is>
          <t>archivo_url</t>
        </is>
      </c>
      <c r="G804" s="18" t="inlineStr">
        <is>
          <t>character varying</t>
        </is>
      </c>
      <c r="H804" s="18" t="inlineStr">
        <is>
          <t>No</t>
        </is>
      </c>
      <c r="I804" s="18" t="inlineStr"/>
      <c r="J804" s="18" t="inlineStr"/>
      <c r="K804" s="18" t="inlineStr"/>
      <c r="L804" s="18" t="inlineStr">
        <is>
          <t>No</t>
        </is>
      </c>
      <c r="M804" s="18" t="inlineStr">
        <is>
          <t>No</t>
        </is>
      </c>
      <c r="N804" s="18" t="inlineStr"/>
      <c r="O804" s="18" t="inlineStr"/>
      <c r="P804" s="18" t="inlineStr">
        <is>
          <t>db/migrations/old/046_create_autos_juzgamiento.sql:14: Essential: the auto IS the file</t>
        </is>
      </c>
      <c r="Q804" s="18" t="inlineStr">
        <is>
          <t>Código fuente</t>
        </is>
      </c>
      <c r="R804" s="18" t="inlineStr">
        <is>
          <t>URL del archivo del auto. Obligatoria.</t>
        </is>
      </c>
      <c r="S804" s="18" t="inlineStr">
        <is>
          <t>Alta</t>
        </is>
      </c>
      <c r="T804" s="18" t="inlineStr">
        <is>
          <t>código: db/migrations/old/046_create_autos_juzgamiento.sql:14</t>
        </is>
      </c>
      <c r="U804" s="18" t="inlineStr"/>
      <c r="V804" s="19" t="inlineStr">
        <is>
          <t>Aprobada</t>
        </is>
      </c>
      <c r="W804" s="19" t="inlineStr"/>
      <c r="X804" s="19" t="inlineStr">
        <is>
          <t>Aldair González (aprobación en bloque)</t>
        </is>
      </c>
      <c r="Y804" s="20" t="n">
        <v>46321</v>
      </c>
      <c r="Z804" s="19" t="inlineStr">
        <is>
          <t>Nivel 1: propuesta del comentario del desarrollador o de confianza alta, o regla de fecha/responsable/motivo.</t>
        </is>
      </c>
      <c r="AA804" s="18">
        <f>IF(OR(V804="Aprobada"),R804,IF(AND(OR(V804="Aprobada con ajuste",V804="Rechazada"),W804&lt;&gt;""),W804,""))</f>
        <v/>
      </c>
    </row>
    <row r="805">
      <c r="A805" s="18" t="inlineStr">
        <is>
          <t>C0804</t>
        </is>
      </c>
      <c r="B805" s="18" t="inlineStr">
        <is>
          <t>Gestión jurídica</t>
        </is>
      </c>
      <c r="C805" s="18" t="inlineStr">
        <is>
          <t>legal_management</t>
        </is>
      </c>
      <c r="D805" s="18" t="inlineStr">
        <is>
          <t>autos</t>
        </is>
      </c>
      <c r="E805" s="18" t="n">
        <v>4</v>
      </c>
      <c r="F805" s="18" t="inlineStr">
        <is>
          <t>archivo_nombre</t>
        </is>
      </c>
      <c r="G805" s="18" t="inlineStr">
        <is>
          <t>character varying</t>
        </is>
      </c>
      <c r="H805" s="18" t="inlineStr">
        <is>
          <t>No</t>
        </is>
      </c>
      <c r="I805" s="18" t="inlineStr"/>
      <c r="J805" s="18" t="inlineStr"/>
      <c r="K805" s="18" t="inlineStr"/>
      <c r="L805" s="18" t="inlineStr">
        <is>
          <t>No</t>
        </is>
      </c>
      <c r="M805" s="18" t="inlineStr">
        <is>
          <t>No</t>
        </is>
      </c>
      <c r="N805" s="18" t="inlineStr"/>
      <c r="O805" s="18" t="inlineStr"/>
      <c r="P805" s="18" t="inlineStr">
        <is>
          <t>Mapeada en legal-management-service/src/entities/auto.entity.ts:40 (Auto.archivoNombre)</t>
        </is>
      </c>
      <c r="Q805" s="18" t="inlineStr">
        <is>
          <t>Propuesta semántica</t>
        </is>
      </c>
      <c r="R805" s="18" t="inlineStr">
        <is>
          <t>Nombre del archivo del auto.</t>
        </is>
      </c>
      <c r="S805" s="18" t="inlineStr">
        <is>
          <t>Alta</t>
        </is>
      </c>
      <c r="T805" s="18" t="inlineStr">
        <is>
          <t>nombre + tipo + columnas vecinas (archivo_url)</t>
        </is>
      </c>
      <c r="U805" s="18" t="inlineStr"/>
      <c r="V805" s="19" t="inlineStr">
        <is>
          <t>Aprobada</t>
        </is>
      </c>
      <c r="W805" s="19" t="inlineStr"/>
      <c r="X805" s="19" t="inlineStr">
        <is>
          <t>Aldair González (aprobación en bloque)</t>
        </is>
      </c>
      <c r="Y805" s="20" t="n">
        <v>46321</v>
      </c>
      <c r="Z805" s="19" t="inlineStr">
        <is>
          <t>Nivel 1: propuesta del comentario del desarrollador o de confianza alta, o regla de fecha/responsable/motivo.</t>
        </is>
      </c>
      <c r="AA805" s="18">
        <f>IF(OR(V805="Aprobada"),R805,IF(AND(OR(V805="Aprobada con ajuste",V805="Rechazada"),W805&lt;&gt;""),W805,""))</f>
        <v/>
      </c>
    </row>
    <row r="806">
      <c r="A806" s="18" t="inlineStr">
        <is>
          <t>C0805</t>
        </is>
      </c>
      <c r="B806" s="18" t="inlineStr">
        <is>
          <t>Gestión jurídica</t>
        </is>
      </c>
      <c r="C806" s="18" t="inlineStr">
        <is>
          <t>legal_management</t>
        </is>
      </c>
      <c r="D806" s="18" t="inlineStr">
        <is>
          <t>borradores_correos</t>
        </is>
      </c>
      <c r="E806" s="18" t="n">
        <v>2</v>
      </c>
      <c r="F806" s="18" t="inlineStr">
        <is>
          <t>usuario_id</t>
        </is>
      </c>
      <c r="G806" s="18" t="inlineStr">
        <is>
          <t>character varying(100)</t>
        </is>
      </c>
      <c r="H806" s="18" t="inlineStr">
        <is>
          <t>No</t>
        </is>
      </c>
      <c r="I806" s="18" t="inlineStr"/>
      <c r="J806" s="18" t="inlineStr"/>
      <c r="K806" s="18" t="inlineStr"/>
      <c r="L806" s="18" t="inlineStr">
        <is>
          <t>No</t>
        </is>
      </c>
      <c r="M806" s="18" t="inlineStr">
        <is>
          <t>No</t>
        </is>
      </c>
      <c r="N806" s="18" t="inlineStr"/>
      <c r="O806" s="18" t="inlineStr">
        <is>
          <t>idx_borradores_correos_usuario</t>
        </is>
      </c>
      <c r="P806" s="18" t="inlineStr">
        <is>
          <t>legal-management-service/src/entities/borrador-correo.entity.ts:27: Propietario del borrador (privado por usuario). | db/migrations/382_create_borradores_correos.sql:19: Propietario del borrador. Los borradores son PRIVADOS: cada usuario solo ve los suyos. Se guarda el id (y el nombre para trazabilidad/UI). | Validación: IsOptional, IsString</t>
        </is>
      </c>
      <c r="Q806" s="18" t="inlineStr">
        <is>
          <t>Código fuente</t>
        </is>
      </c>
      <c r="R806" s="18" t="inlineStr">
        <is>
          <t>Identificador del usuario propietario del borrador; cada usuario solo ve sus propios borradores.</t>
        </is>
      </c>
      <c r="S806" s="18" t="inlineStr">
        <is>
          <t>Alta</t>
        </is>
      </c>
      <c r="T806" s="18" t="inlineStr">
        <is>
          <t>código: db/migrations/382_create_borradores_correos.sql:19</t>
        </is>
      </c>
      <c r="U806" s="18" t="inlineStr"/>
      <c r="V806" s="19" t="inlineStr">
        <is>
          <t>Aprobada</t>
        </is>
      </c>
      <c r="W806" s="19" t="inlineStr"/>
      <c r="X806" s="19" t="inlineStr">
        <is>
          <t>Aldair González (aprobación en bloque)</t>
        </is>
      </c>
      <c r="Y806" s="20" t="n">
        <v>46321</v>
      </c>
      <c r="Z806" s="19" t="inlineStr">
        <is>
          <t>Nivel 1: propuesta del comentario del desarrollador o de confianza alta, o regla de fecha/responsable/motivo.</t>
        </is>
      </c>
      <c r="AA806" s="18">
        <f>IF(OR(V806="Aprobada"),R806,IF(AND(OR(V806="Aprobada con ajuste",V806="Rechazada"),W806&lt;&gt;""),W806,""))</f>
        <v/>
      </c>
    </row>
    <row r="807">
      <c r="A807" s="18" t="inlineStr">
        <is>
          <t>C0806</t>
        </is>
      </c>
      <c r="B807" s="18" t="inlineStr">
        <is>
          <t>Gestión jurídica</t>
        </is>
      </c>
      <c r="C807" s="18" t="inlineStr">
        <is>
          <t>legal_management</t>
        </is>
      </c>
      <c r="D807" s="18" t="inlineStr">
        <is>
          <t>borradores_correos</t>
        </is>
      </c>
      <c r="E807" s="18" t="n">
        <v>2</v>
      </c>
      <c r="F807" s="18" t="inlineStr">
        <is>
          <t>usuario_nombre</t>
        </is>
      </c>
      <c r="G807" s="18" t="inlineStr">
        <is>
          <t>character varying(255)</t>
        </is>
      </c>
      <c r="H807" s="18" t="inlineStr">
        <is>
          <t>Sí</t>
        </is>
      </c>
      <c r="I807" s="18" t="inlineStr"/>
      <c r="J807" s="18" t="inlineStr"/>
      <c r="K807" s="18" t="inlineStr"/>
      <c r="L807" s="18" t="inlineStr">
        <is>
          <t>No</t>
        </is>
      </c>
      <c r="M807" s="18" t="inlineStr">
        <is>
          <t>No</t>
        </is>
      </c>
      <c r="N807" s="18" t="inlineStr"/>
      <c r="O807" s="18" t="inlineStr"/>
      <c r="P807" s="18" t="inlineStr">
        <is>
          <t>Mapeada en legal-management-service/src/entities/borrador-correo.entity.ts:30 (BorradorCorreo.usuarioNombre) | Validación: IsNotEmpty, IsString</t>
        </is>
      </c>
      <c r="Q807" s="18" t="inlineStr">
        <is>
          <t>Propuesta semántica</t>
        </is>
      </c>
      <c r="R807" s="18" t="inlineStr">
        <is>
          <t>Nombre del usuario dueño del borrador.</t>
        </is>
      </c>
      <c r="S807" s="18" t="inlineStr">
        <is>
          <t>Alta</t>
        </is>
      </c>
      <c r="T807" s="18" t="inlineStr">
        <is>
          <t>nombre + tipo + columnas vecinas + documentación de la entidad</t>
        </is>
      </c>
      <c r="U807" s="18" t="inlineStr"/>
      <c r="V807" s="19" t="inlineStr">
        <is>
          <t>Aprobada</t>
        </is>
      </c>
      <c r="W807" s="19" t="inlineStr"/>
      <c r="X807" s="19" t="inlineStr">
        <is>
          <t>Aldair González (aprobación en bloque)</t>
        </is>
      </c>
      <c r="Y807" s="20" t="n">
        <v>46321</v>
      </c>
      <c r="Z807" s="19" t="inlineStr">
        <is>
          <t>Nivel 1: propuesta del comentario del desarrollador o de confianza alta, o regla de fecha/responsable/motivo.</t>
        </is>
      </c>
      <c r="AA807" s="18">
        <f>IF(OR(V807="Aprobada"),R807,IF(AND(OR(V807="Aprobada con ajuste",V807="Rechazada"),W807&lt;&gt;""),W807,""))</f>
        <v/>
      </c>
    </row>
    <row r="808">
      <c r="A808" s="18" t="inlineStr">
        <is>
          <t>C0807</t>
        </is>
      </c>
      <c r="B808" s="18" t="inlineStr">
        <is>
          <t>Gestión jurídica</t>
        </is>
      </c>
      <c r="C808" s="18" t="inlineStr">
        <is>
          <t>legal_management</t>
        </is>
      </c>
      <c r="D808" s="18" t="inlineStr">
        <is>
          <t>borradores_correos</t>
        </is>
      </c>
      <c r="E808" s="18" t="n">
        <v>2</v>
      </c>
      <c r="F808" s="18" t="inlineStr">
        <is>
          <t>destinatarios_to</t>
        </is>
      </c>
      <c r="G808" s="18" t="inlineStr">
        <is>
          <t>text</t>
        </is>
      </c>
      <c r="H808" s="18" t="inlineStr">
        <is>
          <t>Sí</t>
        </is>
      </c>
      <c r="I808" s="18" t="inlineStr"/>
      <c r="J808" s="18" t="inlineStr"/>
      <c r="K808" s="18" t="inlineStr"/>
      <c r="L808" s="18" t="inlineStr">
        <is>
          <t>No</t>
        </is>
      </c>
      <c r="M808" s="18" t="inlineStr">
        <is>
          <t>No</t>
        </is>
      </c>
      <c r="N808" s="18" t="inlineStr"/>
      <c r="O808" s="18" t="inlineStr"/>
      <c r="P808" s="18" t="inlineStr">
        <is>
          <t>legal-management-service/src/entities/borrador-correo.entity.ts:38: Destinatarios como arreglo JSON de correos (texto). "Para" | db/migrations/382_create_borradores_correos.sql:28: Destinatarios como arreglo JSON de correos (texto). Coherente con correos_juridicos.destinatarios / destinatarios_cco. "Para"</t>
        </is>
      </c>
      <c r="Q808" s="18" t="inlineStr">
        <is>
          <t>Código fuente</t>
        </is>
      </c>
      <c r="R808" s="18" t="inlineStr">
        <is>
          <t>Destinatarios principales («Para») del borrador, como arreglo JSON de correos en texto.</t>
        </is>
      </c>
      <c r="S808" s="18" t="inlineStr">
        <is>
          <t>Alta</t>
        </is>
      </c>
      <c r="T808" s="18" t="inlineStr">
        <is>
          <t>código: borrador-correo.entity.ts:38</t>
        </is>
      </c>
      <c r="U808" s="18" t="inlineStr"/>
      <c r="V808" s="19" t="inlineStr">
        <is>
          <t>Aprobada</t>
        </is>
      </c>
      <c r="W808" s="19" t="inlineStr"/>
      <c r="X808" s="19" t="inlineStr">
        <is>
          <t>Aldair González (aprobación en bloque)</t>
        </is>
      </c>
      <c r="Y808" s="20" t="n">
        <v>46321</v>
      </c>
      <c r="Z808" s="19" t="inlineStr">
        <is>
          <t>Nivel 1: propuesta del comentario del desarrollador o de confianza alta, o regla de fecha/responsable/motivo.</t>
        </is>
      </c>
      <c r="AA808" s="18">
        <f>IF(OR(V808="Aprobada"),R808,IF(AND(OR(V808="Aprobada con ajuste",V808="Rechazada"),W808&lt;&gt;""),W808,""))</f>
        <v/>
      </c>
    </row>
    <row r="809">
      <c r="A809" s="18" t="inlineStr">
        <is>
          <t>C0808</t>
        </is>
      </c>
      <c r="B809" s="18" t="inlineStr">
        <is>
          <t>Gestión jurídica</t>
        </is>
      </c>
      <c r="C809" s="18" t="inlineStr">
        <is>
          <t>legal_management</t>
        </is>
      </c>
      <c r="D809" s="18" t="inlineStr">
        <is>
          <t>borradores_correos</t>
        </is>
      </c>
      <c r="E809" s="18" t="n">
        <v>2</v>
      </c>
      <c r="F809" s="18" t="inlineStr">
        <is>
          <t>destinatarios_cc</t>
        </is>
      </c>
      <c r="G809" s="18" t="inlineStr">
        <is>
          <t>text</t>
        </is>
      </c>
      <c r="H809" s="18" t="inlineStr">
        <is>
          <t>Sí</t>
        </is>
      </c>
      <c r="I809" s="18" t="inlineStr"/>
      <c r="J809" s="18" t="inlineStr"/>
      <c r="K809" s="18" t="inlineStr"/>
      <c r="L809" s="18" t="inlineStr">
        <is>
          <t>No</t>
        </is>
      </c>
      <c r="M809" s="18" t="inlineStr">
        <is>
          <t>No</t>
        </is>
      </c>
      <c r="N809" s="18" t="inlineStr"/>
      <c r="O809" s="18" t="inlineStr"/>
      <c r="P809" s="18" t="inlineStr">
        <is>
          <t>legal-management-service/src/entities/borrador-correo.entity.ts:41: CC | db/migrations/382_create_borradores_correos.sql:29: CC</t>
        </is>
      </c>
      <c r="Q809" s="18" t="inlineStr">
        <is>
          <t>Código fuente</t>
        </is>
      </c>
      <c r="R809" s="18" t="inlineStr">
        <is>
          <t>Destinatarios en copia (CC) del borrador.</t>
        </is>
      </c>
      <c r="S809" s="18" t="inlineStr">
        <is>
          <t>Alta</t>
        </is>
      </c>
      <c r="T809" s="18" t="inlineStr">
        <is>
          <t>código: borrador-correo.entity.ts:41</t>
        </is>
      </c>
      <c r="U809" s="18" t="inlineStr"/>
      <c r="V809" s="19" t="inlineStr">
        <is>
          <t>Aprobada</t>
        </is>
      </c>
      <c r="W809" s="19" t="inlineStr"/>
      <c r="X809" s="19" t="inlineStr">
        <is>
          <t>Aldair González (aprobación en bloque)</t>
        </is>
      </c>
      <c r="Y809" s="20" t="n">
        <v>46321</v>
      </c>
      <c r="Z809" s="19" t="inlineStr">
        <is>
          <t>Nivel 1: propuesta del comentario del desarrollador o de confianza alta, o regla de fecha/responsable/motivo.</t>
        </is>
      </c>
      <c r="AA809" s="18">
        <f>IF(OR(V809="Aprobada"),R809,IF(AND(OR(V809="Aprobada con ajuste",V809="Rechazada"),W809&lt;&gt;""),W809,""))</f>
        <v/>
      </c>
    </row>
    <row r="810">
      <c r="A810" s="18" t="inlineStr">
        <is>
          <t>C0809</t>
        </is>
      </c>
      <c r="B810" s="18" t="inlineStr">
        <is>
          <t>Gestión jurídica</t>
        </is>
      </c>
      <c r="C810" s="18" t="inlineStr">
        <is>
          <t>legal_management</t>
        </is>
      </c>
      <c r="D810" s="18" t="inlineStr">
        <is>
          <t>borradores_correos</t>
        </is>
      </c>
      <c r="E810" s="18" t="n">
        <v>2</v>
      </c>
      <c r="F810" s="18" t="inlineStr">
        <is>
          <t>destinatarios_cco</t>
        </is>
      </c>
      <c r="G810" s="18" t="inlineStr">
        <is>
          <t>text</t>
        </is>
      </c>
      <c r="H810" s="18" t="inlineStr">
        <is>
          <t>Sí</t>
        </is>
      </c>
      <c r="I810" s="18" t="inlineStr"/>
      <c r="J810" s="18" t="inlineStr"/>
      <c r="K810" s="18" t="inlineStr"/>
      <c r="L810" s="18" t="inlineStr">
        <is>
          <t>No</t>
        </is>
      </c>
      <c r="M810" s="18" t="inlineStr">
        <is>
          <t>No</t>
        </is>
      </c>
      <c r="N810" s="18" t="inlineStr"/>
      <c r="O810" s="18" t="inlineStr"/>
      <c r="P810" s="18" t="inlineStr">
        <is>
          <t>legal-management-service/src/entities/borrador-correo.entity.ts:44: CCO | db/migrations/382_create_borradores_correos.sql:30: CCO / Copia Oculta</t>
        </is>
      </c>
      <c r="Q810" s="18" t="inlineStr">
        <is>
          <t>Código fuente</t>
        </is>
      </c>
      <c r="R810" s="18" t="inlineStr">
        <is>
          <t>Destinatarios en copia oculta (CCO) del borrador.</t>
        </is>
      </c>
      <c r="S810" s="18" t="inlineStr">
        <is>
          <t>Alta</t>
        </is>
      </c>
      <c r="T810" s="18" t="inlineStr">
        <is>
          <t>código: borrador-correo.entity.ts:44</t>
        </is>
      </c>
      <c r="U810" s="18" t="inlineStr"/>
      <c r="V810" s="19" t="inlineStr">
        <is>
          <t>Aprobada</t>
        </is>
      </c>
      <c r="W810" s="19" t="inlineStr"/>
      <c r="X810" s="19" t="inlineStr">
        <is>
          <t>Aldair González (aprobación en bloque)</t>
        </is>
      </c>
      <c r="Y810" s="20" t="n">
        <v>46321</v>
      </c>
      <c r="Z810" s="19" t="inlineStr">
        <is>
          <t>Nivel 1: propuesta del comentario del desarrollador o de confianza alta, o regla de fecha/responsable/motivo.</t>
        </is>
      </c>
      <c r="AA810" s="18">
        <f>IF(OR(V810="Aprobada"),R810,IF(AND(OR(V810="Aprobada con ajuste",V810="Rechazada"),W810&lt;&gt;""),W810,""))</f>
        <v/>
      </c>
    </row>
    <row r="811">
      <c r="A811" s="18" t="inlineStr">
        <is>
          <t>C0810</t>
        </is>
      </c>
      <c r="B811" s="18" t="inlineStr">
        <is>
          <t>Gestión jurídica</t>
        </is>
      </c>
      <c r="C811" s="18" t="inlineStr">
        <is>
          <t>legal_management</t>
        </is>
      </c>
      <c r="D811" s="18" t="inlineStr">
        <is>
          <t>borradores_correos</t>
        </is>
      </c>
      <c r="E811" s="18" t="n">
        <v>2</v>
      </c>
      <c r="F811" s="18" t="inlineStr">
        <is>
          <t>asunto</t>
        </is>
      </c>
      <c r="G811" s="18" t="inlineStr">
        <is>
          <t>character varying(500)</t>
        </is>
      </c>
      <c r="H811" s="18" t="inlineStr">
        <is>
          <t>Sí</t>
        </is>
      </c>
      <c r="I811" s="18" t="inlineStr"/>
      <c r="J811" s="18" t="inlineStr"/>
      <c r="K811" s="18" t="inlineStr"/>
      <c r="L811" s="18" t="inlineStr">
        <is>
          <t>No</t>
        </is>
      </c>
      <c r="M811" s="18" t="inlineStr">
        <is>
          <t>No</t>
        </is>
      </c>
      <c r="N811" s="18" t="inlineStr"/>
      <c r="O811" s="18" t="inlineStr"/>
      <c r="P811" s="18" t="inlineStr">
        <is>
          <t>Mapeada en legal-management-service/src/entities/borrador-correo.entity.ts:47 (BorradorCorreo.asunto)</t>
        </is>
      </c>
      <c r="Q811" s="18" t="inlineStr">
        <is>
          <t>Propuesta semántica</t>
        </is>
      </c>
      <c r="R811" s="18" t="inlineStr">
        <is>
          <t>Asunto del correo en borrador.</t>
        </is>
      </c>
      <c r="S811" s="18" t="inlineStr">
        <is>
          <t>Alta</t>
        </is>
      </c>
      <c r="T811" s="18" t="inlineStr">
        <is>
          <t>nombre + documentación de la entidad</t>
        </is>
      </c>
      <c r="U811" s="18" t="inlineStr"/>
      <c r="V811" s="19" t="inlineStr">
        <is>
          <t>Aprobada</t>
        </is>
      </c>
      <c r="W811" s="19" t="inlineStr"/>
      <c r="X811" s="19" t="inlineStr">
        <is>
          <t>Aldair González (aprobación en bloque)</t>
        </is>
      </c>
      <c r="Y811" s="20" t="n">
        <v>46321</v>
      </c>
      <c r="Z811" s="19" t="inlineStr">
        <is>
          <t>Nivel 1: propuesta del comentario del desarrollador o de confianza alta, o regla de fecha/responsable/motivo.</t>
        </is>
      </c>
      <c r="AA811" s="18">
        <f>IF(OR(V811="Aprobada"),R811,IF(AND(OR(V811="Aprobada con ajuste",V811="Rechazada"),W811&lt;&gt;""),W811,""))</f>
        <v/>
      </c>
    </row>
    <row r="812">
      <c r="A812" s="18" t="inlineStr">
        <is>
          <t>C0811</t>
        </is>
      </c>
      <c r="B812" s="18" t="inlineStr">
        <is>
          <t>Gestión jurídica</t>
        </is>
      </c>
      <c r="C812" s="18" t="inlineStr">
        <is>
          <t>legal_management</t>
        </is>
      </c>
      <c r="D812" s="18" t="inlineStr">
        <is>
          <t>borradores_correos</t>
        </is>
      </c>
      <c r="E812" s="18" t="n">
        <v>2</v>
      </c>
      <c r="F812" s="18" t="inlineStr">
        <is>
          <t>cuerpo</t>
        </is>
      </c>
      <c r="G812" s="18" t="inlineStr">
        <is>
          <t>text</t>
        </is>
      </c>
      <c r="H812" s="18" t="inlineStr">
        <is>
          <t>Sí</t>
        </is>
      </c>
      <c r="I812" s="18" t="inlineStr"/>
      <c r="J812" s="18" t="inlineStr"/>
      <c r="K812" s="18" t="inlineStr"/>
      <c r="L812" s="18" t="inlineStr">
        <is>
          <t>No</t>
        </is>
      </c>
      <c r="M812" s="18" t="inlineStr">
        <is>
          <t>No</t>
        </is>
      </c>
      <c r="N812" s="18" t="inlineStr"/>
      <c r="O812" s="18" t="inlineStr"/>
      <c r="P812" s="18" t="inlineStr">
        <is>
          <t>Mapeada en legal-management-service/src/entities/borrador-correo.entity.ts:50 (BorradorCorreo.cuerpo)</t>
        </is>
      </c>
      <c r="Q812" s="18" t="inlineStr">
        <is>
          <t>Código fuente (verificado)</t>
        </is>
      </c>
      <c r="R812" s="18" t="inlineStr">
        <is>
          <t>Cuerpo del correo nuevo en redacción, autoguardado en el borrador privado del usuario.</t>
        </is>
      </c>
      <c r="S812" s="18" t="inlineStr">
        <is>
          <t>Media</t>
        </is>
      </c>
      <c r="T812" s="18" t="inlineStr">
        <is>
          <t>legal-management-service/src/services/borradores-correos.service.ts:88: guarda dto.cuerpo tal como llega | legal-management-service/src/entities/borrador-correo.entity.ts:16: borrador privado de correo nuevo</t>
        </is>
      </c>
      <c r="U812" s="18" t="inlineStr">
        <is>
          <t>¿El cuerpo se guarda en HTML o en texto plano?</t>
        </is>
      </c>
      <c r="V812" s="19" t="inlineStr">
        <is>
          <t>Aprobada</t>
        </is>
      </c>
      <c r="W812" s="19" t="inlineStr"/>
      <c r="X812" s="19" t="inlineStr">
        <is>
          <t>Aldair González (validación del responsable de BD)</t>
        </is>
      </c>
      <c r="Y812" s="20" t="n">
        <v>46321</v>
      </c>
      <c r="Z812" s="19" t="inlineStr">
        <is>
          <t>Nivel 3: validada por decisión del responsable de la base de datos. Pregunta registrada para desarrollo: ¿El cuerpo se guarda en HTML o en texto plano?</t>
        </is>
      </c>
      <c r="AA812" s="18">
        <f>IF(OR(V812="Aprobada"),R812,IF(AND(OR(V812="Aprobada con ajuste",V812="Rechazada"),W812&lt;&gt;""),W812,""))</f>
        <v/>
      </c>
    </row>
    <row r="813">
      <c r="A813" s="18" t="inlineStr">
        <is>
          <t>C0812</t>
        </is>
      </c>
      <c r="B813" s="18" t="inlineStr">
        <is>
          <t>Gestión jurídica</t>
        </is>
      </c>
      <c r="C813" s="18" t="inlineStr">
        <is>
          <t>legal_management</t>
        </is>
      </c>
      <c r="D813" s="18" t="inlineStr">
        <is>
          <t>borradores_correos</t>
        </is>
      </c>
      <c r="E813" s="18" t="n">
        <v>2</v>
      </c>
      <c r="F813" s="18" t="inlineStr">
        <is>
          <t>solicitar_acuse</t>
        </is>
      </c>
      <c r="G813" s="18" t="inlineStr">
        <is>
          <t>boolean</t>
        </is>
      </c>
      <c r="H813" s="18" t="inlineStr">
        <is>
          <t>No</t>
        </is>
      </c>
      <c r="I813" s="18" t="inlineStr"/>
      <c r="J813" s="18" t="inlineStr"/>
      <c r="K813" s="18" t="inlineStr"/>
      <c r="L813" s="18" t="inlineStr">
        <is>
          <t>No</t>
        </is>
      </c>
      <c r="M813" s="18" t="inlineStr">
        <is>
          <t>No</t>
        </is>
      </c>
      <c r="N813" s="18" t="inlineStr"/>
      <c r="O813" s="18" t="inlineStr"/>
      <c r="P813" s="18" t="inlineStr">
        <is>
          <t>db/migrations/382_create_borradores_correos.sql:39: Opción "solicitar acuse de recibido" tal como la dejó el usuario.</t>
        </is>
      </c>
      <c r="Q813" s="18" t="inlineStr">
        <is>
          <t>Código fuente</t>
        </is>
      </c>
      <c r="R813" s="18" t="inlineStr">
        <is>
          <t>Indica si el usuario dejó marcada la opción «solicitar acuse de recibido» en el borrador.</t>
        </is>
      </c>
      <c r="S813" s="18" t="inlineStr">
        <is>
          <t>Alta</t>
        </is>
      </c>
      <c r="T813" s="18" t="inlineStr">
        <is>
          <t>código: db/migrations/382_create_borradores_correos.sql:39</t>
        </is>
      </c>
      <c r="U813" s="18" t="inlineStr"/>
      <c r="V813" s="19" t="inlineStr">
        <is>
          <t>Aprobada</t>
        </is>
      </c>
      <c r="W813" s="19" t="inlineStr"/>
      <c r="X813" s="19" t="inlineStr">
        <is>
          <t>Aldair González (aprobación en bloque)</t>
        </is>
      </c>
      <c r="Y813" s="20" t="n">
        <v>46321</v>
      </c>
      <c r="Z813" s="19" t="inlineStr">
        <is>
          <t>Nivel 1: propuesta del comentario del desarrollador o de confianza alta, o regla de fecha/responsable/motivo.</t>
        </is>
      </c>
      <c r="AA813" s="18">
        <f>IF(OR(V813="Aprobada"),R813,IF(AND(OR(V813="Aprobada con ajuste",V813="Rechazada"),W813&lt;&gt;""),W813,""))</f>
        <v/>
      </c>
    </row>
    <row r="814">
      <c r="A814" s="18" t="inlineStr">
        <is>
          <t>C0813</t>
        </is>
      </c>
      <c r="B814" s="18" t="inlineStr">
        <is>
          <t>Gestión jurídica</t>
        </is>
      </c>
      <c r="C814" s="18" t="inlineStr">
        <is>
          <t>legal_management</t>
        </is>
      </c>
      <c r="D814" s="18" t="inlineStr">
        <is>
          <t>cat_tipos_requerimiento</t>
        </is>
      </c>
      <c r="E814" s="18" t="n">
        <v>9</v>
      </c>
      <c r="F814" s="18" t="inlineStr">
        <is>
          <t>nombre</t>
        </is>
      </c>
      <c r="G814" s="18" t="inlineStr">
        <is>
          <t>character varying(200)</t>
        </is>
      </c>
      <c r="H814" s="18" t="inlineStr">
        <is>
          <t>No</t>
        </is>
      </c>
      <c r="I814" s="18" t="inlineStr"/>
      <c r="J814" s="18" t="inlineStr"/>
      <c r="K814" s="18" t="inlineStr"/>
      <c r="L814" s="18" t="inlineStr">
        <is>
          <t>Sí</t>
        </is>
      </c>
      <c r="M814" s="18" t="inlineStr">
        <is>
          <t>No</t>
        </is>
      </c>
      <c r="N814" s="18" t="inlineStr"/>
      <c r="O814" s="18" t="inlineStr"/>
      <c r="P814" s="18" t="inlineStr">
        <is>
          <t>Mapeada en legal-management-service/src/entities/tipo-requerimiento-oc.entity.ts:8 (TipoRequerimientoOC.nombre)</t>
        </is>
      </c>
      <c r="Q814" s="18" t="inlineStr">
        <is>
          <t>Regla estructural (redacción revisada)</t>
        </is>
      </c>
      <c r="R814" s="18" t="inlineStr">
        <is>
          <t>Nombre del tipo de requerimiento.</t>
        </is>
      </c>
      <c r="S814" s="18" t="inlineStr">
        <is>
          <t>Alta</t>
        </is>
      </c>
      <c r="T814" s="18" t="inlineStr">
        <is>
          <t>Convención de nombre, redactada con el contexto de la tabla y el código.</t>
        </is>
      </c>
      <c r="U814" s="18" t="inlineStr"/>
      <c r="V814" s="19" t="inlineStr">
        <is>
          <t>Aprobada</t>
        </is>
      </c>
      <c r="W814" s="19" t="inlineStr"/>
      <c r="X814" s="19" t="inlineStr">
        <is>
          <t>Aldair González (aprobación en bloque)</t>
        </is>
      </c>
      <c r="Y814" s="20" t="n">
        <v>46321</v>
      </c>
      <c r="Z814" s="19" t="inlineStr">
        <is>
          <t>Nivel 2: regla estructural con redacción revisada.</t>
        </is>
      </c>
      <c r="AA814" s="18">
        <f>IF(OR(V814="Aprobada"),R814,IF(AND(OR(V814="Aprobada con ajuste",V814="Rechazada"),W814&lt;&gt;""),W814,""))</f>
        <v/>
      </c>
    </row>
    <row r="815">
      <c r="A815" s="18" t="inlineStr">
        <is>
          <t>C0814</t>
        </is>
      </c>
      <c r="B815" s="18" t="inlineStr">
        <is>
          <t>Gestión jurídica</t>
        </is>
      </c>
      <c r="C815" s="18" t="inlineStr">
        <is>
          <t>legal_management</t>
        </is>
      </c>
      <c r="D815" s="18" t="inlineStr">
        <is>
          <t>cat_tipos_requerimiento</t>
        </is>
      </c>
      <c r="E815" s="18" t="n">
        <v>9</v>
      </c>
      <c r="F815" s="18" t="inlineStr">
        <is>
          <t>descripcion</t>
        </is>
      </c>
      <c r="G815" s="18" t="inlineStr">
        <is>
          <t>text</t>
        </is>
      </c>
      <c r="H815" s="18" t="inlineStr">
        <is>
          <t>Sí</t>
        </is>
      </c>
      <c r="I815" s="18" t="inlineStr"/>
      <c r="J815" s="18" t="inlineStr"/>
      <c r="K815" s="18" t="inlineStr"/>
      <c r="L815" s="18" t="inlineStr">
        <is>
          <t>Sí</t>
        </is>
      </c>
      <c r="M815" s="18" t="inlineStr">
        <is>
          <t>No</t>
        </is>
      </c>
      <c r="N815" s="18" t="inlineStr"/>
      <c r="O815" s="18" t="inlineStr"/>
      <c r="P815" s="18" t="inlineStr">
        <is>
          <t>Mapeada en legal-management-service/src/entities/tipo-requerimiento-oc.entity.ts:11 (TipoRequerimientoOC.descripcion)</t>
        </is>
      </c>
      <c r="Q815" s="18" t="inlineStr">
        <is>
          <t>Regla estructural (redacción revisada)</t>
        </is>
      </c>
      <c r="R815" s="18" t="inlineStr">
        <is>
          <t>Descripción del tipo de requerimiento.</t>
        </is>
      </c>
      <c r="S815" s="18" t="inlineStr">
        <is>
          <t>Alta</t>
        </is>
      </c>
      <c r="T815" s="18" t="inlineStr">
        <is>
          <t>Convención de nombre, redactada con el contexto de la tabla y el código.</t>
        </is>
      </c>
      <c r="U815" s="18" t="inlineStr"/>
      <c r="V815" s="19" t="inlineStr">
        <is>
          <t>Aprobada</t>
        </is>
      </c>
      <c r="W815" s="19" t="inlineStr"/>
      <c r="X815" s="19" t="inlineStr">
        <is>
          <t>Aldair González (aprobación en bloque)</t>
        </is>
      </c>
      <c r="Y815" s="20" t="n">
        <v>46321</v>
      </c>
      <c r="Z815" s="19" t="inlineStr">
        <is>
          <t>Nivel 2: regla estructural con redacción revisada.</t>
        </is>
      </c>
      <c r="AA815" s="18">
        <f>IF(OR(V815="Aprobada"),R815,IF(AND(OR(V815="Aprobada con ajuste",V815="Rechazada"),W815&lt;&gt;""),W815,""))</f>
        <v/>
      </c>
    </row>
    <row r="816">
      <c r="A816" s="18" t="inlineStr">
        <is>
          <t>C0815</t>
        </is>
      </c>
      <c r="B816" s="18" t="inlineStr">
        <is>
          <t>Gestión jurídica</t>
        </is>
      </c>
      <c r="C816" s="18" t="inlineStr">
        <is>
          <t>legal_management</t>
        </is>
      </c>
      <c r="D816" s="18" t="inlineStr">
        <is>
          <t>cat_tipos_requerimiento</t>
        </is>
      </c>
      <c r="E816" s="18" t="n">
        <v>9</v>
      </c>
      <c r="F816" s="18" t="inlineStr">
        <is>
          <t>activo</t>
        </is>
      </c>
      <c r="G816" s="18" t="inlineStr">
        <is>
          <t>boolean</t>
        </is>
      </c>
      <c r="H816" s="18" t="inlineStr">
        <is>
          <t>Sí</t>
        </is>
      </c>
      <c r="I816" s="18" t="inlineStr"/>
      <c r="J816" s="18" t="inlineStr"/>
      <c r="K816" s="18" t="inlineStr"/>
      <c r="L816" s="18" t="inlineStr">
        <is>
          <t>Sí</t>
        </is>
      </c>
      <c r="M816" s="18" t="inlineStr">
        <is>
          <t>No</t>
        </is>
      </c>
      <c r="N816" s="18" t="inlineStr"/>
      <c r="O816" s="18" t="inlineStr">
        <is>
          <t>idx_cat_tipos_req_activo</t>
        </is>
      </c>
      <c r="P816" s="18" t="inlineStr">
        <is>
          <t>Mapeada en legal-management-service/src/entities/tipo-requerimiento-oc.entity.ts:14 (TipoRequerimientoOC.activo)</t>
        </is>
      </c>
      <c r="Q816" s="18" t="inlineStr">
        <is>
          <t>Regla estructural (redacción revisada)</t>
        </is>
      </c>
      <c r="R816" s="18" t="inlineStr">
        <is>
          <t>Indica si el tipo de requerimiento está activo.</t>
        </is>
      </c>
      <c r="S816" s="18" t="inlineStr">
        <is>
          <t>Alta</t>
        </is>
      </c>
      <c r="T816" s="18" t="inlineStr">
        <is>
          <t>Convención de nombre, redactada con el contexto de la tabla y el código.</t>
        </is>
      </c>
      <c r="U816" s="18" t="inlineStr"/>
      <c r="V816" s="19" t="inlineStr">
        <is>
          <t>Aprobada</t>
        </is>
      </c>
      <c r="W816" s="19" t="inlineStr"/>
      <c r="X816" s="19" t="inlineStr">
        <is>
          <t>Aldair González (aprobación en bloque)</t>
        </is>
      </c>
      <c r="Y816" s="20" t="n">
        <v>46321</v>
      </c>
      <c r="Z816" s="19" t="inlineStr">
        <is>
          <t>Nivel 2: regla estructural con redacción revisada.</t>
        </is>
      </c>
      <c r="AA816" s="18">
        <f>IF(OR(V816="Aprobada"),R816,IF(AND(OR(V816="Aprobada con ajuste",V816="Rechazada"),W816&lt;&gt;""),W816,""))</f>
        <v/>
      </c>
    </row>
    <row r="817">
      <c r="A817" s="18" t="inlineStr">
        <is>
          <t>C0816</t>
        </is>
      </c>
      <c r="B817" s="18" t="inlineStr">
        <is>
          <t>Gestión jurídica</t>
        </is>
      </c>
      <c r="C817" s="18" t="inlineStr">
        <is>
          <t>legal_management</t>
        </is>
      </c>
      <c r="D817" s="18" t="inlineStr">
        <is>
          <t>cat_tipos_requerimiento</t>
        </is>
      </c>
      <c r="E817" s="18" t="n">
        <v>9</v>
      </c>
      <c r="F817" s="18" t="inlineStr">
        <is>
          <t>orden</t>
        </is>
      </c>
      <c r="G817" s="18" t="inlineStr">
        <is>
          <t>integer</t>
        </is>
      </c>
      <c r="H817" s="18" t="inlineStr">
        <is>
          <t>Sí</t>
        </is>
      </c>
      <c r="I817" s="18" t="inlineStr"/>
      <c r="J817" s="18" t="inlineStr"/>
      <c r="K817" s="18" t="inlineStr"/>
      <c r="L817" s="18" t="inlineStr">
        <is>
          <t>Sí</t>
        </is>
      </c>
      <c r="M817" s="18" t="inlineStr">
        <is>
          <t>No</t>
        </is>
      </c>
      <c r="N817" s="18" t="inlineStr"/>
      <c r="O817" s="18" t="inlineStr">
        <is>
          <t>idx_cat_tipos_req_orden</t>
        </is>
      </c>
      <c r="P817" s="18" t="inlineStr">
        <is>
          <t>Mapeada en legal-management-service/src/entities/tipo-requerimiento-oc.entity.ts:17 (TipoRequerimientoOC.orden)</t>
        </is>
      </c>
      <c r="Q817" s="18" t="inlineStr">
        <is>
          <t>Regla estructural (redacción revisada)</t>
        </is>
      </c>
      <c r="R817" s="18" t="inlineStr">
        <is>
          <t>Posición del tipo de requerimiento en el ordenamiento.</t>
        </is>
      </c>
      <c r="S817" s="18" t="inlineStr">
        <is>
          <t>Alta</t>
        </is>
      </c>
      <c r="T817" s="18" t="inlineStr">
        <is>
          <t>Convención de nombre, redactada con el contexto de la tabla y el código.</t>
        </is>
      </c>
      <c r="U817" s="18" t="inlineStr"/>
      <c r="V817" s="19" t="inlineStr">
        <is>
          <t>Aprobada</t>
        </is>
      </c>
      <c r="W817" s="19" t="inlineStr"/>
      <c r="X817" s="19" t="inlineStr">
        <is>
          <t>Aldair González (aprobación en bloque)</t>
        </is>
      </c>
      <c r="Y817" s="20" t="n">
        <v>46321</v>
      </c>
      <c r="Z817" s="19" t="inlineStr">
        <is>
          <t>Nivel 2: regla estructural con redacción revisada.</t>
        </is>
      </c>
      <c r="AA817" s="18">
        <f>IF(OR(V817="Aprobada"),R817,IF(AND(OR(V817="Aprobada con ajuste",V817="Rechazada"),W817&lt;&gt;""),W817,""))</f>
        <v/>
      </c>
    </row>
    <row r="818">
      <c r="A818" s="18" t="inlineStr">
        <is>
          <t>C0817</t>
        </is>
      </c>
      <c r="B818" s="18" t="inlineStr">
        <is>
          <t>Gestión jurídica</t>
        </is>
      </c>
      <c r="C818" s="18" t="inlineStr">
        <is>
          <t>legal_management</t>
        </is>
      </c>
      <c r="D818" s="18" t="inlineStr">
        <is>
          <t>coactivos_historial</t>
        </is>
      </c>
      <c r="E818" s="18" t="n">
        <v>48</v>
      </c>
      <c r="F818" s="18" t="inlineStr">
        <is>
          <t>tipo_evento</t>
        </is>
      </c>
      <c r="G818" s="18" t="inlineStr">
        <is>
          <t>character varying(50)</t>
        </is>
      </c>
      <c r="H818" s="18" t="inlineStr">
        <is>
          <t>No</t>
        </is>
      </c>
      <c r="I818" s="18" t="inlineStr"/>
      <c r="J818" s="18" t="inlineStr"/>
      <c r="K818" s="18" t="inlineStr"/>
      <c r="L818" s="18" t="inlineStr">
        <is>
          <t>No</t>
        </is>
      </c>
      <c r="M818" s="18" t="inlineStr">
        <is>
          <t>No</t>
        </is>
      </c>
      <c r="N818" s="18" t="inlineStr"/>
      <c r="O818" s="18" t="inlineStr"/>
      <c r="P818" s="18" t="inlineStr">
        <is>
          <t>legal-management-service/src/entities/coactivo-historial.entity.ts:16: CREACION, PAGO, CAMBIO_ETAPA, ACTUALIZACION | db/migrations/old/103_create_pagos_historial_coactivos.sql:23: CREACION, PAGO, CAMBIO_ETAPA, ACTUALIZACION</t>
        </is>
      </c>
      <c r="Q818" s="18" t="inlineStr">
        <is>
          <t>Código fuente</t>
        </is>
      </c>
      <c r="R818" s="18" t="inlineStr">
        <is>
          <t>Tipo de evento del historial del proceso coactivo. Valores: CREACION, PAGO, CAMBIO_ETAPA, ACTUALIZACION.</t>
        </is>
      </c>
      <c r="S818" s="18" t="inlineStr">
        <is>
          <t>Alta</t>
        </is>
      </c>
      <c r="T818" s="18" t="inlineStr">
        <is>
          <t>código: coactivo-historial.entity.ts:16</t>
        </is>
      </c>
      <c r="U818" s="18" t="inlineStr"/>
      <c r="V818" s="19" t="inlineStr">
        <is>
          <t>Aprobada</t>
        </is>
      </c>
      <c r="W818" s="19" t="inlineStr"/>
      <c r="X818" s="19" t="inlineStr">
        <is>
          <t>Aldair González (aprobación en bloque)</t>
        </is>
      </c>
      <c r="Y818" s="20" t="n">
        <v>46321</v>
      </c>
      <c r="Z818" s="19" t="inlineStr">
        <is>
          <t>Nivel 1: propuesta del comentario del desarrollador o de confianza alta, o regla de fecha/responsable/motivo.</t>
        </is>
      </c>
      <c r="AA818" s="18">
        <f>IF(OR(V818="Aprobada"),R818,IF(AND(OR(V818="Aprobada con ajuste",V818="Rechazada"),W818&lt;&gt;""),W818,""))</f>
        <v/>
      </c>
    </row>
    <row r="819">
      <c r="A819" s="18" t="inlineStr">
        <is>
          <t>C0818</t>
        </is>
      </c>
      <c r="B819" s="18" t="inlineStr">
        <is>
          <t>Gestión jurídica</t>
        </is>
      </c>
      <c r="C819" s="18" t="inlineStr">
        <is>
          <t>legal_management</t>
        </is>
      </c>
      <c r="D819" s="18" t="inlineStr">
        <is>
          <t>coactivos_historial</t>
        </is>
      </c>
      <c r="E819" s="18" t="n">
        <v>48</v>
      </c>
      <c r="F819" s="18" t="inlineStr">
        <is>
          <t>campo_modificado</t>
        </is>
      </c>
      <c r="G819" s="18" t="inlineStr">
        <is>
          <t>character varying(100)</t>
        </is>
      </c>
      <c r="H819" s="18" t="inlineStr">
        <is>
          <t>Sí</t>
        </is>
      </c>
      <c r="I819" s="18" t="inlineStr"/>
      <c r="J819" s="18" t="inlineStr"/>
      <c r="K819" s="18" t="inlineStr"/>
      <c r="L819" s="18" t="inlineStr">
        <is>
          <t>No</t>
        </is>
      </c>
      <c r="M819" s="18" t="inlineStr">
        <is>
          <t>No</t>
        </is>
      </c>
      <c r="N819" s="18" t="inlineStr"/>
      <c r="O819" s="18" t="inlineStr"/>
      <c r="P819" s="18" t="inlineStr">
        <is>
          <t>Mapeada en legal-management-service/src/entities/coactivo-historial.entity.ts:19 (CoactivoHistorial.campoModificado)</t>
        </is>
      </c>
      <c r="Q819" s="18" t="inlineStr">
        <is>
          <t>Código fuente (verificado)</t>
        </is>
      </c>
      <c r="R819" s="18" t="inlineStr">
        <is>
          <t>Nombre del campo modificado en el evento: deudor, obligacion.valor o responsable (ACTUALIZACION), estado (CAMBIO_ETAPA), estadoArchivo (ARCHIVADO, RESTAURADO, ELIMINADO) o valorPagado (PAGO, ELIMINACION_PAGO). Queda vacío en CREACION.</t>
        </is>
      </c>
      <c r="S819" s="18" t="inlineStr">
        <is>
          <t>Alta</t>
        </is>
      </c>
      <c r="T819" s="18" t="inlineStr">
        <is>
          <t>legal-management-service/src/services/proceso-coactivo.service.ts:203: CREACION sin campo | legal-management-service/src/services/proceso-coactivo.service.ts:223: ACTUALIZACION deudor | legal-management-service/src/services/proceso-coactivo.service.ts:238: CAMBIO_ETAPA estado | legal-management-service/src/services/proceso-coactivo.service.ts:273: ARCHIVADO estadoArchivo | legal-management-service/src/services/proceso-coactivo.service.ts:511: PAGO valorPagado</t>
        </is>
      </c>
      <c r="U819" s="18" t="inlineStr"/>
      <c r="V819" s="19" t="inlineStr">
        <is>
          <t>Aprobada</t>
        </is>
      </c>
      <c r="W819" s="19" t="inlineStr"/>
      <c r="X819" s="19" t="inlineStr">
        <is>
          <t>Aldair González (aprobación en bloque)</t>
        </is>
      </c>
      <c r="Y819" s="20" t="n">
        <v>46321</v>
      </c>
      <c r="Z819" s="19" t="inlineStr">
        <is>
          <t>Nivel 3: verificada con el código de la aplicación.</t>
        </is>
      </c>
      <c r="AA819" s="18">
        <f>IF(OR(V819="Aprobada"),R819,IF(AND(OR(V819="Aprobada con ajuste",V819="Rechazada"),W819&lt;&gt;""),W819,""))</f>
        <v/>
      </c>
    </row>
    <row r="820">
      <c r="A820" s="18" t="inlineStr">
        <is>
          <t>C0819</t>
        </is>
      </c>
      <c r="B820" s="18" t="inlineStr">
        <is>
          <t>Gestión jurídica</t>
        </is>
      </c>
      <c r="C820" s="18" t="inlineStr">
        <is>
          <t>legal_management</t>
        </is>
      </c>
      <c r="D820" s="18" t="inlineStr">
        <is>
          <t>coactivos_historial</t>
        </is>
      </c>
      <c r="E820" s="18" t="n">
        <v>48</v>
      </c>
      <c r="F820" s="18" t="inlineStr">
        <is>
          <t>valor_anterior</t>
        </is>
      </c>
      <c r="G820" s="18" t="inlineStr">
        <is>
          <t>text</t>
        </is>
      </c>
      <c r="H820" s="18" t="inlineStr">
        <is>
          <t>Sí</t>
        </is>
      </c>
      <c r="I820" s="18" t="inlineStr"/>
      <c r="J820" s="18" t="inlineStr"/>
      <c r="K820" s="18" t="inlineStr"/>
      <c r="L820" s="18" t="inlineStr">
        <is>
          <t>No</t>
        </is>
      </c>
      <c r="M820" s="18" t="inlineStr">
        <is>
          <t>No</t>
        </is>
      </c>
      <c r="N820" s="18" t="inlineStr"/>
      <c r="O820" s="18" t="inlineStr"/>
      <c r="P820" s="18" t="inlineStr">
        <is>
          <t>Mapeada en legal-management-service/src/entities/coactivo-historial.entity.ts:22 (CoactivoHistorial.valorAnterior)</t>
        </is>
      </c>
      <c r="Q820" s="18" t="inlineStr">
        <is>
          <t>Propuesta semántica</t>
        </is>
      </c>
      <c r="R820" s="18" t="inlineStr">
        <is>
          <t>Valor del campo antes de la modificación.</t>
        </is>
      </c>
      <c r="S820" s="18" t="inlineStr">
        <is>
          <t>Alta</t>
        </is>
      </c>
      <c r="T820" s="18" t="inlineStr">
        <is>
          <t>nombre + tipo + columnas vecinas (campo_modificado)</t>
        </is>
      </c>
      <c r="U820" s="18" t="inlineStr"/>
      <c r="V820" s="19" t="inlineStr">
        <is>
          <t>Aprobada</t>
        </is>
      </c>
      <c r="W820" s="19" t="inlineStr"/>
      <c r="X820" s="19" t="inlineStr">
        <is>
          <t>Aldair González (aprobación en bloque)</t>
        </is>
      </c>
      <c r="Y820" s="20" t="n">
        <v>46321</v>
      </c>
      <c r="Z820" s="19" t="inlineStr">
        <is>
          <t>Nivel 1: propuesta del comentario del desarrollador o de confianza alta, o regla de fecha/responsable/motivo.</t>
        </is>
      </c>
      <c r="AA820" s="18">
        <f>IF(OR(V820="Aprobada"),R820,IF(AND(OR(V820="Aprobada con ajuste",V820="Rechazada"),W820&lt;&gt;""),W820,""))</f>
        <v/>
      </c>
    </row>
    <row r="821">
      <c r="A821" s="18" t="inlineStr">
        <is>
          <t>C0820</t>
        </is>
      </c>
      <c r="B821" s="18" t="inlineStr">
        <is>
          <t>Gestión jurídica</t>
        </is>
      </c>
      <c r="C821" s="18" t="inlineStr">
        <is>
          <t>legal_management</t>
        </is>
      </c>
      <c r="D821" s="18" t="inlineStr">
        <is>
          <t>coactivos_historial</t>
        </is>
      </c>
      <c r="E821" s="18" t="n">
        <v>48</v>
      </c>
      <c r="F821" s="18" t="inlineStr">
        <is>
          <t>valor_nuevo</t>
        </is>
      </c>
      <c r="G821" s="18" t="inlineStr">
        <is>
          <t>text</t>
        </is>
      </c>
      <c r="H821" s="18" t="inlineStr">
        <is>
          <t>Sí</t>
        </is>
      </c>
      <c r="I821" s="18" t="inlineStr"/>
      <c r="J821" s="18" t="inlineStr"/>
      <c r="K821" s="18" t="inlineStr"/>
      <c r="L821" s="18" t="inlineStr">
        <is>
          <t>No</t>
        </is>
      </c>
      <c r="M821" s="18" t="inlineStr">
        <is>
          <t>No</t>
        </is>
      </c>
      <c r="N821" s="18" t="inlineStr"/>
      <c r="O821" s="18" t="inlineStr"/>
      <c r="P821" s="18" t="inlineStr">
        <is>
          <t>Mapeada en legal-management-service/src/entities/coactivo-historial.entity.ts:25 (CoactivoHistorial.valorNuevo)</t>
        </is>
      </c>
      <c r="Q821" s="18" t="inlineStr">
        <is>
          <t>Propuesta semántica</t>
        </is>
      </c>
      <c r="R821" s="18" t="inlineStr">
        <is>
          <t>Valor del campo después de la modificación.</t>
        </is>
      </c>
      <c r="S821" s="18" t="inlineStr">
        <is>
          <t>Alta</t>
        </is>
      </c>
      <c r="T821" s="18" t="inlineStr">
        <is>
          <t>nombre + tipo + columnas vecinas (campo_modificado)</t>
        </is>
      </c>
      <c r="U821" s="18" t="inlineStr"/>
      <c r="V821" s="19" t="inlineStr">
        <is>
          <t>Aprobada</t>
        </is>
      </c>
      <c r="W821" s="19" t="inlineStr"/>
      <c r="X821" s="19" t="inlineStr">
        <is>
          <t>Aldair González (aprobación en bloque)</t>
        </is>
      </c>
      <c r="Y821" s="20" t="n">
        <v>46321</v>
      </c>
      <c r="Z821" s="19" t="inlineStr">
        <is>
          <t>Nivel 1: propuesta del comentario del desarrollador o de confianza alta, o regla de fecha/responsable/motivo.</t>
        </is>
      </c>
      <c r="AA821" s="18">
        <f>IF(OR(V821="Aprobada"),R821,IF(AND(OR(V821="Aprobada con ajuste",V821="Rechazada"),W821&lt;&gt;""),W821,""))</f>
        <v/>
      </c>
    </row>
    <row r="822">
      <c r="A822" s="18" t="inlineStr">
        <is>
          <t>C0821</t>
        </is>
      </c>
      <c r="B822" s="18" t="inlineStr">
        <is>
          <t>Gestión jurídica</t>
        </is>
      </c>
      <c r="C822" s="18" t="inlineStr">
        <is>
          <t>legal_management</t>
        </is>
      </c>
      <c r="D822" s="18" t="inlineStr">
        <is>
          <t>coactivos_historial</t>
        </is>
      </c>
      <c r="E822" s="18" t="n">
        <v>48</v>
      </c>
      <c r="F822" s="18" t="inlineStr">
        <is>
          <t>usuario</t>
        </is>
      </c>
      <c r="G822" s="18" t="inlineStr">
        <is>
          <t>character varying(100)</t>
        </is>
      </c>
      <c r="H822" s="18" t="inlineStr">
        <is>
          <t>Sí</t>
        </is>
      </c>
      <c r="I822" s="18" t="inlineStr"/>
      <c r="J822" s="18" t="inlineStr"/>
      <c r="K822" s="18" t="inlineStr"/>
      <c r="L822" s="18" t="inlineStr">
        <is>
          <t>No</t>
        </is>
      </c>
      <c r="M822" s="18" t="inlineStr">
        <is>
          <t>No</t>
        </is>
      </c>
      <c r="N822" s="18" t="inlineStr"/>
      <c r="O822" s="18" t="inlineStr"/>
      <c r="P822" s="18" t="inlineStr">
        <is>
          <t>db/migrations/old/103_create_pagos_historial_coactivos.sql:27: ID o Nombre del usuario responsable</t>
        </is>
      </c>
      <c r="Q822" s="18" t="inlineStr">
        <is>
          <t>Código fuente</t>
        </is>
      </c>
      <c r="R822" s="18" t="inlineStr">
        <is>
          <t>Identificador o nombre del usuario responsable del evento.</t>
        </is>
      </c>
      <c r="S822" s="18" t="inlineStr">
        <is>
          <t>Alta</t>
        </is>
      </c>
      <c r="T822" s="18" t="inlineStr">
        <is>
          <t>código: db/migrations/old/103_create_pagos_historial_coactivos.sql:27</t>
        </is>
      </c>
      <c r="U822" s="18" t="inlineStr"/>
      <c r="V822" s="19" t="inlineStr">
        <is>
          <t>Aprobada</t>
        </is>
      </c>
      <c r="W822" s="19" t="inlineStr"/>
      <c r="X822" s="19" t="inlineStr">
        <is>
          <t>Aldair González (aprobación en bloque)</t>
        </is>
      </c>
      <c r="Y822" s="20" t="n">
        <v>46321</v>
      </c>
      <c r="Z822" s="19" t="inlineStr">
        <is>
          <t>Nivel 1: propuesta del comentario del desarrollador o de confianza alta, o regla de fecha/responsable/motivo.</t>
        </is>
      </c>
      <c r="AA822" s="18">
        <f>IF(OR(V822="Aprobada"),R822,IF(AND(OR(V822="Aprobada con ajuste",V822="Rechazada"),W822&lt;&gt;""),W822,""))</f>
        <v/>
      </c>
    </row>
    <row r="823">
      <c r="A823" s="18" t="inlineStr">
        <is>
          <t>C0822</t>
        </is>
      </c>
      <c r="B823" s="18" t="inlineStr">
        <is>
          <t>Gestión jurídica</t>
        </is>
      </c>
      <c r="C823" s="18" t="inlineStr">
        <is>
          <t>legal_management</t>
        </is>
      </c>
      <c r="D823" s="18" t="inlineStr">
        <is>
          <t>coactivos_historial</t>
        </is>
      </c>
      <c r="E823" s="18" t="n">
        <v>48</v>
      </c>
      <c r="F823" s="18" t="inlineStr">
        <is>
          <t>detalles</t>
        </is>
      </c>
      <c r="G823" s="18" t="inlineStr">
        <is>
          <t>text</t>
        </is>
      </c>
      <c r="H823" s="18" t="inlineStr">
        <is>
          <t>Sí</t>
        </is>
      </c>
      <c r="I823" s="18" t="inlineStr"/>
      <c r="J823" s="18" t="inlineStr"/>
      <c r="K823" s="18" t="inlineStr"/>
      <c r="L823" s="18" t="inlineStr">
        <is>
          <t>No</t>
        </is>
      </c>
      <c r="M823" s="18" t="inlineStr">
        <is>
          <t>No</t>
        </is>
      </c>
      <c r="N823" s="18" t="inlineStr"/>
      <c r="O823" s="18" t="inlineStr"/>
      <c r="P823" s="18" t="inlineStr">
        <is>
          <t>Mapeada en legal-management-service/src/entities/coactivo-historial.entity.ts:31 (CoactivoHistorial.detalles)</t>
        </is>
      </c>
      <c r="Q823" s="18" t="inlineStr">
        <is>
          <t>Código fuente (verificado)</t>
        </is>
      </c>
      <c r="R823" s="18" t="inlineStr">
        <is>
          <t>Descripción en texto del evento del historial (por ejemplo, cambio de responsable o motivo del archivo).</t>
        </is>
      </c>
      <c r="S823" s="18" t="inlineStr">
        <is>
          <t>Alta</t>
        </is>
      </c>
      <c r="T823" s="18" t="inlineStr">
        <is>
          <t>legal-management-service/src/services/proceso-coactivo.service.ts:243: Cambio de responsable | legal-management-service/src/services/proceso-coactivo.service.ts:273: Proceso archivado con motivo | legal-management-service/src/services/proceso-coactivo.service.ts:617: guarda detalles</t>
        </is>
      </c>
      <c r="U823" s="18" t="inlineStr"/>
      <c r="V823" s="19" t="inlineStr">
        <is>
          <t>Aprobada</t>
        </is>
      </c>
      <c r="W823" s="19" t="inlineStr"/>
      <c r="X823" s="19" t="inlineStr">
        <is>
          <t>Aldair González (aprobación en bloque)</t>
        </is>
      </c>
      <c r="Y823" s="20" t="n">
        <v>46321</v>
      </c>
      <c r="Z823" s="19" t="inlineStr">
        <is>
          <t>Nivel 3: verificada con el código de la aplicación.</t>
        </is>
      </c>
      <c r="AA823" s="18">
        <f>IF(OR(V823="Aprobada"),R823,IF(AND(OR(V823="Aprobada con ajuste",V823="Rechazada"),W823&lt;&gt;""),W823,""))</f>
        <v/>
      </c>
    </row>
    <row r="824">
      <c r="A824" s="18" t="inlineStr">
        <is>
          <t>C0823</t>
        </is>
      </c>
      <c r="B824" s="18" t="inlineStr">
        <is>
          <t>Gestión jurídica</t>
        </is>
      </c>
      <c r="C824" s="18" t="inlineStr">
        <is>
          <t>legal_management</t>
        </is>
      </c>
      <c r="D824" s="18" t="inlineStr">
        <is>
          <t>coactivos_historial</t>
        </is>
      </c>
      <c r="E824" s="18" t="n">
        <v>48</v>
      </c>
      <c r="F824" s="18" t="inlineStr">
        <is>
          <t>fecha_evento</t>
        </is>
      </c>
      <c r="G824" s="18" t="inlineStr">
        <is>
          <t>timestamp without time zone</t>
        </is>
      </c>
      <c r="H824" s="18" t="inlineStr">
        <is>
          <t>Sí</t>
        </is>
      </c>
      <c r="I824" s="18" t="inlineStr"/>
      <c r="J824" s="18" t="inlineStr"/>
      <c r="K824" s="18" t="inlineStr"/>
      <c r="L824" s="18" t="inlineStr">
        <is>
          <t>No</t>
        </is>
      </c>
      <c r="M824" s="18" t="inlineStr">
        <is>
          <t>No</t>
        </is>
      </c>
      <c r="N824" s="18" t="inlineStr"/>
      <c r="O824" s="18" t="inlineStr"/>
      <c r="P824" s="18" t="inlineStr">
        <is>
          <t>Mapeada en legal-management-service/src/entities/coactivo-historial.entity.ts:34 (CoactivoHistorial.fechaEvento)</t>
        </is>
      </c>
      <c r="Q824" s="18" t="inlineStr">
        <is>
          <t>Regla estructural (redacción revisada)</t>
        </is>
      </c>
      <c r="R824" s="18" t="inlineStr">
        <is>
          <t>Fecha y hora del evento en el historial del proceso coactivo.</t>
        </is>
      </c>
      <c r="S824" s="18" t="inlineStr">
        <is>
          <t>Alta</t>
        </is>
      </c>
      <c r="T824" s="18" t="inlineStr">
        <is>
          <t>Convención de nombre, redactada con el contexto de la tabla y el código.</t>
        </is>
      </c>
      <c r="U824" s="18" t="inlineStr"/>
      <c r="V824" s="19" t="inlineStr">
        <is>
          <t>Aprobada</t>
        </is>
      </c>
      <c r="W824" s="19" t="inlineStr"/>
      <c r="X824" s="19" t="inlineStr">
        <is>
          <t>Aldair González (aprobación en bloque)</t>
        </is>
      </c>
      <c r="Y824" s="20" t="n">
        <v>46321</v>
      </c>
      <c r="Z824" s="19" t="inlineStr">
        <is>
          <t>Nivel 2: regla estructural con redacción revisada.</t>
        </is>
      </c>
      <c r="AA824" s="18">
        <f>IF(OR(V824="Aprobada"),R824,IF(AND(OR(V824="Aprobada con ajuste",V824="Rechazada"),W824&lt;&gt;""),W824,""))</f>
        <v/>
      </c>
    </row>
    <row r="825">
      <c r="A825" s="18" t="inlineStr">
        <is>
          <t>C0824</t>
        </is>
      </c>
      <c r="B825" s="18" t="inlineStr">
        <is>
          <t>Gestión jurídica</t>
        </is>
      </c>
      <c r="C825" s="18" t="inlineStr">
        <is>
          <t>legal_management</t>
        </is>
      </c>
      <c r="D825" s="18" t="inlineStr">
        <is>
          <t>comentarios</t>
        </is>
      </c>
      <c r="E825" s="18" t="n">
        <v>9</v>
      </c>
      <c r="F825" s="18" t="inlineStr">
        <is>
          <t>contenido</t>
        </is>
      </c>
      <c r="G825" s="18" t="inlineStr">
        <is>
          <t>text</t>
        </is>
      </c>
      <c r="H825" s="18" t="inlineStr">
        <is>
          <t>No</t>
        </is>
      </c>
      <c r="I825" s="18" t="inlineStr"/>
      <c r="J825" s="18" t="inlineStr"/>
      <c r="K825" s="18" t="inlineStr"/>
      <c r="L825" s="18" t="inlineStr">
        <is>
          <t>No</t>
        </is>
      </c>
      <c r="M825" s="18" t="inlineStr">
        <is>
          <t>No</t>
        </is>
      </c>
      <c r="N825" s="18" t="inlineStr"/>
      <c r="O825" s="18" t="inlineStr"/>
      <c r="P825" s="18" t="inlineStr">
        <is>
          <t>Mapeada en legal-management-service/src/entities/comentario.entity.ts:16 (Comentario.contenido) | Validación: IsNotEmpty, IsString</t>
        </is>
      </c>
      <c r="Q825" s="18" t="inlineStr">
        <is>
          <t>Propuesta semántica</t>
        </is>
      </c>
      <c r="R825" s="18" t="inlineStr">
        <is>
          <t>Texto del comentario.</t>
        </is>
      </c>
      <c r="S825" s="18" t="inlineStr">
        <is>
          <t>Alta</t>
        </is>
      </c>
      <c r="T825" s="18" t="inlineStr">
        <is>
          <t>nombre + tipo + columnas vecinas</t>
        </is>
      </c>
      <c r="U825" s="18" t="inlineStr"/>
      <c r="V825" s="19" t="inlineStr">
        <is>
          <t>Aprobada</t>
        </is>
      </c>
      <c r="W825" s="19" t="inlineStr"/>
      <c r="X825" s="19" t="inlineStr">
        <is>
          <t>Aldair González (aprobación en bloque)</t>
        </is>
      </c>
      <c r="Y825" s="20" t="n">
        <v>46321</v>
      </c>
      <c r="Z825" s="19" t="inlineStr">
        <is>
          <t>Nivel 1: propuesta del comentario del desarrollador o de confianza alta, o regla de fecha/responsable/motivo.</t>
        </is>
      </c>
      <c r="AA825" s="18">
        <f>IF(OR(V825="Aprobada"),R825,IF(AND(OR(V825="Aprobada con ajuste",V825="Rechazada"),W825&lt;&gt;""),W825,""))</f>
        <v/>
      </c>
    </row>
    <row r="826">
      <c r="A826" s="18" t="inlineStr">
        <is>
          <t>C0825</t>
        </is>
      </c>
      <c r="B826" s="18" t="inlineStr">
        <is>
          <t>Gestión jurídica</t>
        </is>
      </c>
      <c r="C826" s="18" t="inlineStr">
        <is>
          <t>legal_management</t>
        </is>
      </c>
      <c r="D826" s="18" t="inlineStr">
        <is>
          <t>comentarios</t>
        </is>
      </c>
      <c r="E826" s="18" t="n">
        <v>9</v>
      </c>
      <c r="F826" s="18" t="inlineStr">
        <is>
          <t>usuario_id</t>
        </is>
      </c>
      <c r="G826" s="18" t="inlineStr">
        <is>
          <t>character varying(255)</t>
        </is>
      </c>
      <c r="H826" s="18" t="inlineStr">
        <is>
          <t>Sí</t>
        </is>
      </c>
      <c r="I826" s="18" t="inlineStr"/>
      <c r="J826" s="18" t="inlineStr"/>
      <c r="K826" s="18" t="inlineStr"/>
      <c r="L826" s="18" t="inlineStr">
        <is>
          <t>No</t>
        </is>
      </c>
      <c r="M826" s="18" t="inlineStr">
        <is>
          <t>No</t>
        </is>
      </c>
      <c r="N826" s="18" t="inlineStr"/>
      <c r="O826" s="18" t="inlineStr"/>
      <c r="P826" s="18" t="inlineStr">
        <is>
          <t>Mapeada en legal-management-service/src/entities/comentario.entity.ts:19 (Comentario.usuarioId) | Validación: IsOptional, IsString</t>
        </is>
      </c>
      <c r="Q826" s="18" t="inlineStr">
        <is>
          <t>Código fuente (verificado)</t>
        </is>
      </c>
      <c r="R826" s="18" t="inlineStr">
        <is>
          <t>Identificador del usuario autor del comentario, enviado por el cliente; el nombre va en usuario_nombre.</t>
        </is>
      </c>
      <c r="S826" s="18" t="inlineStr">
        <is>
          <t>Media</t>
        </is>
      </c>
      <c r="T826" s="18" t="inlineStr">
        <is>
          <t>legal-management-service/src/dtos/comentario.dto.ts:10: usuarioId opcional, texto | legal-management-service/src/services/comentario.service.ts:25: se guarda tal como llega</t>
        </is>
      </c>
      <c r="U826" s="18" t="inlineStr">
        <is>
          <t>¿Qué identificador envía el frontend (id_user de auth."user", correo u otro)?</t>
        </is>
      </c>
      <c r="V826" s="19" t="inlineStr">
        <is>
          <t>Aprobada</t>
        </is>
      </c>
      <c r="W826" s="19" t="inlineStr"/>
      <c r="X826" s="19" t="inlineStr">
        <is>
          <t>Aldair González (validación del responsable de BD)</t>
        </is>
      </c>
      <c r="Y826" s="20" t="n">
        <v>46321</v>
      </c>
      <c r="Z826" s="19" t="inlineStr">
        <is>
          <t>Nivel 3: validada por decisión del responsable de la base de datos. Pregunta registrada para desarrollo: ¿Qué identificador envía el frontend (id_user de auth."user", correo u otro)?</t>
        </is>
      </c>
      <c r="AA826" s="18">
        <f>IF(OR(V826="Aprobada"),R826,IF(AND(OR(V826="Aprobada con ajuste",V826="Rechazada"),W826&lt;&gt;""),W826,""))</f>
        <v/>
      </c>
    </row>
    <row r="827">
      <c r="A827" s="18" t="inlineStr">
        <is>
          <t>C0826</t>
        </is>
      </c>
      <c r="B827" s="18" t="inlineStr">
        <is>
          <t>Gestión jurídica</t>
        </is>
      </c>
      <c r="C827" s="18" t="inlineStr">
        <is>
          <t>legal_management</t>
        </is>
      </c>
      <c r="D827" s="18" t="inlineStr">
        <is>
          <t>comentarios</t>
        </is>
      </c>
      <c r="E827" s="18" t="n">
        <v>9</v>
      </c>
      <c r="F827" s="18" t="inlineStr">
        <is>
          <t>usuario_nombre</t>
        </is>
      </c>
      <c r="G827" s="18" t="inlineStr">
        <is>
          <t>character varying(255)</t>
        </is>
      </c>
      <c r="H827" s="18" t="inlineStr">
        <is>
          <t>No</t>
        </is>
      </c>
      <c r="I827" s="18" t="inlineStr"/>
      <c r="J827" s="18" t="inlineStr"/>
      <c r="K827" s="18" t="inlineStr"/>
      <c r="L827" s="18" t="inlineStr">
        <is>
          <t>No</t>
        </is>
      </c>
      <c r="M827" s="18" t="inlineStr">
        <is>
          <t>No</t>
        </is>
      </c>
      <c r="N827" s="18" t="inlineStr"/>
      <c r="O827" s="18" t="inlineStr"/>
      <c r="P827" s="18" t="inlineStr">
        <is>
          <t>Mapeada en legal-management-service/src/entities/comentario.entity.ts:22 (Comentario.usuarioNombre) | Validación: IsNotEmpty, IsString</t>
        </is>
      </c>
      <c r="Q827" s="18" t="inlineStr">
        <is>
          <t>Propuesta semántica</t>
        </is>
      </c>
      <c r="R827" s="18" t="inlineStr">
        <is>
          <t>Nombre del usuario autor del comentario.</t>
        </is>
      </c>
      <c r="S827" s="18" t="inlineStr">
        <is>
          <t>Alta</t>
        </is>
      </c>
      <c r="T827" s="18" t="inlineStr">
        <is>
          <t>nombre + tipo + columnas vecinas</t>
        </is>
      </c>
      <c r="U827" s="18" t="inlineStr"/>
      <c r="V827" s="19" t="inlineStr">
        <is>
          <t>Aprobada</t>
        </is>
      </c>
      <c r="W827" s="19" t="inlineStr"/>
      <c r="X827" s="19" t="inlineStr">
        <is>
          <t>Aldair González (aprobación en bloque)</t>
        </is>
      </c>
      <c r="Y827" s="20" t="n">
        <v>46321</v>
      </c>
      <c r="Z827" s="19" t="inlineStr">
        <is>
          <t>Nivel 1: propuesta del comentario del desarrollador o de confianza alta, o regla de fecha/responsable/motivo.</t>
        </is>
      </c>
      <c r="AA827" s="18">
        <f>IF(OR(V827="Aprobada"),R827,IF(AND(OR(V827="Aprobada con ajuste",V827="Rechazada"),W827&lt;&gt;""),W827,""))</f>
        <v/>
      </c>
    </row>
    <row r="828">
      <c r="A828" s="18" t="inlineStr">
        <is>
          <t>C0827</t>
        </is>
      </c>
      <c r="B828" s="18" t="inlineStr">
        <is>
          <t>Gestión jurídica</t>
        </is>
      </c>
      <c r="C828" s="18" t="inlineStr">
        <is>
          <t>legal_management</t>
        </is>
      </c>
      <c r="D828" s="18" t="inlineStr">
        <is>
          <t>comentarios_consulta</t>
        </is>
      </c>
      <c r="E828" s="18" t="n">
        <v>2</v>
      </c>
      <c r="F828" s="18" t="inlineStr">
        <is>
          <t>mensaje</t>
        </is>
      </c>
      <c r="G828" s="18" t="inlineStr">
        <is>
          <t>text</t>
        </is>
      </c>
      <c r="H828" s="18" t="inlineStr">
        <is>
          <t>No</t>
        </is>
      </c>
      <c r="I828" s="18" t="inlineStr"/>
      <c r="J828" s="18" t="inlineStr"/>
      <c r="K828" s="18" t="inlineStr"/>
      <c r="L828" s="18" t="inlineStr">
        <is>
          <t>No</t>
        </is>
      </c>
      <c r="M828" s="18" t="inlineStr">
        <is>
          <t>No</t>
        </is>
      </c>
      <c r="N828" s="18" t="inlineStr"/>
      <c r="O828" s="18" t="inlineStr"/>
      <c r="P828" s="18" t="inlineStr">
        <is>
          <t>Mapeada en legal-management-service/src/entities/comentario-consulta.entity.ts:17 (ComentarioConsulta.mensaje)</t>
        </is>
      </c>
      <c r="Q828" s="18" t="inlineStr">
        <is>
          <t>Propuesta semántica</t>
        </is>
      </c>
      <c r="R828" s="18" t="inlineStr">
        <is>
          <t>Texto del comentario sobre la consulta jurídica.</t>
        </is>
      </c>
      <c r="S828" s="18" t="inlineStr">
        <is>
          <t>Alta</t>
        </is>
      </c>
      <c r="T828" s="18" t="inlineStr">
        <is>
          <t>nombre + tipo + columnas vecinas</t>
        </is>
      </c>
      <c r="U828" s="18" t="inlineStr"/>
      <c r="V828" s="19" t="inlineStr">
        <is>
          <t>Aprobada</t>
        </is>
      </c>
      <c r="W828" s="19" t="inlineStr"/>
      <c r="X828" s="19" t="inlineStr">
        <is>
          <t>Aldair González (aprobación en bloque)</t>
        </is>
      </c>
      <c r="Y828" s="20" t="n">
        <v>46321</v>
      </c>
      <c r="Z828" s="19" t="inlineStr">
        <is>
          <t>Nivel 1: propuesta del comentario del desarrollador o de confianza alta, o regla de fecha/responsable/motivo.</t>
        </is>
      </c>
      <c r="AA828" s="18">
        <f>IF(OR(V828="Aprobada"),R828,IF(AND(OR(V828="Aprobada con ajuste",V828="Rechazada"),W828&lt;&gt;""),W828,""))</f>
        <v/>
      </c>
    </row>
    <row r="829">
      <c r="A829" s="18" t="inlineStr">
        <is>
          <t>C0828</t>
        </is>
      </c>
      <c r="B829" s="18" t="inlineStr">
        <is>
          <t>Gestión jurídica</t>
        </is>
      </c>
      <c r="C829" s="18" t="inlineStr">
        <is>
          <t>legal_management</t>
        </is>
      </c>
      <c r="D829" s="18" t="inlineStr">
        <is>
          <t>comentarios_consulta</t>
        </is>
      </c>
      <c r="E829" s="18" t="n">
        <v>2</v>
      </c>
      <c r="F829" s="18" t="inlineStr">
        <is>
          <t>usuario</t>
        </is>
      </c>
      <c r="G829" s="18" t="inlineStr">
        <is>
          <t>character varying(255)</t>
        </is>
      </c>
      <c r="H829" s="18" t="inlineStr">
        <is>
          <t>No</t>
        </is>
      </c>
      <c r="I829" s="18" t="inlineStr"/>
      <c r="J829" s="18" t="inlineStr"/>
      <c r="K829" s="18" t="inlineStr"/>
      <c r="L829" s="18" t="inlineStr">
        <is>
          <t>No</t>
        </is>
      </c>
      <c r="M829" s="18" t="inlineStr">
        <is>
          <t>No</t>
        </is>
      </c>
      <c r="N829" s="18" t="inlineStr"/>
      <c r="O829" s="18" t="inlineStr"/>
      <c r="P829" s="18" t="inlineStr">
        <is>
          <t>Mapeada en legal-management-service/src/entities/comentario-consulta.entity.ts:20 (ComentarioConsulta.usuario)</t>
        </is>
      </c>
      <c r="Q829" s="18" t="inlineStr">
        <is>
          <t>Código fuente (verificado)</t>
        </is>
      </c>
      <c r="R829" s="18" t="inlineStr">
        <is>
          <t>Usuario autor del comentario, enviado por el cliente; Sistema cuando no se informa.</t>
        </is>
      </c>
      <c r="S829" s="18" t="inlineStr">
        <is>
          <t>Media</t>
        </is>
      </c>
      <c r="T829" s="18" t="inlineStr">
        <is>
          <t>legal-management-service/src/controllers/comentarios-consulta.controller.ts:22: usuario = body.usuario o Sistema</t>
        </is>
      </c>
      <c r="U829" s="18" t="inlineStr">
        <is>
          <t>¿Se guarda el nombre o el correo del usuario?</t>
        </is>
      </c>
      <c r="V829" s="19" t="inlineStr">
        <is>
          <t>Aprobada</t>
        </is>
      </c>
      <c r="W829" s="19" t="inlineStr"/>
      <c r="X829" s="19" t="inlineStr">
        <is>
          <t>Aldair González (validación del responsable de BD)</t>
        </is>
      </c>
      <c r="Y829" s="20" t="n">
        <v>46321</v>
      </c>
      <c r="Z829" s="19" t="inlineStr">
        <is>
          <t>Nivel 3: validada por decisión del responsable de la base de datos. Pregunta registrada para desarrollo: ¿Se guarda el nombre o el correo del usuario?</t>
        </is>
      </c>
      <c r="AA829" s="18">
        <f>IF(OR(V829="Aprobada"),R829,IF(AND(OR(V829="Aprobada con ajuste",V829="Rechazada"),W829&lt;&gt;""),W829,""))</f>
        <v/>
      </c>
    </row>
    <row r="830">
      <c r="A830" s="18" t="inlineStr">
        <is>
          <t>C0829</t>
        </is>
      </c>
      <c r="B830" s="18" t="inlineStr">
        <is>
          <t>Gestión jurídica</t>
        </is>
      </c>
      <c r="C830" s="18" t="inlineStr">
        <is>
          <t>legal_management</t>
        </is>
      </c>
      <c r="D830" s="18" t="inlineStr">
        <is>
          <t>comentarios_consulta</t>
        </is>
      </c>
      <c r="E830" s="18" t="n">
        <v>2</v>
      </c>
      <c r="F830" s="18" t="inlineStr">
        <is>
          <t>cargo</t>
        </is>
      </c>
      <c r="G830" s="18" t="inlineStr">
        <is>
          <t>character varying(255)</t>
        </is>
      </c>
      <c r="H830" s="18" t="inlineStr">
        <is>
          <t>Sí</t>
        </is>
      </c>
      <c r="I830" s="18" t="inlineStr"/>
      <c r="J830" s="18" t="inlineStr"/>
      <c r="K830" s="18" t="inlineStr"/>
      <c r="L830" s="18" t="inlineStr">
        <is>
          <t>No</t>
        </is>
      </c>
      <c r="M830" s="18" t="inlineStr">
        <is>
          <t>No</t>
        </is>
      </c>
      <c r="N830" s="18" t="inlineStr"/>
      <c r="O830" s="18" t="inlineStr"/>
      <c r="P830" s="18" t="inlineStr">
        <is>
          <t>Mapeada en legal-management-service/src/entities/comentario-consulta.entity.ts:23 (ComentarioConsulta.cargo)</t>
        </is>
      </c>
      <c r="Q830" s="18" t="inlineStr">
        <is>
          <t>Propuesta semántica</t>
        </is>
      </c>
      <c r="R830" s="18" t="inlineStr">
        <is>
          <t>Cargo del usuario autor del comentario.</t>
        </is>
      </c>
      <c r="S830" s="18" t="inlineStr">
        <is>
          <t>Alta</t>
        </is>
      </c>
      <c r="T830" s="18" t="inlineStr">
        <is>
          <t>nombre + tipo + columnas vecinas</t>
        </is>
      </c>
      <c r="U830" s="18" t="inlineStr"/>
      <c r="V830" s="19" t="inlineStr">
        <is>
          <t>Aprobada</t>
        </is>
      </c>
      <c r="W830" s="19" t="inlineStr"/>
      <c r="X830" s="19" t="inlineStr">
        <is>
          <t>Aldair González (aprobación en bloque)</t>
        </is>
      </c>
      <c r="Y830" s="20" t="n">
        <v>46321</v>
      </c>
      <c r="Z830" s="19" t="inlineStr">
        <is>
          <t>Nivel 1: propuesta del comentario del desarrollador o de confianza alta, o regla de fecha/responsable/motivo.</t>
        </is>
      </c>
      <c r="AA830" s="18">
        <f>IF(OR(V830="Aprobada"),R830,IF(AND(OR(V830="Aprobada con ajuste",V830="Rechazada"),W830&lt;&gt;""),W830,""))</f>
        <v/>
      </c>
    </row>
    <row r="831">
      <c r="A831" s="18" t="inlineStr">
        <is>
          <t>C0830</t>
        </is>
      </c>
      <c r="B831" s="18" t="inlineStr">
        <is>
          <t>Gestión jurídica</t>
        </is>
      </c>
      <c r="C831" s="18" t="inlineStr">
        <is>
          <t>legal_management</t>
        </is>
      </c>
      <c r="D831" s="18" t="inlineStr">
        <is>
          <t>comentarios_consulta</t>
        </is>
      </c>
      <c r="E831" s="18" t="n">
        <v>2</v>
      </c>
      <c r="F831" s="18" t="inlineStr">
        <is>
          <t>fecha</t>
        </is>
      </c>
      <c r="G831" s="18" t="inlineStr">
        <is>
          <t>timestamp without time zone</t>
        </is>
      </c>
      <c r="H831" s="18" t="inlineStr">
        <is>
          <t>Sí</t>
        </is>
      </c>
      <c r="I831" s="18" t="inlineStr"/>
      <c r="J831" s="18" t="inlineStr"/>
      <c r="K831" s="18" t="inlineStr"/>
      <c r="L831" s="18" t="inlineStr">
        <is>
          <t>No</t>
        </is>
      </c>
      <c r="M831" s="18" t="inlineStr">
        <is>
          <t>No</t>
        </is>
      </c>
      <c r="N831" s="18" t="inlineStr"/>
      <c r="O831" s="18" t="inlineStr"/>
      <c r="P831" s="18" t="inlineStr">
        <is>
          <t>Mapeada en legal-management-service/src/entities/comentario-consulta.entity.ts:26 (ComentarioConsulta.fecha)</t>
        </is>
      </c>
      <c r="Q831" s="18" t="inlineStr">
        <is>
          <t>Propuesta semántica</t>
        </is>
      </c>
      <c r="R831" s="18" t="inlineStr">
        <is>
          <t>Fecha y hora del comentario. Valor por defecto: momento del registro.</t>
        </is>
      </c>
      <c r="S831" s="18" t="inlineStr">
        <is>
          <t>Alta</t>
        </is>
      </c>
      <c r="T831" s="18" t="inlineStr">
        <is>
          <t>nombre + tipo + columnas vecinas + defecto</t>
        </is>
      </c>
      <c r="U831" s="18" t="inlineStr"/>
      <c r="V831" s="19" t="inlineStr">
        <is>
          <t>Aprobada</t>
        </is>
      </c>
      <c r="W831" s="19" t="inlineStr"/>
      <c r="X831" s="19" t="inlineStr">
        <is>
          <t>Aldair González (aprobación en bloque)</t>
        </is>
      </c>
      <c r="Y831" s="20" t="n">
        <v>46321</v>
      </c>
      <c r="Z831" s="19" t="inlineStr">
        <is>
          <t>Nivel 1: propuesta del comentario del desarrollador o de confianza alta, o regla de fecha/responsable/motivo.</t>
        </is>
      </c>
      <c r="AA831" s="18">
        <f>IF(OR(V831="Aprobada"),R831,IF(AND(OR(V831="Aprobada con ajuste",V831="Rechazada"),W831&lt;&gt;""),W831,""))</f>
        <v/>
      </c>
    </row>
    <row r="832">
      <c r="A832" s="18" t="inlineStr">
        <is>
          <t>C0831</t>
        </is>
      </c>
      <c r="B832" s="18" t="inlineStr">
        <is>
          <t>Gestión jurídica</t>
        </is>
      </c>
      <c r="C832" s="18" t="inlineStr">
        <is>
          <t>legal_management</t>
        </is>
      </c>
      <c r="D832" s="18" t="inlineStr">
        <is>
          <t>comentarios_correo</t>
        </is>
      </c>
      <c r="E832" s="18" t="n">
        <v>2</v>
      </c>
      <c r="F832" s="18" t="inlineStr">
        <is>
          <t>mensaje</t>
        </is>
      </c>
      <c r="G832" s="18" t="inlineStr">
        <is>
          <t>character varying</t>
        </is>
      </c>
      <c r="H832" s="18" t="inlineStr">
        <is>
          <t>No</t>
        </is>
      </c>
      <c r="I832" s="18" t="inlineStr"/>
      <c r="J832" s="18" t="inlineStr"/>
      <c r="K832" s="18" t="inlineStr"/>
      <c r="L832" s="18" t="inlineStr">
        <is>
          <t>No</t>
        </is>
      </c>
      <c r="M832" s="18" t="inlineStr">
        <is>
          <t>No</t>
        </is>
      </c>
      <c r="N832" s="18" t="inlineStr"/>
      <c r="O832" s="18" t="inlineStr"/>
      <c r="P832" s="18" t="inlineStr">
        <is>
          <t>Mapeada en legal-management-service/src/entities/comentario-correo.entity.ts:16 (ComentarioCorreo.mensaje)</t>
        </is>
      </c>
      <c r="Q832" s="18" t="inlineStr">
        <is>
          <t>Propuesta semántica</t>
        </is>
      </c>
      <c r="R832" s="18" t="inlineStr">
        <is>
          <t>Texto del comentario sobre la comunicación.</t>
        </is>
      </c>
      <c r="S832" s="18" t="inlineStr">
        <is>
          <t>Alta</t>
        </is>
      </c>
      <c r="T832" s="18" t="inlineStr">
        <is>
          <t>nombre + tipo + columnas vecinas + descripción de la tabla</t>
        </is>
      </c>
      <c r="U832" s="18" t="inlineStr"/>
      <c r="V832" s="19" t="inlineStr">
        <is>
          <t>Aprobada</t>
        </is>
      </c>
      <c r="W832" s="19" t="inlineStr"/>
      <c r="X832" s="19" t="inlineStr">
        <is>
          <t>Aldair González (aprobación en bloque)</t>
        </is>
      </c>
      <c r="Y832" s="20" t="n">
        <v>46321</v>
      </c>
      <c r="Z832" s="19" t="inlineStr">
        <is>
          <t>Nivel 1: propuesta del comentario del desarrollador o de confianza alta, o regla de fecha/responsable/motivo.</t>
        </is>
      </c>
      <c r="AA832" s="18">
        <f>IF(OR(V832="Aprobada"),R832,IF(AND(OR(V832="Aprobada con ajuste",V832="Rechazada"),W832&lt;&gt;""),W832,""))</f>
        <v/>
      </c>
    </row>
    <row r="833">
      <c r="A833" s="18" t="inlineStr">
        <is>
          <t>C0832</t>
        </is>
      </c>
      <c r="B833" s="18" t="inlineStr">
        <is>
          <t>Gestión jurídica</t>
        </is>
      </c>
      <c r="C833" s="18" t="inlineStr">
        <is>
          <t>legal_management</t>
        </is>
      </c>
      <c r="D833" s="18" t="inlineStr">
        <is>
          <t>comentarios_correo</t>
        </is>
      </c>
      <c r="E833" s="18" t="n">
        <v>2</v>
      </c>
      <c r="F833" s="18" t="inlineStr">
        <is>
          <t>usuario</t>
        </is>
      </c>
      <c r="G833" s="18" t="inlineStr">
        <is>
          <t>character varying</t>
        </is>
      </c>
      <c r="H833" s="18" t="inlineStr">
        <is>
          <t>No</t>
        </is>
      </c>
      <c r="I833" s="18" t="inlineStr"/>
      <c r="J833" s="18" t="inlineStr"/>
      <c r="K833" s="18" t="inlineStr"/>
      <c r="L833" s="18" t="inlineStr">
        <is>
          <t>No</t>
        </is>
      </c>
      <c r="M833" s="18" t="inlineStr">
        <is>
          <t>No</t>
        </is>
      </c>
      <c r="N833" s="18" t="inlineStr"/>
      <c r="O833" s="18" t="inlineStr"/>
      <c r="P833" s="18" t="inlineStr">
        <is>
          <t>Mapeada en legal-management-service/src/entities/comentario-correo.entity.ts:19 (ComentarioCorreo.usuario)</t>
        </is>
      </c>
      <c r="Q833" s="18" t="inlineStr">
        <is>
          <t>Código fuente (verificado)</t>
        </is>
      </c>
      <c r="R833" s="18" t="inlineStr">
        <is>
          <t>Usuario autor del comentario, enviado por el cliente; Sistema cuando no se informa.</t>
        </is>
      </c>
      <c r="S833" s="18" t="inlineStr">
        <is>
          <t>Media</t>
        </is>
      </c>
      <c r="T833" s="18" t="inlineStr">
        <is>
          <t>legal-management-service/src/controllers/comentarios-correo.controller.ts:22: usuario = body.usuario o Sistema</t>
        </is>
      </c>
      <c r="U833" s="18" t="inlineStr">
        <is>
          <t>¿Se guarda el nombre o el correo del usuario?</t>
        </is>
      </c>
      <c r="V833" s="19" t="inlineStr">
        <is>
          <t>Aprobada</t>
        </is>
      </c>
      <c r="W833" s="19" t="inlineStr"/>
      <c r="X833" s="19" t="inlineStr">
        <is>
          <t>Aldair González (validación del responsable de BD)</t>
        </is>
      </c>
      <c r="Y833" s="20" t="n">
        <v>46321</v>
      </c>
      <c r="Z833" s="19" t="inlineStr">
        <is>
          <t>Nivel 3: validada por decisión del responsable de la base de datos. Pregunta registrada para desarrollo: ¿Se guarda el nombre o el correo del usuario?</t>
        </is>
      </c>
      <c r="AA833" s="18">
        <f>IF(OR(V833="Aprobada"),R833,IF(AND(OR(V833="Aprobada con ajuste",V833="Rechazada"),W833&lt;&gt;""),W833,""))</f>
        <v/>
      </c>
    </row>
    <row r="834">
      <c r="A834" s="18" t="inlineStr">
        <is>
          <t>C0833</t>
        </is>
      </c>
      <c r="B834" s="18" t="inlineStr">
        <is>
          <t>Gestión jurídica</t>
        </is>
      </c>
      <c r="C834" s="18" t="inlineStr">
        <is>
          <t>legal_management</t>
        </is>
      </c>
      <c r="D834" s="18" t="inlineStr">
        <is>
          <t>comentarios_correo</t>
        </is>
      </c>
      <c r="E834" s="18" t="n">
        <v>2</v>
      </c>
      <c r="F834" s="18" t="inlineStr">
        <is>
          <t>cargo</t>
        </is>
      </c>
      <c r="G834" s="18" t="inlineStr">
        <is>
          <t>character varying</t>
        </is>
      </c>
      <c r="H834" s="18" t="inlineStr">
        <is>
          <t>Sí</t>
        </is>
      </c>
      <c r="I834" s="18" t="inlineStr"/>
      <c r="J834" s="18" t="inlineStr"/>
      <c r="K834" s="18" t="inlineStr"/>
      <c r="L834" s="18" t="inlineStr">
        <is>
          <t>No</t>
        </is>
      </c>
      <c r="M834" s="18" t="inlineStr">
        <is>
          <t>No</t>
        </is>
      </c>
      <c r="N834" s="18" t="inlineStr"/>
      <c r="O834" s="18" t="inlineStr"/>
      <c r="P834" s="18" t="inlineStr">
        <is>
          <t>Mapeada en legal-management-service/src/entities/comentario-correo.entity.ts:22 (ComentarioCorreo.cargo)</t>
        </is>
      </c>
      <c r="Q834" s="18" t="inlineStr">
        <is>
          <t>Propuesta semántica</t>
        </is>
      </c>
      <c r="R834" s="18" t="inlineStr">
        <is>
          <t>Cargo del usuario autor del comentario.</t>
        </is>
      </c>
      <c r="S834" s="18" t="inlineStr">
        <is>
          <t>Alta</t>
        </is>
      </c>
      <c r="T834" s="18" t="inlineStr">
        <is>
          <t>nombre + tipo + columnas vecinas</t>
        </is>
      </c>
      <c r="U834" s="18" t="inlineStr"/>
      <c r="V834" s="19" t="inlineStr">
        <is>
          <t>Aprobada</t>
        </is>
      </c>
      <c r="W834" s="19" t="inlineStr"/>
      <c r="X834" s="19" t="inlineStr">
        <is>
          <t>Aldair González (aprobación en bloque)</t>
        </is>
      </c>
      <c r="Y834" s="20" t="n">
        <v>46321</v>
      </c>
      <c r="Z834" s="19" t="inlineStr">
        <is>
          <t>Nivel 1: propuesta del comentario del desarrollador o de confianza alta, o regla de fecha/responsable/motivo.</t>
        </is>
      </c>
      <c r="AA834" s="18">
        <f>IF(OR(V834="Aprobada"),R834,IF(AND(OR(V834="Aprobada con ajuste",V834="Rechazada"),W834&lt;&gt;""),W834,""))</f>
        <v/>
      </c>
    </row>
    <row r="835">
      <c r="A835" s="18" t="inlineStr">
        <is>
          <t>C0834</t>
        </is>
      </c>
      <c r="B835" s="18" t="inlineStr">
        <is>
          <t>Gestión jurídica</t>
        </is>
      </c>
      <c r="C835" s="18" t="inlineStr">
        <is>
          <t>legal_management</t>
        </is>
      </c>
      <c r="D835" s="18" t="inlineStr">
        <is>
          <t>comentarios_correo</t>
        </is>
      </c>
      <c r="E835" s="18" t="n">
        <v>2</v>
      </c>
      <c r="F835" s="18" t="inlineStr">
        <is>
          <t>fecha</t>
        </is>
      </c>
      <c r="G835" s="18" t="inlineStr">
        <is>
          <t>timestamp without time zone</t>
        </is>
      </c>
      <c r="H835" s="18" t="inlineStr">
        <is>
          <t>Sí</t>
        </is>
      </c>
      <c r="I835" s="18" t="inlineStr"/>
      <c r="J835" s="18" t="inlineStr"/>
      <c r="K835" s="18" t="inlineStr"/>
      <c r="L835" s="18" t="inlineStr">
        <is>
          <t>No</t>
        </is>
      </c>
      <c r="M835" s="18" t="inlineStr">
        <is>
          <t>No</t>
        </is>
      </c>
      <c r="N835" s="18" t="inlineStr"/>
      <c r="O835" s="18" t="inlineStr"/>
      <c r="P835" s="18" t="inlineStr">
        <is>
          <t>Mapeada en legal-management-service/src/entities/comentario-correo.entity.ts:25 (ComentarioCorreo.fecha)</t>
        </is>
      </c>
      <c r="Q835" s="18" t="inlineStr">
        <is>
          <t>Propuesta semántica</t>
        </is>
      </c>
      <c r="R835" s="18" t="inlineStr">
        <is>
          <t>Fecha y hora del comentario. Valor por defecto: momento del registro.</t>
        </is>
      </c>
      <c r="S835" s="18" t="inlineStr">
        <is>
          <t>Alta</t>
        </is>
      </c>
      <c r="T835" s="18" t="inlineStr">
        <is>
          <t>nombre + tipo + columnas vecinas + defecto</t>
        </is>
      </c>
      <c r="U835" s="18" t="inlineStr"/>
      <c r="V835" s="19" t="inlineStr">
        <is>
          <t>Aprobada</t>
        </is>
      </c>
      <c r="W835" s="19" t="inlineStr"/>
      <c r="X835" s="19" t="inlineStr">
        <is>
          <t>Aldair González (aprobación en bloque)</t>
        </is>
      </c>
      <c r="Y835" s="20" t="n">
        <v>46321</v>
      </c>
      <c r="Z835" s="19" t="inlineStr">
        <is>
          <t>Nivel 1: propuesta del comentario del desarrollador o de confianza alta, o regla de fecha/responsable/motivo.</t>
        </is>
      </c>
      <c r="AA835" s="18">
        <f>IF(OR(V835="Aprobada"),R835,IF(AND(OR(V835="Aprobada con ajuste",V835="Rechazada"),W835&lt;&gt;""),W835,""))</f>
        <v/>
      </c>
    </row>
    <row r="836">
      <c r="A836" s="18" t="inlineStr">
        <is>
          <t>C0835</t>
        </is>
      </c>
      <c r="B836" s="18" t="inlineStr">
        <is>
          <t>Gestión jurídica</t>
        </is>
      </c>
      <c r="C836" s="18" t="inlineStr">
        <is>
          <t>legal_management</t>
        </is>
      </c>
      <c r="D836" s="18" t="inlineStr">
        <is>
          <t>comentarios_oc</t>
        </is>
      </c>
      <c r="E836" s="18" t="n">
        <v>28</v>
      </c>
      <c r="F836" s="18" t="inlineStr">
        <is>
          <t>contenido</t>
        </is>
      </c>
      <c r="G836" s="18" t="inlineStr">
        <is>
          <t>text</t>
        </is>
      </c>
      <c r="H836" s="18" t="inlineStr">
        <is>
          <t>No</t>
        </is>
      </c>
      <c r="I836" s="18" t="inlineStr"/>
      <c r="J836" s="18" t="inlineStr"/>
      <c r="K836" s="18" t="inlineStr"/>
      <c r="L836" s="18" t="inlineStr">
        <is>
          <t>No</t>
        </is>
      </c>
      <c r="M836" s="18" t="inlineStr">
        <is>
          <t>No</t>
        </is>
      </c>
      <c r="N836" s="18" t="inlineStr"/>
      <c r="O836" s="18" t="inlineStr"/>
      <c r="P836" s="18" t="inlineStr">
        <is>
          <t>Mapeada en legal-management-service/src/entities/comentario-oc.entity.ts:16 (ComentarioOC.contenido) | Validación: IsNotEmpty, IsString</t>
        </is>
      </c>
      <c r="Q836" s="18" t="inlineStr">
        <is>
          <t>Propuesta semántica</t>
        </is>
      </c>
      <c r="R836" s="18" t="inlineStr">
        <is>
          <t>Texto del comentario sobre el requerimiento.</t>
        </is>
      </c>
      <c r="S836" s="18" t="inlineStr">
        <is>
          <t>Alta</t>
        </is>
      </c>
      <c r="T836" s="18" t="inlineStr">
        <is>
          <t>nombre + tipo + columnas vecinas</t>
        </is>
      </c>
      <c r="U836" s="18" t="inlineStr"/>
      <c r="V836" s="19" t="inlineStr">
        <is>
          <t>Aprobada</t>
        </is>
      </c>
      <c r="W836" s="19" t="inlineStr"/>
      <c r="X836" s="19" t="inlineStr">
        <is>
          <t>Aldair González (aprobación en bloque)</t>
        </is>
      </c>
      <c r="Y836" s="20" t="n">
        <v>46321</v>
      </c>
      <c r="Z836" s="19" t="inlineStr">
        <is>
          <t>Nivel 1: propuesta del comentario del desarrollador o de confianza alta, o regla de fecha/responsable/motivo.</t>
        </is>
      </c>
      <c r="AA836" s="18">
        <f>IF(OR(V836="Aprobada"),R836,IF(AND(OR(V836="Aprobada con ajuste",V836="Rechazada"),W836&lt;&gt;""),W836,""))</f>
        <v/>
      </c>
    </row>
    <row r="837">
      <c r="A837" s="18" t="inlineStr">
        <is>
          <t>C0836</t>
        </is>
      </c>
      <c r="B837" s="18" t="inlineStr">
        <is>
          <t>Gestión jurídica</t>
        </is>
      </c>
      <c r="C837" s="18" t="inlineStr">
        <is>
          <t>legal_management</t>
        </is>
      </c>
      <c r="D837" s="18" t="inlineStr">
        <is>
          <t>comentarios_oc</t>
        </is>
      </c>
      <c r="E837" s="18" t="n">
        <v>28</v>
      </c>
      <c r="F837" s="18" t="inlineStr">
        <is>
          <t>tipo</t>
        </is>
      </c>
      <c r="G837" s="18" t="inlineStr">
        <is>
          <t>character varying(30)</t>
        </is>
      </c>
      <c r="H837" s="18" t="inlineStr">
        <is>
          <t>Sí</t>
        </is>
      </c>
      <c r="I837" s="18" t="inlineStr">
        <is>
          <t>CHECK</t>
        </is>
      </c>
      <c r="J837" s="18" t="inlineStr">
        <is>
          <t>ACTUACION, ALERTA, COMENTARIO, actuacion, alerta, general, importante, interno, respuesta, seguimiento</t>
        </is>
      </c>
      <c r="K837" s="18" t="inlineStr"/>
      <c r="L837" s="18" t="inlineStr">
        <is>
          <t>Sí</t>
        </is>
      </c>
      <c r="M837" s="18" t="inlineStr">
        <is>
          <t>No</t>
        </is>
      </c>
      <c r="N837" s="18" t="inlineStr"/>
      <c r="O837" s="18" t="inlineStr"/>
      <c r="P837" s="18" t="inlineStr">
        <is>
          <t>Mapeada en legal-management-service/src/entities/comentario-oc.entity.ts:19 (ComentarioOC.tipo)</t>
        </is>
      </c>
      <c r="Q837" s="18" t="inlineStr">
        <is>
          <t>Regla estructural (redacción revisada)</t>
        </is>
      </c>
      <c r="R837" s="18" t="inlineStr">
        <is>
          <t>Tipo de comentario del requerimiento (ACTUACION, ALERTA, COMENTARIO, actuacion, alerta, general, importante, interno, respuesta o seguimiento).</t>
        </is>
      </c>
      <c r="S837" s="18" t="inlineStr">
        <is>
          <t>Alta</t>
        </is>
      </c>
      <c r="T837" s="18" t="inlineStr">
        <is>
          <t>Convención de nombre, redactada con el contexto de la tabla y el código.</t>
        </is>
      </c>
      <c r="U837" s="18" t="inlineStr"/>
      <c r="V837" s="19" t="inlineStr">
        <is>
          <t>Aprobada</t>
        </is>
      </c>
      <c r="W837" s="19" t="inlineStr"/>
      <c r="X837" s="19" t="inlineStr">
        <is>
          <t>Aldair González (aprobación en bloque)</t>
        </is>
      </c>
      <c r="Y837" s="20" t="n">
        <v>46321</v>
      </c>
      <c r="Z837" s="19" t="inlineStr">
        <is>
          <t>Nivel 2: regla estructural con redacción revisada.</t>
        </is>
      </c>
      <c r="AA837" s="18">
        <f>IF(OR(V837="Aprobada"),R837,IF(AND(OR(V837="Aprobada con ajuste",V837="Rechazada"),W837&lt;&gt;""),W837,""))</f>
        <v/>
      </c>
    </row>
    <row r="838">
      <c r="A838" s="18" t="inlineStr">
        <is>
          <t>C0837</t>
        </is>
      </c>
      <c r="B838" s="18" t="inlineStr">
        <is>
          <t>Gestión jurídica</t>
        </is>
      </c>
      <c r="C838" s="18" t="inlineStr">
        <is>
          <t>legal_management</t>
        </is>
      </c>
      <c r="D838" s="18" t="inlineStr">
        <is>
          <t>comentarios_oc</t>
        </is>
      </c>
      <c r="E838" s="18" t="n">
        <v>28</v>
      </c>
      <c r="F838" s="18" t="inlineStr">
        <is>
          <t>autor_id</t>
        </is>
      </c>
      <c r="G838" s="18" t="inlineStr">
        <is>
          <t>uuid</t>
        </is>
      </c>
      <c r="H838" s="18" t="inlineStr">
        <is>
          <t>Sí</t>
        </is>
      </c>
      <c r="I838" s="18" t="inlineStr"/>
      <c r="J838" s="18" t="inlineStr"/>
      <c r="K838" s="18" t="inlineStr"/>
      <c r="L838" s="18" t="inlineStr">
        <is>
          <t>No</t>
        </is>
      </c>
      <c r="M838" s="18" t="inlineStr">
        <is>
          <t>No</t>
        </is>
      </c>
      <c r="N838" s="18" t="inlineStr"/>
      <c r="O838" s="18" t="inlineStr"/>
      <c r="P838" s="18" t="inlineStr">
        <is>
          <t>Mapeada en legal-management-service/src/entities/comentario-oc.entity.ts:22 (ComentarioOC.autorId)</t>
        </is>
      </c>
      <c r="Q838" s="18" t="inlineStr">
        <is>
          <t>Código fuente (verificado)</t>
        </is>
      </c>
      <c r="R838" s="18" t="inlineStr">
        <is>
          <t>Identificador del usuario autor del comentario. Tenía FK a la tabla abogados, eliminada al pasar a la autenticación federada; la API actual de comentarios no la llena.</t>
        </is>
      </c>
      <c r="S838" s="18" t="inlineStr">
        <is>
          <t>Media</t>
        </is>
      </c>
      <c r="T838" s="18" t="inlineStr">
        <is>
          <t>db/migrations/315_cleanup_legal_obsolete_tables.sql:20: suelta comentarios_oc_autor_id_fkey | legal-management-service/src/controllers/comentarios-documentos-oc.controller.ts:25: solo guarda contenido, tipo y autorNombre</t>
        </is>
      </c>
      <c r="U838" s="18" t="inlineStr">
        <is>
          <t>¿La columna sigue en uso o puede dejarse de documentar como obsoleta?</t>
        </is>
      </c>
      <c r="V838" s="19" t="inlineStr">
        <is>
          <t>Aprobada</t>
        </is>
      </c>
      <c r="W838" s="19" t="inlineStr"/>
      <c r="X838" s="19" t="inlineStr">
        <is>
          <t>Aldair González (validación del responsable de BD)</t>
        </is>
      </c>
      <c r="Y838" s="20" t="n">
        <v>46321</v>
      </c>
      <c r="Z838" s="19" t="inlineStr">
        <is>
          <t>Nivel 3: validada por decisión del responsable de la base de datos. Pregunta registrada para desarrollo: ¿La columna sigue en uso o puede dejarse de documentar como obsoleta?</t>
        </is>
      </c>
      <c r="AA838" s="18">
        <f>IF(OR(V838="Aprobada"),R838,IF(AND(OR(V838="Aprobada con ajuste",V838="Rechazada"),W838&lt;&gt;""),W838,""))</f>
        <v/>
      </c>
    </row>
    <row r="839">
      <c r="A839" s="18" t="inlineStr">
        <is>
          <t>C0838</t>
        </is>
      </c>
      <c r="B839" s="18" t="inlineStr">
        <is>
          <t>Gestión jurídica</t>
        </is>
      </c>
      <c r="C839" s="18" t="inlineStr">
        <is>
          <t>legal_management</t>
        </is>
      </c>
      <c r="D839" s="18" t="inlineStr">
        <is>
          <t>comentarios_oc</t>
        </is>
      </c>
      <c r="E839" s="18" t="n">
        <v>28</v>
      </c>
      <c r="F839" s="18" t="inlineStr">
        <is>
          <t>autor_nombre</t>
        </is>
      </c>
      <c r="G839" s="18" t="inlineStr">
        <is>
          <t>character varying(200)</t>
        </is>
      </c>
      <c r="H839" s="18" t="inlineStr">
        <is>
          <t>Sí</t>
        </is>
      </c>
      <c r="I839" s="18" t="inlineStr"/>
      <c r="J839" s="18" t="inlineStr"/>
      <c r="K839" s="18" t="inlineStr"/>
      <c r="L839" s="18" t="inlineStr">
        <is>
          <t>No</t>
        </is>
      </c>
      <c r="M839" s="18" t="inlineStr">
        <is>
          <t>No</t>
        </is>
      </c>
      <c r="N839" s="18" t="inlineStr"/>
      <c r="O839" s="18" t="inlineStr"/>
      <c r="P839" s="18" t="inlineStr">
        <is>
          <t>Mapeada en legal-management-service/src/entities/comentario-oc.entity.ts:25 (ComentarioOC.autorNombre)</t>
        </is>
      </c>
      <c r="Q839" s="18" t="inlineStr">
        <is>
          <t>Propuesta semántica</t>
        </is>
      </c>
      <c r="R839" s="18" t="inlineStr">
        <is>
          <t>Nombre del autor del comentario.</t>
        </is>
      </c>
      <c r="S839" s="18" t="inlineStr">
        <is>
          <t>Alta</t>
        </is>
      </c>
      <c r="T839" s="18" t="inlineStr">
        <is>
          <t>nombre + tipo + columnas vecinas</t>
        </is>
      </c>
      <c r="U839" s="18" t="inlineStr"/>
      <c r="V839" s="19" t="inlineStr">
        <is>
          <t>Aprobada</t>
        </is>
      </c>
      <c r="W839" s="19" t="inlineStr"/>
      <c r="X839" s="19" t="inlineStr">
        <is>
          <t>Aldair González (aprobación en bloque)</t>
        </is>
      </c>
      <c r="Y839" s="20" t="n">
        <v>46321</v>
      </c>
      <c r="Z839" s="19" t="inlineStr">
        <is>
          <t>Nivel 1: propuesta del comentario del desarrollador o de confianza alta, o regla de fecha/responsable/motivo.</t>
        </is>
      </c>
      <c r="AA839" s="18">
        <f>IF(OR(V839="Aprobada"),R839,IF(AND(OR(V839="Aprobada con ajuste",V839="Rechazada"),W839&lt;&gt;""),W839,""))</f>
        <v/>
      </c>
    </row>
    <row r="840">
      <c r="A840" s="18" t="inlineStr">
        <is>
          <t>C0839</t>
        </is>
      </c>
      <c r="B840" s="18" t="inlineStr">
        <is>
          <t>Gestión jurídica</t>
        </is>
      </c>
      <c r="C840" s="18" t="inlineStr">
        <is>
          <t>legal_management</t>
        </is>
      </c>
      <c r="D840" s="18" t="inlineStr">
        <is>
          <t>conceptos_juridicos</t>
        </is>
      </c>
      <c r="E840" s="18" t="n">
        <v>0</v>
      </c>
      <c r="F840" s="18" t="inlineStr">
        <is>
          <t>numero_concepto</t>
        </is>
      </c>
      <c r="G840" s="18" t="inlineStr">
        <is>
          <t>character varying(50)</t>
        </is>
      </c>
      <c r="H840" s="18" t="inlineStr">
        <is>
          <t>No</t>
        </is>
      </c>
      <c r="I840" s="18" t="inlineStr">
        <is>
          <t>Única</t>
        </is>
      </c>
      <c r="J840" s="18" t="inlineStr"/>
      <c r="K840" s="18" t="inlineStr"/>
      <c r="L840" s="18" t="inlineStr">
        <is>
          <t>No</t>
        </is>
      </c>
      <c r="M840" s="18" t="inlineStr">
        <is>
          <t>No</t>
        </is>
      </c>
      <c r="N840" s="18" t="inlineStr"/>
      <c r="O840" s="18" t="inlineStr">
        <is>
          <t>conceptos_juridicos_numero_concepto_key</t>
        </is>
      </c>
      <c r="P840" s="18" t="inlineStr"/>
      <c r="Q840" s="18" t="inlineStr">
        <is>
          <t>Propuesta semántica</t>
        </is>
      </c>
      <c r="R840" s="18" t="inlineStr">
        <is>
          <t>Número del concepto jurídico. Es único en la tabla.</t>
        </is>
      </c>
      <c r="S840" s="18" t="inlineStr">
        <is>
          <t>Alta</t>
        </is>
      </c>
      <c r="T840" s="18" t="inlineStr">
        <is>
          <t>nombre + tipo + columnas vecinas + restricción única</t>
        </is>
      </c>
      <c r="U840" s="18" t="inlineStr"/>
      <c r="V840" s="19" t="inlineStr">
        <is>
          <t>Aprobada</t>
        </is>
      </c>
      <c r="W840" s="19" t="inlineStr"/>
      <c r="X840" s="19" t="inlineStr">
        <is>
          <t>Aldair González (aprobación en bloque)</t>
        </is>
      </c>
      <c r="Y840" s="20" t="n">
        <v>46321</v>
      </c>
      <c r="Z840" s="19" t="inlineStr">
        <is>
          <t>Nivel 1: propuesta del comentario del desarrollador o de confianza alta, o regla de fecha/responsable/motivo.</t>
        </is>
      </c>
      <c r="AA840" s="18">
        <f>IF(OR(V840="Aprobada"),R840,IF(AND(OR(V840="Aprobada con ajuste",V840="Rechazada"),W840&lt;&gt;""),W840,""))</f>
        <v/>
      </c>
    </row>
    <row r="841">
      <c r="A841" s="18" t="inlineStr">
        <is>
          <t>C0840</t>
        </is>
      </c>
      <c r="B841" s="18" t="inlineStr">
        <is>
          <t>Gestión jurídica</t>
        </is>
      </c>
      <c r="C841" s="18" t="inlineStr">
        <is>
          <t>legal_management</t>
        </is>
      </c>
      <c r="D841" s="18" t="inlineStr">
        <is>
          <t>conceptos_juridicos</t>
        </is>
      </c>
      <c r="E841" s="18" t="n">
        <v>0</v>
      </c>
      <c r="F841" s="18" t="inlineStr">
        <is>
          <t>tipo_documento</t>
        </is>
      </c>
      <c r="G841" s="18" t="inlineStr">
        <is>
          <t>character varying(30)</t>
        </is>
      </c>
      <c r="H841" s="18" t="inlineStr">
        <is>
          <t>Sí</t>
        </is>
      </c>
      <c r="I841" s="18" t="inlineStr">
        <is>
          <t>CHECK</t>
        </is>
      </c>
      <c r="J841" s="18" t="inlineStr">
        <is>
          <t>CONCEPTO, MEMORANDO, REVISION, VIABILIDAD</t>
        </is>
      </c>
      <c r="K841" s="18" t="inlineStr"/>
      <c r="L841" s="18" t="inlineStr">
        <is>
          <t>Sí</t>
        </is>
      </c>
      <c r="M841" s="18" t="inlineStr">
        <is>
          <t>No</t>
        </is>
      </c>
      <c r="N841" s="18" t="inlineStr"/>
      <c r="O841" s="18" t="inlineStr"/>
      <c r="P841" s="18" t="inlineStr"/>
      <c r="Q841" s="18" t="inlineStr">
        <is>
          <t>Propuesta semántica</t>
        </is>
      </c>
      <c r="R841" s="18" t="inlineStr">
        <is>
          <t>Tipo de documento jurídico. Valores permitidos: CONCEPTO, MEMORANDO, REVISION, VIABILIDAD. Valor por defecto: CONCEPTO.</t>
        </is>
      </c>
      <c r="S841" s="18" t="inlineStr">
        <is>
          <t>Alta</t>
        </is>
      </c>
      <c r="T841" s="18" t="inlineStr">
        <is>
          <t>valores permitidos del CHECK + defecto</t>
        </is>
      </c>
      <c r="U841" s="18" t="inlineStr"/>
      <c r="V841" s="19" t="inlineStr">
        <is>
          <t>Aprobada</t>
        </is>
      </c>
      <c r="W841" s="19" t="inlineStr"/>
      <c r="X841" s="19" t="inlineStr">
        <is>
          <t>Aldair González (aprobación en bloque)</t>
        </is>
      </c>
      <c r="Y841" s="20" t="n">
        <v>46321</v>
      </c>
      <c r="Z841" s="19" t="inlineStr">
        <is>
          <t>Nivel 1: propuesta del comentario del desarrollador o de confianza alta, o regla de fecha/responsable/motivo.</t>
        </is>
      </c>
      <c r="AA841" s="18">
        <f>IF(OR(V841="Aprobada"),R841,IF(AND(OR(V841="Aprobada con ajuste",V841="Rechazada"),W841&lt;&gt;""),W841,""))</f>
        <v/>
      </c>
    </row>
    <row r="842">
      <c r="A842" s="18" t="inlineStr">
        <is>
          <t>C0841</t>
        </is>
      </c>
      <c r="B842" s="18" t="inlineStr">
        <is>
          <t>Gestión jurídica</t>
        </is>
      </c>
      <c r="C842" s="18" t="inlineStr">
        <is>
          <t>legal_management</t>
        </is>
      </c>
      <c r="D842" s="18" t="inlineStr">
        <is>
          <t>conceptos_juridicos</t>
        </is>
      </c>
      <c r="E842" s="18" t="n">
        <v>0</v>
      </c>
      <c r="F842" s="18" t="inlineStr">
        <is>
          <t>titulo</t>
        </is>
      </c>
      <c r="G842" s="18" t="inlineStr">
        <is>
          <t>character varying(300)</t>
        </is>
      </c>
      <c r="H842" s="18" t="inlineStr">
        <is>
          <t>No</t>
        </is>
      </c>
      <c r="I842" s="18" t="inlineStr"/>
      <c r="J842" s="18" t="inlineStr"/>
      <c r="K842" s="18" t="inlineStr"/>
      <c r="L842" s="18" t="inlineStr">
        <is>
          <t>No</t>
        </is>
      </c>
      <c r="M842" s="18" t="inlineStr">
        <is>
          <t>No</t>
        </is>
      </c>
      <c r="N842" s="18" t="inlineStr"/>
      <c r="O842" s="18" t="inlineStr"/>
      <c r="P842" s="18" t="inlineStr"/>
      <c r="Q842" s="18" t="inlineStr">
        <is>
          <t>Propuesta semántica</t>
        </is>
      </c>
      <c r="R842" s="18" t="inlineStr">
        <is>
          <t>Título del concepto jurídico.</t>
        </is>
      </c>
      <c r="S842" s="18" t="inlineStr">
        <is>
          <t>Alta</t>
        </is>
      </c>
      <c r="T842" s="18" t="inlineStr">
        <is>
          <t>nombre + tipo + columnas vecinas</t>
        </is>
      </c>
      <c r="U842" s="18" t="inlineStr"/>
      <c r="V842" s="19" t="inlineStr">
        <is>
          <t>Aprobada</t>
        </is>
      </c>
      <c r="W842" s="19" t="inlineStr"/>
      <c r="X842" s="19" t="inlineStr">
        <is>
          <t>Aldair González (aprobación en bloque)</t>
        </is>
      </c>
      <c r="Y842" s="20" t="n">
        <v>46321</v>
      </c>
      <c r="Z842" s="19" t="inlineStr">
        <is>
          <t>Nivel 1: propuesta del comentario del desarrollador o de confianza alta, o regla de fecha/responsable/motivo.</t>
        </is>
      </c>
      <c r="AA842" s="18">
        <f>IF(OR(V842="Aprobada"),R842,IF(AND(OR(V842="Aprobada con ajuste",V842="Rechazada"),W842&lt;&gt;""),W842,""))</f>
        <v/>
      </c>
    </row>
    <row r="843">
      <c r="A843" s="18" t="inlineStr">
        <is>
          <t>C0842</t>
        </is>
      </c>
      <c r="B843" s="18" t="inlineStr">
        <is>
          <t>Gestión jurídica</t>
        </is>
      </c>
      <c r="C843" s="18" t="inlineStr">
        <is>
          <t>legal_management</t>
        </is>
      </c>
      <c r="D843" s="18" t="inlineStr">
        <is>
          <t>conceptos_juridicos</t>
        </is>
      </c>
      <c r="E843" s="18" t="n">
        <v>0</v>
      </c>
      <c r="F843" s="18" t="inlineStr">
        <is>
          <t>resumen</t>
        </is>
      </c>
      <c r="G843" s="18" t="inlineStr">
        <is>
          <t>text</t>
        </is>
      </c>
      <c r="H843" s="18" t="inlineStr">
        <is>
          <t>Sí</t>
        </is>
      </c>
      <c r="I843" s="18" t="inlineStr"/>
      <c r="J843" s="18" t="inlineStr"/>
      <c r="K843" s="18" t="inlineStr"/>
      <c r="L843" s="18" t="inlineStr">
        <is>
          <t>No</t>
        </is>
      </c>
      <c r="M843" s="18" t="inlineStr">
        <is>
          <t>No</t>
        </is>
      </c>
      <c r="N843" s="18" t="inlineStr"/>
      <c r="O843" s="18" t="inlineStr"/>
      <c r="P843" s="18" t="inlineStr"/>
      <c r="Q843" s="18" t="inlineStr">
        <is>
          <t>Propuesta semántica</t>
        </is>
      </c>
      <c r="R843" s="18" t="inlineStr">
        <is>
          <t>Resumen del concepto jurídico.</t>
        </is>
      </c>
      <c r="S843" s="18" t="inlineStr">
        <is>
          <t>Alta</t>
        </is>
      </c>
      <c r="T843" s="18" t="inlineStr">
        <is>
          <t>nombre + tipo + columnas vecinas</t>
        </is>
      </c>
      <c r="U843" s="18" t="inlineStr"/>
      <c r="V843" s="19" t="inlineStr">
        <is>
          <t>Aprobada</t>
        </is>
      </c>
      <c r="W843" s="19" t="inlineStr"/>
      <c r="X843" s="19" t="inlineStr">
        <is>
          <t>Aldair González (aprobación en bloque)</t>
        </is>
      </c>
      <c r="Y843" s="20" t="n">
        <v>46321</v>
      </c>
      <c r="Z843" s="19" t="inlineStr">
        <is>
          <t>Nivel 1: propuesta del comentario del desarrollador o de confianza alta, o regla de fecha/responsable/motivo.</t>
        </is>
      </c>
      <c r="AA843" s="18">
        <f>IF(OR(V843="Aprobada"),R843,IF(AND(OR(V843="Aprobada con ajuste",V843="Rechazada"),W843&lt;&gt;""),W843,""))</f>
        <v/>
      </c>
    </row>
    <row r="844">
      <c r="A844" s="18" t="inlineStr">
        <is>
          <t>C0843</t>
        </is>
      </c>
      <c r="B844" s="18" t="inlineStr">
        <is>
          <t>Gestión jurídica</t>
        </is>
      </c>
      <c r="C844" s="18" t="inlineStr">
        <is>
          <t>legal_management</t>
        </is>
      </c>
      <c r="D844" s="18" t="inlineStr">
        <is>
          <t>conceptos_juridicos</t>
        </is>
      </c>
      <c r="E844" s="18" t="n">
        <v>0</v>
      </c>
      <c r="F844" s="18" t="inlineStr">
        <is>
          <t>analisis_juridico</t>
        </is>
      </c>
      <c r="G844" s="18" t="inlineStr">
        <is>
          <t>text</t>
        </is>
      </c>
      <c r="H844" s="18" t="inlineStr">
        <is>
          <t>No</t>
        </is>
      </c>
      <c r="I844" s="18" t="inlineStr"/>
      <c r="J844" s="18" t="inlineStr"/>
      <c r="K844" s="18" t="inlineStr"/>
      <c r="L844" s="18" t="inlineStr">
        <is>
          <t>No</t>
        </is>
      </c>
      <c r="M844" s="18" t="inlineStr">
        <is>
          <t>No</t>
        </is>
      </c>
      <c r="N844" s="18" t="inlineStr"/>
      <c r="O844" s="18" t="inlineStr"/>
      <c r="P844" s="18" t="inlineStr"/>
      <c r="Q844" s="18" t="inlineStr">
        <is>
          <t>Propuesta semántica</t>
        </is>
      </c>
      <c r="R844" s="18" t="inlineStr">
        <is>
          <t>Análisis jurídico que sustenta el concepto.</t>
        </is>
      </c>
      <c r="S844" s="18" t="inlineStr">
        <is>
          <t>Alta</t>
        </is>
      </c>
      <c r="T844" s="18" t="inlineStr">
        <is>
          <t>nombre + tipo + columnas vecinas</t>
        </is>
      </c>
      <c r="U844" s="18" t="inlineStr"/>
      <c r="V844" s="19" t="inlineStr">
        <is>
          <t>Aprobada</t>
        </is>
      </c>
      <c r="W844" s="19" t="inlineStr"/>
      <c r="X844" s="19" t="inlineStr">
        <is>
          <t>Aldair González (aprobación en bloque)</t>
        </is>
      </c>
      <c r="Y844" s="20" t="n">
        <v>46321</v>
      </c>
      <c r="Z844" s="19" t="inlineStr">
        <is>
          <t>Nivel 1: propuesta del comentario del desarrollador o de confianza alta, o regla de fecha/responsable/motivo.</t>
        </is>
      </c>
      <c r="AA844" s="18">
        <f>IF(OR(V844="Aprobada"),R844,IF(AND(OR(V844="Aprobada con ajuste",V844="Rechazada"),W844&lt;&gt;""),W844,""))</f>
        <v/>
      </c>
    </row>
    <row r="845">
      <c r="A845" s="18" t="inlineStr">
        <is>
          <t>C0844</t>
        </is>
      </c>
      <c r="B845" s="18" t="inlineStr">
        <is>
          <t>Gestión jurídica</t>
        </is>
      </c>
      <c r="C845" s="18" t="inlineStr">
        <is>
          <t>legal_management</t>
        </is>
      </c>
      <c r="D845" s="18" t="inlineStr">
        <is>
          <t>conceptos_juridicos</t>
        </is>
      </c>
      <c r="E845" s="18" t="n">
        <v>0</v>
      </c>
      <c r="F845" s="18" t="inlineStr">
        <is>
          <t>normatividad_aplicable</t>
        </is>
      </c>
      <c r="G845" s="18" t="inlineStr">
        <is>
          <t>text</t>
        </is>
      </c>
      <c r="H845" s="18" t="inlineStr">
        <is>
          <t>Sí</t>
        </is>
      </c>
      <c r="I845" s="18" t="inlineStr"/>
      <c r="J845" s="18" t="inlineStr"/>
      <c r="K845" s="18" t="inlineStr"/>
      <c r="L845" s="18" t="inlineStr">
        <is>
          <t>No</t>
        </is>
      </c>
      <c r="M845" s="18" t="inlineStr">
        <is>
          <t>No</t>
        </is>
      </c>
      <c r="N845" s="18" t="inlineStr"/>
      <c r="O845" s="18" t="inlineStr"/>
      <c r="P845" s="18" t="inlineStr"/>
      <c r="Q845" s="18" t="inlineStr">
        <is>
          <t>Propuesta semántica</t>
        </is>
      </c>
      <c r="R845" s="18" t="inlineStr">
        <is>
          <t>Normas aplicables al caso analizado en el concepto.</t>
        </is>
      </c>
      <c r="S845" s="18" t="inlineStr">
        <is>
          <t>Alta</t>
        </is>
      </c>
      <c r="T845" s="18" t="inlineStr">
        <is>
          <t>nombre + tipo + columnas vecinas</t>
        </is>
      </c>
      <c r="U845" s="18" t="inlineStr"/>
      <c r="V845" s="19" t="inlineStr">
        <is>
          <t>Aprobada</t>
        </is>
      </c>
      <c r="W845" s="19" t="inlineStr"/>
      <c r="X845" s="19" t="inlineStr">
        <is>
          <t>Aldair González (aprobación en bloque)</t>
        </is>
      </c>
      <c r="Y845" s="20" t="n">
        <v>46321</v>
      </c>
      <c r="Z845" s="19" t="inlineStr">
        <is>
          <t>Nivel 1: propuesta del comentario del desarrollador o de confianza alta, o regla de fecha/responsable/motivo.</t>
        </is>
      </c>
      <c r="AA845" s="18">
        <f>IF(OR(V845="Aprobada"),R845,IF(AND(OR(V845="Aprobada con ajuste",V845="Rechazada"),W845&lt;&gt;""),W845,""))</f>
        <v/>
      </c>
    </row>
    <row r="846">
      <c r="A846" s="18" t="inlineStr">
        <is>
          <t>C0845</t>
        </is>
      </c>
      <c r="B846" s="18" t="inlineStr">
        <is>
          <t>Gestión jurídica</t>
        </is>
      </c>
      <c r="C846" s="18" t="inlineStr">
        <is>
          <t>legal_management</t>
        </is>
      </c>
      <c r="D846" s="18" t="inlineStr">
        <is>
          <t>conceptos_juridicos</t>
        </is>
      </c>
      <c r="E846" s="18" t="n">
        <v>0</v>
      </c>
      <c r="F846" s="18" t="inlineStr">
        <is>
          <t>conclusion</t>
        </is>
      </c>
      <c r="G846" s="18" t="inlineStr">
        <is>
          <t>text</t>
        </is>
      </c>
      <c r="H846" s="18" t="inlineStr">
        <is>
          <t>No</t>
        </is>
      </c>
      <c r="I846" s="18" t="inlineStr"/>
      <c r="J846" s="18" t="inlineStr"/>
      <c r="K846" s="18" t="inlineStr"/>
      <c r="L846" s="18" t="inlineStr">
        <is>
          <t>No</t>
        </is>
      </c>
      <c r="M846" s="18" t="inlineStr">
        <is>
          <t>No</t>
        </is>
      </c>
      <c r="N846" s="18" t="inlineStr"/>
      <c r="O846" s="18" t="inlineStr"/>
      <c r="P846" s="18" t="inlineStr"/>
      <c r="Q846" s="18" t="inlineStr">
        <is>
          <t>Propuesta semántica</t>
        </is>
      </c>
      <c r="R846" s="18" t="inlineStr">
        <is>
          <t>Conclusión del concepto jurídico.</t>
        </is>
      </c>
      <c r="S846" s="18" t="inlineStr">
        <is>
          <t>Alta</t>
        </is>
      </c>
      <c r="T846" s="18" t="inlineStr">
        <is>
          <t>nombre + tipo + columnas vecinas</t>
        </is>
      </c>
      <c r="U846" s="18" t="inlineStr"/>
      <c r="V846" s="19" t="inlineStr">
        <is>
          <t>Aprobada</t>
        </is>
      </c>
      <c r="W846" s="19" t="inlineStr"/>
      <c r="X846" s="19" t="inlineStr">
        <is>
          <t>Aldair González (aprobación en bloque)</t>
        </is>
      </c>
      <c r="Y846" s="20" t="n">
        <v>46321</v>
      </c>
      <c r="Z846" s="19" t="inlineStr">
        <is>
          <t>Nivel 1: propuesta del comentario del desarrollador o de confianza alta, o regla de fecha/responsable/motivo.</t>
        </is>
      </c>
      <c r="AA846" s="18">
        <f>IF(OR(V846="Aprobada"),R846,IF(AND(OR(V846="Aprobada con ajuste",V846="Rechazada"),W846&lt;&gt;""),W846,""))</f>
        <v/>
      </c>
    </row>
    <row r="847">
      <c r="A847" s="18" t="inlineStr">
        <is>
          <t>C0846</t>
        </is>
      </c>
      <c r="B847" s="18" t="inlineStr">
        <is>
          <t>Gestión jurídica</t>
        </is>
      </c>
      <c r="C847" s="18" t="inlineStr">
        <is>
          <t>legal_management</t>
        </is>
      </c>
      <c r="D847" s="18" t="inlineStr">
        <is>
          <t>conceptos_juridicos</t>
        </is>
      </c>
      <c r="E847" s="18" t="n">
        <v>0</v>
      </c>
      <c r="F847" s="18" t="inlineStr">
        <is>
          <t>recomendaciones</t>
        </is>
      </c>
      <c r="G847" s="18" t="inlineStr">
        <is>
          <t>text</t>
        </is>
      </c>
      <c r="H847" s="18" t="inlineStr">
        <is>
          <t>Sí</t>
        </is>
      </c>
      <c r="I847" s="18" t="inlineStr"/>
      <c r="J847" s="18" t="inlineStr"/>
      <c r="K847" s="18" t="inlineStr"/>
      <c r="L847" s="18" t="inlineStr">
        <is>
          <t>No</t>
        </is>
      </c>
      <c r="M847" s="18" t="inlineStr">
        <is>
          <t>No</t>
        </is>
      </c>
      <c r="N847" s="18" t="inlineStr"/>
      <c r="O847" s="18" t="inlineStr"/>
      <c r="P847" s="18" t="inlineStr"/>
      <c r="Q847" s="18" t="inlineStr">
        <is>
          <t>Propuesta semántica</t>
        </is>
      </c>
      <c r="R847" s="18" t="inlineStr">
        <is>
          <t>Recomendaciones del concepto jurídico.</t>
        </is>
      </c>
      <c r="S847" s="18" t="inlineStr">
        <is>
          <t>Alta</t>
        </is>
      </c>
      <c r="T847" s="18" t="inlineStr">
        <is>
          <t>nombre + tipo + columnas vecinas</t>
        </is>
      </c>
      <c r="U847" s="18" t="inlineStr"/>
      <c r="V847" s="19" t="inlineStr">
        <is>
          <t>Aprobada</t>
        </is>
      </c>
      <c r="W847" s="19" t="inlineStr"/>
      <c r="X847" s="19" t="inlineStr">
        <is>
          <t>Aldair González (aprobación en bloque)</t>
        </is>
      </c>
      <c r="Y847" s="20" t="n">
        <v>46321</v>
      </c>
      <c r="Z847" s="19" t="inlineStr">
        <is>
          <t>Nivel 1: propuesta del comentario del desarrollador o de confianza alta, o regla de fecha/responsable/motivo.</t>
        </is>
      </c>
      <c r="AA847" s="18">
        <f>IF(OR(V847="Aprobada"),R847,IF(AND(OR(V847="Aprobada con ajuste",V847="Rechazada"),W847&lt;&gt;""),W847,""))</f>
        <v/>
      </c>
    </row>
    <row r="848">
      <c r="A848" s="18" t="inlineStr">
        <is>
          <t>C0847</t>
        </is>
      </c>
      <c r="B848" s="18" t="inlineStr">
        <is>
          <t>Gestión jurídica</t>
        </is>
      </c>
      <c r="C848" s="18" t="inlineStr">
        <is>
          <t>legal_management</t>
        </is>
      </c>
      <c r="D848" s="18" t="inlineStr">
        <is>
          <t>conceptos_juridicos</t>
        </is>
      </c>
      <c r="E848" s="18" t="n">
        <v>0</v>
      </c>
      <c r="F848" s="18" t="inlineStr">
        <is>
          <t>documento_pdf_url</t>
        </is>
      </c>
      <c r="G848" s="18" t="inlineStr">
        <is>
          <t>character varying(500)</t>
        </is>
      </c>
      <c r="H848" s="18" t="inlineStr">
        <is>
          <t>Sí</t>
        </is>
      </c>
      <c r="I848" s="18" t="inlineStr"/>
      <c r="J848" s="18" t="inlineStr"/>
      <c r="K848" s="18" t="inlineStr"/>
      <c r="L848" s="18" t="inlineStr">
        <is>
          <t>No</t>
        </is>
      </c>
      <c r="M848" s="18" t="inlineStr">
        <is>
          <t>No</t>
        </is>
      </c>
      <c r="N848" s="18" t="inlineStr"/>
      <c r="O848" s="18" t="inlineStr"/>
      <c r="P848" s="18" t="inlineStr"/>
      <c r="Q848" s="18" t="inlineStr">
        <is>
          <t>Propuesta semántica</t>
        </is>
      </c>
      <c r="R848" s="18" t="inlineStr">
        <is>
          <t>URL del documento PDF del concepto.</t>
        </is>
      </c>
      <c r="S848" s="18" t="inlineStr">
        <is>
          <t>Alta</t>
        </is>
      </c>
      <c r="T848" s="18" t="inlineStr">
        <is>
          <t>nombre + tipo + columnas vecinas</t>
        </is>
      </c>
      <c r="U848" s="18" t="inlineStr"/>
      <c r="V848" s="19" t="inlineStr">
        <is>
          <t>Aprobada</t>
        </is>
      </c>
      <c r="W848" s="19" t="inlineStr"/>
      <c r="X848" s="19" t="inlineStr">
        <is>
          <t>Aldair González (aprobación en bloque)</t>
        </is>
      </c>
      <c r="Y848" s="20" t="n">
        <v>46321</v>
      </c>
      <c r="Z848" s="19" t="inlineStr">
        <is>
          <t>Nivel 1: propuesta del comentario del desarrollador o de confianza alta, o regla de fecha/responsable/motivo.</t>
        </is>
      </c>
      <c r="AA848" s="18">
        <f>IF(OR(V848="Aprobada"),R848,IF(AND(OR(V848="Aprobada con ajuste",V848="Rechazada"),W848&lt;&gt;""),W848,""))</f>
        <v/>
      </c>
    </row>
    <row r="849">
      <c r="A849" s="18" t="inlineStr">
        <is>
          <t>C0848</t>
        </is>
      </c>
      <c r="B849" s="18" t="inlineStr">
        <is>
          <t>Gestión jurídica</t>
        </is>
      </c>
      <c r="C849" s="18" t="inlineStr">
        <is>
          <t>legal_management</t>
        </is>
      </c>
      <c r="D849" s="18" t="inlineStr">
        <is>
          <t>conceptos_juridicos</t>
        </is>
      </c>
      <c r="E849" s="18" t="n">
        <v>0</v>
      </c>
      <c r="F849" s="18" t="inlineStr">
        <is>
          <t>estado</t>
        </is>
      </c>
      <c r="G849" s="18" t="inlineStr">
        <is>
          <t>character varying(20)</t>
        </is>
      </c>
      <c r="H849" s="18" t="inlineStr">
        <is>
          <t>Sí</t>
        </is>
      </c>
      <c r="I849" s="18" t="inlineStr">
        <is>
          <t>CHECK</t>
        </is>
      </c>
      <c r="J849" s="18" t="inlineStr">
        <is>
          <t>APROBADO, BORRADOR, DEVUELTO, EMITIDO, EN_REVISION</t>
        </is>
      </c>
      <c r="K849" s="18" t="inlineStr"/>
      <c r="L849" s="18" t="inlineStr">
        <is>
          <t>Sí</t>
        </is>
      </c>
      <c r="M849" s="18" t="inlineStr">
        <is>
          <t>No</t>
        </is>
      </c>
      <c r="N849" s="18" t="inlineStr"/>
      <c r="O849" s="18" t="inlineStr">
        <is>
          <t>idx_conceptos_estado</t>
        </is>
      </c>
      <c r="P849" s="18" t="inlineStr"/>
      <c r="Q849" s="18" t="inlineStr">
        <is>
          <t>Regla estructural (redacción revisada)</t>
        </is>
      </c>
      <c r="R849" s="18" t="inlineStr">
        <is>
          <t>Estado del concepto jurídico (APROBADO, BORRADOR, DEVUELTO, EMITIDO o EN_REVISION).</t>
        </is>
      </c>
      <c r="S849" s="18" t="inlineStr">
        <is>
          <t>Alta</t>
        </is>
      </c>
      <c r="T849" s="18" t="inlineStr">
        <is>
          <t>Convención de nombre, redactada con el contexto de la tabla y el código.</t>
        </is>
      </c>
      <c r="U849" s="18" t="inlineStr"/>
      <c r="V849" s="19" t="inlineStr">
        <is>
          <t>Aprobada</t>
        </is>
      </c>
      <c r="W849" s="19" t="inlineStr"/>
      <c r="X849" s="19" t="inlineStr">
        <is>
          <t>Aldair González (aprobación en bloque)</t>
        </is>
      </c>
      <c r="Y849" s="20" t="n">
        <v>46321</v>
      </c>
      <c r="Z849" s="19" t="inlineStr">
        <is>
          <t>Nivel 2: regla estructural con redacción revisada.</t>
        </is>
      </c>
      <c r="AA849" s="18">
        <f>IF(OR(V849="Aprobada"),R849,IF(AND(OR(V849="Aprobada con ajuste",V849="Rechazada"),W849&lt;&gt;""),W849,""))</f>
        <v/>
      </c>
    </row>
    <row r="850">
      <c r="A850" s="18" t="inlineStr">
        <is>
          <t>C0849</t>
        </is>
      </c>
      <c r="B850" s="18" t="inlineStr">
        <is>
          <t>Gestión jurídica</t>
        </is>
      </c>
      <c r="C850" s="18" t="inlineStr">
        <is>
          <t>legal_management</t>
        </is>
      </c>
      <c r="D850" s="18" t="inlineStr">
        <is>
          <t>conceptos_juridicos</t>
        </is>
      </c>
      <c r="E850" s="18" t="n">
        <v>0</v>
      </c>
      <c r="F850" s="18" t="inlineStr">
        <is>
          <t>abogado_redactor_id</t>
        </is>
      </c>
      <c r="G850" s="18" t="inlineStr">
        <is>
          <t>uuid</t>
        </is>
      </c>
      <c r="H850" s="18" t="inlineStr">
        <is>
          <t>Sí</t>
        </is>
      </c>
      <c r="I850" s="18" t="inlineStr"/>
      <c r="J850" s="18" t="inlineStr"/>
      <c r="K850" s="18" t="inlineStr"/>
      <c r="L850" s="18" t="inlineStr">
        <is>
          <t>No</t>
        </is>
      </c>
      <c r="M850" s="18" t="inlineStr">
        <is>
          <t>No</t>
        </is>
      </c>
      <c r="N850" s="18" t="inlineStr"/>
      <c r="O850" s="18" t="inlineStr"/>
      <c r="P850" s="18" t="inlineStr"/>
      <c r="Q850" s="18" t="inlineStr">
        <is>
          <t>Código fuente (verificado)</t>
        </is>
      </c>
      <c r="R850" s="18" t="inlineStr">
        <is>
          <t>Identificador del abogado que redactó el concepto. Tenía FK a la tabla abogados, eliminada al pasar a la autenticación federada.</t>
        </is>
      </c>
      <c r="S850" s="18" t="inlineStr">
        <is>
          <t>Media</t>
        </is>
      </c>
      <c r="T850" s="18" t="inlineStr">
        <is>
          <t>db/init/007_legal_management_ddl_20260129_215541.sql:413: columna uuid sin FK | db/migrations/315_cleanup_legal_obsolete_tables.sql:21: suelta conceptos_juridicos_abogado_redactor_id_fkey | db/migrations/338_cleanup_legal_orphan_objects.sql:16: asume que conceptos_juridicos no existe; sin entidad en el código</t>
        </is>
      </c>
      <c r="U850" s="18" t="inlineStr">
        <is>
          <t>La tabla no tiene entidad en el código; ¿se sigue usando conceptos_juridicos y a qué tabla de usuarios apunta hoy abogado_redactor_id?</t>
        </is>
      </c>
      <c r="V850" s="19" t="inlineStr">
        <is>
          <t>Aprobada</t>
        </is>
      </c>
      <c r="W850" s="19" t="inlineStr"/>
      <c r="X850" s="19" t="inlineStr">
        <is>
          <t>Aldair González (validación del responsable de BD)</t>
        </is>
      </c>
      <c r="Y850" s="20" t="n">
        <v>46321</v>
      </c>
      <c r="Z850" s="19" t="inlineStr">
        <is>
          <t>Nivel 3: validada por decisión del responsable de la base de datos. Pregunta registrada para desarrollo: La tabla no tiene entidad en el código; ¿se sigue usando conceptos_juridicos y a qué tabla de usuarios apunta hoy abogado_redactor_id?</t>
        </is>
      </c>
      <c r="AA850" s="18">
        <f>IF(OR(V850="Aprobada"),R850,IF(AND(OR(V850="Aprobada con ajuste",V850="Rechazada"),W850&lt;&gt;""),W850,""))</f>
        <v/>
      </c>
    </row>
    <row r="851">
      <c r="A851" s="18" t="inlineStr">
        <is>
          <t>C0850</t>
        </is>
      </c>
      <c r="B851" s="18" t="inlineStr">
        <is>
          <t>Gestión jurídica</t>
        </is>
      </c>
      <c r="C851" s="18" t="inlineStr">
        <is>
          <t>legal_management</t>
        </is>
      </c>
      <c r="D851" s="18" t="inlineStr">
        <is>
          <t>conceptos_juridicos</t>
        </is>
      </c>
      <c r="E851" s="18" t="n">
        <v>0</v>
      </c>
      <c r="F851" s="18" t="inlineStr">
        <is>
          <t>abogado_redactor_nombre</t>
        </is>
      </c>
      <c r="G851" s="18" t="inlineStr">
        <is>
          <t>character varying(150)</t>
        </is>
      </c>
      <c r="H851" s="18" t="inlineStr">
        <is>
          <t>Sí</t>
        </is>
      </c>
      <c r="I851" s="18" t="inlineStr"/>
      <c r="J851" s="18" t="inlineStr"/>
      <c r="K851" s="18" t="inlineStr"/>
      <c r="L851" s="18" t="inlineStr">
        <is>
          <t>No</t>
        </is>
      </c>
      <c r="M851" s="18" t="inlineStr">
        <is>
          <t>No</t>
        </is>
      </c>
      <c r="N851" s="18" t="inlineStr"/>
      <c r="O851" s="18" t="inlineStr"/>
      <c r="P851" s="18" t="inlineStr"/>
      <c r="Q851" s="18" t="inlineStr">
        <is>
          <t>Propuesta semántica</t>
        </is>
      </c>
      <c r="R851" s="18" t="inlineStr">
        <is>
          <t>Nombre del abogado que redactó el concepto.</t>
        </is>
      </c>
      <c r="S851" s="18" t="inlineStr">
        <is>
          <t>Alta</t>
        </is>
      </c>
      <c r="T851" s="18" t="inlineStr">
        <is>
          <t>nombre + tipo + columnas vecinas</t>
        </is>
      </c>
      <c r="U851" s="18" t="inlineStr"/>
      <c r="V851" s="19" t="inlineStr">
        <is>
          <t>Aprobada</t>
        </is>
      </c>
      <c r="W851" s="19" t="inlineStr"/>
      <c r="X851" s="19" t="inlineStr">
        <is>
          <t>Aldair González (aprobación en bloque)</t>
        </is>
      </c>
      <c r="Y851" s="20" t="n">
        <v>46321</v>
      </c>
      <c r="Z851" s="19" t="inlineStr">
        <is>
          <t>Nivel 1: propuesta del comentario del desarrollador o de confianza alta, o regla de fecha/responsable/motivo.</t>
        </is>
      </c>
      <c r="AA851" s="18">
        <f>IF(OR(V851="Aprobada"),R851,IF(AND(OR(V851="Aprobada con ajuste",V851="Rechazada"),W851&lt;&gt;""),W851,""))</f>
        <v/>
      </c>
    </row>
    <row r="852">
      <c r="A852" s="18" t="inlineStr">
        <is>
          <t>C0851</t>
        </is>
      </c>
      <c r="B852" s="18" t="inlineStr">
        <is>
          <t>Gestión jurídica</t>
        </is>
      </c>
      <c r="C852" s="18" t="inlineStr">
        <is>
          <t>legal_management</t>
        </is>
      </c>
      <c r="D852" s="18" t="inlineStr">
        <is>
          <t>conceptos_juridicos</t>
        </is>
      </c>
      <c r="E852" s="18" t="n">
        <v>0</v>
      </c>
      <c r="F852" s="18" t="inlineStr">
        <is>
          <t>revisor_id</t>
        </is>
      </c>
      <c r="G852" s="18" t="inlineStr">
        <is>
          <t>uuid</t>
        </is>
      </c>
      <c r="H852" s="18" t="inlineStr">
        <is>
          <t>Sí</t>
        </is>
      </c>
      <c r="I852" s="18" t="inlineStr"/>
      <c r="J852" s="18" t="inlineStr"/>
      <c r="K852" s="18" t="inlineStr"/>
      <c r="L852" s="18" t="inlineStr">
        <is>
          <t>No</t>
        </is>
      </c>
      <c r="M852" s="18" t="inlineStr">
        <is>
          <t>No</t>
        </is>
      </c>
      <c r="N852" s="18" t="inlineStr"/>
      <c r="O852" s="18" t="inlineStr"/>
      <c r="P852" s="18" t="inlineStr"/>
      <c r="Q852" s="18" t="inlineStr">
        <is>
          <t>Código fuente (verificado)</t>
        </is>
      </c>
      <c r="R852" s="18" t="inlineStr">
        <is>
          <t>Identificador del usuario que revisó el concepto.</t>
        </is>
      </c>
      <c r="S852" s="18" t="inlineStr">
        <is>
          <t>Media</t>
        </is>
      </c>
      <c r="T852" s="18" t="inlineStr">
        <is>
          <t>db/init/007_legal_management_ddl_20260129_215541.sql:415: columna uuid sin FK | db/migrations/338_cleanup_legal_orphan_objects.sql:16: asume que la tabla no existe; sin entidad en el código</t>
        </is>
      </c>
      <c r="U852" s="18" t="inlineStr">
        <is>
          <t>¿La tabla sigue en uso y a qué tabla de usuarios apunta revisor_id?</t>
        </is>
      </c>
      <c r="V852" s="19" t="inlineStr">
        <is>
          <t>Aprobada</t>
        </is>
      </c>
      <c r="W852" s="19" t="inlineStr"/>
      <c r="X852" s="19" t="inlineStr">
        <is>
          <t>Aldair González (validación del responsable de BD)</t>
        </is>
      </c>
      <c r="Y852" s="20" t="n">
        <v>46321</v>
      </c>
      <c r="Z852" s="19" t="inlineStr">
        <is>
          <t>Nivel 3: validada por decisión del responsable de la base de datos. Pregunta registrada para desarrollo: ¿La tabla sigue en uso y a qué tabla de usuarios apunta revisor_id?</t>
        </is>
      </c>
      <c r="AA852" s="18">
        <f>IF(OR(V852="Aprobada"),R852,IF(AND(OR(V852="Aprobada con ajuste",V852="Rechazada"),W852&lt;&gt;""),W852,""))</f>
        <v/>
      </c>
    </row>
    <row r="853">
      <c r="A853" s="18" t="inlineStr">
        <is>
          <t>C0852</t>
        </is>
      </c>
      <c r="B853" s="18" t="inlineStr">
        <is>
          <t>Gestión jurídica</t>
        </is>
      </c>
      <c r="C853" s="18" t="inlineStr">
        <is>
          <t>legal_management</t>
        </is>
      </c>
      <c r="D853" s="18" t="inlineStr">
        <is>
          <t>conceptos_juridicos</t>
        </is>
      </c>
      <c r="E853" s="18" t="n">
        <v>0</v>
      </c>
      <c r="F853" s="18" t="inlineStr">
        <is>
          <t>revisor_nombre</t>
        </is>
      </c>
      <c r="G853" s="18" t="inlineStr">
        <is>
          <t>character varying(150)</t>
        </is>
      </c>
      <c r="H853" s="18" t="inlineStr">
        <is>
          <t>Sí</t>
        </is>
      </c>
      <c r="I853" s="18" t="inlineStr"/>
      <c r="J853" s="18" t="inlineStr"/>
      <c r="K853" s="18" t="inlineStr"/>
      <c r="L853" s="18" t="inlineStr">
        <is>
          <t>No</t>
        </is>
      </c>
      <c r="M853" s="18" t="inlineStr">
        <is>
          <t>No</t>
        </is>
      </c>
      <c r="N853" s="18" t="inlineStr"/>
      <c r="O853" s="18" t="inlineStr"/>
      <c r="P853" s="18" t="inlineStr"/>
      <c r="Q853" s="18" t="inlineStr">
        <is>
          <t>Propuesta semántica</t>
        </is>
      </c>
      <c r="R853" s="18" t="inlineStr">
        <is>
          <t>Nombre del usuario que revisó el concepto.</t>
        </is>
      </c>
      <c r="S853" s="18" t="inlineStr">
        <is>
          <t>Alta</t>
        </is>
      </c>
      <c r="T853" s="18" t="inlineStr">
        <is>
          <t>nombre + tipo + columnas vecinas</t>
        </is>
      </c>
      <c r="U853" s="18" t="inlineStr"/>
      <c r="V853" s="19" t="inlineStr">
        <is>
          <t>Aprobada</t>
        </is>
      </c>
      <c r="W853" s="19" t="inlineStr"/>
      <c r="X853" s="19" t="inlineStr">
        <is>
          <t>Aldair González (aprobación en bloque)</t>
        </is>
      </c>
      <c r="Y853" s="20" t="n">
        <v>46321</v>
      </c>
      <c r="Z853" s="19" t="inlineStr">
        <is>
          <t>Nivel 1: propuesta del comentario del desarrollador o de confianza alta, o regla de fecha/responsable/motivo.</t>
        </is>
      </c>
      <c r="AA853" s="18">
        <f>IF(OR(V853="Aprobada"),R853,IF(AND(OR(V853="Aprobada con ajuste",V853="Rechazada"),W853&lt;&gt;""),W853,""))</f>
        <v/>
      </c>
    </row>
    <row r="854">
      <c r="A854" s="18" t="inlineStr">
        <is>
          <t>C0853</t>
        </is>
      </c>
      <c r="B854" s="18" t="inlineStr">
        <is>
          <t>Gestión jurídica</t>
        </is>
      </c>
      <c r="C854" s="18" t="inlineStr">
        <is>
          <t>legal_management</t>
        </is>
      </c>
      <c r="D854" s="18" t="inlineStr">
        <is>
          <t>conceptos_juridicos</t>
        </is>
      </c>
      <c r="E854" s="18" t="n">
        <v>0</v>
      </c>
      <c r="F854" s="18" t="inlineStr">
        <is>
          <t>fecha_revision</t>
        </is>
      </c>
      <c r="G854" s="18" t="inlineStr">
        <is>
          <t>timestamp without time zone</t>
        </is>
      </c>
      <c r="H854" s="18" t="inlineStr">
        <is>
          <t>Sí</t>
        </is>
      </c>
      <c r="I854" s="18" t="inlineStr"/>
      <c r="J854" s="18" t="inlineStr"/>
      <c r="K854" s="18" t="inlineStr"/>
      <c r="L854" s="18" t="inlineStr">
        <is>
          <t>No</t>
        </is>
      </c>
      <c r="M854" s="18" t="inlineStr">
        <is>
          <t>No</t>
        </is>
      </c>
      <c r="N854" s="18" t="inlineStr"/>
      <c r="O854" s="18" t="inlineStr"/>
      <c r="P854" s="18" t="inlineStr"/>
      <c r="Q854" s="18" t="inlineStr">
        <is>
          <t>Regla estructural (redacción revisada)</t>
        </is>
      </c>
      <c r="R854" s="18" t="inlineStr">
        <is>
          <t>Fecha y hora de revisión del concepto jurídico.</t>
        </is>
      </c>
      <c r="S854" s="18" t="inlineStr">
        <is>
          <t>Alta</t>
        </is>
      </c>
      <c r="T854" s="18" t="inlineStr">
        <is>
          <t>Convención de nombre, redactada con el contexto de la tabla y el código.</t>
        </is>
      </c>
      <c r="U854" s="18" t="inlineStr"/>
      <c r="V854" s="19" t="inlineStr">
        <is>
          <t>Aprobada</t>
        </is>
      </c>
      <c r="W854" s="19" t="inlineStr"/>
      <c r="X854" s="19" t="inlineStr">
        <is>
          <t>Aldair González (aprobación en bloque)</t>
        </is>
      </c>
      <c r="Y854" s="20" t="n">
        <v>46321</v>
      </c>
      <c r="Z854" s="19" t="inlineStr">
        <is>
          <t>Nivel 2: regla estructural con redacción revisada.</t>
        </is>
      </c>
      <c r="AA854" s="18">
        <f>IF(OR(V854="Aprobada"),R854,IF(AND(OR(V854="Aprobada con ajuste",V854="Rechazada"),W854&lt;&gt;""),W854,""))</f>
        <v/>
      </c>
    </row>
    <row r="855">
      <c r="A855" s="18" t="inlineStr">
        <is>
          <t>C0854</t>
        </is>
      </c>
      <c r="B855" s="18" t="inlineStr">
        <is>
          <t>Gestión jurídica</t>
        </is>
      </c>
      <c r="C855" s="18" t="inlineStr">
        <is>
          <t>legal_management</t>
        </is>
      </c>
      <c r="D855" s="18" t="inlineStr">
        <is>
          <t>conceptos_juridicos</t>
        </is>
      </c>
      <c r="E855" s="18" t="n">
        <v>0</v>
      </c>
      <c r="F855" s="18" t="inlineStr">
        <is>
          <t>comentarios_revision</t>
        </is>
      </c>
      <c r="G855" s="18" t="inlineStr">
        <is>
          <t>text</t>
        </is>
      </c>
      <c r="H855" s="18" t="inlineStr">
        <is>
          <t>Sí</t>
        </is>
      </c>
      <c r="I855" s="18" t="inlineStr"/>
      <c r="J855" s="18" t="inlineStr"/>
      <c r="K855" s="18" t="inlineStr"/>
      <c r="L855" s="18" t="inlineStr">
        <is>
          <t>No</t>
        </is>
      </c>
      <c r="M855" s="18" t="inlineStr">
        <is>
          <t>No</t>
        </is>
      </c>
      <c r="N855" s="18" t="inlineStr"/>
      <c r="O855" s="18" t="inlineStr"/>
      <c r="P855" s="18" t="inlineStr"/>
      <c r="Q855" s="18" t="inlineStr">
        <is>
          <t>Propuesta semántica</t>
        </is>
      </c>
      <c r="R855" s="18" t="inlineStr">
        <is>
          <t>Comentarios de la revisión del concepto.</t>
        </is>
      </c>
      <c r="S855" s="18" t="inlineStr">
        <is>
          <t>Alta</t>
        </is>
      </c>
      <c r="T855" s="18" t="inlineStr">
        <is>
          <t>nombre + tipo + columnas vecinas (fecha_revision)</t>
        </is>
      </c>
      <c r="U855" s="18" t="inlineStr"/>
      <c r="V855" s="19" t="inlineStr">
        <is>
          <t>Aprobada</t>
        </is>
      </c>
      <c r="W855" s="19" t="inlineStr"/>
      <c r="X855" s="19" t="inlineStr">
        <is>
          <t>Aldair González (aprobación en bloque)</t>
        </is>
      </c>
      <c r="Y855" s="20" t="n">
        <v>46321</v>
      </c>
      <c r="Z855" s="19" t="inlineStr">
        <is>
          <t>Nivel 1: propuesta del comentario del desarrollador o de confianza alta, o regla de fecha/responsable/motivo.</t>
        </is>
      </c>
      <c r="AA855" s="18">
        <f>IF(OR(V855="Aprobada"),R855,IF(AND(OR(V855="Aprobada con ajuste",V855="Rechazada"),W855&lt;&gt;""),W855,""))</f>
        <v/>
      </c>
    </row>
    <row r="856">
      <c r="A856" s="18" t="inlineStr">
        <is>
          <t>C0855</t>
        </is>
      </c>
      <c r="B856" s="18" t="inlineStr">
        <is>
          <t>Gestión jurídica</t>
        </is>
      </c>
      <c r="C856" s="18" t="inlineStr">
        <is>
          <t>legal_management</t>
        </is>
      </c>
      <c r="D856" s="18" t="inlineStr">
        <is>
          <t>conceptos_juridicos</t>
        </is>
      </c>
      <c r="E856" s="18" t="n">
        <v>0</v>
      </c>
      <c r="F856" s="18" t="inlineStr">
        <is>
          <t>aprobado_por</t>
        </is>
      </c>
      <c r="G856" s="18" t="inlineStr">
        <is>
          <t>character varying(150)</t>
        </is>
      </c>
      <c r="H856" s="18" t="inlineStr">
        <is>
          <t>Sí</t>
        </is>
      </c>
      <c r="I856" s="18" t="inlineStr"/>
      <c r="J856" s="18" t="inlineStr"/>
      <c r="K856" s="18" t="inlineStr"/>
      <c r="L856" s="18" t="inlineStr">
        <is>
          <t>No</t>
        </is>
      </c>
      <c r="M856" s="18" t="inlineStr">
        <is>
          <t>No</t>
        </is>
      </c>
      <c r="N856" s="18" t="inlineStr"/>
      <c r="O856" s="18" t="inlineStr"/>
      <c r="P856" s="18" t="inlineStr"/>
      <c r="Q856" s="18" t="inlineStr">
        <is>
          <t>Regla estructural</t>
        </is>
      </c>
      <c r="R856" s="18" t="inlineStr">
        <is>
          <t>Usuario que realizó la aprobación.</t>
        </is>
      </c>
      <c r="S856" s="18" t="inlineStr">
        <is>
          <t>Media</t>
        </is>
      </c>
      <c r="T856" s="18" t="inlineStr">
        <is>
          <t>Convención de nombre de la columna.</t>
        </is>
      </c>
      <c r="U856" s="18" t="inlineStr"/>
      <c r="V856" s="19" t="inlineStr">
        <is>
          <t>Aprobada</t>
        </is>
      </c>
      <c r="W856" s="19" t="inlineStr"/>
      <c r="X856" s="19" t="inlineStr">
        <is>
          <t>Aldair González (aprobación en bloque)</t>
        </is>
      </c>
      <c r="Y856" s="20" t="n">
        <v>46321</v>
      </c>
      <c r="Z856" s="19" t="inlineStr">
        <is>
          <t>Nivel 1: propuesta del comentario del desarrollador o de confianza alta, o regla de fecha/responsable/motivo.</t>
        </is>
      </c>
      <c r="AA856" s="18">
        <f>IF(OR(V856="Aprobada"),R856,IF(AND(OR(V856="Aprobada con ajuste",V856="Rechazada"),W856&lt;&gt;""),W856,""))</f>
        <v/>
      </c>
    </row>
    <row r="857">
      <c r="A857" s="18" t="inlineStr">
        <is>
          <t>C0856</t>
        </is>
      </c>
      <c r="B857" s="18" t="inlineStr">
        <is>
          <t>Gestión jurídica</t>
        </is>
      </c>
      <c r="C857" s="18" t="inlineStr">
        <is>
          <t>legal_management</t>
        </is>
      </c>
      <c r="D857" s="18" t="inlineStr">
        <is>
          <t>conceptos_juridicos</t>
        </is>
      </c>
      <c r="E857" s="18" t="n">
        <v>0</v>
      </c>
      <c r="F857" s="18" t="inlineStr">
        <is>
          <t>fecha_aprobacion</t>
        </is>
      </c>
      <c r="G857" s="18" t="inlineStr">
        <is>
          <t>timestamp without time zone</t>
        </is>
      </c>
      <c r="H857" s="18" t="inlineStr">
        <is>
          <t>Sí</t>
        </is>
      </c>
      <c r="I857" s="18" t="inlineStr"/>
      <c r="J857" s="18" t="inlineStr"/>
      <c r="K857" s="18" t="inlineStr"/>
      <c r="L857" s="18" t="inlineStr">
        <is>
          <t>No</t>
        </is>
      </c>
      <c r="M857" s="18" t="inlineStr">
        <is>
          <t>No</t>
        </is>
      </c>
      <c r="N857" s="18" t="inlineStr"/>
      <c r="O857" s="18" t="inlineStr"/>
      <c r="P857" s="18" t="inlineStr"/>
      <c r="Q857" s="18" t="inlineStr">
        <is>
          <t>Regla estructural (redacción revisada)</t>
        </is>
      </c>
      <c r="R857" s="18" t="inlineStr">
        <is>
          <t>Fecha y hora de aprobación del concepto jurídico.</t>
        </is>
      </c>
      <c r="S857" s="18" t="inlineStr">
        <is>
          <t>Alta</t>
        </is>
      </c>
      <c r="T857" s="18" t="inlineStr">
        <is>
          <t>Convención de nombre, redactada con el contexto de la tabla y el código.</t>
        </is>
      </c>
      <c r="U857" s="18" t="inlineStr"/>
      <c r="V857" s="19" t="inlineStr">
        <is>
          <t>Aprobada</t>
        </is>
      </c>
      <c r="W857" s="19" t="inlineStr"/>
      <c r="X857" s="19" t="inlineStr">
        <is>
          <t>Aldair González (aprobación en bloque)</t>
        </is>
      </c>
      <c r="Y857" s="20" t="n">
        <v>46321</v>
      </c>
      <c r="Z857" s="19" t="inlineStr">
        <is>
          <t>Nivel 2: regla estructural con redacción revisada.</t>
        </is>
      </c>
      <c r="AA857" s="18">
        <f>IF(OR(V857="Aprobada"),R857,IF(AND(OR(V857="Aprobada con ajuste",V857="Rechazada"),W857&lt;&gt;""),W857,""))</f>
        <v/>
      </c>
    </row>
    <row r="858">
      <c r="A858" s="18" t="inlineStr">
        <is>
          <t>C0857</t>
        </is>
      </c>
      <c r="B858" s="18" t="inlineStr">
        <is>
          <t>Gestión jurídica</t>
        </is>
      </c>
      <c r="C858" s="18" t="inlineStr">
        <is>
          <t>legal_management</t>
        </is>
      </c>
      <c r="D858" s="18" t="inlineStr">
        <is>
          <t>conceptos_juridicos</t>
        </is>
      </c>
      <c r="E858" s="18" t="n">
        <v>0</v>
      </c>
      <c r="F858" s="18" t="inlineStr">
        <is>
          <t>fecha_emision</t>
        </is>
      </c>
      <c r="G858" s="18" t="inlineStr">
        <is>
          <t>timestamp without time zone</t>
        </is>
      </c>
      <c r="H858" s="18" t="inlineStr">
        <is>
          <t>Sí</t>
        </is>
      </c>
      <c r="I858" s="18" t="inlineStr"/>
      <c r="J858" s="18" t="inlineStr"/>
      <c r="K858" s="18" t="inlineStr"/>
      <c r="L858" s="18" t="inlineStr">
        <is>
          <t>No</t>
        </is>
      </c>
      <c r="M858" s="18" t="inlineStr">
        <is>
          <t>No</t>
        </is>
      </c>
      <c r="N858" s="18" t="inlineStr"/>
      <c r="O858" s="18" t="inlineStr"/>
      <c r="P858" s="18" t="inlineStr"/>
      <c r="Q858" s="18" t="inlineStr">
        <is>
          <t>Regla estructural (redacción revisada)</t>
        </is>
      </c>
      <c r="R858" s="18" t="inlineStr">
        <is>
          <t>Fecha y hora de emisión del concepto jurídico.</t>
        </is>
      </c>
      <c r="S858" s="18" t="inlineStr">
        <is>
          <t>Alta</t>
        </is>
      </c>
      <c r="T858" s="18" t="inlineStr">
        <is>
          <t>Convención de nombre, redactada con el contexto de la tabla y el código.</t>
        </is>
      </c>
      <c r="U858" s="18" t="inlineStr"/>
      <c r="V858" s="19" t="inlineStr">
        <is>
          <t>Aprobada</t>
        </is>
      </c>
      <c r="W858" s="19" t="inlineStr"/>
      <c r="X858" s="19" t="inlineStr">
        <is>
          <t>Aldair González (aprobación en bloque)</t>
        </is>
      </c>
      <c r="Y858" s="20" t="n">
        <v>46321</v>
      </c>
      <c r="Z858" s="19" t="inlineStr">
        <is>
          <t>Nivel 2: regla estructural con redacción revisada.</t>
        </is>
      </c>
      <c r="AA858" s="18">
        <f>IF(OR(V858="Aprobada"),R858,IF(AND(OR(V858="Aprobada con ajuste",V858="Rechazada"),W858&lt;&gt;""),W858,""))</f>
        <v/>
      </c>
    </row>
    <row r="859">
      <c r="A859" s="18" t="inlineStr">
        <is>
          <t>C0858</t>
        </is>
      </c>
      <c r="B859" s="18" t="inlineStr">
        <is>
          <t>Gestión jurídica</t>
        </is>
      </c>
      <c r="C859" s="18" t="inlineStr">
        <is>
          <t>legal_management</t>
        </is>
      </c>
      <c r="D859" s="18" t="inlineStr">
        <is>
          <t>conceptos_juridicos</t>
        </is>
      </c>
      <c r="E859" s="18" t="n">
        <v>0</v>
      </c>
      <c r="F859" s="18" t="inlineStr">
        <is>
          <t>notificado_a</t>
        </is>
      </c>
      <c r="G859" s="18" t="inlineStr">
        <is>
          <t>character varying(300)</t>
        </is>
      </c>
      <c r="H859" s="18" t="inlineStr">
        <is>
          <t>Sí</t>
        </is>
      </c>
      <c r="I859" s="18" t="inlineStr"/>
      <c r="J859" s="18" t="inlineStr"/>
      <c r="K859" s="18" t="inlineStr"/>
      <c r="L859" s="18" t="inlineStr">
        <is>
          <t>No</t>
        </is>
      </c>
      <c r="M859" s="18" t="inlineStr">
        <is>
          <t>No</t>
        </is>
      </c>
      <c r="N859" s="18" t="inlineStr"/>
      <c r="O859" s="18" t="inlineStr"/>
      <c r="P859" s="18" t="inlineStr"/>
      <c r="Q859" s="18" t="inlineStr">
        <is>
          <t>Código fuente (verificado)</t>
        </is>
      </c>
      <c r="R859" s="18" t="inlineStr">
        <is>
          <t>Personas o dependencias a las que se notificó el concepto.</t>
        </is>
      </c>
      <c r="S859" s="18" t="inlineStr">
        <is>
          <t>Media</t>
        </is>
      </c>
      <c r="T859" s="18" t="inlineStr">
        <is>
          <t>db/init/007_legal_management_ddl_20260129_215541.sql:422: varchar(300) | db/migrations/338_cleanup_legal_orphan_objects.sql:16: sin entidad en el código</t>
        </is>
      </c>
      <c r="U859" s="18" t="inlineStr">
        <is>
          <t>¿Se guardan nombres o correos, y separados por qué carácter?</t>
        </is>
      </c>
      <c r="V859" s="19" t="inlineStr">
        <is>
          <t>Aprobada</t>
        </is>
      </c>
      <c r="W859" s="19" t="inlineStr"/>
      <c r="X859" s="19" t="inlineStr">
        <is>
          <t>Aldair González (validación del responsable de BD)</t>
        </is>
      </c>
      <c r="Y859" s="20" t="n">
        <v>46321</v>
      </c>
      <c r="Z859" s="19" t="inlineStr">
        <is>
          <t>Nivel 3: validada por decisión del responsable de la base de datos. Pregunta registrada para desarrollo: ¿Se guardan nombres o correos, y separados por qué carácter?</t>
        </is>
      </c>
      <c r="AA859" s="18">
        <f>IF(OR(V859="Aprobada"),R859,IF(AND(OR(V859="Aprobada con ajuste",V859="Rechazada"),W859&lt;&gt;""),W859,""))</f>
        <v/>
      </c>
    </row>
    <row r="860">
      <c r="A860" s="18" t="inlineStr">
        <is>
          <t>C0859</t>
        </is>
      </c>
      <c r="B860" s="18" t="inlineStr">
        <is>
          <t>Gestión jurídica</t>
        </is>
      </c>
      <c r="C860" s="18" t="inlineStr">
        <is>
          <t>legal_management</t>
        </is>
      </c>
      <c r="D860" s="18" t="inlineStr">
        <is>
          <t>conceptos_juridicos</t>
        </is>
      </c>
      <c r="E860" s="18" t="n">
        <v>0</v>
      </c>
      <c r="F860" s="18" t="inlineStr">
        <is>
          <t>visible_banco</t>
        </is>
      </c>
      <c r="G860" s="18" t="inlineStr">
        <is>
          <t>boolean</t>
        </is>
      </c>
      <c r="H860" s="18" t="inlineStr">
        <is>
          <t>Sí</t>
        </is>
      </c>
      <c r="I860" s="18" t="inlineStr"/>
      <c r="J860" s="18" t="inlineStr"/>
      <c r="K860" s="18" t="inlineStr"/>
      <c r="L860" s="18" t="inlineStr">
        <is>
          <t>No</t>
        </is>
      </c>
      <c r="M860" s="18" t="inlineStr">
        <is>
          <t>No</t>
        </is>
      </c>
      <c r="N860" s="18" t="inlineStr"/>
      <c r="O860" s="18" t="inlineStr">
        <is>
          <t>idx_conceptos_banco</t>
        </is>
      </c>
      <c r="P860" s="18" t="inlineStr"/>
      <c r="Q860" s="18" t="inlineStr">
        <is>
          <t>Regla estructural (redacción revisada)</t>
        </is>
      </c>
      <c r="R860" s="18" t="inlineStr">
        <is>
          <t>Indica si el concepto jurídico es visible en el banco de conceptos.</t>
        </is>
      </c>
      <c r="S860" s="18" t="inlineStr">
        <is>
          <t>Alta</t>
        </is>
      </c>
      <c r="T860" s="18" t="inlineStr">
        <is>
          <t>Convención de nombre, redactada con el contexto de la tabla y el código.</t>
        </is>
      </c>
      <c r="U860" s="18" t="inlineStr"/>
      <c r="V860" s="19" t="inlineStr">
        <is>
          <t>Aprobada</t>
        </is>
      </c>
      <c r="W860" s="19" t="inlineStr"/>
      <c r="X860" s="19" t="inlineStr">
        <is>
          <t>Aldair González (aprobación en bloque)</t>
        </is>
      </c>
      <c r="Y860" s="20" t="n">
        <v>46321</v>
      </c>
      <c r="Z860" s="19" t="inlineStr">
        <is>
          <t>Nivel 2: regla estructural con redacción revisada.</t>
        </is>
      </c>
      <c r="AA860" s="18">
        <f>IF(OR(V860="Aprobada"),R860,IF(AND(OR(V860="Aprobada con ajuste",V860="Rechazada"),W860&lt;&gt;""),W860,""))</f>
        <v/>
      </c>
    </row>
    <row r="861">
      <c r="A861" s="18" t="inlineStr">
        <is>
          <t>C0860</t>
        </is>
      </c>
      <c r="B861" s="18" t="inlineStr">
        <is>
          <t>Gestión jurídica</t>
        </is>
      </c>
      <c r="C861" s="18" t="inlineStr">
        <is>
          <t>legal_management</t>
        </is>
      </c>
      <c r="D861" s="18" t="inlineStr">
        <is>
          <t>conceptos_juridicos</t>
        </is>
      </c>
      <c r="E861" s="18" t="n">
        <v>0</v>
      </c>
      <c r="F861" s="18" t="inlineStr">
        <is>
          <t>etiquetas</t>
        </is>
      </c>
      <c r="G861" s="18" t="inlineStr">
        <is>
          <t>text[]</t>
        </is>
      </c>
      <c r="H861" s="18" t="inlineStr">
        <is>
          <t>Sí</t>
        </is>
      </c>
      <c r="I861" s="18" t="inlineStr"/>
      <c r="J861" s="18" t="inlineStr"/>
      <c r="K861" s="18" t="inlineStr"/>
      <c r="L861" s="18" t="inlineStr">
        <is>
          <t>No</t>
        </is>
      </c>
      <c r="M861" s="18" t="inlineStr">
        <is>
          <t>No</t>
        </is>
      </c>
      <c r="N861" s="18" t="inlineStr"/>
      <c r="O861" s="18" t="inlineStr"/>
      <c r="P861" s="18" t="inlineStr"/>
      <c r="Q861" s="18" t="inlineStr">
        <is>
          <t>Código fuente (verificado)</t>
        </is>
      </c>
      <c r="R861" s="18" t="inlineStr">
        <is>
          <t>Etiquetas para clasificar y buscar el concepto.</t>
        </is>
      </c>
      <c r="S861" s="18" t="inlineStr">
        <is>
          <t>Media</t>
        </is>
      </c>
      <c r="T861" s="18" t="inlineStr">
        <is>
          <t>db/init/007_legal_management_ddl_20260129_215541.sql:424: text[] | db/migrations/338_cleanup_legal_orphan_objects.sql:16: sin entidad en el código</t>
        </is>
      </c>
      <c r="U861" s="18" t="inlineStr">
        <is>
          <t>¿Las etiquetas son libres o salen de un catálogo?</t>
        </is>
      </c>
      <c r="V861" s="19" t="inlineStr">
        <is>
          <t>Aprobada</t>
        </is>
      </c>
      <c r="W861" s="19" t="inlineStr"/>
      <c r="X861" s="19" t="inlineStr">
        <is>
          <t>Aldair González (validación del responsable de BD)</t>
        </is>
      </c>
      <c r="Y861" s="20" t="n">
        <v>46321</v>
      </c>
      <c r="Z861" s="19" t="inlineStr">
        <is>
          <t>Nivel 3: validada por decisión del responsable de la base de datos. Pregunta registrada para desarrollo: ¿Las etiquetas son libres o salen de un catálogo?</t>
        </is>
      </c>
      <c r="AA861" s="18">
        <f>IF(OR(V861="Aprobada"),R861,IF(AND(OR(V861="Aprobada con ajuste",V861="Rechazada"),W861&lt;&gt;""),W861,""))</f>
        <v/>
      </c>
    </row>
    <row r="862">
      <c r="A862" s="18" t="inlineStr">
        <is>
          <t>C0861</t>
        </is>
      </c>
      <c r="B862" s="18" t="inlineStr">
        <is>
          <t>Gestión jurídica</t>
        </is>
      </c>
      <c r="C862" s="18" t="inlineStr">
        <is>
          <t>legal_management</t>
        </is>
      </c>
      <c r="D862" s="18" t="inlineStr">
        <is>
          <t>consulta_juridica_historial</t>
        </is>
      </c>
      <c r="E862" s="18" t="n">
        <v>132</v>
      </c>
      <c r="F862" s="18" t="inlineStr">
        <is>
          <t>tipo_evento</t>
        </is>
      </c>
      <c r="G862" s="18" t="inlineStr">
        <is>
          <t>character varying</t>
        </is>
      </c>
      <c r="H862" s="18" t="inlineStr">
        <is>
          <t>No</t>
        </is>
      </c>
      <c r="I862" s="18" t="inlineStr"/>
      <c r="J862" s="18" t="inlineStr"/>
      <c r="K862" s="18" t="inlineStr"/>
      <c r="L862" s="18" t="inlineStr">
        <is>
          <t>No</t>
        </is>
      </c>
      <c r="M862" s="18" t="inlineStr">
        <is>
          <t>No</t>
        </is>
      </c>
      <c r="N862" s="18" t="inlineStr"/>
      <c r="O862" s="18" t="inlineStr"/>
      <c r="P862" s="18" t="inlineStr">
        <is>
          <t>legal-management-service/src/entities/consulta-juridica-historial.entity.ts:16: ASIGNACION, CAMBIO_ETAPA, RESPUESTA, etc.</t>
        </is>
      </c>
      <c r="Q862" s="18" t="inlineStr">
        <is>
          <t>Código fuente (verificado)</t>
        </is>
      </c>
      <c r="R862" s="18" t="inlineStr">
        <is>
          <t>Tipo de evento del historial de la consulta jurídica: CREACIÓN, ASIGNACIÓN, REASIGNACIÓN, CAMBIO_ETAPA, RESPUESTA, ENVIADO_A_JEFE, DEVUELTA_POR_JEFE, ARCHIVADO, ELIMINADO_SOFT, RESTAURADO, VENCIMIENTO o ALERTA_VENCIMIENTO.</t>
        </is>
      </c>
      <c r="S862" s="18" t="inlineStr">
        <is>
          <t>Alta</t>
        </is>
      </c>
      <c r="T862" s="18" t="inlineStr">
        <is>
          <t>legal-management-service/src/services/consultas-juridicas.service.ts:179: CREACIÓN | legal-management-service/src/services/consultas-juridicas.service.ts:208: ASIGNACIÓN | legal-management-service/src/services/consultas-juridicas.service.ts:340: ENVIADO_A_JEFE | legal-management-service/src/services/consultas-juridicas.service.ts:490: DEVUELTA_POR_JEFE | legal-management-service/src/services/alertas-vencimiento.service.ts:76: VENCIMIENTO | legal-management-service/src/services/alertas-vencimiento.service.ts:112: ALERTA_VENCIMIENTO</t>
        </is>
      </c>
      <c r="U862" s="18" t="inlineStr"/>
      <c r="V862" s="19" t="inlineStr">
        <is>
          <t>Aprobada</t>
        </is>
      </c>
      <c r="W862" s="19" t="inlineStr"/>
      <c r="X862" s="19" t="inlineStr">
        <is>
          <t>Aldair González (aprobación en bloque)</t>
        </is>
      </c>
      <c r="Y862" s="20" t="n">
        <v>46321</v>
      </c>
      <c r="Z862" s="19" t="inlineStr">
        <is>
          <t>Nivel 3: verificada con el código de la aplicación.</t>
        </is>
      </c>
      <c r="AA862" s="18">
        <f>IF(OR(V862="Aprobada"),R862,IF(AND(OR(V862="Aprobada con ajuste",V862="Rechazada"),W862&lt;&gt;""),W862,""))</f>
        <v/>
      </c>
    </row>
    <row r="863">
      <c r="A863" s="18" t="inlineStr">
        <is>
          <t>C0862</t>
        </is>
      </c>
      <c r="B863" s="18" t="inlineStr">
        <is>
          <t>Gestión jurídica</t>
        </is>
      </c>
      <c r="C863" s="18" t="inlineStr">
        <is>
          <t>legal_management</t>
        </is>
      </c>
      <c r="D863" s="18" t="inlineStr">
        <is>
          <t>consulta_juridica_historial</t>
        </is>
      </c>
      <c r="E863" s="18" t="n">
        <v>132</v>
      </c>
      <c r="F863" s="18" t="inlineStr">
        <is>
          <t>descripcion</t>
        </is>
      </c>
      <c r="G863" s="18" t="inlineStr">
        <is>
          <t>text</t>
        </is>
      </c>
      <c r="H863" s="18" t="inlineStr">
        <is>
          <t>No</t>
        </is>
      </c>
      <c r="I863" s="18" t="inlineStr"/>
      <c r="J863" s="18" t="inlineStr"/>
      <c r="K863" s="18" t="inlineStr"/>
      <c r="L863" s="18" t="inlineStr">
        <is>
          <t>No</t>
        </is>
      </c>
      <c r="M863" s="18" t="inlineStr">
        <is>
          <t>No</t>
        </is>
      </c>
      <c r="N863" s="18" t="inlineStr"/>
      <c r="O863" s="18" t="inlineStr"/>
      <c r="P863" s="18" t="inlineStr">
        <is>
          <t>Mapeada en legal-management-service/src/entities/consulta-juridica-historial.entity.ts:19 (ConsultaJuridicaHistorial.descripcion)</t>
        </is>
      </c>
      <c r="Q863" s="18" t="inlineStr">
        <is>
          <t>Regla estructural (redacción revisada)</t>
        </is>
      </c>
      <c r="R863" s="18" t="inlineStr">
        <is>
          <t>Descripción del evento en el historial de la consulta jurídica.</t>
        </is>
      </c>
      <c r="S863" s="18" t="inlineStr">
        <is>
          <t>Alta</t>
        </is>
      </c>
      <c r="T863" s="18" t="inlineStr">
        <is>
          <t>Convención de nombre, redactada con el contexto de la tabla y el código.</t>
        </is>
      </c>
      <c r="U863" s="18" t="inlineStr"/>
      <c r="V863" s="19" t="inlineStr">
        <is>
          <t>Aprobada</t>
        </is>
      </c>
      <c r="W863" s="19" t="inlineStr"/>
      <c r="X863" s="19" t="inlineStr">
        <is>
          <t>Aldair González (aprobación en bloque)</t>
        </is>
      </c>
      <c r="Y863" s="20" t="n">
        <v>46321</v>
      </c>
      <c r="Z863" s="19" t="inlineStr">
        <is>
          <t>Nivel 2: regla estructural con redacción revisada.</t>
        </is>
      </c>
      <c r="AA863" s="18">
        <f>IF(OR(V863="Aprobada"),R863,IF(AND(OR(V863="Aprobada con ajuste",V863="Rechazada"),W863&lt;&gt;""),W863,""))</f>
        <v/>
      </c>
    </row>
    <row r="864">
      <c r="A864" s="18" t="inlineStr">
        <is>
          <t>C0863</t>
        </is>
      </c>
      <c r="B864" s="18" t="inlineStr">
        <is>
          <t>Gestión jurídica</t>
        </is>
      </c>
      <c r="C864" s="18" t="inlineStr">
        <is>
          <t>legal_management</t>
        </is>
      </c>
      <c r="D864" s="18" t="inlineStr">
        <is>
          <t>consulta_juridica_historial</t>
        </is>
      </c>
      <c r="E864" s="18" t="n">
        <v>132</v>
      </c>
      <c r="F864" s="18" t="inlineStr">
        <is>
          <t>detalle</t>
        </is>
      </c>
      <c r="G864" s="18" t="inlineStr">
        <is>
          <t>text</t>
        </is>
      </c>
      <c r="H864" s="18" t="inlineStr">
        <is>
          <t>Sí</t>
        </is>
      </c>
      <c r="I864" s="18" t="inlineStr"/>
      <c r="J864" s="18" t="inlineStr"/>
      <c r="K864" s="18" t="inlineStr"/>
      <c r="L864" s="18" t="inlineStr">
        <is>
          <t>No</t>
        </is>
      </c>
      <c r="M864" s="18" t="inlineStr">
        <is>
          <t>No</t>
        </is>
      </c>
      <c r="N864" s="18" t="inlineStr"/>
      <c r="O864" s="18" t="inlineStr"/>
      <c r="P864" s="18" t="inlineStr">
        <is>
          <t>Mapeada en legal-management-service/src/entities/consulta-juridica-historial.entity.ts:22 (ConsultaJuridicaHistorial.detalle)</t>
        </is>
      </c>
      <c r="Q864" s="18" t="inlineStr">
        <is>
          <t>Código fuente (verificado)</t>
        </is>
      </c>
      <c r="R864" s="18" t="inlineStr">
        <is>
          <t>Detalle adicional del evento, en texto plano (por ejemplo, radicado, nueva etapa, número de oficio y tipo de respuesta, o motivo de la devolución).</t>
        </is>
      </c>
      <c r="S864" s="18" t="inlineStr">
        <is>
          <t>Alta</t>
        </is>
      </c>
      <c r="T864" s="18" t="inlineStr">
        <is>
          <t>legal-management-service/src/services/consultas-juridicas.service.ts:181: Radicado: ... | legal-management-service/src/services/consultas-juridicas.service.ts:270: Oficio y tipo de respuesta | legal-management-service/src/services/consultas-juridicas.service.ts:492: Motivo de la devolución</t>
        </is>
      </c>
      <c r="U864" s="18" t="inlineStr"/>
      <c r="V864" s="19" t="inlineStr">
        <is>
          <t>Aprobada</t>
        </is>
      </c>
      <c r="W864" s="19" t="inlineStr"/>
      <c r="X864" s="19" t="inlineStr">
        <is>
          <t>Aldair González (aprobación en bloque)</t>
        </is>
      </c>
      <c r="Y864" s="20" t="n">
        <v>46321</v>
      </c>
      <c r="Z864" s="19" t="inlineStr">
        <is>
          <t>Nivel 3: verificada con el código de la aplicación.</t>
        </is>
      </c>
      <c r="AA864" s="18">
        <f>IF(OR(V864="Aprobada"),R864,IF(AND(OR(V864="Aprobada con ajuste",V864="Rechazada"),W864&lt;&gt;""),W864,""))</f>
        <v/>
      </c>
    </row>
    <row r="865">
      <c r="A865" s="18" t="inlineStr">
        <is>
          <t>C0864</t>
        </is>
      </c>
      <c r="B865" s="18" t="inlineStr">
        <is>
          <t>Gestión jurídica</t>
        </is>
      </c>
      <c r="C865" s="18" t="inlineStr">
        <is>
          <t>legal_management</t>
        </is>
      </c>
      <c r="D865" s="18" t="inlineStr">
        <is>
          <t>consulta_juridica_historial</t>
        </is>
      </c>
      <c r="E865" s="18" t="n">
        <v>132</v>
      </c>
      <c r="F865" s="18" t="inlineStr">
        <is>
          <t>usuario</t>
        </is>
      </c>
      <c r="G865" s="18" t="inlineStr">
        <is>
          <t>character varying</t>
        </is>
      </c>
      <c r="H865" s="18" t="inlineStr">
        <is>
          <t>Sí</t>
        </is>
      </c>
      <c r="I865" s="18" t="inlineStr"/>
      <c r="J865" s="18" t="inlineStr"/>
      <c r="K865" s="18" t="inlineStr"/>
      <c r="L865" s="18" t="inlineStr">
        <is>
          <t>No</t>
        </is>
      </c>
      <c r="M865" s="18" t="inlineStr">
        <is>
          <t>No</t>
        </is>
      </c>
      <c r="N865" s="18" t="inlineStr"/>
      <c r="O865" s="18" t="inlineStr"/>
      <c r="P865" s="18" t="inlineStr">
        <is>
          <t>Mapeada en legal-management-service/src/entities/consulta-juridica-historial.entity.ts:25 (ConsultaJuridicaHistorial.usuario)</t>
        </is>
      </c>
      <c r="Q865" s="18" t="inlineStr">
        <is>
          <t>Código fuente (verificado)</t>
        </is>
      </c>
      <c r="R865" s="18" t="inlineStr">
        <is>
          <t>Usuario que generó el evento: el nombre del solicitante en la creación, Sistema o Sistema (Cron) en eventos automáticos, o el valor que envía el cliente en las demás acciones.</t>
        </is>
      </c>
      <c r="S865" s="18" t="inlineStr">
        <is>
          <t>Media</t>
        </is>
      </c>
      <c r="T865" s="18" t="inlineStr">
        <is>
          <t>legal-management-service/src/services/consultas-juridicas.service.ts:176: creadoPor = nombreSolicitante | legal-management-service/src/services/alertas-vencimiento.service.ts:79: Sistema (Cron) | legal-management-service/src/controllers/consultas-juridicas.controller.ts:87: usuario llega en el cuerpo de la petición</t>
        </is>
      </c>
      <c r="U865" s="18" t="inlineStr">
        <is>
          <t>¿Qué valor envía el frontend en usuario: nombre, correo o identificador?</t>
        </is>
      </c>
      <c r="V865" s="19" t="inlineStr">
        <is>
          <t>Aprobada</t>
        </is>
      </c>
      <c r="W865" s="19" t="inlineStr"/>
      <c r="X865" s="19" t="inlineStr">
        <is>
          <t>Aldair González (validación del responsable de BD)</t>
        </is>
      </c>
      <c r="Y865" s="20" t="n">
        <v>46321</v>
      </c>
      <c r="Z865" s="19" t="inlineStr">
        <is>
          <t>Nivel 3: validada por decisión del responsable de la base de datos. Pregunta registrada para desarrollo: ¿Qué valor envía el frontend en usuario: nombre, correo o identificador?</t>
        </is>
      </c>
      <c r="AA865" s="18">
        <f>IF(OR(V865="Aprobada"),R865,IF(AND(OR(V865="Aprobada con ajuste",V865="Rechazada"),W865&lt;&gt;""),W865,""))</f>
        <v/>
      </c>
    </row>
    <row r="866">
      <c r="A866" s="18" t="inlineStr">
        <is>
          <t>C0865</t>
        </is>
      </c>
      <c r="B866" s="18" t="inlineStr">
        <is>
          <t>Gestión jurídica</t>
        </is>
      </c>
      <c r="C866" s="18" t="inlineStr">
        <is>
          <t>legal_management</t>
        </is>
      </c>
      <c r="D866" s="18" t="inlineStr">
        <is>
          <t>consulta_juridica_historial</t>
        </is>
      </c>
      <c r="E866" s="18" t="n">
        <v>132</v>
      </c>
      <c r="F866" s="18" t="inlineStr">
        <is>
          <t>fecha</t>
        </is>
      </c>
      <c r="G866" s="18" t="inlineStr">
        <is>
          <t>timestamp without time zone</t>
        </is>
      </c>
      <c r="H866" s="18" t="inlineStr">
        <is>
          <t>No</t>
        </is>
      </c>
      <c r="I866" s="18" t="inlineStr"/>
      <c r="J866" s="18" t="inlineStr"/>
      <c r="K866" s="18" t="inlineStr"/>
      <c r="L866" s="18" t="inlineStr">
        <is>
          <t>No</t>
        </is>
      </c>
      <c r="M866" s="18" t="inlineStr">
        <is>
          <t>No</t>
        </is>
      </c>
      <c r="N866" s="18" t="inlineStr"/>
      <c r="O866" s="18" t="inlineStr"/>
      <c r="P866" s="18" t="inlineStr">
        <is>
          <t>Mapeada en legal-management-service/src/entities/consulta-juridica-historial.entity.ts:28 (ConsultaJuridicaHistorial.fecha)</t>
        </is>
      </c>
      <c r="Q866" s="18" t="inlineStr">
        <is>
          <t>Propuesta semántica</t>
        </is>
      </c>
      <c r="R866" s="18" t="inlineStr">
        <is>
          <t>Fecha y hora del evento. Valor por defecto: momento del registro.</t>
        </is>
      </c>
      <c r="S866" s="18" t="inlineStr">
        <is>
          <t>Alta</t>
        </is>
      </c>
      <c r="T866" s="18" t="inlineStr">
        <is>
          <t>nombre + tipo + columnas vecinas + defecto</t>
        </is>
      </c>
      <c r="U866" s="18" t="inlineStr"/>
      <c r="V866" s="19" t="inlineStr">
        <is>
          <t>Aprobada</t>
        </is>
      </c>
      <c r="W866" s="19" t="inlineStr"/>
      <c r="X866" s="19" t="inlineStr">
        <is>
          <t>Aldair González (aprobación en bloque)</t>
        </is>
      </c>
      <c r="Y866" s="20" t="n">
        <v>46321</v>
      </c>
      <c r="Z866" s="19" t="inlineStr">
        <is>
          <t>Nivel 1: propuesta del comentario del desarrollador o de confianza alta, o regla de fecha/responsable/motivo.</t>
        </is>
      </c>
      <c r="AA866" s="18">
        <f>IF(OR(V866="Aprobada"),R866,IF(AND(OR(V866="Aprobada con ajuste",V866="Rechazada"),W866&lt;&gt;""),W866,""))</f>
        <v/>
      </c>
    </row>
    <row r="867">
      <c r="A867" s="18" t="inlineStr">
        <is>
          <t>C0866</t>
        </is>
      </c>
      <c r="B867" s="18" t="inlineStr">
        <is>
          <t>Gestión jurídica</t>
        </is>
      </c>
      <c r="C867" s="18" t="inlineStr">
        <is>
          <t>legal_management</t>
        </is>
      </c>
      <c r="D867" s="18" t="inlineStr">
        <is>
          <t>consultas_juridicas</t>
        </is>
      </c>
      <c r="E867" s="18" t="n">
        <v>31</v>
      </c>
      <c r="F867" s="18" t="inlineStr">
        <is>
          <t>numero_radicado</t>
        </is>
      </c>
      <c r="G867" s="18" t="inlineStr">
        <is>
          <t>character varying(50)</t>
        </is>
      </c>
      <c r="H867" s="18" t="inlineStr">
        <is>
          <t>No</t>
        </is>
      </c>
      <c r="I867" s="18" t="inlineStr">
        <is>
          <t>Única</t>
        </is>
      </c>
      <c r="J867" s="18" t="inlineStr"/>
      <c r="K867" s="18" t="inlineStr"/>
      <c r="L867" s="18" t="inlineStr">
        <is>
          <t>No</t>
        </is>
      </c>
      <c r="M867" s="18" t="inlineStr">
        <is>
          <t>No</t>
        </is>
      </c>
      <c r="N867" s="18" t="inlineStr"/>
      <c r="O867" s="18" t="inlineStr">
        <is>
          <t>consultas_juridicas_numero_radicado_key</t>
        </is>
      </c>
      <c r="P867" s="18" t="inlineStr">
        <is>
          <t>Mapeada en legal-management-service/src/entities/consulta-juridica.entity.ts:8 (ConsultaJuridica.numeroRadicado)</t>
        </is>
      </c>
      <c r="Q867" s="18" t="inlineStr">
        <is>
          <t>Propuesta semántica</t>
        </is>
      </c>
      <c r="R867" s="18" t="inlineStr">
        <is>
          <t>Número de radicado de la consulta jurídica. Es único en la tabla.</t>
        </is>
      </c>
      <c r="S867" s="18" t="inlineStr">
        <is>
          <t>Alta</t>
        </is>
      </c>
      <c r="T867" s="18" t="inlineStr">
        <is>
          <t>nombre + tipo + columnas vecinas + restricción única</t>
        </is>
      </c>
      <c r="U867" s="18" t="inlineStr"/>
      <c r="V867" s="19" t="inlineStr">
        <is>
          <t>Aprobada</t>
        </is>
      </c>
      <c r="W867" s="19" t="inlineStr"/>
      <c r="X867" s="19" t="inlineStr">
        <is>
          <t>Aldair González (aprobación en bloque)</t>
        </is>
      </c>
      <c r="Y867" s="20" t="n">
        <v>46321</v>
      </c>
      <c r="Z867" s="19" t="inlineStr">
        <is>
          <t>Nivel 1: propuesta del comentario del desarrollador o de confianza alta, o regla de fecha/responsable/motivo.</t>
        </is>
      </c>
      <c r="AA867" s="18">
        <f>IF(OR(V867="Aprobada"),R867,IF(AND(OR(V867="Aprobada con ajuste",V867="Rechazada"),W867&lt;&gt;""),W867,""))</f>
        <v/>
      </c>
    </row>
    <row r="868">
      <c r="A868" s="18" t="inlineStr">
        <is>
          <t>C0867</t>
        </is>
      </c>
      <c r="B868" s="18" t="inlineStr">
        <is>
          <t>Gestión jurídica</t>
        </is>
      </c>
      <c r="C868" s="18" t="inlineStr">
        <is>
          <t>legal_management</t>
        </is>
      </c>
      <c r="D868" s="18" t="inlineStr">
        <is>
          <t>consultas_juridicas</t>
        </is>
      </c>
      <c r="E868" s="18" t="n">
        <v>31</v>
      </c>
      <c r="F868" s="18" t="inlineStr">
        <is>
          <t>tipo_solicitud</t>
        </is>
      </c>
      <c r="G868" s="18" t="inlineStr">
        <is>
          <t>character varying(30)</t>
        </is>
      </c>
      <c r="H868" s="18" t="inlineStr">
        <is>
          <t>Sí</t>
        </is>
      </c>
      <c r="I868" s="18" t="inlineStr"/>
      <c r="J868" s="18" t="inlineStr"/>
      <c r="K868" s="18" t="inlineStr"/>
      <c r="L868" s="18" t="inlineStr">
        <is>
          <t>No</t>
        </is>
      </c>
      <c r="M868" s="18" t="inlineStr">
        <is>
          <t>No</t>
        </is>
      </c>
      <c r="N868" s="18" t="inlineStr"/>
      <c r="O868" s="18" t="inlineStr"/>
      <c r="P868" s="18" t="inlineStr">
        <is>
          <t>legal-management-service/src/entities/consulta-juridica.entity.ts:17: consulta, concepto_juridico, control_legalidad</t>
        </is>
      </c>
      <c r="Q868" s="18" t="inlineStr">
        <is>
          <t>Código fuente</t>
        </is>
      </c>
      <c r="R868" s="18" t="inlineStr">
        <is>
          <t>Tipo de solicitud. Valores: consulta, concepto_juridico, control_legalidad.</t>
        </is>
      </c>
      <c r="S868" s="18" t="inlineStr">
        <is>
          <t>Alta</t>
        </is>
      </c>
      <c r="T868" s="18" t="inlineStr">
        <is>
          <t>código: consulta-juridica.entity.ts:17</t>
        </is>
      </c>
      <c r="U868" s="18" t="inlineStr"/>
      <c r="V868" s="19" t="inlineStr">
        <is>
          <t>Aprobada</t>
        </is>
      </c>
      <c r="W868" s="19" t="inlineStr"/>
      <c r="X868" s="19" t="inlineStr">
        <is>
          <t>Aldair González (aprobación en bloque)</t>
        </is>
      </c>
      <c r="Y868" s="20" t="n">
        <v>46321</v>
      </c>
      <c r="Z868" s="19" t="inlineStr">
        <is>
          <t>Nivel 1: propuesta del comentario del desarrollador o de confianza alta, o regla de fecha/responsable/motivo.</t>
        </is>
      </c>
      <c r="AA868" s="18">
        <f>IF(OR(V868="Aprobada"),R868,IF(AND(OR(V868="Aprobada con ajuste",V868="Rechazada"),W868&lt;&gt;""),W868,""))</f>
        <v/>
      </c>
    </row>
    <row r="869">
      <c r="A869" s="18" t="inlineStr">
        <is>
          <t>C0868</t>
        </is>
      </c>
      <c r="B869" s="18" t="inlineStr">
        <is>
          <t>Gestión jurídica</t>
        </is>
      </c>
      <c r="C869" s="18" t="inlineStr">
        <is>
          <t>legal_management</t>
        </is>
      </c>
      <c r="D869" s="18" t="inlineStr">
        <is>
          <t>consultas_juridicas</t>
        </is>
      </c>
      <c r="E869" s="18" t="n">
        <v>31</v>
      </c>
      <c r="F869" s="18" t="inlineStr">
        <is>
          <t>area_solicitante</t>
        </is>
      </c>
      <c r="G869" s="18" t="inlineStr">
        <is>
          <t>character varying(100)</t>
        </is>
      </c>
      <c r="H869" s="18" t="inlineStr">
        <is>
          <t>Sí</t>
        </is>
      </c>
      <c r="I869" s="18" t="inlineStr"/>
      <c r="J869" s="18" t="inlineStr"/>
      <c r="K869" s="18" t="inlineStr"/>
      <c r="L869" s="18" t="inlineStr">
        <is>
          <t>No</t>
        </is>
      </c>
      <c r="M869" s="18" t="inlineStr">
        <is>
          <t>No</t>
        </is>
      </c>
      <c r="N869" s="18" t="inlineStr"/>
      <c r="O869" s="18" t="inlineStr">
        <is>
          <t>idx_consultas_area</t>
        </is>
      </c>
      <c r="P869" s="18" t="inlineStr"/>
      <c r="Q869" s="18" t="inlineStr">
        <is>
          <t>Propuesta semántica</t>
        </is>
      </c>
      <c r="R869" s="18" t="inlineStr">
        <is>
          <t>Área que solicita la consulta.</t>
        </is>
      </c>
      <c r="S869" s="18" t="inlineStr">
        <is>
          <t>Alta</t>
        </is>
      </c>
      <c r="T869" s="18" t="inlineStr">
        <is>
          <t>nombre + tipo + columnas vecinas</t>
        </is>
      </c>
      <c r="U869" s="18" t="inlineStr"/>
      <c r="V869" s="19" t="inlineStr">
        <is>
          <t>Aprobada</t>
        </is>
      </c>
      <c r="W869" s="19" t="inlineStr"/>
      <c r="X869" s="19" t="inlineStr">
        <is>
          <t>Aldair González (aprobación en bloque)</t>
        </is>
      </c>
      <c r="Y869" s="20" t="n">
        <v>46321</v>
      </c>
      <c r="Z869" s="19" t="inlineStr">
        <is>
          <t>Nivel 1: propuesta del comentario del desarrollador o de confianza alta, o regla de fecha/responsable/motivo.</t>
        </is>
      </c>
      <c r="AA869" s="18">
        <f>IF(OR(V869="Aprobada"),R869,IF(AND(OR(V869="Aprobada con ajuste",V869="Rechazada"),W869&lt;&gt;""),W869,""))</f>
        <v/>
      </c>
    </row>
    <row r="870">
      <c r="A870" s="18" t="inlineStr">
        <is>
          <t>C0869</t>
        </is>
      </c>
      <c r="B870" s="18" t="inlineStr">
        <is>
          <t>Gestión jurídica</t>
        </is>
      </c>
      <c r="C870" s="18" t="inlineStr">
        <is>
          <t>legal_management</t>
        </is>
      </c>
      <c r="D870" s="18" t="inlineStr">
        <is>
          <t>consultas_juridicas</t>
        </is>
      </c>
      <c r="E870" s="18" t="n">
        <v>31</v>
      </c>
      <c r="F870" s="18" t="inlineStr">
        <is>
          <t>funcionario_solicitante</t>
        </is>
      </c>
      <c r="G870" s="18" t="inlineStr">
        <is>
          <t>character varying(150)</t>
        </is>
      </c>
      <c r="H870" s="18" t="inlineStr">
        <is>
          <t>Sí</t>
        </is>
      </c>
      <c r="I870" s="18" t="inlineStr"/>
      <c r="J870" s="18" t="inlineStr"/>
      <c r="K870" s="18" t="inlineStr"/>
      <c r="L870" s="18" t="inlineStr">
        <is>
          <t>No</t>
        </is>
      </c>
      <c r="M870" s="18" t="inlineStr">
        <is>
          <t>No</t>
        </is>
      </c>
      <c r="N870" s="18" t="inlineStr"/>
      <c r="O870" s="18" t="inlineStr"/>
      <c r="P870" s="18" t="inlineStr"/>
      <c r="Q870" s="18" t="inlineStr">
        <is>
          <t>Propuesta semántica</t>
        </is>
      </c>
      <c r="R870" s="18" t="inlineStr">
        <is>
          <t>Nombre del funcionario que solicita la consulta.</t>
        </is>
      </c>
      <c r="S870" s="18" t="inlineStr">
        <is>
          <t>Alta</t>
        </is>
      </c>
      <c r="T870" s="18" t="inlineStr">
        <is>
          <t>nombre + tipo + columnas vecinas</t>
        </is>
      </c>
      <c r="U870" s="18" t="inlineStr"/>
      <c r="V870" s="19" t="inlineStr">
        <is>
          <t>Aprobada</t>
        </is>
      </c>
      <c r="W870" s="19" t="inlineStr"/>
      <c r="X870" s="19" t="inlineStr">
        <is>
          <t>Aldair González (aprobación en bloque)</t>
        </is>
      </c>
      <c r="Y870" s="20" t="n">
        <v>46321</v>
      </c>
      <c r="Z870" s="19" t="inlineStr">
        <is>
          <t>Nivel 1: propuesta del comentario del desarrollador o de confianza alta, o regla de fecha/responsable/motivo.</t>
        </is>
      </c>
      <c r="AA870" s="18">
        <f>IF(OR(V870="Aprobada"),R870,IF(AND(OR(V870="Aprobada con ajuste",V870="Rechazada"),W870&lt;&gt;""),W870,""))</f>
        <v/>
      </c>
    </row>
    <row r="871">
      <c r="A871" s="18" t="inlineStr">
        <is>
          <t>C0870</t>
        </is>
      </c>
      <c r="B871" s="18" t="inlineStr">
        <is>
          <t>Gestión jurídica</t>
        </is>
      </c>
      <c r="C871" s="18" t="inlineStr">
        <is>
          <t>legal_management</t>
        </is>
      </c>
      <c r="D871" s="18" t="inlineStr">
        <is>
          <t>consultas_juridicas</t>
        </is>
      </c>
      <c r="E871" s="18" t="n">
        <v>31</v>
      </c>
      <c r="F871" s="18" t="inlineStr">
        <is>
          <t>cargo_solicitante</t>
        </is>
      </c>
      <c r="G871" s="18" t="inlineStr">
        <is>
          <t>character varying(100)</t>
        </is>
      </c>
      <c r="H871" s="18" t="inlineStr">
        <is>
          <t>Sí</t>
        </is>
      </c>
      <c r="I871" s="18" t="inlineStr"/>
      <c r="J871" s="18" t="inlineStr"/>
      <c r="K871" s="18" t="inlineStr"/>
      <c r="L871" s="18" t="inlineStr">
        <is>
          <t>No</t>
        </is>
      </c>
      <c r="M871" s="18" t="inlineStr">
        <is>
          <t>No</t>
        </is>
      </c>
      <c r="N871" s="18" t="inlineStr"/>
      <c r="O871" s="18" t="inlineStr"/>
      <c r="P871" s="18" t="inlineStr">
        <is>
          <t>Mapeada en legal-management-service/src/entities/consulta-juridica.entity.ts:26 (ConsultaJuridica.cargoSolicitante)</t>
        </is>
      </c>
      <c r="Q871" s="18" t="inlineStr">
        <is>
          <t>Propuesta semántica</t>
        </is>
      </c>
      <c r="R871" s="18" t="inlineStr">
        <is>
          <t>Cargo del funcionario solicitante.</t>
        </is>
      </c>
      <c r="S871" s="18" t="inlineStr">
        <is>
          <t>Alta</t>
        </is>
      </c>
      <c r="T871" s="18" t="inlineStr">
        <is>
          <t>nombre + tipo + columnas vecinas</t>
        </is>
      </c>
      <c r="U871" s="18" t="inlineStr"/>
      <c r="V871" s="19" t="inlineStr">
        <is>
          <t>Aprobada</t>
        </is>
      </c>
      <c r="W871" s="19" t="inlineStr"/>
      <c r="X871" s="19" t="inlineStr">
        <is>
          <t>Aldair González (aprobación en bloque)</t>
        </is>
      </c>
      <c r="Y871" s="20" t="n">
        <v>46321</v>
      </c>
      <c r="Z871" s="19" t="inlineStr">
        <is>
          <t>Nivel 1: propuesta del comentario del desarrollador o de confianza alta, o regla de fecha/responsable/motivo.</t>
        </is>
      </c>
      <c r="AA871" s="18">
        <f>IF(OR(V871="Aprobada"),R871,IF(AND(OR(V871="Aprobada con ajuste",V871="Rechazada"),W871&lt;&gt;""),W871,""))</f>
        <v/>
      </c>
    </row>
    <row r="872">
      <c r="A872" s="18" t="inlineStr">
        <is>
          <t>C0871</t>
        </is>
      </c>
      <c r="B872" s="18" t="inlineStr">
        <is>
          <t>Gestión jurídica</t>
        </is>
      </c>
      <c r="C872" s="18" t="inlineStr">
        <is>
          <t>legal_management</t>
        </is>
      </c>
      <c r="D872" s="18" t="inlineStr">
        <is>
          <t>consultas_juridicas</t>
        </is>
      </c>
      <c r="E872" s="18" t="n">
        <v>31</v>
      </c>
      <c r="F872" s="18" t="inlineStr">
        <is>
          <t>email_solicitante</t>
        </is>
      </c>
      <c r="G872" s="18" t="inlineStr">
        <is>
          <t>character varying(150)</t>
        </is>
      </c>
      <c r="H872" s="18" t="inlineStr">
        <is>
          <t>Sí</t>
        </is>
      </c>
      <c r="I872" s="18" t="inlineStr"/>
      <c r="J872" s="18" t="inlineStr"/>
      <c r="K872" s="18" t="inlineStr"/>
      <c r="L872" s="18" t="inlineStr">
        <is>
          <t>No</t>
        </is>
      </c>
      <c r="M872" s="18" t="inlineStr">
        <is>
          <t>No</t>
        </is>
      </c>
      <c r="N872" s="18" t="inlineStr"/>
      <c r="O872" s="18" t="inlineStr"/>
      <c r="P872" s="18" t="inlineStr">
        <is>
          <t>Mapeada en legal-management-service/src/entities/consulta-juridica.entity.ts:29 (ConsultaJuridica.emailSolicitante)</t>
        </is>
      </c>
      <c r="Q872" s="18" t="inlineStr">
        <is>
          <t>Propuesta semántica</t>
        </is>
      </c>
      <c r="R872" s="18" t="inlineStr">
        <is>
          <t>Correo electrónico del solicitante.</t>
        </is>
      </c>
      <c r="S872" s="18" t="inlineStr">
        <is>
          <t>Alta</t>
        </is>
      </c>
      <c r="T872" s="18" t="inlineStr">
        <is>
          <t>nombre + tipo + columnas vecinas</t>
        </is>
      </c>
      <c r="U872" s="18" t="inlineStr"/>
      <c r="V872" s="19" t="inlineStr">
        <is>
          <t>Aprobada</t>
        </is>
      </c>
      <c r="W872" s="19" t="inlineStr"/>
      <c r="X872" s="19" t="inlineStr">
        <is>
          <t>Aldair González (aprobación en bloque)</t>
        </is>
      </c>
      <c r="Y872" s="20" t="n">
        <v>46321</v>
      </c>
      <c r="Z872" s="19" t="inlineStr">
        <is>
          <t>Nivel 1: propuesta del comentario del desarrollador o de confianza alta, o regla de fecha/responsable/motivo.</t>
        </is>
      </c>
      <c r="AA872" s="18">
        <f>IF(OR(V872="Aprobada"),R872,IF(AND(OR(V872="Aprobada con ajuste",V872="Rechazada"),W872&lt;&gt;""),W872,""))</f>
        <v/>
      </c>
    </row>
    <row r="873">
      <c r="A873" s="18" t="inlineStr">
        <is>
          <t>C0872</t>
        </is>
      </c>
      <c r="B873" s="18" t="inlineStr">
        <is>
          <t>Gestión jurídica</t>
        </is>
      </c>
      <c r="C873" s="18" t="inlineStr">
        <is>
          <t>legal_management</t>
        </is>
      </c>
      <c r="D873" s="18" t="inlineStr">
        <is>
          <t>consultas_juridicas</t>
        </is>
      </c>
      <c r="E873" s="18" t="n">
        <v>31</v>
      </c>
      <c r="F873" s="18" t="inlineStr">
        <is>
          <t>telefono_solicitante</t>
        </is>
      </c>
      <c r="G873" s="18" t="inlineStr">
        <is>
          <t>character varying(20)</t>
        </is>
      </c>
      <c r="H873" s="18" t="inlineStr">
        <is>
          <t>Sí</t>
        </is>
      </c>
      <c r="I873" s="18" t="inlineStr"/>
      <c r="J873" s="18" t="inlineStr"/>
      <c r="K873" s="18" t="inlineStr"/>
      <c r="L873" s="18" t="inlineStr">
        <is>
          <t>No</t>
        </is>
      </c>
      <c r="M873" s="18" t="inlineStr">
        <is>
          <t>No</t>
        </is>
      </c>
      <c r="N873" s="18" t="inlineStr"/>
      <c r="O873" s="18" t="inlineStr"/>
      <c r="P873" s="18" t="inlineStr">
        <is>
          <t>Mapeada en legal-management-service/src/entities/consulta-juridica.entity.ts:32 (ConsultaJuridica.telefonoSolicitante)</t>
        </is>
      </c>
      <c r="Q873" s="18" t="inlineStr">
        <is>
          <t>Propuesta semántica</t>
        </is>
      </c>
      <c r="R873" s="18" t="inlineStr">
        <is>
          <t>Teléfono del solicitante.</t>
        </is>
      </c>
      <c r="S873" s="18" t="inlineStr">
        <is>
          <t>Alta</t>
        </is>
      </c>
      <c r="T873" s="18" t="inlineStr">
        <is>
          <t>nombre + tipo + columnas vecinas</t>
        </is>
      </c>
      <c r="U873" s="18" t="inlineStr"/>
      <c r="V873" s="19" t="inlineStr">
        <is>
          <t>Aprobada</t>
        </is>
      </c>
      <c r="W873" s="19" t="inlineStr"/>
      <c r="X873" s="19" t="inlineStr">
        <is>
          <t>Aldair González (aprobación en bloque)</t>
        </is>
      </c>
      <c r="Y873" s="20" t="n">
        <v>46321</v>
      </c>
      <c r="Z873" s="19" t="inlineStr">
        <is>
          <t>Nivel 1: propuesta del comentario del desarrollador o de confianza alta, o regla de fecha/responsable/motivo.</t>
        </is>
      </c>
      <c r="AA873" s="18">
        <f>IF(OR(V873="Aprobada"),R873,IF(AND(OR(V873="Aprobada con ajuste",V873="Rechazada"),W873&lt;&gt;""),W873,""))</f>
        <v/>
      </c>
    </row>
    <row r="874">
      <c r="A874" s="18" t="inlineStr">
        <is>
          <t>C0873</t>
        </is>
      </c>
      <c r="B874" s="18" t="inlineStr">
        <is>
          <t>Gestión jurídica</t>
        </is>
      </c>
      <c r="C874" s="18" t="inlineStr">
        <is>
          <t>legal_management</t>
        </is>
      </c>
      <c r="D874" s="18" t="inlineStr">
        <is>
          <t>consultas_juridicas</t>
        </is>
      </c>
      <c r="E874" s="18" t="n">
        <v>31</v>
      </c>
      <c r="F874" s="18" t="inlineStr">
        <is>
          <t>asunto</t>
        </is>
      </c>
      <c r="G874" s="18" t="inlineStr">
        <is>
          <t>character varying(300)</t>
        </is>
      </c>
      <c r="H874" s="18" t="inlineStr">
        <is>
          <t>Sí</t>
        </is>
      </c>
      <c r="I874" s="18" t="inlineStr"/>
      <c r="J874" s="18" t="inlineStr"/>
      <c r="K874" s="18" t="inlineStr"/>
      <c r="L874" s="18" t="inlineStr">
        <is>
          <t>No</t>
        </is>
      </c>
      <c r="M874" s="18" t="inlineStr">
        <is>
          <t>No</t>
        </is>
      </c>
      <c r="N874" s="18" t="inlineStr"/>
      <c r="O874" s="18" t="inlineStr"/>
      <c r="P874" s="18" t="inlineStr"/>
      <c r="Q874" s="18" t="inlineStr">
        <is>
          <t>Propuesta semántica</t>
        </is>
      </c>
      <c r="R874" s="18" t="inlineStr">
        <is>
          <t>Asunto de la consulta jurídica.</t>
        </is>
      </c>
      <c r="S874" s="18" t="inlineStr">
        <is>
          <t>Alta</t>
        </is>
      </c>
      <c r="T874" s="18" t="inlineStr">
        <is>
          <t>nombre + tipo + columnas vecinas</t>
        </is>
      </c>
      <c r="U874" s="18" t="inlineStr"/>
      <c r="V874" s="19" t="inlineStr">
        <is>
          <t>Aprobada</t>
        </is>
      </c>
      <c r="W874" s="19" t="inlineStr"/>
      <c r="X874" s="19" t="inlineStr">
        <is>
          <t>Aldair González (aprobación en bloque)</t>
        </is>
      </c>
      <c r="Y874" s="20" t="n">
        <v>46321</v>
      </c>
      <c r="Z874" s="19" t="inlineStr">
        <is>
          <t>Nivel 1: propuesta del comentario del desarrollador o de confianza alta, o regla de fecha/responsable/motivo.</t>
        </is>
      </c>
      <c r="AA874" s="18">
        <f>IF(OR(V874="Aprobada"),R874,IF(AND(OR(V874="Aprobada con ajuste",V874="Rechazada"),W874&lt;&gt;""),W874,""))</f>
        <v/>
      </c>
    </row>
    <row r="875">
      <c r="A875" s="18" t="inlineStr">
        <is>
          <t>C0874</t>
        </is>
      </c>
      <c r="B875" s="18" t="inlineStr">
        <is>
          <t>Gestión jurídica</t>
        </is>
      </c>
      <c r="C875" s="18" t="inlineStr">
        <is>
          <t>legal_management</t>
        </is>
      </c>
      <c r="D875" s="18" t="inlineStr">
        <is>
          <t>consultas_juridicas</t>
        </is>
      </c>
      <c r="E875" s="18" t="n">
        <v>31</v>
      </c>
      <c r="F875" s="18" t="inlineStr">
        <is>
          <t>descripcion</t>
        </is>
      </c>
      <c r="G875" s="18" t="inlineStr">
        <is>
          <t>text</t>
        </is>
      </c>
      <c r="H875" s="18" t="inlineStr">
        <is>
          <t>Sí</t>
        </is>
      </c>
      <c r="I875" s="18" t="inlineStr"/>
      <c r="J875" s="18" t="inlineStr"/>
      <c r="K875" s="18" t="inlineStr"/>
      <c r="L875" s="18" t="inlineStr">
        <is>
          <t>No</t>
        </is>
      </c>
      <c r="M875" s="18" t="inlineStr">
        <is>
          <t>No</t>
        </is>
      </c>
      <c r="N875" s="18" t="inlineStr"/>
      <c r="O875" s="18" t="inlineStr"/>
      <c r="P875" s="18" t="inlineStr">
        <is>
          <t>Mapeada en legal-management-service/src/entities/consulta-juridica.entity.ts:41 (ConsultaJuridica.descripcion)</t>
        </is>
      </c>
      <c r="Q875" s="18" t="inlineStr">
        <is>
          <t>Regla estructural (redacción revisada)</t>
        </is>
      </c>
      <c r="R875" s="18" t="inlineStr">
        <is>
          <t>Descripción de la consulta jurídica.</t>
        </is>
      </c>
      <c r="S875" s="18" t="inlineStr">
        <is>
          <t>Alta</t>
        </is>
      </c>
      <c r="T875" s="18" t="inlineStr">
        <is>
          <t>Convención de nombre, redactada con el contexto de la tabla y el código.</t>
        </is>
      </c>
      <c r="U875" s="18" t="inlineStr"/>
      <c r="V875" s="19" t="inlineStr">
        <is>
          <t>Aprobada</t>
        </is>
      </c>
      <c r="W875" s="19" t="inlineStr"/>
      <c r="X875" s="19" t="inlineStr">
        <is>
          <t>Aldair González (aprobación en bloque)</t>
        </is>
      </c>
      <c r="Y875" s="20" t="n">
        <v>46321</v>
      </c>
      <c r="Z875" s="19" t="inlineStr">
        <is>
          <t>Nivel 2: regla estructural con redacción revisada.</t>
        </is>
      </c>
      <c r="AA875" s="18">
        <f>IF(OR(V875="Aprobada"),R875,IF(AND(OR(V875="Aprobada con ajuste",V875="Rechazada"),W875&lt;&gt;""),W875,""))</f>
        <v/>
      </c>
    </row>
    <row r="876">
      <c r="A876" s="18" t="inlineStr">
        <is>
          <t>C0875</t>
        </is>
      </c>
      <c r="B876" s="18" t="inlineStr">
        <is>
          <t>Gestión jurídica</t>
        </is>
      </c>
      <c r="C876" s="18" t="inlineStr">
        <is>
          <t>legal_management</t>
        </is>
      </c>
      <c r="D876" s="18" t="inlineStr">
        <is>
          <t>consultas_juridicas</t>
        </is>
      </c>
      <c r="E876" s="18" t="n">
        <v>31</v>
      </c>
      <c r="F876" s="18" t="inlineStr">
        <is>
          <t>antecedentes</t>
        </is>
      </c>
      <c r="G876" s="18" t="inlineStr">
        <is>
          <t>text</t>
        </is>
      </c>
      <c r="H876" s="18" t="inlineStr">
        <is>
          <t>Sí</t>
        </is>
      </c>
      <c r="I876" s="18" t="inlineStr"/>
      <c r="J876" s="18" t="inlineStr"/>
      <c r="K876" s="18" t="inlineStr"/>
      <c r="L876" s="18" t="inlineStr">
        <is>
          <t>No</t>
        </is>
      </c>
      <c r="M876" s="18" t="inlineStr">
        <is>
          <t>No</t>
        </is>
      </c>
      <c r="N876" s="18" t="inlineStr"/>
      <c r="O876" s="18" t="inlineStr"/>
      <c r="P876" s="18" t="inlineStr">
        <is>
          <t>Mapeada en legal-management-service/src/entities/consulta-juridica.entity.ts:44 (ConsultaJuridica.antecedentes)</t>
        </is>
      </c>
      <c r="Q876" s="18" t="inlineStr">
        <is>
          <t>Propuesta semántica</t>
        </is>
      </c>
      <c r="R876" s="18" t="inlineStr">
        <is>
          <t>Antecedentes de la consulta jurídica.</t>
        </is>
      </c>
      <c r="S876" s="18" t="inlineStr">
        <is>
          <t>Alta</t>
        </is>
      </c>
      <c r="T876" s="18" t="inlineStr">
        <is>
          <t>nombre + tipo + columnas vecinas</t>
        </is>
      </c>
      <c r="U876" s="18" t="inlineStr"/>
      <c r="V876" s="19" t="inlineStr">
        <is>
          <t>Aprobada</t>
        </is>
      </c>
      <c r="W876" s="19" t="inlineStr"/>
      <c r="X876" s="19" t="inlineStr">
        <is>
          <t>Aldair González (aprobación en bloque)</t>
        </is>
      </c>
      <c r="Y876" s="20" t="n">
        <v>46321</v>
      </c>
      <c r="Z876" s="19" t="inlineStr">
        <is>
          <t>Nivel 1: propuesta del comentario del desarrollador o de confianza alta, o regla de fecha/responsable/motivo.</t>
        </is>
      </c>
      <c r="AA876" s="18">
        <f>IF(OR(V876="Aprobada"),R876,IF(AND(OR(V876="Aprobada con ajuste",V876="Rechazada"),W876&lt;&gt;""),W876,""))</f>
        <v/>
      </c>
    </row>
    <row r="877">
      <c r="A877" s="18" t="inlineStr">
        <is>
          <t>C0876</t>
        </is>
      </c>
      <c r="B877" s="18" t="inlineStr">
        <is>
          <t>Gestión jurídica</t>
        </is>
      </c>
      <c r="C877" s="18" t="inlineStr">
        <is>
          <t>legal_management</t>
        </is>
      </c>
      <c r="D877" s="18" t="inlineStr">
        <is>
          <t>consultas_juridicas</t>
        </is>
      </c>
      <c r="E877" s="18" t="n">
        <v>31</v>
      </c>
      <c r="F877" s="18" t="inlineStr">
        <is>
          <t>documentos_soporte_urls</t>
        </is>
      </c>
      <c r="G877" s="18" t="inlineStr">
        <is>
          <t>text[]</t>
        </is>
      </c>
      <c r="H877" s="18" t="inlineStr">
        <is>
          <t>Sí</t>
        </is>
      </c>
      <c r="I877" s="18" t="inlineStr"/>
      <c r="J877" s="18" t="inlineStr"/>
      <c r="K877" s="18" t="inlineStr"/>
      <c r="L877" s="18" t="inlineStr">
        <is>
          <t>No</t>
        </is>
      </c>
      <c r="M877" s="18" t="inlineStr">
        <is>
          <t>No</t>
        </is>
      </c>
      <c r="N877" s="18" t="inlineStr"/>
      <c r="O877" s="18" t="inlineStr"/>
      <c r="P877" s="18" t="inlineStr"/>
      <c r="Q877" s="18" t="inlineStr">
        <is>
          <t>Propuesta semántica</t>
        </is>
      </c>
      <c r="R877" s="18" t="inlineStr">
        <is>
          <t>URL de los documentos soporte de la consulta.</t>
        </is>
      </c>
      <c r="S877" s="18" t="inlineStr">
        <is>
          <t>Alta</t>
        </is>
      </c>
      <c r="T877" s="18" t="inlineStr">
        <is>
          <t>nombre + tipo + columnas vecinas</t>
        </is>
      </c>
      <c r="U877" s="18" t="inlineStr"/>
      <c r="V877" s="19" t="inlineStr">
        <is>
          <t>Aprobada</t>
        </is>
      </c>
      <c r="W877" s="19" t="inlineStr"/>
      <c r="X877" s="19" t="inlineStr">
        <is>
          <t>Aldair González (aprobación en bloque)</t>
        </is>
      </c>
      <c r="Y877" s="20" t="n">
        <v>46321</v>
      </c>
      <c r="Z877" s="19" t="inlineStr">
        <is>
          <t>Nivel 1: propuesta del comentario del desarrollador o de confianza alta, o regla de fecha/responsable/motivo.</t>
        </is>
      </c>
      <c r="AA877" s="18">
        <f>IF(OR(V877="Aprobada"),R877,IF(AND(OR(V877="Aprobada con ajuste",V877="Rechazada"),W877&lt;&gt;""),W877,""))</f>
        <v/>
      </c>
    </row>
    <row r="878">
      <c r="A878" s="18" t="inlineStr">
        <is>
          <t>C0877</t>
        </is>
      </c>
      <c r="B878" s="18" t="inlineStr">
        <is>
          <t>Gestión jurídica</t>
        </is>
      </c>
      <c r="C878" s="18" t="inlineStr">
        <is>
          <t>legal_management</t>
        </is>
      </c>
      <c r="D878" s="18" t="inlineStr">
        <is>
          <t>consultas_juridicas</t>
        </is>
      </c>
      <c r="E878" s="18" t="n">
        <v>31</v>
      </c>
      <c r="F878" s="18" t="inlineStr">
        <is>
          <t>tema_principal</t>
        </is>
      </c>
      <c r="G878" s="18" t="inlineStr">
        <is>
          <t>character varying(100)</t>
        </is>
      </c>
      <c r="H878" s="18" t="inlineStr">
        <is>
          <t>Sí</t>
        </is>
      </c>
      <c r="I878" s="18" t="inlineStr"/>
      <c r="J878" s="18" t="inlineStr"/>
      <c r="K878" s="18" t="inlineStr"/>
      <c r="L878" s="18" t="inlineStr">
        <is>
          <t>No</t>
        </is>
      </c>
      <c r="M878" s="18" t="inlineStr">
        <is>
          <t>No</t>
        </is>
      </c>
      <c r="N878" s="18" t="inlineStr"/>
      <c r="O878" s="18" t="inlineStr">
        <is>
          <t>idx_consultas_tema</t>
        </is>
      </c>
      <c r="P878" s="18" t="inlineStr"/>
      <c r="Q878" s="18" t="inlineStr">
        <is>
          <t>Código fuente (verificado)</t>
        </is>
      </c>
      <c r="R878" s="18" t="inlineStr">
        <is>
          <t>Tema principal de la consulta, columna de la versión inicial del módulo sin uso en la entidad actual.</t>
        </is>
      </c>
      <c r="S878" s="18" t="inlineStr">
        <is>
          <t>Media</t>
        </is>
      </c>
      <c r="T878" s="18" t="inlineStr">
        <is>
          <t>db/init/007_legal_management_ddl_20260129_215541.sql:464: varchar(100) | legal-management-service/src/entities/consulta-juridica.entity.ts:38: la entidad usa materia_juridica y no mapea tema_principal</t>
        </is>
      </c>
      <c r="U878" s="18" t="inlineStr">
        <is>
          <t>¿tema_principal sigue en uso o fue reemplazada por materia_juridica?</t>
        </is>
      </c>
      <c r="V878" s="19" t="inlineStr">
        <is>
          <t>Aprobada</t>
        </is>
      </c>
      <c r="W878" s="19" t="inlineStr"/>
      <c r="X878" s="19" t="inlineStr">
        <is>
          <t>Aldair González (validación del responsable de BD)</t>
        </is>
      </c>
      <c r="Y878" s="20" t="n">
        <v>46321</v>
      </c>
      <c r="Z878" s="19" t="inlineStr">
        <is>
          <t>Nivel 3: validada por decisión del responsable de la base de datos. Pregunta registrada para desarrollo: ¿tema_principal sigue en uso o fue reemplazada por materia_juridica?</t>
        </is>
      </c>
      <c r="AA878" s="18">
        <f>IF(OR(V878="Aprobada"),R878,IF(AND(OR(V878="Aprobada con ajuste",V878="Rechazada"),W878&lt;&gt;""),W878,""))</f>
        <v/>
      </c>
    </row>
    <row r="879">
      <c r="A879" s="18" t="inlineStr">
        <is>
          <t>C0878</t>
        </is>
      </c>
      <c r="B879" s="18" t="inlineStr">
        <is>
          <t>Gestión jurídica</t>
        </is>
      </c>
      <c r="C879" s="18" t="inlineStr">
        <is>
          <t>legal_management</t>
        </is>
      </c>
      <c r="D879" s="18" t="inlineStr">
        <is>
          <t>consultas_juridicas</t>
        </is>
      </c>
      <c r="E879" s="18" t="n">
        <v>31</v>
      </c>
      <c r="F879" s="18" t="inlineStr">
        <is>
          <t>palabras_clave</t>
        </is>
      </c>
      <c r="G879" s="18" t="inlineStr">
        <is>
          <t>text[]</t>
        </is>
      </c>
      <c r="H879" s="18" t="inlineStr">
        <is>
          <t>Sí</t>
        </is>
      </c>
      <c r="I879" s="18" t="inlineStr"/>
      <c r="J879" s="18" t="inlineStr"/>
      <c r="K879" s="18" t="inlineStr"/>
      <c r="L879" s="18" t="inlineStr">
        <is>
          <t>No</t>
        </is>
      </c>
      <c r="M879" s="18" t="inlineStr">
        <is>
          <t>No</t>
        </is>
      </c>
      <c r="N879" s="18" t="inlineStr"/>
      <c r="O879" s="18" t="inlineStr"/>
      <c r="P879" s="18" t="inlineStr"/>
      <c r="Q879" s="18" t="inlineStr">
        <is>
          <t>Propuesta semántica</t>
        </is>
      </c>
      <c r="R879" s="18" t="inlineStr">
        <is>
          <t>Palabras clave de la consulta.</t>
        </is>
      </c>
      <c r="S879" s="18" t="inlineStr">
        <is>
          <t>Alta</t>
        </is>
      </c>
      <c r="T879" s="18" t="inlineStr">
        <is>
          <t>nombre + tipo + columnas vecinas</t>
        </is>
      </c>
      <c r="U879" s="18" t="inlineStr"/>
      <c r="V879" s="19" t="inlineStr">
        <is>
          <t>Aprobada</t>
        </is>
      </c>
      <c r="W879" s="19" t="inlineStr"/>
      <c r="X879" s="19" t="inlineStr">
        <is>
          <t>Aldair González (aprobación en bloque)</t>
        </is>
      </c>
      <c r="Y879" s="20" t="n">
        <v>46321</v>
      </c>
      <c r="Z879" s="19" t="inlineStr">
        <is>
          <t>Nivel 1: propuesta del comentario del desarrollador o de confianza alta, o regla de fecha/responsable/motivo.</t>
        </is>
      </c>
      <c r="AA879" s="18">
        <f>IF(OR(V879="Aprobada"),R879,IF(AND(OR(V879="Aprobada con ajuste",V879="Rechazada"),W879&lt;&gt;""),W879,""))</f>
        <v/>
      </c>
    </row>
    <row r="880">
      <c r="A880" s="18" t="inlineStr">
        <is>
          <t>C0879</t>
        </is>
      </c>
      <c r="B880" s="18" t="inlineStr">
        <is>
          <t>Gestión jurídica</t>
        </is>
      </c>
      <c r="C880" s="18" t="inlineStr">
        <is>
          <t>legal_management</t>
        </is>
      </c>
      <c r="D880" s="18" t="inlineStr">
        <is>
          <t>consultas_juridicas</t>
        </is>
      </c>
      <c r="E880" s="18" t="n">
        <v>31</v>
      </c>
      <c r="F880" s="18" t="inlineStr">
        <is>
          <t>abogado_asignado_id</t>
        </is>
      </c>
      <c r="G880" s="18" t="inlineStr">
        <is>
          <t>uuid</t>
        </is>
      </c>
      <c r="H880" s="18" t="inlineStr">
        <is>
          <t>Sí</t>
        </is>
      </c>
      <c r="I880" s="18" t="inlineStr"/>
      <c r="J880" s="18" t="inlineStr"/>
      <c r="K880" s="18" t="inlineStr"/>
      <c r="L880" s="18" t="inlineStr">
        <is>
          <t>No</t>
        </is>
      </c>
      <c r="M880" s="18" t="inlineStr">
        <is>
          <t>No</t>
        </is>
      </c>
      <c r="N880" s="18" t="inlineStr"/>
      <c r="O880" s="18" t="inlineStr">
        <is>
          <t>idx_consultas_abogado</t>
        </is>
      </c>
      <c r="P880" s="18" t="inlineStr">
        <is>
          <t>Mapeada en legal-management-service/src/entities/consulta-juridica.entity.ts:47 (ConsultaJuridica.abogadoAsignadoId)</t>
        </is>
      </c>
      <c r="Q880" s="18" t="inlineStr">
        <is>
          <t>Código fuente (verificado)</t>
        </is>
      </c>
      <c r="R880" s="18" t="inlineStr">
        <is>
          <t>Identificador (UUID) del usuario (auth."user", id_user) asignado a la consulta. Tenía FK a la tabla abogados, eliminada al pasar a la autenticación federada.</t>
        </is>
      </c>
      <c r="S880" s="18" t="inlineStr">
        <is>
          <t>Alta</t>
        </is>
      </c>
      <c r="T880" s="18" t="inlineStr">
        <is>
          <t>db/migrations/315_cleanup_legal_obsolete_tables.sql:22: suelta consultas_juridicas_abogado_asignado_id_fkey | legal-management-service/src/services/consultas-juridicas.service.ts:61: compara con el id_user del usuario autenticado | legal-management-service/src/services/consultas-juridicas.service.ts:536: notifica con notifyUserById sobre auth."user"</t>
        </is>
      </c>
      <c r="U880" s="18" t="inlineStr"/>
      <c r="V880" s="19" t="inlineStr">
        <is>
          <t>Aprobada</t>
        </is>
      </c>
      <c r="W880" s="19" t="inlineStr"/>
      <c r="X880" s="19" t="inlineStr">
        <is>
          <t>Aldair González (aprobación en bloque)</t>
        </is>
      </c>
      <c r="Y880" s="20" t="n">
        <v>46321</v>
      </c>
      <c r="Z880" s="19" t="inlineStr">
        <is>
          <t>Nivel 3: verificada con el código de la aplicación.</t>
        </is>
      </c>
      <c r="AA880" s="18">
        <f>IF(OR(V880="Aprobada"),R880,IF(AND(OR(V880="Aprobada con ajuste",V880="Rechazada"),W880&lt;&gt;""),W880,""))</f>
        <v/>
      </c>
    </row>
    <row r="881">
      <c r="A881" s="18" t="inlineStr">
        <is>
          <t>C0880</t>
        </is>
      </c>
      <c r="B881" s="18" t="inlineStr">
        <is>
          <t>Gestión jurídica</t>
        </is>
      </c>
      <c r="C881" s="18" t="inlineStr">
        <is>
          <t>legal_management</t>
        </is>
      </c>
      <c r="D881" s="18" t="inlineStr">
        <is>
          <t>consultas_juridicas</t>
        </is>
      </c>
      <c r="E881" s="18" t="n">
        <v>31</v>
      </c>
      <c r="F881" s="18" t="inlineStr">
        <is>
          <t>abogado_asignado_nombre</t>
        </is>
      </c>
      <c r="G881" s="18" t="inlineStr">
        <is>
          <t>character varying(150)</t>
        </is>
      </c>
      <c r="H881" s="18" t="inlineStr">
        <is>
          <t>Sí</t>
        </is>
      </c>
      <c r="I881" s="18" t="inlineStr"/>
      <c r="J881" s="18" t="inlineStr"/>
      <c r="K881" s="18" t="inlineStr"/>
      <c r="L881" s="18" t="inlineStr">
        <is>
          <t>No</t>
        </is>
      </c>
      <c r="M881" s="18" t="inlineStr">
        <is>
          <t>No</t>
        </is>
      </c>
      <c r="N881" s="18" t="inlineStr"/>
      <c r="O881" s="18" t="inlineStr"/>
      <c r="P881" s="18" t="inlineStr">
        <is>
          <t>Mapeada en legal-management-service/src/entities/consulta-juridica.entity.ts:50 (ConsultaJuridica.abogadoAsignadoNombre)</t>
        </is>
      </c>
      <c r="Q881" s="18" t="inlineStr">
        <is>
          <t>Propuesta semántica</t>
        </is>
      </c>
      <c r="R881" s="18" t="inlineStr">
        <is>
          <t>Nombre del abogado asignado a la consulta.</t>
        </is>
      </c>
      <c r="S881" s="18" t="inlineStr">
        <is>
          <t>Alta</t>
        </is>
      </c>
      <c r="T881" s="18" t="inlineStr">
        <is>
          <t>nombre + tipo + columnas vecinas</t>
        </is>
      </c>
      <c r="U881" s="18" t="inlineStr"/>
      <c r="V881" s="19" t="inlineStr">
        <is>
          <t>Aprobada</t>
        </is>
      </c>
      <c r="W881" s="19" t="inlineStr"/>
      <c r="X881" s="19" t="inlineStr">
        <is>
          <t>Aldair González (aprobación en bloque)</t>
        </is>
      </c>
      <c r="Y881" s="20" t="n">
        <v>46321</v>
      </c>
      <c r="Z881" s="19" t="inlineStr">
        <is>
          <t>Nivel 1: propuesta del comentario del desarrollador o de confianza alta, o regla de fecha/responsable/motivo.</t>
        </is>
      </c>
      <c r="AA881" s="18">
        <f>IF(OR(V881="Aprobada"),R881,IF(AND(OR(V881="Aprobada con ajuste",V881="Rechazada"),W881&lt;&gt;""),W881,""))</f>
        <v/>
      </c>
    </row>
    <row r="882">
      <c r="A882" s="18" t="inlineStr">
        <is>
          <t>C0881</t>
        </is>
      </c>
      <c r="B882" s="18" t="inlineStr">
        <is>
          <t>Gestión jurídica</t>
        </is>
      </c>
      <c r="C882" s="18" t="inlineStr">
        <is>
          <t>legal_management</t>
        </is>
      </c>
      <c r="D882" s="18" t="inlineStr">
        <is>
          <t>consultas_juridicas</t>
        </is>
      </c>
      <c r="E882" s="18" t="n">
        <v>31</v>
      </c>
      <c r="F882" s="18" t="inlineStr">
        <is>
          <t>fecha_asignacion</t>
        </is>
      </c>
      <c r="G882" s="18" t="inlineStr">
        <is>
          <t>timestamp without time zone</t>
        </is>
      </c>
      <c r="H882" s="18" t="inlineStr">
        <is>
          <t>Sí</t>
        </is>
      </c>
      <c r="I882" s="18" t="inlineStr"/>
      <c r="J882" s="18" t="inlineStr"/>
      <c r="K882" s="18" t="inlineStr"/>
      <c r="L882" s="18" t="inlineStr">
        <is>
          <t>No</t>
        </is>
      </c>
      <c r="M882" s="18" t="inlineStr">
        <is>
          <t>No</t>
        </is>
      </c>
      <c r="N882" s="18" t="inlineStr"/>
      <c r="O882" s="18" t="inlineStr"/>
      <c r="P882" s="18" t="inlineStr">
        <is>
          <t>Mapeada en legal-management-service/src/entities/consulta-juridica.entity.ts:53 (ConsultaJuridica.fechaAsignacion)</t>
        </is>
      </c>
      <c r="Q882" s="18" t="inlineStr">
        <is>
          <t>Regla estructural (redacción revisada)</t>
        </is>
      </c>
      <c r="R882" s="18" t="inlineStr">
        <is>
          <t>Fecha y hora de asignación de la consulta jurídica.</t>
        </is>
      </c>
      <c r="S882" s="18" t="inlineStr">
        <is>
          <t>Alta</t>
        </is>
      </c>
      <c r="T882" s="18" t="inlineStr">
        <is>
          <t>Convención de nombre, redactada con el contexto de la tabla y el código.</t>
        </is>
      </c>
      <c r="U882" s="18" t="inlineStr"/>
      <c r="V882" s="19" t="inlineStr">
        <is>
          <t>Aprobada</t>
        </is>
      </c>
      <c r="W882" s="19" t="inlineStr"/>
      <c r="X882" s="19" t="inlineStr">
        <is>
          <t>Aldair González (aprobación en bloque)</t>
        </is>
      </c>
      <c r="Y882" s="20" t="n">
        <v>46321</v>
      </c>
      <c r="Z882" s="19" t="inlineStr">
        <is>
          <t>Nivel 2: regla estructural con redacción revisada.</t>
        </is>
      </c>
      <c r="AA882" s="18">
        <f>IF(OR(V882="Aprobada"),R882,IF(AND(OR(V882="Aprobada con ajuste",V882="Rechazada"),W882&lt;&gt;""),W882,""))</f>
        <v/>
      </c>
    </row>
    <row r="883">
      <c r="A883" s="18" t="inlineStr">
        <is>
          <t>C0882</t>
        </is>
      </c>
      <c r="B883" s="18" t="inlineStr">
        <is>
          <t>Gestión jurídica</t>
        </is>
      </c>
      <c r="C883" s="18" t="inlineStr">
        <is>
          <t>legal_management</t>
        </is>
      </c>
      <c r="D883" s="18" t="inlineStr">
        <is>
          <t>consultas_juridicas</t>
        </is>
      </c>
      <c r="E883" s="18" t="n">
        <v>31</v>
      </c>
      <c r="F883" s="18" t="inlineStr">
        <is>
          <t>estado</t>
        </is>
      </c>
      <c r="G883" s="18" t="inlineStr">
        <is>
          <t>character varying(30)</t>
        </is>
      </c>
      <c r="H883" s="18" t="inlineStr">
        <is>
          <t>Sí</t>
        </is>
      </c>
      <c r="I883" s="18" t="inlineStr"/>
      <c r="J883" s="18" t="inlineStr"/>
      <c r="K883" s="18" t="inlineStr"/>
      <c r="L883" s="18" t="inlineStr">
        <is>
          <t>No</t>
        </is>
      </c>
      <c r="M883" s="18" t="inlineStr">
        <is>
          <t>No</t>
        </is>
      </c>
      <c r="N883" s="18" t="inlineStr"/>
      <c r="O883" s="18" t="inlineStr">
        <is>
          <t>idx_consultas_estado</t>
        </is>
      </c>
      <c r="P883" s="18" t="inlineStr">
        <is>
          <t>legal-management-service/src/entities/consulta-juridica.entity.ts:68: en_radicacion, asignado, en_analisis, en_revision, respondido, cerrado, vencido</t>
        </is>
      </c>
      <c r="Q883" s="18" t="inlineStr">
        <is>
          <t>Código fuente (verificado)</t>
        </is>
      </c>
      <c r="R883" s="18" t="inlineStr">
        <is>
          <t>Estado de la consulta jurídica. Valores posibles: en_radicacion, asignado, en_analisis, en_revision, pendiente_revision_jefe, devuelta_por_jefe, respondido, cerrado, vencido. La aplicación siempre fija el estado al crear (en_radicacion o asignado); el defecto RADICADA de la base viene de la versión inicial de la tabla.</t>
        </is>
      </c>
      <c r="S883" s="18" t="inlineStr">
        <is>
          <t>Alta</t>
        </is>
      </c>
      <c r="T883" s="18" t="inlineStr">
        <is>
          <t>legal-management-service/src/entities/consulta-juridica.entity.ts:68: default en_radicacion y lista de valores | legal-management-service/src/services/consultas-juridicas.service.ts:138: estado al crear | legal-management-service/src/services/consultas-juridicas.service.ts:331: pendiente_revision_jefe | legal-management-service/src/services/consultas-juridicas.service.ts:485: devuelta_por_jefe | legal-management-service/src/services/alertas-vencimiento.service.ts:69: vencido | db/migrations/old/049_create_consultas_juridicas.sql:31: elimina los CHECK heredados</t>
        </is>
      </c>
      <c r="U883" s="18" t="inlineStr"/>
      <c r="V883" s="19" t="inlineStr">
        <is>
          <t>Aprobada</t>
        </is>
      </c>
      <c r="W883" s="19" t="inlineStr"/>
      <c r="X883" s="19" t="inlineStr">
        <is>
          <t>Aldair González (aprobación en bloque)</t>
        </is>
      </c>
      <c r="Y883" s="20" t="n">
        <v>46321</v>
      </c>
      <c r="Z883" s="19" t="inlineStr">
        <is>
          <t>Nivel 3: verificada con el código de la aplicación.</t>
        </is>
      </c>
      <c r="AA883" s="18">
        <f>IF(OR(V883="Aprobada"),R883,IF(AND(OR(V883="Aprobada con ajuste",V883="Rechazada"),W883&lt;&gt;""),W883,""))</f>
        <v/>
      </c>
    </row>
    <row r="884">
      <c r="A884" s="18" t="inlineStr">
        <is>
          <t>C0883</t>
        </is>
      </c>
      <c r="B884" s="18" t="inlineStr">
        <is>
          <t>Gestión jurídica</t>
        </is>
      </c>
      <c r="C884" s="18" t="inlineStr">
        <is>
          <t>legal_management</t>
        </is>
      </c>
      <c r="D884" s="18" t="inlineStr">
        <is>
          <t>consultas_juridicas</t>
        </is>
      </c>
      <c r="E884" s="18" t="n">
        <v>31</v>
      </c>
      <c r="F884" s="18" t="inlineStr">
        <is>
          <t>fecha_radicacion</t>
        </is>
      </c>
      <c r="G884" s="18" t="inlineStr">
        <is>
          <t>timestamp without time zone</t>
        </is>
      </c>
      <c r="H884" s="18" t="inlineStr">
        <is>
          <t>Sí</t>
        </is>
      </c>
      <c r="I884" s="18" t="inlineStr"/>
      <c r="J884" s="18" t="inlineStr"/>
      <c r="K884" s="18" t="inlineStr"/>
      <c r="L884" s="18" t="inlineStr">
        <is>
          <t>No</t>
        </is>
      </c>
      <c r="M884" s="18" t="inlineStr">
        <is>
          <t>No</t>
        </is>
      </c>
      <c r="N884" s="18" t="inlineStr"/>
      <c r="O884" s="18" t="inlineStr">
        <is>
          <t>idx_consultas_fecha</t>
        </is>
      </c>
      <c r="P884" s="18" t="inlineStr"/>
      <c r="Q884" s="18" t="inlineStr">
        <is>
          <t>Regla estructural (redacción revisada)</t>
        </is>
      </c>
      <c r="R884" s="18" t="inlineStr">
        <is>
          <t>Fecha y hora de radicación de la consulta jurídica.</t>
        </is>
      </c>
      <c r="S884" s="18" t="inlineStr">
        <is>
          <t>Alta</t>
        </is>
      </c>
      <c r="T884" s="18" t="inlineStr">
        <is>
          <t>Convención de nombre, redactada con el contexto de la tabla y el código.</t>
        </is>
      </c>
      <c r="U884" s="18" t="inlineStr"/>
      <c r="V884" s="19" t="inlineStr">
        <is>
          <t>Aprobada</t>
        </is>
      </c>
      <c r="W884" s="19" t="inlineStr"/>
      <c r="X884" s="19" t="inlineStr">
        <is>
          <t>Aldair González (aprobación en bloque)</t>
        </is>
      </c>
      <c r="Y884" s="20" t="n">
        <v>46321</v>
      </c>
      <c r="Z884" s="19" t="inlineStr">
        <is>
          <t>Nivel 2: regla estructural con redacción revisada.</t>
        </is>
      </c>
      <c r="AA884" s="18">
        <f>IF(OR(V884="Aprobada"),R884,IF(AND(OR(V884="Aprobada con ajuste",V884="Rechazada"),W884&lt;&gt;""),W884,""))</f>
        <v/>
      </c>
    </row>
    <row r="885">
      <c r="A885" s="18" t="inlineStr">
        <is>
          <t>C0884</t>
        </is>
      </c>
      <c r="B885" s="18" t="inlineStr">
        <is>
          <t>Gestión jurídica</t>
        </is>
      </c>
      <c r="C885" s="18" t="inlineStr">
        <is>
          <t>legal_management</t>
        </is>
      </c>
      <c r="D885" s="18" t="inlineStr">
        <is>
          <t>consultas_juridicas</t>
        </is>
      </c>
      <c r="E885" s="18" t="n">
        <v>31</v>
      </c>
      <c r="F885" s="18" t="inlineStr">
        <is>
          <t>fecha_vencimiento</t>
        </is>
      </c>
      <c r="G885" s="18" t="inlineStr">
        <is>
          <t>timestamp without time zone</t>
        </is>
      </c>
      <c r="H885" s="18" t="inlineStr">
        <is>
          <t>Sí</t>
        </is>
      </c>
      <c r="I885" s="18" t="inlineStr"/>
      <c r="J885" s="18" t="inlineStr"/>
      <c r="K885" s="18" t="inlineStr"/>
      <c r="L885" s="18" t="inlineStr">
        <is>
          <t>No</t>
        </is>
      </c>
      <c r="M885" s="18" t="inlineStr">
        <is>
          <t>No</t>
        </is>
      </c>
      <c r="N885" s="18" t="inlineStr"/>
      <c r="O885" s="18" t="inlineStr"/>
      <c r="P885" s="18" t="inlineStr"/>
      <c r="Q885" s="18" t="inlineStr">
        <is>
          <t>Regla estructural (redacción revisada)</t>
        </is>
      </c>
      <c r="R885" s="18" t="inlineStr">
        <is>
          <t>Fecha y hora de vencimiento de la consulta jurídica.</t>
        </is>
      </c>
      <c r="S885" s="18" t="inlineStr">
        <is>
          <t>Alta</t>
        </is>
      </c>
      <c r="T885" s="18" t="inlineStr">
        <is>
          <t>Convención de nombre, redactada con el contexto de la tabla y el código.</t>
        </is>
      </c>
      <c r="U885" s="18" t="inlineStr"/>
      <c r="V885" s="19" t="inlineStr">
        <is>
          <t>Aprobada</t>
        </is>
      </c>
      <c r="W885" s="19" t="inlineStr"/>
      <c r="X885" s="19" t="inlineStr">
        <is>
          <t>Aldair González (aprobación en bloque)</t>
        </is>
      </c>
      <c r="Y885" s="20" t="n">
        <v>46321</v>
      </c>
      <c r="Z885" s="19" t="inlineStr">
        <is>
          <t>Nivel 2: regla estructural con redacción revisada.</t>
        </is>
      </c>
      <c r="AA885" s="18">
        <f>IF(OR(V885="Aprobada"),R885,IF(AND(OR(V885="Aprobada con ajuste",V885="Rechazada"),W885&lt;&gt;""),W885,""))</f>
        <v/>
      </c>
    </row>
    <row r="886">
      <c r="A886" s="18" t="inlineStr">
        <is>
          <t>C0885</t>
        </is>
      </c>
      <c r="B886" s="18" t="inlineStr">
        <is>
          <t>Gestión jurídica</t>
        </is>
      </c>
      <c r="C886" s="18" t="inlineStr">
        <is>
          <t>legal_management</t>
        </is>
      </c>
      <c r="D886" s="18" t="inlineStr">
        <is>
          <t>consultas_juridicas</t>
        </is>
      </c>
      <c r="E886" s="18" t="n">
        <v>31</v>
      </c>
      <c r="F886" s="18" t="inlineStr">
        <is>
          <t>dias_termino</t>
        </is>
      </c>
      <c r="G886" s="18" t="inlineStr">
        <is>
          <t>integer</t>
        </is>
      </c>
      <c r="H886" s="18" t="inlineStr">
        <is>
          <t>Sí</t>
        </is>
      </c>
      <c r="I886" s="18" t="inlineStr"/>
      <c r="J886" s="18" t="inlineStr"/>
      <c r="K886" s="18" t="inlineStr"/>
      <c r="L886" s="18" t="inlineStr">
        <is>
          <t>No</t>
        </is>
      </c>
      <c r="M886" s="18" t="inlineStr">
        <is>
          <t>No</t>
        </is>
      </c>
      <c r="N886" s="18" t="inlineStr"/>
      <c r="O886" s="18" t="inlineStr"/>
      <c r="P886" s="18" t="inlineStr"/>
      <c r="Q886" s="18" t="inlineStr">
        <is>
          <t>Código fuente (verificado)</t>
        </is>
      </c>
      <c r="R886" s="18" t="inlineStr">
        <is>
          <t>Días de término para responder la consulta. Valor por defecto: 30. Columna de la versión inicial; la aplicación usa termino_legal_dias.</t>
        </is>
      </c>
      <c r="S886" s="18" t="inlineStr">
        <is>
          <t>Media</t>
        </is>
      </c>
      <c r="T886" s="18" t="inlineStr">
        <is>
          <t>db/init/007_legal_management_ddl_20260129_215541.sql:472: dias_termino integer default 30 | legal-management-service/src/entities/consulta-juridica.entity.ts:62: la entidad mapea termino_legal_dias y no dias_termino</t>
        </is>
      </c>
      <c r="U886" s="18" t="inlineStr">
        <is>
          <t>¿dias_termino sigue en uso o quedó reemplazada por termino_legal_dias? ¿El término se cuenta en días hábiles?</t>
        </is>
      </c>
      <c r="V886" s="19" t="inlineStr">
        <is>
          <t>Aprobada</t>
        </is>
      </c>
      <c r="W886" s="19" t="inlineStr"/>
      <c r="X886" s="19" t="inlineStr">
        <is>
          <t>Aldair González (validación del responsable de BD)</t>
        </is>
      </c>
      <c r="Y886" s="20" t="n">
        <v>46321</v>
      </c>
      <c r="Z886" s="19" t="inlineStr">
        <is>
          <t>Nivel 3: validada por decisión del responsable de la base de datos. Pregunta registrada para desarrollo: ¿dias_termino sigue en uso o quedó reemplazada por termino_legal_dias? ¿El término se cuenta en días hábiles?</t>
        </is>
      </c>
      <c r="AA886" s="18">
        <f>IF(OR(V886="Aprobada"),R886,IF(AND(OR(V886="Aprobada con ajuste",V886="Rechazada"),W886&lt;&gt;""),W886,""))</f>
        <v/>
      </c>
    </row>
    <row r="887">
      <c r="A887" s="18" t="inlineStr">
        <is>
          <t>C0886</t>
        </is>
      </c>
      <c r="B887" s="18" t="inlineStr">
        <is>
          <t>Gestión jurídica</t>
        </is>
      </c>
      <c r="C887" s="18" t="inlineStr">
        <is>
          <t>legal_management</t>
        </is>
      </c>
      <c r="D887" s="18" t="inlineStr">
        <is>
          <t>consultas_juridicas</t>
        </is>
      </c>
      <c r="E887" s="18" t="n">
        <v>31</v>
      </c>
      <c r="F887" s="18" t="inlineStr">
        <is>
          <t>dias_transcurridos</t>
        </is>
      </c>
      <c r="G887" s="18" t="inlineStr">
        <is>
          <t>integer</t>
        </is>
      </c>
      <c r="H887" s="18" t="inlineStr">
        <is>
          <t>Sí</t>
        </is>
      </c>
      <c r="I887" s="18" t="inlineStr"/>
      <c r="J887" s="18" t="inlineStr"/>
      <c r="K887" s="18" t="inlineStr"/>
      <c r="L887" s="18" t="inlineStr">
        <is>
          <t>No</t>
        </is>
      </c>
      <c r="M887" s="18" t="inlineStr">
        <is>
          <t>No</t>
        </is>
      </c>
      <c r="N887" s="18" t="inlineStr"/>
      <c r="O887" s="18" t="inlineStr"/>
      <c r="P887" s="18" t="inlineStr"/>
      <c r="Q887" s="18" t="inlineStr">
        <is>
          <t>Código fuente (verificado)</t>
        </is>
      </c>
      <c r="R887" s="18" t="inlineStr">
        <is>
          <t>Días transcurridos desde la radicación de la consulta. Valor por defecto: 0. Columna de la versión inicial sin uso en la entidad actual.</t>
        </is>
      </c>
      <c r="S887" s="18" t="inlineStr">
        <is>
          <t>Media</t>
        </is>
      </c>
      <c r="T887" s="18" t="inlineStr">
        <is>
          <t>db/init/007_legal_management_ddl_20260129_215541.sql:473: integer default 0 | legal-management-service/src/entities/consulta-juridica.entity.ts:4: la entidad no mapea dias_transcurridos</t>
        </is>
      </c>
      <c r="U887" s="18" t="inlineStr">
        <is>
          <t>¿La columna sigue en uso? Si se usa, ¿cuenta días hábiles o calendario?</t>
        </is>
      </c>
      <c r="V887" s="19" t="inlineStr">
        <is>
          <t>Aprobada</t>
        </is>
      </c>
      <c r="W887" s="19" t="inlineStr"/>
      <c r="X887" s="19" t="inlineStr">
        <is>
          <t>Aldair González (validación del responsable de BD)</t>
        </is>
      </c>
      <c r="Y887" s="20" t="n">
        <v>46321</v>
      </c>
      <c r="Z887" s="19" t="inlineStr">
        <is>
          <t>Nivel 3: validada por decisión del responsable de la base de datos. Pregunta registrada para desarrollo: ¿La columna sigue en uso? Si se usa, ¿cuenta días hábiles o calendario?</t>
        </is>
      </c>
      <c r="AA887" s="18">
        <f>IF(OR(V887="Aprobada"),R887,IF(AND(OR(V887="Aprobada con ajuste",V887="Rechazada"),W887&lt;&gt;""),W887,""))</f>
        <v/>
      </c>
    </row>
    <row r="888">
      <c r="A888" s="18" t="inlineStr">
        <is>
          <t>C0887</t>
        </is>
      </c>
      <c r="B888" s="18" t="inlineStr">
        <is>
          <t>Gestión jurídica</t>
        </is>
      </c>
      <c r="C888" s="18" t="inlineStr">
        <is>
          <t>legal_management</t>
        </is>
      </c>
      <c r="D888" s="18" t="inlineStr">
        <is>
          <t>consultas_juridicas</t>
        </is>
      </c>
      <c r="E888" s="18" t="n">
        <v>31</v>
      </c>
      <c r="F888" s="18" t="inlineStr">
        <is>
          <t>suspendida</t>
        </is>
      </c>
      <c r="G888" s="18" t="inlineStr">
        <is>
          <t>boolean</t>
        </is>
      </c>
      <c r="H888" s="18" t="inlineStr">
        <is>
          <t>Sí</t>
        </is>
      </c>
      <c r="I888" s="18" t="inlineStr"/>
      <c r="J888" s="18" t="inlineStr"/>
      <c r="K888" s="18" t="inlineStr"/>
      <c r="L888" s="18" t="inlineStr">
        <is>
          <t>No</t>
        </is>
      </c>
      <c r="M888" s="18" t="inlineStr">
        <is>
          <t>No</t>
        </is>
      </c>
      <c r="N888" s="18" t="inlineStr"/>
      <c r="O888" s="18" t="inlineStr"/>
      <c r="P888" s="18" t="inlineStr"/>
      <c r="Q888" s="18" t="inlineStr">
        <is>
          <t>Regla estructural (redacción revisada)</t>
        </is>
      </c>
      <c r="R888" s="18" t="inlineStr">
        <is>
          <t>Indica si la consulta jurídica está suspendida.</t>
        </is>
      </c>
      <c r="S888" s="18" t="inlineStr">
        <is>
          <t>Alta</t>
        </is>
      </c>
      <c r="T888" s="18" t="inlineStr">
        <is>
          <t>Convención de nombre, redactada con el contexto de la tabla y el código.</t>
        </is>
      </c>
      <c r="U888" s="18" t="inlineStr"/>
      <c r="V888" s="19" t="inlineStr">
        <is>
          <t>Aprobada</t>
        </is>
      </c>
      <c r="W888" s="19" t="inlineStr"/>
      <c r="X888" s="19" t="inlineStr">
        <is>
          <t>Aldair González (aprobación en bloque)</t>
        </is>
      </c>
      <c r="Y888" s="20" t="n">
        <v>46321</v>
      </c>
      <c r="Z888" s="19" t="inlineStr">
        <is>
          <t>Nivel 2: regla estructural con redacción revisada.</t>
        </is>
      </c>
      <c r="AA888" s="18">
        <f>IF(OR(V888="Aprobada"),R888,IF(AND(OR(V888="Aprobada con ajuste",V888="Rechazada"),W888&lt;&gt;""),W888,""))</f>
        <v/>
      </c>
    </row>
    <row r="889">
      <c r="A889" s="18" t="inlineStr">
        <is>
          <t>C0888</t>
        </is>
      </c>
      <c r="B889" s="18" t="inlineStr">
        <is>
          <t>Gestión jurídica</t>
        </is>
      </c>
      <c r="C889" s="18" t="inlineStr">
        <is>
          <t>legal_management</t>
        </is>
      </c>
      <c r="D889" s="18" t="inlineStr">
        <is>
          <t>consultas_juridicas</t>
        </is>
      </c>
      <c r="E889" s="18" t="n">
        <v>31</v>
      </c>
      <c r="F889" s="18" t="inlineStr">
        <is>
          <t>fecha_suspension</t>
        </is>
      </c>
      <c r="G889" s="18" t="inlineStr">
        <is>
          <t>timestamp without time zone</t>
        </is>
      </c>
      <c r="H889" s="18" t="inlineStr">
        <is>
          <t>Sí</t>
        </is>
      </c>
      <c r="I889" s="18" t="inlineStr"/>
      <c r="J889" s="18" t="inlineStr"/>
      <c r="K889" s="18" t="inlineStr"/>
      <c r="L889" s="18" t="inlineStr">
        <is>
          <t>No</t>
        </is>
      </c>
      <c r="M889" s="18" t="inlineStr">
        <is>
          <t>No</t>
        </is>
      </c>
      <c r="N889" s="18" t="inlineStr"/>
      <c r="O889" s="18" t="inlineStr"/>
      <c r="P889" s="18" t="inlineStr"/>
      <c r="Q889" s="18" t="inlineStr">
        <is>
          <t>Regla estructural (redacción revisada)</t>
        </is>
      </c>
      <c r="R889" s="18" t="inlineStr">
        <is>
          <t>Fecha y hora de suspensión de la consulta jurídica.</t>
        </is>
      </c>
      <c r="S889" s="18" t="inlineStr">
        <is>
          <t>Alta</t>
        </is>
      </c>
      <c r="T889" s="18" t="inlineStr">
        <is>
          <t>Convención de nombre, redactada con el contexto de la tabla y el código.</t>
        </is>
      </c>
      <c r="U889" s="18" t="inlineStr"/>
      <c r="V889" s="19" t="inlineStr">
        <is>
          <t>Aprobada</t>
        </is>
      </c>
      <c r="W889" s="19" t="inlineStr"/>
      <c r="X889" s="19" t="inlineStr">
        <is>
          <t>Aldair González (aprobación en bloque)</t>
        </is>
      </c>
      <c r="Y889" s="20" t="n">
        <v>46321</v>
      </c>
      <c r="Z889" s="19" t="inlineStr">
        <is>
          <t>Nivel 2: regla estructural con redacción revisada.</t>
        </is>
      </c>
      <c r="AA889" s="18">
        <f>IF(OR(V889="Aprobada"),R889,IF(AND(OR(V889="Aprobada con ajuste",V889="Rechazada"),W889&lt;&gt;""),W889,""))</f>
        <v/>
      </c>
    </row>
    <row r="890">
      <c r="A890" s="18" t="inlineStr">
        <is>
          <t>C0889</t>
        </is>
      </c>
      <c r="B890" s="18" t="inlineStr">
        <is>
          <t>Gestión jurídica</t>
        </is>
      </c>
      <c r="C890" s="18" t="inlineStr">
        <is>
          <t>legal_management</t>
        </is>
      </c>
      <c r="D890" s="18" t="inlineStr">
        <is>
          <t>consultas_juridicas</t>
        </is>
      </c>
      <c r="E890" s="18" t="n">
        <v>31</v>
      </c>
      <c r="F890" s="18" t="inlineStr">
        <is>
          <t>motivo_suspension</t>
        </is>
      </c>
      <c r="G890" s="18" t="inlineStr">
        <is>
          <t>text</t>
        </is>
      </c>
      <c r="H890" s="18" t="inlineStr">
        <is>
          <t>Sí</t>
        </is>
      </c>
      <c r="I890" s="18" t="inlineStr"/>
      <c r="J890" s="18" t="inlineStr"/>
      <c r="K890" s="18" t="inlineStr"/>
      <c r="L890" s="18" t="inlineStr">
        <is>
          <t>No</t>
        </is>
      </c>
      <c r="M890" s="18" t="inlineStr">
        <is>
          <t>No</t>
        </is>
      </c>
      <c r="N890" s="18" t="inlineStr"/>
      <c r="O890" s="18" t="inlineStr"/>
      <c r="P890" s="18" t="inlineStr"/>
      <c r="Q890" s="18" t="inlineStr">
        <is>
          <t>Regla estructural</t>
        </is>
      </c>
      <c r="R890" s="18" t="inlineStr">
        <is>
          <t>Motivo de la suspensión.</t>
        </is>
      </c>
      <c r="S890" s="18" t="inlineStr">
        <is>
          <t>Media</t>
        </is>
      </c>
      <c r="T890" s="18" t="inlineStr">
        <is>
          <t>Convención de nombre de la columna.</t>
        </is>
      </c>
      <c r="U890" s="18" t="inlineStr"/>
      <c r="V890" s="19" t="inlineStr">
        <is>
          <t>Aprobada</t>
        </is>
      </c>
      <c r="W890" s="19" t="inlineStr"/>
      <c r="X890" s="19" t="inlineStr">
        <is>
          <t>Aldair González (aprobación en bloque)</t>
        </is>
      </c>
      <c r="Y890" s="20" t="n">
        <v>46321</v>
      </c>
      <c r="Z890" s="19" t="inlineStr">
        <is>
          <t>Nivel 1: propuesta del comentario del desarrollador o de confianza alta, o regla de fecha/responsable/motivo.</t>
        </is>
      </c>
      <c r="AA890" s="18">
        <f>IF(OR(V890="Aprobada"),R890,IF(AND(OR(V890="Aprobada con ajuste",V890="Rechazada"),W890&lt;&gt;""),W890,""))</f>
        <v/>
      </c>
    </row>
    <row r="891">
      <c r="A891" s="18" t="inlineStr">
        <is>
          <t>C0890</t>
        </is>
      </c>
      <c r="B891" s="18" t="inlineStr">
        <is>
          <t>Gestión jurídica</t>
        </is>
      </c>
      <c r="C891" s="18" t="inlineStr">
        <is>
          <t>legal_management</t>
        </is>
      </c>
      <c r="D891" s="18" t="inlineStr">
        <is>
          <t>consultas_juridicas</t>
        </is>
      </c>
      <c r="E891" s="18" t="n">
        <v>31</v>
      </c>
      <c r="F891" s="18" t="inlineStr">
        <is>
          <t>confidencial</t>
        </is>
      </c>
      <c r="G891" s="18" t="inlineStr">
        <is>
          <t>boolean</t>
        </is>
      </c>
      <c r="H891" s="18" t="inlineStr">
        <is>
          <t>Sí</t>
        </is>
      </c>
      <c r="I891" s="18" t="inlineStr"/>
      <c r="J891" s="18" t="inlineStr"/>
      <c r="K891" s="18" t="inlineStr"/>
      <c r="L891" s="18" t="inlineStr">
        <is>
          <t>No</t>
        </is>
      </c>
      <c r="M891" s="18" t="inlineStr">
        <is>
          <t>No</t>
        </is>
      </c>
      <c r="N891" s="18" t="inlineStr"/>
      <c r="O891" s="18" t="inlineStr"/>
      <c r="P891" s="18" t="inlineStr"/>
      <c r="Q891" s="18" t="inlineStr">
        <is>
          <t>Regla estructural (redacción revisada)</t>
        </is>
      </c>
      <c r="R891" s="18" t="inlineStr">
        <is>
          <t>Indica si la consulta jurídica es confidencial.</t>
        </is>
      </c>
      <c r="S891" s="18" t="inlineStr">
        <is>
          <t>Alta</t>
        </is>
      </c>
      <c r="T891" s="18" t="inlineStr">
        <is>
          <t>Convención de nombre, redactada con el contexto de la tabla y el código.</t>
        </is>
      </c>
      <c r="U891" s="18" t="inlineStr"/>
      <c r="V891" s="19" t="inlineStr">
        <is>
          <t>Aprobada</t>
        </is>
      </c>
      <c r="W891" s="19" t="inlineStr"/>
      <c r="X891" s="19" t="inlineStr">
        <is>
          <t>Aldair González (aprobación en bloque)</t>
        </is>
      </c>
      <c r="Y891" s="20" t="n">
        <v>46321</v>
      </c>
      <c r="Z891" s="19" t="inlineStr">
        <is>
          <t>Nivel 2: regla estructural con redacción revisada.</t>
        </is>
      </c>
      <c r="AA891" s="18">
        <f>IF(OR(V891="Aprobada"),R891,IF(AND(OR(V891="Aprobada con ajuste",V891="Rechazada"),W891&lt;&gt;""),W891,""))</f>
        <v/>
      </c>
    </row>
    <row r="892">
      <c r="A892" s="18" t="inlineStr">
        <is>
          <t>C0891</t>
        </is>
      </c>
      <c r="B892" s="18" t="inlineStr">
        <is>
          <t>Gestión jurídica</t>
        </is>
      </c>
      <c r="C892" s="18" t="inlineStr">
        <is>
          <t>legal_management</t>
        </is>
      </c>
      <c r="D892" s="18" t="inlineStr">
        <is>
          <t>consultas_juridicas</t>
        </is>
      </c>
      <c r="E892" s="18" t="n">
        <v>31</v>
      </c>
      <c r="F892" s="18" t="inlineStr">
        <is>
          <t>areas_con_acceso</t>
        </is>
      </c>
      <c r="G892" s="18" t="inlineStr">
        <is>
          <t>text[]</t>
        </is>
      </c>
      <c r="H892" s="18" t="inlineStr">
        <is>
          <t>Sí</t>
        </is>
      </c>
      <c r="I892" s="18" t="inlineStr"/>
      <c r="J892" s="18" t="inlineStr"/>
      <c r="K892" s="18" t="inlineStr"/>
      <c r="L892" s="18" t="inlineStr">
        <is>
          <t>No</t>
        </is>
      </c>
      <c r="M892" s="18" t="inlineStr">
        <is>
          <t>No</t>
        </is>
      </c>
      <c r="N892" s="18" t="inlineStr"/>
      <c r="O892" s="18" t="inlineStr"/>
      <c r="P892" s="18" t="inlineStr"/>
      <c r="Q892" s="18" t="inlineStr">
        <is>
          <t>Código fuente (verificado)</t>
        </is>
      </c>
      <c r="R892" s="18" t="inlineStr">
        <is>
          <t>Áreas con acceso a la consulta cuando es confidencial. Columna de la versión inicial sin uso en la entidad actual.</t>
        </is>
      </c>
      <c r="S892" s="18" t="inlineStr">
        <is>
          <t>Media</t>
        </is>
      </c>
      <c r="T892" s="18" t="inlineStr">
        <is>
          <t>db/init/007_legal_management_ddl_20260129_215541.sql:478: text[] | legal-management-service/src/entities/consulta-juridica.entity.ts:4: la entidad no mapea areas_con_acceso</t>
        </is>
      </c>
      <c r="U892" s="18" t="inlineStr">
        <is>
          <t>¿La columna sigue en uso y se guardan nombres o códigos de área?</t>
        </is>
      </c>
      <c r="V892" s="19" t="inlineStr">
        <is>
          <t>Aprobada</t>
        </is>
      </c>
      <c r="W892" s="19" t="inlineStr"/>
      <c r="X892" s="19" t="inlineStr">
        <is>
          <t>Aldair González (validación del responsable de BD)</t>
        </is>
      </c>
      <c r="Y892" s="20" t="n">
        <v>46321</v>
      </c>
      <c r="Z892" s="19" t="inlineStr">
        <is>
          <t>Nivel 3: validada por decisión del responsable de la base de datos. Pregunta registrada para desarrollo: ¿La columna sigue en uso y se guardan nombres o códigos de área?</t>
        </is>
      </c>
      <c r="AA892" s="18">
        <f>IF(OR(V892="Aprobada"),R892,IF(AND(OR(V892="Aprobada con ajuste",V892="Rechazada"),W892&lt;&gt;""),W892,""))</f>
        <v/>
      </c>
    </row>
    <row r="893">
      <c r="A893" s="18" t="inlineStr">
        <is>
          <t>C0892</t>
        </is>
      </c>
      <c r="B893" s="18" t="inlineStr">
        <is>
          <t>Gestión jurídica</t>
        </is>
      </c>
      <c r="C893" s="18" t="inlineStr">
        <is>
          <t>legal_management</t>
        </is>
      </c>
      <c r="D893" s="18" t="inlineStr">
        <is>
          <t>consultas_juridicas</t>
        </is>
      </c>
      <c r="E893" s="18" t="n">
        <v>31</v>
      </c>
      <c r="F893" s="18" t="inlineStr">
        <is>
          <t>prioridad</t>
        </is>
      </c>
      <c r="G893" s="18" t="inlineStr">
        <is>
          <t>character varying(20)</t>
        </is>
      </c>
      <c r="H893" s="18" t="inlineStr">
        <is>
          <t>Sí</t>
        </is>
      </c>
      <c r="I893" s="18" t="inlineStr"/>
      <c r="J893" s="18" t="inlineStr"/>
      <c r="K893" s="18" t="inlineStr"/>
      <c r="L893" s="18" t="inlineStr">
        <is>
          <t>No</t>
        </is>
      </c>
      <c r="M893" s="18" t="inlineStr">
        <is>
          <t>No</t>
        </is>
      </c>
      <c r="N893" s="18" t="inlineStr"/>
      <c r="O893" s="18" t="inlineStr"/>
      <c r="P893" s="18" t="inlineStr">
        <is>
          <t>legal-management-service/src/entities/consulta-juridica.entity.ts:56: alta, media, baja</t>
        </is>
      </c>
      <c r="Q893" s="18" t="inlineStr">
        <is>
          <t>Código fuente (verificado)</t>
        </is>
      </c>
      <c r="R893" s="18" t="inlineStr">
        <is>
          <t>Prioridad de la consulta: alta, media o baja. La aplicación asigna media al crear si no se informa y la cambia a alta cuando faltan 3 días o menos para el vencimiento; el defecto NORMAL de la base viene de la versión inicial de la tabla.</t>
        </is>
      </c>
      <c r="S893" s="18" t="inlineStr">
        <is>
          <t>Alta</t>
        </is>
      </c>
      <c r="T893" s="18" t="inlineStr">
        <is>
          <t>legal-management-service/src/entities/consulta-juridica.entity.ts:56: default media, valores alta, media, baja | legal-management-service/src/controllers/consultas-juridicas.controller.ts:60: prioridad = body.prioridad o media | legal-management-service/src/services/alertas-vencimiento.service.ts:105: cambia a alta | db/migrations/old/049_create_consultas_juridicas.sql:31: elimina los CHECK heredados</t>
        </is>
      </c>
      <c r="U893" s="18" t="inlineStr"/>
      <c r="V893" s="19" t="inlineStr">
        <is>
          <t>Aprobada</t>
        </is>
      </c>
      <c r="W893" s="19" t="inlineStr"/>
      <c r="X893" s="19" t="inlineStr">
        <is>
          <t>Aldair González (aprobación en bloque)</t>
        </is>
      </c>
      <c r="Y893" s="20" t="n">
        <v>46321</v>
      </c>
      <c r="Z893" s="19" t="inlineStr">
        <is>
          <t>Nivel 3: verificada con el código de la aplicación.</t>
        </is>
      </c>
      <c r="AA893" s="18">
        <f>IF(OR(V893="Aprobada"),R893,IF(AND(OR(V893="Aprobada con ajuste",V893="Rechazada"),W893&lt;&gt;""),W893,""))</f>
        <v/>
      </c>
    </row>
    <row r="894">
      <c r="A894" s="18" t="inlineStr">
        <is>
          <t>C0893</t>
        </is>
      </c>
      <c r="B894" s="18" t="inlineStr">
        <is>
          <t>Gestión jurídica</t>
        </is>
      </c>
      <c r="C894" s="18" t="inlineStr">
        <is>
          <t>legal_management</t>
        </is>
      </c>
      <c r="D894" s="18" t="inlineStr">
        <is>
          <t>consultas_juridicas</t>
        </is>
      </c>
      <c r="E894" s="18" t="n">
        <v>31</v>
      </c>
      <c r="F894" s="18" t="inlineStr">
        <is>
          <t>fecha_recepcion</t>
        </is>
      </c>
      <c r="G894" s="18" t="inlineStr">
        <is>
          <t>timestamp without time zone</t>
        </is>
      </c>
      <c r="H894" s="18" t="inlineStr">
        <is>
          <t>Sí</t>
        </is>
      </c>
      <c r="I894" s="18" t="inlineStr"/>
      <c r="J894" s="18" t="inlineStr"/>
      <c r="K894" s="18" t="inlineStr"/>
      <c r="L894" s="18" t="inlineStr">
        <is>
          <t>No</t>
        </is>
      </c>
      <c r="M894" s="18" t="inlineStr">
        <is>
          <t>No</t>
        </is>
      </c>
      <c r="N894" s="18" t="inlineStr"/>
      <c r="O894" s="18" t="inlineStr"/>
      <c r="P894" s="18" t="inlineStr">
        <is>
          <t>Mapeada en legal-management-service/src/entities/consulta-juridica.entity.ts:11 (ConsultaJuridica.fechaRecepcion)</t>
        </is>
      </c>
      <c r="Q894" s="18" t="inlineStr">
        <is>
          <t>Regla estructural (redacción revisada)</t>
        </is>
      </c>
      <c r="R894" s="18" t="inlineStr">
        <is>
          <t>Fecha y hora de recepción de la consulta jurídica.</t>
        </is>
      </c>
      <c r="S894" s="18" t="inlineStr">
        <is>
          <t>Alta</t>
        </is>
      </c>
      <c r="T894" s="18" t="inlineStr">
        <is>
          <t>Convención de nombre, redactada con el contexto de la tabla y el código.</t>
        </is>
      </c>
      <c r="U894" s="18" t="inlineStr"/>
      <c r="V894" s="19" t="inlineStr">
        <is>
          <t>Aprobada</t>
        </is>
      </c>
      <c r="W894" s="19" t="inlineStr"/>
      <c r="X894" s="19" t="inlineStr">
        <is>
          <t>Aldair González (aprobación en bloque)</t>
        </is>
      </c>
      <c r="Y894" s="20" t="n">
        <v>46321</v>
      </c>
      <c r="Z894" s="19" t="inlineStr">
        <is>
          <t>Nivel 2: regla estructural con redacción revisada.</t>
        </is>
      </c>
      <c r="AA894" s="18">
        <f>IF(OR(V894="Aprobada"),R894,IF(AND(OR(V894="Aprobada con ajuste",V894="Rechazada"),W894&lt;&gt;""),W894,""))</f>
        <v/>
      </c>
    </row>
    <row r="895">
      <c r="A895" s="18" t="inlineStr">
        <is>
          <t>C0894</t>
        </is>
      </c>
      <c r="B895" s="18" t="inlineStr">
        <is>
          <t>Gestión jurídica</t>
        </is>
      </c>
      <c r="C895" s="18" t="inlineStr">
        <is>
          <t>legal_management</t>
        </is>
      </c>
      <c r="D895" s="18" t="inlineStr">
        <is>
          <t>consultas_juridicas</t>
        </is>
      </c>
      <c r="E895" s="18" t="n">
        <v>31</v>
      </c>
      <c r="F895" s="18" t="inlineStr">
        <is>
          <t>fecha_maxima_respuesta</t>
        </is>
      </c>
      <c r="G895" s="18" t="inlineStr">
        <is>
          <t>timestamp without time zone</t>
        </is>
      </c>
      <c r="H895" s="18" t="inlineStr">
        <is>
          <t>Sí</t>
        </is>
      </c>
      <c r="I895" s="18" t="inlineStr"/>
      <c r="J895" s="18" t="inlineStr"/>
      <c r="K895" s="18" t="inlineStr"/>
      <c r="L895" s="18" t="inlineStr">
        <is>
          <t>No</t>
        </is>
      </c>
      <c r="M895" s="18" t="inlineStr">
        <is>
          <t>No</t>
        </is>
      </c>
      <c r="N895" s="18" t="inlineStr"/>
      <c r="O895" s="18" t="inlineStr">
        <is>
          <t>idx_consultas_fecha_maxima</t>
        </is>
      </c>
      <c r="P895" s="18" t="inlineStr">
        <is>
          <t>Mapeada en legal-management-service/src/entities/consulta-juridica.entity.ts:65 (ConsultaJuridica.fechaMaximaRespuesta)</t>
        </is>
      </c>
      <c r="Q895" s="18" t="inlineStr">
        <is>
          <t>Regla estructural (redacción revisada)</t>
        </is>
      </c>
      <c r="R895" s="18" t="inlineStr">
        <is>
          <t>Fecha y hora máxima para responder la consulta jurídica.</t>
        </is>
      </c>
      <c r="S895" s="18" t="inlineStr">
        <is>
          <t>Alta</t>
        </is>
      </c>
      <c r="T895" s="18" t="inlineStr">
        <is>
          <t>Convención de nombre, redactada con el contexto de la tabla y el código.</t>
        </is>
      </c>
      <c r="U895" s="18" t="inlineStr"/>
      <c r="V895" s="19" t="inlineStr">
        <is>
          <t>Aprobada</t>
        </is>
      </c>
      <c r="W895" s="19" t="inlineStr"/>
      <c r="X895" s="19" t="inlineStr">
        <is>
          <t>Aldair González (aprobación en bloque)</t>
        </is>
      </c>
      <c r="Y895" s="20" t="n">
        <v>46321</v>
      </c>
      <c r="Z895" s="19" t="inlineStr">
        <is>
          <t>Nivel 2: regla estructural con redacción revisada.</t>
        </is>
      </c>
      <c r="AA895" s="18">
        <f>IF(OR(V895="Aprobada"),R895,IF(AND(OR(V895="Aprobada con ajuste",V895="Rechazada"),W895&lt;&gt;""),W895,""))</f>
        <v/>
      </c>
    </row>
    <row r="896">
      <c r="A896" s="18" t="inlineStr">
        <is>
          <t>C0895</t>
        </is>
      </c>
      <c r="B896" s="18" t="inlineStr">
        <is>
          <t>Gestión jurídica</t>
        </is>
      </c>
      <c r="C896" s="18" t="inlineStr">
        <is>
          <t>legal_management</t>
        </is>
      </c>
      <c r="D896" s="18" t="inlineStr">
        <is>
          <t>consultas_juridicas</t>
        </is>
      </c>
      <c r="E896" s="18" t="n">
        <v>31</v>
      </c>
      <c r="F896" s="18" t="inlineStr">
        <is>
          <t>fecha_respuesta</t>
        </is>
      </c>
      <c r="G896" s="18" t="inlineStr">
        <is>
          <t>timestamp without time zone</t>
        </is>
      </c>
      <c r="H896" s="18" t="inlineStr">
        <is>
          <t>Sí</t>
        </is>
      </c>
      <c r="I896" s="18" t="inlineStr"/>
      <c r="J896" s="18" t="inlineStr"/>
      <c r="K896" s="18" t="inlineStr"/>
      <c r="L896" s="18" t="inlineStr">
        <is>
          <t>No</t>
        </is>
      </c>
      <c r="M896" s="18" t="inlineStr">
        <is>
          <t>No</t>
        </is>
      </c>
      <c r="N896" s="18" t="inlineStr"/>
      <c r="O896" s="18" t="inlineStr"/>
      <c r="P896" s="18" t="inlineStr">
        <is>
          <t>Mapeada en legal-management-service/src/entities/consulta-juridica.entity.ts:74 (ConsultaJuridica.fechaRespuesta)</t>
        </is>
      </c>
      <c r="Q896" s="18" t="inlineStr">
        <is>
          <t>Regla estructural (redacción revisada)</t>
        </is>
      </c>
      <c r="R896" s="18" t="inlineStr">
        <is>
          <t>Fecha y hora de respuesta de la consulta jurídica.</t>
        </is>
      </c>
      <c r="S896" s="18" t="inlineStr">
        <is>
          <t>Alta</t>
        </is>
      </c>
      <c r="T896" s="18" t="inlineStr">
        <is>
          <t>Convención de nombre, redactada con el contexto de la tabla y el código.</t>
        </is>
      </c>
      <c r="U896" s="18" t="inlineStr"/>
      <c r="V896" s="19" t="inlineStr">
        <is>
          <t>Aprobada</t>
        </is>
      </c>
      <c r="W896" s="19" t="inlineStr"/>
      <c r="X896" s="19" t="inlineStr">
        <is>
          <t>Aldair González (aprobación en bloque)</t>
        </is>
      </c>
      <c r="Y896" s="20" t="n">
        <v>46321</v>
      </c>
      <c r="Z896" s="19" t="inlineStr">
        <is>
          <t>Nivel 2: regla estructural con redacción revisada.</t>
        </is>
      </c>
      <c r="AA896" s="18">
        <f>IF(OR(V896="Aprobada"),R896,IF(AND(OR(V896="Aprobada con ajuste",V896="Rechazada"),W896&lt;&gt;""),W896,""))</f>
        <v/>
      </c>
    </row>
    <row r="897">
      <c r="A897" s="18" t="inlineStr">
        <is>
          <t>C0896</t>
        </is>
      </c>
      <c r="B897" s="18" t="inlineStr">
        <is>
          <t>Gestión jurídica</t>
        </is>
      </c>
      <c r="C897" s="18" t="inlineStr">
        <is>
          <t>legal_management</t>
        </is>
      </c>
      <c r="D897" s="18" t="inlineStr">
        <is>
          <t>consultas_juridicas</t>
        </is>
      </c>
      <c r="E897" s="18" t="n">
        <v>31</v>
      </c>
      <c r="F897" s="18" t="inlineStr">
        <is>
          <t>observaciones</t>
        </is>
      </c>
      <c r="G897" s="18" t="inlineStr">
        <is>
          <t>text</t>
        </is>
      </c>
      <c r="H897" s="18" t="inlineStr">
        <is>
          <t>Sí</t>
        </is>
      </c>
      <c r="I897" s="18" t="inlineStr"/>
      <c r="J897" s="18" t="inlineStr"/>
      <c r="K897" s="18" t="inlineStr"/>
      <c r="L897" s="18" t="inlineStr">
        <is>
          <t>No</t>
        </is>
      </c>
      <c r="M897" s="18" t="inlineStr">
        <is>
          <t>No</t>
        </is>
      </c>
      <c r="N897" s="18" t="inlineStr"/>
      <c r="O897" s="18" t="inlineStr"/>
      <c r="P897" s="18" t="inlineStr">
        <is>
          <t>Mapeada en legal-management-service/src/entities/consulta-juridica.entity.ts:92 (ConsultaJuridica.observaciones)</t>
        </is>
      </c>
      <c r="Q897" s="18" t="inlineStr">
        <is>
          <t>Regla estructural (redacción revisada)</t>
        </is>
      </c>
      <c r="R897" s="18" t="inlineStr">
        <is>
          <t>Observaciones sobre la consulta jurídica.</t>
        </is>
      </c>
      <c r="S897" s="18" t="inlineStr">
        <is>
          <t>Alta</t>
        </is>
      </c>
      <c r="T897" s="18" t="inlineStr">
        <is>
          <t>Convención de nombre, redactada con el contexto de la tabla y el código.</t>
        </is>
      </c>
      <c r="U897" s="18" t="inlineStr"/>
      <c r="V897" s="19" t="inlineStr">
        <is>
          <t>Aprobada</t>
        </is>
      </c>
      <c r="W897" s="19" t="inlineStr"/>
      <c r="X897" s="19" t="inlineStr">
        <is>
          <t>Aldair González (aprobación en bloque)</t>
        </is>
      </c>
      <c r="Y897" s="20" t="n">
        <v>46321</v>
      </c>
      <c r="Z897" s="19" t="inlineStr">
        <is>
          <t>Nivel 2: regla estructural con redacción revisada.</t>
        </is>
      </c>
      <c r="AA897" s="18">
        <f>IF(OR(V897="Aprobada"),R897,IF(AND(OR(V897="Aprobada con ajuste",V897="Rechazada"),W897&lt;&gt;""),W897,""))</f>
        <v/>
      </c>
    </row>
    <row r="898">
      <c r="A898" s="18" t="inlineStr">
        <is>
          <t>C0897</t>
        </is>
      </c>
      <c r="B898" s="18" t="inlineStr">
        <is>
          <t>Gestión jurídica</t>
        </is>
      </c>
      <c r="C898" s="18" t="inlineStr">
        <is>
          <t>legal_management</t>
        </is>
      </c>
      <c r="D898" s="18" t="inlineStr">
        <is>
          <t>consultas_juridicas</t>
        </is>
      </c>
      <c r="E898" s="18" t="n">
        <v>31</v>
      </c>
      <c r="F898" s="18" t="inlineStr">
        <is>
          <t>canal_entrada</t>
        </is>
      </c>
      <c r="G898" s="18" t="inlineStr">
        <is>
          <t>character varying(30)</t>
        </is>
      </c>
      <c r="H898" s="18" t="inlineStr">
        <is>
          <t>Sí</t>
        </is>
      </c>
      <c r="I898" s="18" t="inlineStr"/>
      <c r="J898" s="18" t="inlineStr"/>
      <c r="K898" s="18" t="inlineStr"/>
      <c r="L898" s="18" t="inlineStr">
        <is>
          <t>No</t>
        </is>
      </c>
      <c r="M898" s="18" t="inlineStr">
        <is>
          <t>No</t>
        </is>
      </c>
      <c r="N898" s="18" t="inlineStr"/>
      <c r="O898" s="18" t="inlineStr"/>
      <c r="P898" s="18" t="inlineStr">
        <is>
          <t>legal-management-service/src/entities/consulta-juridica.entity.ts:14: correo_electronico, active_document, ventanilla_unica</t>
        </is>
      </c>
      <c r="Q898" s="18" t="inlineStr">
        <is>
          <t>Código fuente</t>
        </is>
      </c>
      <c r="R898" s="18" t="inlineStr">
        <is>
          <t>Canal por el que ingresó la consulta. Valores: correo_electronico, active_document, ventanilla_unica.</t>
        </is>
      </c>
      <c r="S898" s="18" t="inlineStr">
        <is>
          <t>Alta</t>
        </is>
      </c>
      <c r="T898" s="18" t="inlineStr">
        <is>
          <t>código: consulta-juridica.entity.ts:14</t>
        </is>
      </c>
      <c r="U898" s="18" t="inlineStr"/>
      <c r="V898" s="19" t="inlineStr">
        <is>
          <t>Aprobada</t>
        </is>
      </c>
      <c r="W898" s="19" t="inlineStr"/>
      <c r="X898" s="19" t="inlineStr">
        <is>
          <t>Aldair González (aprobación en bloque)</t>
        </is>
      </c>
      <c r="Y898" s="20" t="n">
        <v>46321</v>
      </c>
      <c r="Z898" s="19" t="inlineStr">
        <is>
          <t>Nivel 1: propuesta del comentario del desarrollador o de confianza alta, o regla de fecha/responsable/motivo.</t>
        </is>
      </c>
      <c r="AA898" s="18">
        <f>IF(OR(V898="Aprobada"),R898,IF(AND(OR(V898="Aprobada con ajuste",V898="Rechazada"),W898&lt;&gt;""),W898,""))</f>
        <v/>
      </c>
    </row>
    <row r="899">
      <c r="A899" s="18" t="inlineStr">
        <is>
          <t>C0898</t>
        </is>
      </c>
      <c r="B899" s="18" t="inlineStr">
        <is>
          <t>Gestión jurídica</t>
        </is>
      </c>
      <c r="C899" s="18" t="inlineStr">
        <is>
          <t>legal_management</t>
        </is>
      </c>
      <c r="D899" s="18" t="inlineStr">
        <is>
          <t>consultas_juridicas</t>
        </is>
      </c>
      <c r="E899" s="18" t="n">
        <v>31</v>
      </c>
      <c r="F899" s="18" t="inlineStr">
        <is>
          <t>dependencia_solicitante</t>
        </is>
      </c>
      <c r="G899" s="18" t="inlineStr">
        <is>
          <t>character varying(200)</t>
        </is>
      </c>
      <c r="H899" s="18" t="inlineStr">
        <is>
          <t>Sí</t>
        </is>
      </c>
      <c r="I899" s="18" t="inlineStr"/>
      <c r="J899" s="18" t="inlineStr"/>
      <c r="K899" s="18" t="inlineStr"/>
      <c r="L899" s="18" t="inlineStr">
        <is>
          <t>No</t>
        </is>
      </c>
      <c r="M899" s="18" t="inlineStr">
        <is>
          <t>No</t>
        </is>
      </c>
      <c r="N899" s="18" t="inlineStr"/>
      <c r="O899" s="18" t="inlineStr"/>
      <c r="P899" s="18" t="inlineStr">
        <is>
          <t>Mapeada en legal-management-service/src/entities/consulta-juridica.entity.ts:20 (ConsultaJuridica.dependenciaSolicitante)</t>
        </is>
      </c>
      <c r="Q899" s="18" t="inlineStr">
        <is>
          <t>Código fuente (verificado)</t>
        </is>
      </c>
      <c r="R899" s="18" t="inlineStr">
        <is>
          <t>Dependencia que solicita la consulta. Es la columna que usa la aplicación; area_solicitante viene de la versión inicial de la tabla y no está mapeada en la entidad.</t>
        </is>
      </c>
      <c r="S899" s="18" t="inlineStr">
        <is>
          <t>Alta</t>
        </is>
      </c>
      <c r="T899" s="18" t="inlineStr">
        <is>
          <t>legal-management-service/src/controllers/consultas-juridicas.controller.ts:51: toma body.dependenciaSolicitante | legal-management-service/src/services/reportes.service.ts:191: se reporta como Área Solicitante | db/init/007_legal_management_ddl_20260129_215541.sql:455: area_solicitante sin uso en la entidad</t>
        </is>
      </c>
      <c r="U899" s="18" t="inlineStr"/>
      <c r="V899" s="19" t="inlineStr">
        <is>
          <t>Aprobada</t>
        </is>
      </c>
      <c r="W899" s="19" t="inlineStr"/>
      <c r="X899" s="19" t="inlineStr">
        <is>
          <t>Aldair González (aprobación en bloque)</t>
        </is>
      </c>
      <c r="Y899" s="20" t="n">
        <v>46321</v>
      </c>
      <c r="Z899" s="19" t="inlineStr">
        <is>
          <t>Nivel 3: verificada con el código de la aplicación.</t>
        </is>
      </c>
      <c r="AA899" s="18">
        <f>IF(OR(V899="Aprobada"),R899,IF(AND(OR(V899="Aprobada con ajuste",V899="Rechazada"),W899&lt;&gt;""),W899,""))</f>
        <v/>
      </c>
    </row>
    <row r="900">
      <c r="A900" s="18" t="inlineStr">
        <is>
          <t>C0899</t>
        </is>
      </c>
      <c r="B900" s="18" t="inlineStr">
        <is>
          <t>Gestión jurídica</t>
        </is>
      </c>
      <c r="C900" s="18" t="inlineStr">
        <is>
          <t>legal_management</t>
        </is>
      </c>
      <c r="D900" s="18" t="inlineStr">
        <is>
          <t>consultas_juridicas</t>
        </is>
      </c>
      <c r="E900" s="18" t="n">
        <v>31</v>
      </c>
      <c r="F900" s="18" t="inlineStr">
        <is>
          <t>nombre_solicitante</t>
        </is>
      </c>
      <c r="G900" s="18" t="inlineStr">
        <is>
          <t>character varying(200)</t>
        </is>
      </c>
      <c r="H900" s="18" t="inlineStr">
        <is>
          <t>Sí</t>
        </is>
      </c>
      <c r="I900" s="18" t="inlineStr"/>
      <c r="J900" s="18" t="inlineStr"/>
      <c r="K900" s="18" t="inlineStr"/>
      <c r="L900" s="18" t="inlineStr">
        <is>
          <t>No</t>
        </is>
      </c>
      <c r="M900" s="18" t="inlineStr">
        <is>
          <t>No</t>
        </is>
      </c>
      <c r="N900" s="18" t="inlineStr"/>
      <c r="O900" s="18" t="inlineStr"/>
      <c r="P900" s="18" t="inlineStr">
        <is>
          <t>Mapeada en legal-management-service/src/entities/consulta-juridica.entity.ts:23 (ConsultaJuridica.nombreSolicitante)</t>
        </is>
      </c>
      <c r="Q900" s="18" t="inlineStr">
        <is>
          <t>Código fuente (verificado)</t>
        </is>
      </c>
      <c r="R900" s="18" t="inlineStr">
        <is>
          <t>Nombre del solicitante de la consulta. Es la columna que usa la aplicación (también como autor del evento de creación); funcionario_solicitante viene de la versión inicial de la tabla y no está mapeada en la entidad.</t>
        </is>
      </c>
      <c r="S900" s="18" t="inlineStr">
        <is>
          <t>Alta</t>
        </is>
      </c>
      <c r="T900" s="18" t="inlineStr">
        <is>
          <t>legal-management-service/src/controllers/consultas-juridicas.controller.ts:52: toma body.nombreSolicitante | legal-management-service/src/services/consultas-juridicas.service.ts:176: creadoPor = nombreSolicitante | db/init/007_legal_management_ddl_20260129_215541.sql:456: funcionario_solicitante sin uso en la entidad</t>
        </is>
      </c>
      <c r="U900" s="18" t="inlineStr"/>
      <c r="V900" s="19" t="inlineStr">
        <is>
          <t>Aprobada</t>
        </is>
      </c>
      <c r="W900" s="19" t="inlineStr"/>
      <c r="X900" s="19" t="inlineStr">
        <is>
          <t>Aldair González (aprobación en bloque)</t>
        </is>
      </c>
      <c r="Y900" s="20" t="n">
        <v>46321</v>
      </c>
      <c r="Z900" s="19" t="inlineStr">
        <is>
          <t>Nivel 3: verificada con el código de la aplicación.</t>
        </is>
      </c>
      <c r="AA900" s="18">
        <f>IF(OR(V900="Aprobada"),R900,IF(AND(OR(V900="Aprobada con ajuste",V900="Rechazada"),W900&lt;&gt;""),W900,""))</f>
        <v/>
      </c>
    </row>
    <row r="901">
      <c r="A901" s="18" t="inlineStr">
        <is>
          <t>C0900</t>
        </is>
      </c>
      <c r="B901" s="18" t="inlineStr">
        <is>
          <t>Gestión jurídica</t>
        </is>
      </c>
      <c r="C901" s="18" t="inlineStr">
        <is>
          <t>legal_management</t>
        </is>
      </c>
      <c r="D901" s="18" t="inlineStr">
        <is>
          <t>consultas_juridicas</t>
        </is>
      </c>
      <c r="E901" s="18" t="n">
        <v>31</v>
      </c>
      <c r="F901" s="18" t="inlineStr">
        <is>
          <t>tipo_usuario</t>
        </is>
      </c>
      <c r="G901" s="18" t="inlineStr">
        <is>
          <t>character varying(20)</t>
        </is>
      </c>
      <c r="H901" s="18" t="inlineStr">
        <is>
          <t>Sí</t>
        </is>
      </c>
      <c r="I901" s="18" t="inlineStr"/>
      <c r="J901" s="18" t="inlineStr"/>
      <c r="K901" s="18" t="inlineStr"/>
      <c r="L901" s="18" t="inlineStr">
        <is>
          <t>No</t>
        </is>
      </c>
      <c r="M901" s="18" t="inlineStr">
        <is>
          <t>No</t>
        </is>
      </c>
      <c r="N901" s="18" t="inlineStr"/>
      <c r="O901" s="18" t="inlineStr"/>
      <c r="P901" s="18" t="inlineStr">
        <is>
          <t>legal-management-service/src/entities/consulta-juridica.entity.ts:35: interno, externo</t>
        </is>
      </c>
      <c r="Q901" s="18" t="inlineStr">
        <is>
          <t>Código fuente</t>
        </is>
      </c>
      <c r="R901" s="18" t="inlineStr">
        <is>
          <t>Tipo de usuario solicitante. Valores: interno, externo. Por defecto, interno.</t>
        </is>
      </c>
      <c r="S901" s="18" t="inlineStr">
        <is>
          <t>Alta</t>
        </is>
      </c>
      <c r="T901" s="18" t="inlineStr">
        <is>
          <t>código: consulta-juridica.entity.ts:35</t>
        </is>
      </c>
      <c r="U901" s="18" t="inlineStr"/>
      <c r="V901" s="19" t="inlineStr">
        <is>
          <t>Aprobada</t>
        </is>
      </c>
      <c r="W901" s="19" t="inlineStr"/>
      <c r="X901" s="19" t="inlineStr">
        <is>
          <t>Aldair González (aprobación en bloque)</t>
        </is>
      </c>
      <c r="Y901" s="20" t="n">
        <v>46321</v>
      </c>
      <c r="Z901" s="19" t="inlineStr">
        <is>
          <t>Nivel 1: propuesta del comentario del desarrollador o de confianza alta, o regla de fecha/responsable/motivo.</t>
        </is>
      </c>
      <c r="AA901" s="18">
        <f>IF(OR(V901="Aprobada"),R901,IF(AND(OR(V901="Aprobada con ajuste",V901="Rechazada"),W901&lt;&gt;""),W901,""))</f>
        <v/>
      </c>
    </row>
    <row r="902">
      <c r="A902" s="18" t="inlineStr">
        <is>
          <t>C0901</t>
        </is>
      </c>
      <c r="B902" s="18" t="inlineStr">
        <is>
          <t>Gestión jurídica</t>
        </is>
      </c>
      <c r="C902" s="18" t="inlineStr">
        <is>
          <t>legal_management</t>
        </is>
      </c>
      <c r="D902" s="18" t="inlineStr">
        <is>
          <t>consultas_juridicas</t>
        </is>
      </c>
      <c r="E902" s="18" t="n">
        <v>31</v>
      </c>
      <c r="F902" s="18" t="inlineStr">
        <is>
          <t>materia_juridica</t>
        </is>
      </c>
      <c r="G902" s="18" t="inlineStr">
        <is>
          <t>character varying(30)</t>
        </is>
      </c>
      <c r="H902" s="18" t="inlineStr">
        <is>
          <t>Sí</t>
        </is>
      </c>
      <c r="I902" s="18" t="inlineStr"/>
      <c r="J902" s="18" t="inlineStr"/>
      <c r="K902" s="18" t="inlineStr"/>
      <c r="L902" s="18" t="inlineStr">
        <is>
          <t>No</t>
        </is>
      </c>
      <c r="M902" s="18" t="inlineStr">
        <is>
          <t>No</t>
        </is>
      </c>
      <c r="N902" s="18" t="inlineStr"/>
      <c r="O902" s="18" t="inlineStr">
        <is>
          <t>idx_consultas_materia</t>
        </is>
      </c>
      <c r="P902" s="18" t="inlineStr">
        <is>
          <t>legal-management-service/src/entities/consulta-juridica.entity.ts:38: laboral, contractual, administrativo, disciplinario, presupuestal, academico, otra</t>
        </is>
      </c>
      <c r="Q902" s="18" t="inlineStr">
        <is>
          <t>Código fuente</t>
        </is>
      </c>
      <c r="R902" s="18" t="inlineStr">
        <is>
          <t>Materia jurídica de la consulta. Valores: laboral, contractual, administrativo, disciplinario, presupuestal, academico, otra.</t>
        </is>
      </c>
      <c r="S902" s="18" t="inlineStr">
        <is>
          <t>Alta</t>
        </is>
      </c>
      <c r="T902" s="18" t="inlineStr">
        <is>
          <t>código: consulta-juridica.entity.ts:38</t>
        </is>
      </c>
      <c r="U902" s="18" t="inlineStr"/>
      <c r="V902" s="19" t="inlineStr">
        <is>
          <t>Aprobada</t>
        </is>
      </c>
      <c r="W902" s="19" t="inlineStr"/>
      <c r="X902" s="19" t="inlineStr">
        <is>
          <t>Aldair González (aprobación en bloque)</t>
        </is>
      </c>
      <c r="Y902" s="20" t="n">
        <v>46321</v>
      </c>
      <c r="Z902" s="19" t="inlineStr">
        <is>
          <t>Nivel 1: propuesta del comentario del desarrollador o de confianza alta, o regla de fecha/responsable/motivo.</t>
        </is>
      </c>
      <c r="AA902" s="18">
        <f>IF(OR(V902="Aprobada"),R902,IF(AND(OR(V902="Aprobada con ajuste",V902="Rechazada"),W902&lt;&gt;""),W902,""))</f>
        <v/>
      </c>
    </row>
    <row r="903">
      <c r="A903" s="18" t="inlineStr">
        <is>
          <t>C0902</t>
        </is>
      </c>
      <c r="B903" s="18" t="inlineStr">
        <is>
          <t>Gestión jurídica</t>
        </is>
      </c>
      <c r="C903" s="18" t="inlineStr">
        <is>
          <t>legal_management</t>
        </is>
      </c>
      <c r="D903" s="18" t="inlineStr">
        <is>
          <t>consultas_juridicas</t>
        </is>
      </c>
      <c r="E903" s="18" t="n">
        <v>31</v>
      </c>
      <c r="F903" s="18" t="inlineStr">
        <is>
          <t>complejidad</t>
        </is>
      </c>
      <c r="G903" s="18" t="inlineStr">
        <is>
          <t>character varying(10)</t>
        </is>
      </c>
      <c r="H903" s="18" t="inlineStr">
        <is>
          <t>Sí</t>
        </is>
      </c>
      <c r="I903" s="18" t="inlineStr"/>
      <c r="J903" s="18" t="inlineStr"/>
      <c r="K903" s="18" t="inlineStr"/>
      <c r="L903" s="18" t="inlineStr">
        <is>
          <t>No</t>
        </is>
      </c>
      <c r="M903" s="18" t="inlineStr">
        <is>
          <t>No</t>
        </is>
      </c>
      <c r="N903" s="18" t="inlineStr"/>
      <c r="O903" s="18" t="inlineStr"/>
      <c r="P903" s="18" t="inlineStr">
        <is>
          <t>legal-management-service/src/entities/consulta-juridica.entity.ts:59: alta, media, baja</t>
        </is>
      </c>
      <c r="Q903" s="18" t="inlineStr">
        <is>
          <t>Código fuente</t>
        </is>
      </c>
      <c r="R903" s="18" t="inlineStr">
        <is>
          <t>Complejidad de la consulta. Valores: alta, media, baja.</t>
        </is>
      </c>
      <c r="S903" s="18" t="inlineStr">
        <is>
          <t>Alta</t>
        </is>
      </c>
      <c r="T903" s="18" t="inlineStr">
        <is>
          <t>código: legal-management-service/src/entities/consulta-juridica.entity.ts:59</t>
        </is>
      </c>
      <c r="U903" s="18" t="inlineStr"/>
      <c r="V903" s="19" t="inlineStr">
        <is>
          <t>Aprobada</t>
        </is>
      </c>
      <c r="W903" s="19" t="inlineStr"/>
      <c r="X903" s="19" t="inlineStr">
        <is>
          <t>Aldair González (aprobación en bloque)</t>
        </is>
      </c>
      <c r="Y903" s="20" t="n">
        <v>46321</v>
      </c>
      <c r="Z903" s="19" t="inlineStr">
        <is>
          <t>Nivel 1: propuesta del comentario del desarrollador o de confianza alta, o regla de fecha/responsable/motivo.</t>
        </is>
      </c>
      <c r="AA903" s="18">
        <f>IF(OR(V903="Aprobada"),R903,IF(AND(OR(V903="Aprobada con ajuste",V903="Rechazada"),W903&lt;&gt;""),W903,""))</f>
        <v/>
      </c>
    </row>
    <row r="904">
      <c r="A904" s="18" t="inlineStr">
        <is>
          <t>C0903</t>
        </is>
      </c>
      <c r="B904" s="18" t="inlineStr">
        <is>
          <t>Gestión jurídica</t>
        </is>
      </c>
      <c r="C904" s="18" t="inlineStr">
        <is>
          <t>legal_management</t>
        </is>
      </c>
      <c r="D904" s="18" t="inlineStr">
        <is>
          <t>consultas_juridicas</t>
        </is>
      </c>
      <c r="E904" s="18" t="n">
        <v>31</v>
      </c>
      <c r="F904" s="18" t="inlineStr">
        <is>
          <t>numero_oficio_respuesta</t>
        </is>
      </c>
      <c r="G904" s="18" t="inlineStr">
        <is>
          <t>character varying(50)</t>
        </is>
      </c>
      <c r="H904" s="18" t="inlineStr">
        <is>
          <t>Sí</t>
        </is>
      </c>
      <c r="I904" s="18" t="inlineStr"/>
      <c r="J904" s="18" t="inlineStr"/>
      <c r="K904" s="18" t="inlineStr"/>
      <c r="L904" s="18" t="inlineStr">
        <is>
          <t>No</t>
        </is>
      </c>
      <c r="M904" s="18" t="inlineStr">
        <is>
          <t>No</t>
        </is>
      </c>
      <c r="N904" s="18" t="inlineStr"/>
      <c r="O904" s="18" t="inlineStr"/>
      <c r="P904" s="18" t="inlineStr">
        <is>
          <t>Mapeada en legal-management-service/src/entities/consulta-juridica.entity.ts:71 (ConsultaJuridica.numeroOficioRespuesta)</t>
        </is>
      </c>
      <c r="Q904" s="18" t="inlineStr">
        <is>
          <t>Código fuente (verificado)</t>
        </is>
      </c>
      <c r="R904" s="18" t="inlineStr">
        <is>
          <t>Número del oficio con que se respondió la consulta, digitado al registrar la respuesta; el código no lo toma de otro sistema.</t>
        </is>
      </c>
      <c r="S904" s="18" t="inlineStr">
        <is>
          <t>Alta</t>
        </is>
      </c>
      <c r="T904" s="18" t="inlineStr">
        <is>
          <t>legal-management-service/src/controllers/consultas-juridicas.controller.ts:109: toma body.numeroOficioRespuesta | legal-management-service/src/services/consultas-juridicas.service.ts:259: lo guarda al responder</t>
        </is>
      </c>
      <c r="U904" s="18" t="inlineStr"/>
      <c r="V904" s="19" t="inlineStr">
        <is>
          <t>Aprobada</t>
        </is>
      </c>
      <c r="W904" s="19" t="inlineStr"/>
      <c r="X904" s="19" t="inlineStr">
        <is>
          <t>Aldair González (aprobación en bloque)</t>
        </is>
      </c>
      <c r="Y904" s="20" t="n">
        <v>46321</v>
      </c>
      <c r="Z904" s="19" t="inlineStr">
        <is>
          <t>Nivel 3: verificada con el código de la aplicación.</t>
        </is>
      </c>
      <c r="AA904" s="18">
        <f>IF(OR(V904="Aprobada"),R904,IF(AND(OR(V904="Aprobada con ajuste",V904="Rechazada"),W904&lt;&gt;""),W904,""))</f>
        <v/>
      </c>
    </row>
    <row r="905">
      <c r="A905" s="18" t="inlineStr">
        <is>
          <t>C0904</t>
        </is>
      </c>
      <c r="B905" s="18" t="inlineStr">
        <is>
          <t>Gestión jurídica</t>
        </is>
      </c>
      <c r="C905" s="18" t="inlineStr">
        <is>
          <t>legal_management</t>
        </is>
      </c>
      <c r="D905" s="18" t="inlineStr">
        <is>
          <t>consultas_juridicas</t>
        </is>
      </c>
      <c r="E905" s="18" t="n">
        <v>31</v>
      </c>
      <c r="F905" s="18" t="inlineStr">
        <is>
          <t>tipo_respuesta</t>
        </is>
      </c>
      <c r="G905" s="18" t="inlineStr">
        <is>
          <t>character varying(30)</t>
        </is>
      </c>
      <c r="H905" s="18" t="inlineStr">
        <is>
          <t>Sí</t>
        </is>
      </c>
      <c r="I905" s="18" t="inlineStr"/>
      <c r="J905" s="18" t="inlineStr"/>
      <c r="K905" s="18" t="inlineStr"/>
      <c r="L905" s="18" t="inlineStr">
        <is>
          <t>No</t>
        </is>
      </c>
      <c r="M905" s="18" t="inlineStr">
        <is>
          <t>No</t>
        </is>
      </c>
      <c r="N905" s="18" t="inlineStr"/>
      <c r="O905" s="18" t="inlineStr"/>
      <c r="P905" s="18" t="inlineStr">
        <is>
          <t>legal-management-service/src/entities/consulta-juridica.entity.ts:77: favorable, con_observaciones, desfavorable, informativa</t>
        </is>
      </c>
      <c r="Q905" s="18" t="inlineStr">
        <is>
          <t>Código fuente</t>
        </is>
      </c>
      <c r="R905" s="18" t="inlineStr">
        <is>
          <t>Tipo de respuesta. Valores: favorable, con_observaciones, desfavorable, informativa.</t>
        </is>
      </c>
      <c r="S905" s="18" t="inlineStr">
        <is>
          <t>Alta</t>
        </is>
      </c>
      <c r="T905" s="18" t="inlineStr">
        <is>
          <t>código: consulta-juridica.entity.ts:77</t>
        </is>
      </c>
      <c r="U905" s="18" t="inlineStr"/>
      <c r="V905" s="19" t="inlineStr">
        <is>
          <t>Aprobada</t>
        </is>
      </c>
      <c r="W905" s="19" t="inlineStr"/>
      <c r="X905" s="19" t="inlineStr">
        <is>
          <t>Aldair González (aprobación en bloque)</t>
        </is>
      </c>
      <c r="Y905" s="20" t="n">
        <v>46321</v>
      </c>
      <c r="Z905" s="19" t="inlineStr">
        <is>
          <t>Nivel 1: propuesta del comentario del desarrollador o de confianza alta, o regla de fecha/responsable/motivo.</t>
        </is>
      </c>
      <c r="AA905" s="18">
        <f>IF(OR(V905="Aprobada"),R905,IF(AND(OR(V905="Aprobada con ajuste",V905="Rechazada"),W905&lt;&gt;""),W905,""))</f>
        <v/>
      </c>
    </row>
    <row r="906">
      <c r="A906" s="18" t="inlineStr">
        <is>
          <t>C0905</t>
        </is>
      </c>
      <c r="B906" s="18" t="inlineStr">
        <is>
          <t>Gestión jurídica</t>
        </is>
      </c>
      <c r="C906" s="18" t="inlineStr">
        <is>
          <t>legal_management</t>
        </is>
      </c>
      <c r="D906" s="18" t="inlineStr">
        <is>
          <t>consultas_juridicas</t>
        </is>
      </c>
      <c r="E906" s="18" t="n">
        <v>31</v>
      </c>
      <c r="F906" s="18" t="inlineStr">
        <is>
          <t>documento_respuesta_url</t>
        </is>
      </c>
      <c r="G906" s="18" t="inlineStr">
        <is>
          <t>text</t>
        </is>
      </c>
      <c r="H906" s="18" t="inlineStr">
        <is>
          <t>Sí</t>
        </is>
      </c>
      <c r="I906" s="18" t="inlineStr"/>
      <c r="J906" s="18" t="inlineStr"/>
      <c r="K906" s="18" t="inlineStr"/>
      <c r="L906" s="18" t="inlineStr">
        <is>
          <t>No</t>
        </is>
      </c>
      <c r="M906" s="18" t="inlineStr">
        <is>
          <t>No</t>
        </is>
      </c>
      <c r="N906" s="18" t="inlineStr"/>
      <c r="O906" s="18" t="inlineStr"/>
      <c r="P906" s="18" t="inlineStr">
        <is>
          <t>Mapeada en legal-management-service/src/entities/consulta-juridica.entity.ts:80 (ConsultaJuridica.documentoRespuestaUrl)</t>
        </is>
      </c>
      <c r="Q906" s="18" t="inlineStr">
        <is>
          <t>Propuesta semántica</t>
        </is>
      </c>
      <c r="R906" s="18" t="inlineStr">
        <is>
          <t>URL del documento de respuesta a la consulta.</t>
        </is>
      </c>
      <c r="S906" s="18" t="inlineStr">
        <is>
          <t>Alta</t>
        </is>
      </c>
      <c r="T906" s="18" t="inlineStr">
        <is>
          <t>nombre + tipo + columnas vecinas</t>
        </is>
      </c>
      <c r="U906" s="18" t="inlineStr"/>
      <c r="V906" s="19" t="inlineStr">
        <is>
          <t>Aprobada</t>
        </is>
      </c>
      <c r="W906" s="19" t="inlineStr"/>
      <c r="X906" s="19" t="inlineStr">
        <is>
          <t>Aldair González (aprobación en bloque)</t>
        </is>
      </c>
      <c r="Y906" s="20" t="n">
        <v>46321</v>
      </c>
      <c r="Z906" s="19" t="inlineStr">
        <is>
          <t>Nivel 1: propuesta del comentario del desarrollador o de confianza alta, o regla de fecha/responsable/motivo.</t>
        </is>
      </c>
      <c r="AA906" s="18">
        <f>IF(OR(V906="Aprobada"),R906,IF(AND(OR(V906="Aprobada con ajuste",V906="Rechazada"),W906&lt;&gt;""),W906,""))</f>
        <v/>
      </c>
    </row>
    <row r="907">
      <c r="A907" s="18" t="inlineStr">
        <is>
          <t>C0906</t>
        </is>
      </c>
      <c r="B907" s="18" t="inlineStr">
        <is>
          <t>Gestión jurídica</t>
        </is>
      </c>
      <c r="C907" s="18" t="inlineStr">
        <is>
          <t>legal_management</t>
        </is>
      </c>
      <c r="D907" s="18" t="inlineStr">
        <is>
          <t>consultas_juridicas</t>
        </is>
      </c>
      <c r="E907" s="18" t="n">
        <v>31</v>
      </c>
      <c r="F907" s="18" t="inlineStr">
        <is>
          <t>respuesta</t>
        </is>
      </c>
      <c r="G907" s="18" t="inlineStr">
        <is>
          <t>text</t>
        </is>
      </c>
      <c r="H907" s="18" t="inlineStr">
        <is>
          <t>Sí</t>
        </is>
      </c>
      <c r="I907" s="18" t="inlineStr"/>
      <c r="J907" s="18" t="inlineStr"/>
      <c r="K907" s="18" t="inlineStr"/>
      <c r="L907" s="18" t="inlineStr">
        <is>
          <t>No</t>
        </is>
      </c>
      <c r="M907" s="18" t="inlineStr">
        <is>
          <t>No</t>
        </is>
      </c>
      <c r="N907" s="18" t="inlineStr"/>
      <c r="O907" s="18" t="inlineStr"/>
      <c r="P907" s="18" t="inlineStr">
        <is>
          <t>Mapeada en legal-management-service/src/entities/consulta-juridica.entity.ts:83 (ConsultaJuridica.respuesta)</t>
        </is>
      </c>
      <c r="Q907" s="18" t="inlineStr">
        <is>
          <t>Propuesta semántica</t>
        </is>
      </c>
      <c r="R907" s="18" t="inlineStr">
        <is>
          <t>Texto de la respuesta a la consulta.</t>
        </is>
      </c>
      <c r="S907" s="18" t="inlineStr">
        <is>
          <t>Alta</t>
        </is>
      </c>
      <c r="T907" s="18" t="inlineStr">
        <is>
          <t>nombre + tipo + columnas vecinas</t>
        </is>
      </c>
      <c r="U907" s="18" t="inlineStr"/>
      <c r="V907" s="19" t="inlineStr">
        <is>
          <t>Aprobada</t>
        </is>
      </c>
      <c r="W907" s="19" t="inlineStr"/>
      <c r="X907" s="19" t="inlineStr">
        <is>
          <t>Aldair González (aprobación en bloque)</t>
        </is>
      </c>
      <c r="Y907" s="20" t="n">
        <v>46321</v>
      </c>
      <c r="Z907" s="19" t="inlineStr">
        <is>
          <t>Nivel 1: propuesta del comentario del desarrollador o de confianza alta, o regla de fecha/responsable/motivo.</t>
        </is>
      </c>
      <c r="AA907" s="18">
        <f>IF(OR(V907="Aprobada"),R907,IF(AND(OR(V907="Aprobada con ajuste",V907="Rechazada"),W907&lt;&gt;""),W907,""))</f>
        <v/>
      </c>
    </row>
    <row r="908">
      <c r="A908" s="18" t="inlineStr">
        <is>
          <t>C0907</t>
        </is>
      </c>
      <c r="B908" s="18" t="inlineStr">
        <is>
          <t>Gestión jurídica</t>
        </is>
      </c>
      <c r="C908" s="18" t="inlineStr">
        <is>
          <t>legal_management</t>
        </is>
      </c>
      <c r="D908" s="18" t="inlineStr">
        <is>
          <t>consultas_juridicas</t>
        </is>
      </c>
      <c r="E908" s="18" t="n">
        <v>31</v>
      </c>
      <c r="F908" s="18" t="inlineStr">
        <is>
          <t>estado_archivo</t>
        </is>
      </c>
      <c r="G908" s="18" t="inlineStr">
        <is>
          <t>character varying</t>
        </is>
      </c>
      <c r="H908" s="18" t="inlineStr">
        <is>
          <t>Sí</t>
        </is>
      </c>
      <c r="I908" s="18" t="inlineStr"/>
      <c r="J908" s="18" t="inlineStr"/>
      <c r="K908" s="18" t="inlineStr"/>
      <c r="L908" s="18" t="inlineStr">
        <is>
          <t>No</t>
        </is>
      </c>
      <c r="M908" s="18" t="inlineStr">
        <is>
          <t>No</t>
        </is>
      </c>
      <c r="N908" s="18" t="inlineStr"/>
      <c r="O908" s="18" t="inlineStr"/>
      <c r="P908" s="18" t="inlineStr">
        <is>
          <t>legal-management-service/src/entities/consulta-juridica.entity.ts:101: Campos para sistema de archivo ACTIVO, ARCHIVADO, ELIMINADO</t>
        </is>
      </c>
      <c r="Q908" s="18" t="inlineStr">
        <is>
          <t>Código fuente</t>
        </is>
      </c>
      <c r="R908" s="18" t="inlineStr">
        <is>
          <t>Estado de archivo de la consulta. Valores: ACTIVO, ARCHIVADO, ELIMINADO. Por defecto, ACTIVO.</t>
        </is>
      </c>
      <c r="S908" s="18" t="inlineStr">
        <is>
          <t>Alta</t>
        </is>
      </c>
      <c r="T908" s="18" t="inlineStr">
        <is>
          <t>código: consulta-juridica.entity.ts:101</t>
        </is>
      </c>
      <c r="U908" s="18" t="inlineStr"/>
      <c r="V908" s="19" t="inlineStr">
        <is>
          <t>Aprobada</t>
        </is>
      </c>
      <c r="W908" s="19" t="inlineStr"/>
      <c r="X908" s="19" t="inlineStr">
        <is>
          <t>Aldair González (aprobación en bloque)</t>
        </is>
      </c>
      <c r="Y908" s="20" t="n">
        <v>46321</v>
      </c>
      <c r="Z908" s="19" t="inlineStr">
        <is>
          <t>Nivel 1: propuesta del comentario del desarrollador o de confianza alta, o regla de fecha/responsable/motivo.</t>
        </is>
      </c>
      <c r="AA908" s="18">
        <f>IF(OR(V908="Aprobada"),R908,IF(AND(OR(V908="Aprobada con ajuste",V908="Rechazada"),W908&lt;&gt;""),W908,""))</f>
        <v/>
      </c>
    </row>
    <row r="909">
      <c r="A909" s="18" t="inlineStr">
        <is>
          <t>C0908</t>
        </is>
      </c>
      <c r="B909" s="18" t="inlineStr">
        <is>
          <t>Gestión jurídica</t>
        </is>
      </c>
      <c r="C909" s="18" t="inlineStr">
        <is>
          <t>legal_management</t>
        </is>
      </c>
      <c r="D909" s="18" t="inlineStr">
        <is>
          <t>consultas_juridicas</t>
        </is>
      </c>
      <c r="E909" s="18" t="n">
        <v>31</v>
      </c>
      <c r="F909" s="18" t="inlineStr">
        <is>
          <t>fecha_archivo</t>
        </is>
      </c>
      <c r="G909" s="18" t="inlineStr">
        <is>
          <t>timestamp without time zone</t>
        </is>
      </c>
      <c r="H909" s="18" t="inlineStr">
        <is>
          <t>Sí</t>
        </is>
      </c>
      <c r="I909" s="18" t="inlineStr"/>
      <c r="J909" s="18" t="inlineStr"/>
      <c r="K909" s="18" t="inlineStr"/>
      <c r="L909" s="18" t="inlineStr">
        <is>
          <t>No</t>
        </is>
      </c>
      <c r="M909" s="18" t="inlineStr">
        <is>
          <t>No</t>
        </is>
      </c>
      <c r="N909" s="18" t="inlineStr"/>
      <c r="O909" s="18" t="inlineStr"/>
      <c r="P909" s="18" t="inlineStr">
        <is>
          <t>Mapeada en legal-management-service/src/entities/consulta-juridica.entity.ts:104 (ConsultaJuridica.fechaArchivo)</t>
        </is>
      </c>
      <c r="Q909" s="18" t="inlineStr">
        <is>
          <t>Regla estructural (redacción revisada)</t>
        </is>
      </c>
      <c r="R909" s="18" t="inlineStr">
        <is>
          <t>Fecha y hora de archivo de la consulta jurídica.</t>
        </is>
      </c>
      <c r="S909" s="18" t="inlineStr">
        <is>
          <t>Alta</t>
        </is>
      </c>
      <c r="T909" s="18" t="inlineStr">
        <is>
          <t>Convención de nombre, redactada con el contexto de la tabla y el código.</t>
        </is>
      </c>
      <c r="U909" s="18" t="inlineStr"/>
      <c r="V909" s="19" t="inlineStr">
        <is>
          <t>Aprobada</t>
        </is>
      </c>
      <c r="W909" s="19" t="inlineStr"/>
      <c r="X909" s="19" t="inlineStr">
        <is>
          <t>Aldair González (aprobación en bloque)</t>
        </is>
      </c>
      <c r="Y909" s="20" t="n">
        <v>46321</v>
      </c>
      <c r="Z909" s="19" t="inlineStr">
        <is>
          <t>Nivel 2: regla estructural con redacción revisada.</t>
        </is>
      </c>
      <c r="AA909" s="18">
        <f>IF(OR(V909="Aprobada"),R909,IF(AND(OR(V909="Aprobada con ajuste",V909="Rechazada"),W909&lt;&gt;""),W909,""))</f>
        <v/>
      </c>
    </row>
    <row r="910">
      <c r="A910" s="18" t="inlineStr">
        <is>
          <t>C0909</t>
        </is>
      </c>
      <c r="B910" s="18" t="inlineStr">
        <is>
          <t>Gestión jurídica</t>
        </is>
      </c>
      <c r="C910" s="18" t="inlineStr">
        <is>
          <t>legal_management</t>
        </is>
      </c>
      <c r="D910" s="18" t="inlineStr">
        <is>
          <t>consultas_juridicas</t>
        </is>
      </c>
      <c r="E910" s="18" t="n">
        <v>31</v>
      </c>
      <c r="F910" s="18" t="inlineStr">
        <is>
          <t>usuario_archivo</t>
        </is>
      </c>
      <c r="G910" s="18" t="inlineStr">
        <is>
          <t>character varying</t>
        </is>
      </c>
      <c r="H910" s="18" t="inlineStr">
        <is>
          <t>Sí</t>
        </is>
      </c>
      <c r="I910" s="18" t="inlineStr"/>
      <c r="J910" s="18" t="inlineStr"/>
      <c r="K910" s="18" t="inlineStr"/>
      <c r="L910" s="18" t="inlineStr">
        <is>
          <t>No</t>
        </is>
      </c>
      <c r="M910" s="18" t="inlineStr">
        <is>
          <t>No</t>
        </is>
      </c>
      <c r="N910" s="18" t="inlineStr"/>
      <c r="O910" s="18" t="inlineStr"/>
      <c r="P910" s="18" t="inlineStr">
        <is>
          <t>Mapeada en legal-management-service/src/entities/consulta-juridica.entity.ts:107 (ConsultaJuridica.usuarioArchivo)</t>
        </is>
      </c>
      <c r="Q910" s="18" t="inlineStr">
        <is>
          <t>Propuesta semántica</t>
        </is>
      </c>
      <c r="R910" s="18" t="inlineStr">
        <is>
          <t>Usuario que archivó la consulta.</t>
        </is>
      </c>
      <c r="S910" s="18" t="inlineStr">
        <is>
          <t>Alta</t>
        </is>
      </c>
      <c r="T910" s="18" t="inlineStr">
        <is>
          <t>nombre + tipo + columnas vecinas (estado_archivo, fecha_archivo, motivo_archivo)</t>
        </is>
      </c>
      <c r="U910" s="18" t="inlineStr"/>
      <c r="V910" s="19" t="inlineStr">
        <is>
          <t>Aprobada</t>
        </is>
      </c>
      <c r="W910" s="19" t="inlineStr"/>
      <c r="X910" s="19" t="inlineStr">
        <is>
          <t>Aldair González (aprobación en bloque)</t>
        </is>
      </c>
      <c r="Y910" s="20" t="n">
        <v>46321</v>
      </c>
      <c r="Z910" s="19" t="inlineStr">
        <is>
          <t>Nivel 1: propuesta del comentario del desarrollador o de confianza alta, o regla de fecha/responsable/motivo.</t>
        </is>
      </c>
      <c r="AA910" s="18">
        <f>IF(OR(V910="Aprobada"),R910,IF(AND(OR(V910="Aprobada con ajuste",V910="Rechazada"),W910&lt;&gt;""),W910,""))</f>
        <v/>
      </c>
    </row>
    <row r="911">
      <c r="A911" s="18" t="inlineStr">
        <is>
          <t>C0910</t>
        </is>
      </c>
      <c r="B911" s="18" t="inlineStr">
        <is>
          <t>Gestión jurídica</t>
        </is>
      </c>
      <c r="C911" s="18" t="inlineStr">
        <is>
          <t>legal_management</t>
        </is>
      </c>
      <c r="D911" s="18" t="inlineStr">
        <is>
          <t>consultas_juridicas</t>
        </is>
      </c>
      <c r="E911" s="18" t="n">
        <v>31</v>
      </c>
      <c r="F911" s="18" t="inlineStr">
        <is>
          <t>motivo_archivo</t>
        </is>
      </c>
      <c r="G911" s="18" t="inlineStr">
        <is>
          <t>text</t>
        </is>
      </c>
      <c r="H911" s="18" t="inlineStr">
        <is>
          <t>Sí</t>
        </is>
      </c>
      <c r="I911" s="18" t="inlineStr"/>
      <c r="J911" s="18" t="inlineStr"/>
      <c r="K911" s="18" t="inlineStr"/>
      <c r="L911" s="18" t="inlineStr">
        <is>
          <t>No</t>
        </is>
      </c>
      <c r="M911" s="18" t="inlineStr">
        <is>
          <t>No</t>
        </is>
      </c>
      <c r="N911" s="18" t="inlineStr"/>
      <c r="O911" s="18" t="inlineStr"/>
      <c r="P911" s="18" t="inlineStr">
        <is>
          <t>Mapeada en legal-management-service/src/entities/consulta-juridica.entity.ts:110 (ConsultaJuridica.motivoArchivo)</t>
        </is>
      </c>
      <c r="Q911" s="18" t="inlineStr">
        <is>
          <t>Regla estructural</t>
        </is>
      </c>
      <c r="R911" s="18" t="inlineStr">
        <is>
          <t>Motivo del archivo.</t>
        </is>
      </c>
      <c r="S911" s="18" t="inlineStr">
        <is>
          <t>Media</t>
        </is>
      </c>
      <c r="T911" s="18" t="inlineStr">
        <is>
          <t>Convención de nombre de la columna.</t>
        </is>
      </c>
      <c r="U911" s="18" t="inlineStr"/>
      <c r="V911" s="19" t="inlineStr">
        <is>
          <t>Aprobada</t>
        </is>
      </c>
      <c r="W911" s="19" t="inlineStr"/>
      <c r="X911" s="19" t="inlineStr">
        <is>
          <t>Aldair González (aprobación en bloque)</t>
        </is>
      </c>
      <c r="Y911" s="20" t="n">
        <v>46321</v>
      </c>
      <c r="Z911" s="19" t="inlineStr">
        <is>
          <t>Nivel 1: propuesta del comentario del desarrollador o de confianza alta, o regla de fecha/responsable/motivo.</t>
        </is>
      </c>
      <c r="AA911" s="18">
        <f>IF(OR(V911="Aprobada"),R911,IF(AND(OR(V911="Aprobada con ajuste",V911="Rechazada"),W911&lt;&gt;""),W911,""))</f>
        <v/>
      </c>
    </row>
    <row r="912">
      <c r="A912" s="18" t="inlineStr">
        <is>
          <t>C0911</t>
        </is>
      </c>
      <c r="B912" s="18" t="inlineStr">
        <is>
          <t>Gestión jurídica</t>
        </is>
      </c>
      <c r="C912" s="18" t="inlineStr">
        <is>
          <t>legal_management</t>
        </is>
      </c>
      <c r="D912" s="18" t="inlineStr">
        <is>
          <t>consultas_juridicas</t>
        </is>
      </c>
      <c r="E912" s="18" t="n">
        <v>31</v>
      </c>
      <c r="F912" s="18" t="inlineStr">
        <is>
          <t>comentario_devolucion_jefe</t>
        </is>
      </c>
      <c r="G912" s="18" t="inlineStr">
        <is>
          <t>text</t>
        </is>
      </c>
      <c r="H912" s="18" t="inlineStr">
        <is>
          <t>Sí</t>
        </is>
      </c>
      <c r="I912" s="18" t="inlineStr"/>
      <c r="J912" s="18" t="inlineStr"/>
      <c r="K912" s="18" t="inlineStr"/>
      <c r="L912" s="18" t="inlineStr">
        <is>
          <t>No</t>
        </is>
      </c>
      <c r="M912" s="18" t="inlineStr">
        <is>
          <t>No</t>
        </is>
      </c>
      <c r="N912" s="18" t="inlineStr"/>
      <c r="O912" s="18" t="inlineStr"/>
      <c r="P912" s="18" t="inlineStr">
        <is>
          <t>Mapeada en legal-management-service/src/entities/consulta-juridica.entity.ts:89 (ConsultaJuridica.comentarioDevolucionJefe)</t>
        </is>
      </c>
      <c r="Q912" s="18" t="inlineStr">
        <is>
          <t>Código fuente (verificado)</t>
        </is>
      </c>
      <c r="R912" s="18" t="inlineStr">
        <is>
          <t>Comentario del jefe al devolver la respuesta al abogado para ajustes. Se borra cuando el abogado reenvía al jefe o cuando el jefe aprueba.</t>
        </is>
      </c>
      <c r="S912" s="18" t="inlineStr">
        <is>
          <t>Alta</t>
        </is>
      </c>
      <c r="T912" s="18" t="inlineStr">
        <is>
          <t>legal-management-service/src/services/consultas-juridicas.service.ts:486: se guarda al devolver (estado devuelta_por_jefe) | legal-management-service/src/services/consultas-juridicas.service.ts:332: se limpia al enviar al jefe | legal-management-service/src/services/consultas-juridicas.service.ts:448: se limpia al aprobar | db/migrations/216_add_revision_jefe_consultas_juridicas.sql:1: flujo de revisión del jefe</t>
        </is>
      </c>
      <c r="U912" s="18" t="inlineStr"/>
      <c r="V912" s="19" t="inlineStr">
        <is>
          <t>Aprobada</t>
        </is>
      </c>
      <c r="W912" s="19" t="inlineStr"/>
      <c r="X912" s="19" t="inlineStr">
        <is>
          <t>Aldair González (aprobación en bloque)</t>
        </is>
      </c>
      <c r="Y912" s="20" t="n">
        <v>46321</v>
      </c>
      <c r="Z912" s="19" t="inlineStr">
        <is>
          <t>Nivel 3: verificada con el código de la aplicación.</t>
        </is>
      </c>
      <c r="AA912" s="18">
        <f>IF(OR(V912="Aprobada"),R912,IF(AND(OR(V912="Aprobada con ajuste",V912="Rechazada"),W912&lt;&gt;""),W912,""))</f>
        <v/>
      </c>
    </row>
    <row r="913">
      <c r="A913" s="18" t="inlineStr">
        <is>
          <t>C0912</t>
        </is>
      </c>
      <c r="B913" s="18" t="inlineStr">
        <is>
          <t>Gestión jurídica</t>
        </is>
      </c>
      <c r="C913" s="18" t="inlineStr">
        <is>
          <t>legal_management</t>
        </is>
      </c>
      <c r="D913" s="18" t="inlineStr">
        <is>
          <t>consultas_juridicas</t>
        </is>
      </c>
      <c r="E913" s="18" t="n">
        <v>31</v>
      </c>
      <c r="F913" s="18" t="inlineStr">
        <is>
          <t>origen_comunicacion_id</t>
        </is>
      </c>
      <c r="G913" s="18" t="inlineStr">
        <is>
          <t>uuid</t>
        </is>
      </c>
      <c r="H913" s="18" t="inlineStr">
        <is>
          <t>Sí</t>
        </is>
      </c>
      <c r="I913" s="18" t="inlineStr"/>
      <c r="J913" s="18" t="inlineStr"/>
      <c r="K913" s="18" t="inlineStr"/>
      <c r="L913" s="18" t="inlineStr">
        <is>
          <t>No</t>
        </is>
      </c>
      <c r="M913" s="18" t="inlineStr">
        <is>
          <t>No</t>
        </is>
      </c>
      <c r="N913" s="18" t="inlineStr"/>
      <c r="O913" s="18" t="inlineStr">
        <is>
          <t>idx_consultas_origen_comunicacion</t>
        </is>
      </c>
      <c r="P913" s="18" t="inlineStr">
        <is>
          <t>legal-management-service/src/entities/consulta-juridica.entity.ts:97: Trazabilidad inversa: comunicación (correo jurídico) que dio origen a esta consulta cuando se crea desde el Centro de Comunicaciones → Clasificación IA.</t>
        </is>
      </c>
      <c r="Q913" s="18" t="inlineStr">
        <is>
          <t>Código fuente</t>
        </is>
      </c>
      <c r="R913" s="18" t="inlineStr">
        <is>
          <t>Identificador de la comunicación (correo jurídico) que dio origen a la consulta cuando se crea desde el Centro de Comunicaciones (Clasificación IA).</t>
        </is>
      </c>
      <c r="S913" s="18" t="inlineStr">
        <is>
          <t>Alta</t>
        </is>
      </c>
      <c r="T913" s="18" t="inlineStr">
        <is>
          <t>código: legal-management-service/src/entities/consulta-juridica.entity.ts:97</t>
        </is>
      </c>
      <c r="U913" s="18" t="inlineStr"/>
      <c r="V913" s="19" t="inlineStr">
        <is>
          <t>Aprobada</t>
        </is>
      </c>
      <c r="W913" s="19" t="inlineStr"/>
      <c r="X913" s="19" t="inlineStr">
        <is>
          <t>Aldair González (aprobación en bloque)</t>
        </is>
      </c>
      <c r="Y913" s="20" t="n">
        <v>46321</v>
      </c>
      <c r="Z913" s="19" t="inlineStr">
        <is>
          <t>Nivel 1: propuesta del comentario del desarrollador o de confianza alta, o regla de fecha/responsable/motivo.</t>
        </is>
      </c>
      <c r="AA913" s="18">
        <f>IF(OR(V913="Aprobada"),R913,IF(AND(OR(V913="Aprobada con ajuste",V913="Rechazada"),W913&lt;&gt;""),W913,""))</f>
        <v/>
      </c>
    </row>
    <row r="914">
      <c r="A914" s="18" t="inlineStr">
        <is>
          <t>C0913</t>
        </is>
      </c>
      <c r="B914" s="18" t="inlineStr">
        <is>
          <t>Gestión jurídica</t>
        </is>
      </c>
      <c r="C914" s="18" t="inlineStr">
        <is>
          <t>legal_management</t>
        </is>
      </c>
      <c r="D914" s="18" t="inlineStr">
        <is>
          <t>correo_juridico_historial</t>
        </is>
      </c>
      <c r="E914" s="18" t="n">
        <v>14558</v>
      </c>
      <c r="F914" s="18" t="inlineStr">
        <is>
          <t>tipo_evento</t>
        </is>
      </c>
      <c r="G914" s="18" t="inlineStr">
        <is>
          <t>character varying(50)</t>
        </is>
      </c>
      <c r="H914" s="18" t="inlineStr">
        <is>
          <t>No</t>
        </is>
      </c>
      <c r="I914" s="18" t="inlineStr"/>
      <c r="J914" s="18" t="inlineStr"/>
      <c r="K914" s="18" t="inlineStr"/>
      <c r="L914" s="18" t="inlineStr">
        <is>
          <t>No</t>
        </is>
      </c>
      <c r="M914" s="18" t="inlineStr">
        <is>
          <t>No</t>
        </is>
      </c>
      <c r="N914" s="18" t="inlineStr"/>
      <c r="O914" s="18" t="inlineStr">
        <is>
          <t>idx_correo_historial_tipo_evento, idx_historial_tipo_evento</t>
        </is>
      </c>
      <c r="P914" s="18" t="inlineStr">
        <is>
          <t>legal-management-service/src/entities/correo-juridico-historial.entity.ts:16: RECIBIDO, CLASIFICADO_IA, CLASIFICACION_MANUAL, ASOCIADO_PROCESO, LEIDO, ARCHIVADO, RESPONDIDO, REENVIADO | db/migrations/162_create_correo_juridico_historial.sql:7: RECIBIDO, CLASIFICADO_IA, CLASIFICACION_MANUAL, ASOCIADO_PROCESO, LEIDO, ARCHIVADO, RESPONDIDO, REENVIADO</t>
        </is>
      </c>
      <c r="Q914" s="18" t="inlineStr">
        <is>
          <t>Código fuente</t>
        </is>
      </c>
      <c r="R914" s="18" t="inlineStr">
        <is>
          <t>Tipo de evento del historial del correo jurídico. Valores: RECIBIDO, CLASIFICADO_IA, CLASIFICACION_MANUAL, ASOCIADO_PROCESO, LEIDO, ARCHIVADO, RESPONDIDO, REENVIADO.</t>
        </is>
      </c>
      <c r="S914" s="18" t="inlineStr">
        <is>
          <t>Alta</t>
        </is>
      </c>
      <c r="T914" s="18" t="inlineStr">
        <is>
          <t>código: correo-juridico-historial.entity.ts:16</t>
        </is>
      </c>
      <c r="U914" s="18" t="inlineStr"/>
      <c r="V914" s="19" t="inlineStr">
        <is>
          <t>Aprobada</t>
        </is>
      </c>
      <c r="W914" s="19" t="inlineStr"/>
      <c r="X914" s="19" t="inlineStr">
        <is>
          <t>Aldair González (aprobación en bloque)</t>
        </is>
      </c>
      <c r="Y914" s="20" t="n">
        <v>46321</v>
      </c>
      <c r="Z914" s="19" t="inlineStr">
        <is>
          <t>Nivel 1: propuesta del comentario del desarrollador o de confianza alta, o regla de fecha/responsable/motivo.</t>
        </is>
      </c>
      <c r="AA914" s="18">
        <f>IF(OR(V914="Aprobada"),R914,IF(AND(OR(V914="Aprobada con ajuste",V914="Rechazada"),W914&lt;&gt;""),W914,""))</f>
        <v/>
      </c>
    </row>
    <row r="915">
      <c r="A915" s="18" t="inlineStr">
        <is>
          <t>C0914</t>
        </is>
      </c>
      <c r="B915" s="18" t="inlineStr">
        <is>
          <t>Gestión jurídica</t>
        </is>
      </c>
      <c r="C915" s="18" t="inlineStr">
        <is>
          <t>legal_management</t>
        </is>
      </c>
      <c r="D915" s="18" t="inlineStr">
        <is>
          <t>correo_juridico_historial</t>
        </is>
      </c>
      <c r="E915" s="18" t="n">
        <v>14558</v>
      </c>
      <c r="F915" s="18" t="inlineStr">
        <is>
          <t>descripcion</t>
        </is>
      </c>
      <c r="G915" s="18" t="inlineStr">
        <is>
          <t>text</t>
        </is>
      </c>
      <c r="H915" s="18" t="inlineStr">
        <is>
          <t>No</t>
        </is>
      </c>
      <c r="I915" s="18" t="inlineStr"/>
      <c r="J915" s="18" t="inlineStr"/>
      <c r="K915" s="18" t="inlineStr"/>
      <c r="L915" s="18" t="inlineStr">
        <is>
          <t>No</t>
        </is>
      </c>
      <c r="M915" s="18" t="inlineStr">
        <is>
          <t>No</t>
        </is>
      </c>
      <c r="N915" s="18" t="inlineStr"/>
      <c r="O915" s="18" t="inlineStr"/>
      <c r="P915" s="18" t="inlineStr">
        <is>
          <t>Mapeada en legal-management-service/src/entities/correo-juridico-historial.entity.ts:19 (CorreoJuridicoHistorial.descripcion)</t>
        </is>
      </c>
      <c r="Q915" s="18" t="inlineStr">
        <is>
          <t>Regla estructural (redacción revisada)</t>
        </is>
      </c>
      <c r="R915" s="18" t="inlineStr">
        <is>
          <t>Descripción del evento en el historial del correo jurídico.</t>
        </is>
      </c>
      <c r="S915" s="18" t="inlineStr">
        <is>
          <t>Alta</t>
        </is>
      </c>
      <c r="T915" s="18" t="inlineStr">
        <is>
          <t>Convención de nombre, redactada con el contexto de la tabla y el código.</t>
        </is>
      </c>
      <c r="U915" s="18" t="inlineStr"/>
      <c r="V915" s="19" t="inlineStr">
        <is>
          <t>Aprobada</t>
        </is>
      </c>
      <c r="W915" s="19" t="inlineStr"/>
      <c r="X915" s="19" t="inlineStr">
        <is>
          <t>Aldair González (aprobación en bloque)</t>
        </is>
      </c>
      <c r="Y915" s="20" t="n">
        <v>46321</v>
      </c>
      <c r="Z915" s="19" t="inlineStr">
        <is>
          <t>Nivel 2: regla estructural con redacción revisada.</t>
        </is>
      </c>
      <c r="AA915" s="18">
        <f>IF(OR(V915="Aprobada"),R915,IF(AND(OR(V915="Aprobada con ajuste",V915="Rechazada"),W915&lt;&gt;""),W915,""))</f>
        <v/>
      </c>
    </row>
    <row r="916">
      <c r="A916" s="18" t="inlineStr">
        <is>
          <t>C0915</t>
        </is>
      </c>
      <c r="B916" s="18" t="inlineStr">
        <is>
          <t>Gestión jurídica</t>
        </is>
      </c>
      <c r="C916" s="18" t="inlineStr">
        <is>
          <t>legal_management</t>
        </is>
      </c>
      <c r="D916" s="18" t="inlineStr">
        <is>
          <t>correo_juridico_historial</t>
        </is>
      </c>
      <c r="E916" s="18" t="n">
        <v>14558</v>
      </c>
      <c r="F916" s="18" t="inlineStr">
        <is>
          <t>detalle_json</t>
        </is>
      </c>
      <c r="G916" s="18" t="inlineStr">
        <is>
          <t>jsonb</t>
        </is>
      </c>
      <c r="H916" s="18" t="inlineStr">
        <is>
          <t>Sí</t>
        </is>
      </c>
      <c r="I916" s="18" t="inlineStr"/>
      <c r="J916" s="18" t="inlineStr"/>
      <c r="K916" s="18" t="inlineStr"/>
      <c r="L916" s="18" t="inlineStr">
        <is>
          <t>No</t>
        </is>
      </c>
      <c r="M916" s="18" t="inlineStr">
        <is>
          <t>No</t>
        </is>
      </c>
      <c r="N916" s="18" t="inlineStr"/>
      <c r="O916" s="18" t="inlineStr"/>
      <c r="P916" s="18" t="inlineStr">
        <is>
          <t>Mapeada en legal-management-service/src/entities/correo-juridico-historial.entity.ts:22 (CorreoJuridicoHistorial.detalleJson)</t>
        </is>
      </c>
      <c r="Q916" s="18" t="inlineStr">
        <is>
          <t>Código fuente (verificado)</t>
        </is>
      </c>
      <c r="R916" s="18" t="inlineStr">
        <is>
          <t>Detalle del evento del correo, en formato JSON. El código actual no lo llena: ningún registro de evento envía este dato, por lo que queda nulo.</t>
        </is>
      </c>
      <c r="S916" s="18" t="inlineStr">
        <is>
          <t>Alta</t>
        </is>
      </c>
      <c r="T916" s="18" t="inlineStr">
        <is>
          <t>legal-management-service/src/services/correos-juridicos.service.ts:321: registrarAccion recibe detalleJson con defecto null | legal-management-service/src/services/correos-juridicos.service.ts:597: las llamadas no envían detalleJson</t>
        </is>
      </c>
      <c r="U916" s="18" t="inlineStr"/>
      <c r="V916" s="19" t="inlineStr">
        <is>
          <t>Aprobada</t>
        </is>
      </c>
      <c r="W916" s="19" t="inlineStr"/>
      <c r="X916" s="19" t="inlineStr">
        <is>
          <t>Aldair González (aprobación en bloque)</t>
        </is>
      </c>
      <c r="Y916" s="20" t="n">
        <v>46321</v>
      </c>
      <c r="Z916" s="19" t="inlineStr">
        <is>
          <t>Nivel 3: verificada con el código de la aplicación.</t>
        </is>
      </c>
      <c r="AA916" s="18">
        <f>IF(OR(V916="Aprobada"),R916,IF(AND(OR(V916="Aprobada con ajuste",V916="Rechazada"),W916&lt;&gt;""),W916,""))</f>
        <v/>
      </c>
    </row>
    <row r="917">
      <c r="A917" s="18" t="inlineStr">
        <is>
          <t>C0916</t>
        </is>
      </c>
      <c r="B917" s="18" t="inlineStr">
        <is>
          <t>Gestión jurídica</t>
        </is>
      </c>
      <c r="C917" s="18" t="inlineStr">
        <is>
          <t>legal_management</t>
        </is>
      </c>
      <c r="D917" s="18" t="inlineStr">
        <is>
          <t>correo_juridico_historial</t>
        </is>
      </c>
      <c r="E917" s="18" t="n">
        <v>14558</v>
      </c>
      <c r="F917" s="18" t="inlineStr">
        <is>
          <t>usuario</t>
        </is>
      </c>
      <c r="G917" s="18" t="inlineStr">
        <is>
          <t>character varying(255)</t>
        </is>
      </c>
      <c r="H917" s="18" t="inlineStr">
        <is>
          <t>Sí</t>
        </is>
      </c>
      <c r="I917" s="18" t="inlineStr"/>
      <c r="J917" s="18" t="inlineStr"/>
      <c r="K917" s="18" t="inlineStr"/>
      <c r="L917" s="18" t="inlineStr">
        <is>
          <t>No</t>
        </is>
      </c>
      <c r="M917" s="18" t="inlineStr">
        <is>
          <t>No</t>
        </is>
      </c>
      <c r="N917" s="18" t="inlineStr"/>
      <c r="O917" s="18" t="inlineStr"/>
      <c r="P917" s="18" t="inlineStr">
        <is>
          <t>Mapeada en legal-management-service/src/entities/correo-juridico-historial.entity.ts:25 (CorreoJuridicoHistorial.usuario)</t>
        </is>
      </c>
      <c r="Q917" s="18" t="inlineStr">
        <is>
          <t>Propuesta semántica</t>
        </is>
      </c>
      <c r="R917" s="18" t="inlineStr">
        <is>
          <t>Usuario que generó el evento. Valor por defecto: Sistema.</t>
        </is>
      </c>
      <c r="S917" s="18" t="inlineStr">
        <is>
          <t>Alta</t>
        </is>
      </c>
      <c r="T917" s="18" t="inlineStr">
        <is>
          <t>nombre + tipo + columnas vecinas + defecto</t>
        </is>
      </c>
      <c r="U917" s="18" t="inlineStr"/>
      <c r="V917" s="19" t="inlineStr">
        <is>
          <t>Aprobada</t>
        </is>
      </c>
      <c r="W917" s="19" t="inlineStr"/>
      <c r="X917" s="19" t="inlineStr">
        <is>
          <t>Aldair González (aprobación en bloque)</t>
        </is>
      </c>
      <c r="Y917" s="20" t="n">
        <v>46321</v>
      </c>
      <c r="Z917" s="19" t="inlineStr">
        <is>
          <t>Nivel 1: propuesta del comentario del desarrollador o de confianza alta, o regla de fecha/responsable/motivo.</t>
        </is>
      </c>
      <c r="AA917" s="18">
        <f>IF(OR(V917="Aprobada"),R917,IF(AND(OR(V917="Aprobada con ajuste",V917="Rechazada"),W917&lt;&gt;""),W917,""))</f>
        <v/>
      </c>
    </row>
    <row r="918">
      <c r="A918" s="18" t="inlineStr">
        <is>
          <t>C0917</t>
        </is>
      </c>
      <c r="B918" s="18" t="inlineStr">
        <is>
          <t>Gestión jurídica</t>
        </is>
      </c>
      <c r="C918" s="18" t="inlineStr">
        <is>
          <t>legal_management</t>
        </is>
      </c>
      <c r="D918" s="18" t="inlineStr">
        <is>
          <t>correo_tracking_tokens</t>
        </is>
      </c>
      <c r="E918" s="18" t="n">
        <v>100</v>
      </c>
      <c r="F918" s="18" t="inlineStr">
        <is>
          <t>token</t>
        </is>
      </c>
      <c r="G918" s="18" t="inlineStr">
        <is>
          <t>character varying(100)</t>
        </is>
      </c>
      <c r="H918" s="18" t="inlineStr">
        <is>
          <t>No</t>
        </is>
      </c>
      <c r="I918" s="18" t="inlineStr">
        <is>
          <t>Única</t>
        </is>
      </c>
      <c r="J918" s="18" t="inlineStr"/>
      <c r="K918" s="18" t="inlineStr"/>
      <c r="L918" s="18" t="inlineStr">
        <is>
          <t>No</t>
        </is>
      </c>
      <c r="M918" s="18" t="inlineStr">
        <is>
          <t>No</t>
        </is>
      </c>
      <c r="N918" s="18" t="inlineStr"/>
      <c r="O918" s="18" t="inlineStr">
        <is>
          <t>correo_tracking_tokens_token_key, idx_tracking_token</t>
        </is>
      </c>
      <c r="P918" s="18" t="inlineStr">
        <is>
          <t>Mapeada en legal-management-service/src/entities/correo-tracking-token.entity.ts:19 (CorreoTrackingToken.token)</t>
        </is>
      </c>
      <c r="Q918" s="18" t="inlineStr">
        <is>
          <t>Propuesta semántica</t>
        </is>
      </c>
      <c r="R918" s="18" t="inlineStr">
        <is>
          <t>Token único de seguimiento de apertura del correo o adjunto.</t>
        </is>
      </c>
      <c r="S918" s="18" t="inlineStr">
        <is>
          <t>Alta</t>
        </is>
      </c>
      <c r="T918" s="18" t="inlineStr">
        <is>
          <t>nombre + tipo + columnas vecinas + restricción única</t>
        </is>
      </c>
      <c r="U918" s="18" t="inlineStr"/>
      <c r="V918" s="19" t="inlineStr">
        <is>
          <t>Aprobada</t>
        </is>
      </c>
      <c r="W918" s="19" t="inlineStr"/>
      <c r="X918" s="19" t="inlineStr">
        <is>
          <t>Aldair González (aprobación en bloque)</t>
        </is>
      </c>
      <c r="Y918" s="20" t="n">
        <v>46321</v>
      </c>
      <c r="Z918" s="19" t="inlineStr">
        <is>
          <t>Nivel 1: propuesta del comentario del desarrollador o de confianza alta, o regla de fecha/responsable/motivo.</t>
        </is>
      </c>
      <c r="AA918" s="18">
        <f>IF(OR(V918="Aprobada"),R918,IF(AND(OR(V918="Aprobada con ajuste",V918="Rechazada"),W918&lt;&gt;""),W918,""))</f>
        <v/>
      </c>
    </row>
    <row r="919">
      <c r="A919" s="18" t="inlineStr">
        <is>
          <t>C0918</t>
        </is>
      </c>
      <c r="B919" s="18" t="inlineStr">
        <is>
          <t>Gestión jurídica</t>
        </is>
      </c>
      <c r="C919" s="18" t="inlineStr">
        <is>
          <t>legal_management</t>
        </is>
      </c>
      <c r="D919" s="18" t="inlineStr">
        <is>
          <t>correo_tracking_tokens</t>
        </is>
      </c>
      <c r="E919" s="18" t="n">
        <v>100</v>
      </c>
      <c r="F919" s="18" t="inlineStr">
        <is>
          <t>tipo</t>
        </is>
      </c>
      <c r="G919" s="18" t="inlineStr">
        <is>
          <t>character varying(20)</t>
        </is>
      </c>
      <c r="H919" s="18" t="inlineStr">
        <is>
          <t>No</t>
        </is>
      </c>
      <c r="I919" s="18" t="inlineStr">
        <is>
          <t>CHECK</t>
        </is>
      </c>
      <c r="J919" s="18" t="inlineStr">
        <is>
          <t>DOWNLOAD_LINK, OPEN_PIXEL</t>
        </is>
      </c>
      <c r="K919" s="18" t="inlineStr"/>
      <c r="L919" s="18" t="inlineStr">
        <is>
          <t>Sí</t>
        </is>
      </c>
      <c r="M919" s="18" t="inlineStr">
        <is>
          <t>No</t>
        </is>
      </c>
      <c r="N919" s="18" t="inlineStr"/>
      <c r="O919" s="18" t="inlineStr"/>
      <c r="P919" s="18" t="inlineStr">
        <is>
          <t>legal-management-service/src/entities/correo-tracking-token.entity.ts:23: OPEN_PIXEL | DOWNLOAD_LINK | db/migrations/229_create_correo_tracking_tokens.sql:11: OPEN_PIXEL | DOWNLOAD_LINK</t>
        </is>
      </c>
      <c r="Q919" s="18" t="inlineStr">
        <is>
          <t>Código fuente</t>
        </is>
      </c>
      <c r="R919" s="18" t="inlineStr">
        <is>
          <t>Tipo de token de seguimiento del correo. Valores permitidos: OPEN_PIXEL (píxel de apertura), DOWNLOAD_LINK (enlace de descarga).</t>
        </is>
      </c>
      <c r="S919" s="18" t="inlineStr">
        <is>
          <t>Alta</t>
        </is>
      </c>
      <c r="T919" s="18" t="inlineStr">
        <is>
          <t>valores permitidos del CHECK; código: db/migrations/229_create_correo_tracking_tokens.sql:11</t>
        </is>
      </c>
      <c r="U919" s="18" t="inlineStr"/>
      <c r="V919" s="19" t="inlineStr">
        <is>
          <t>Aprobada</t>
        </is>
      </c>
      <c r="W919" s="19" t="inlineStr"/>
      <c r="X919" s="19" t="inlineStr">
        <is>
          <t>Aldair González (aprobación en bloque)</t>
        </is>
      </c>
      <c r="Y919" s="20" t="n">
        <v>46321</v>
      </c>
      <c r="Z919" s="19" t="inlineStr">
        <is>
          <t>Nivel 1: propuesta del comentario del desarrollador o de confianza alta, o regla de fecha/responsable/motivo.</t>
        </is>
      </c>
      <c r="AA919" s="18">
        <f>IF(OR(V919="Aprobada"),R919,IF(AND(OR(V919="Aprobada con ajuste",V919="Rechazada"),W919&lt;&gt;""),W919,""))</f>
        <v/>
      </c>
    </row>
    <row r="920">
      <c r="A920" s="18" t="inlineStr">
        <is>
          <t>C0919</t>
        </is>
      </c>
      <c r="B920" s="18" t="inlineStr">
        <is>
          <t>Gestión jurídica</t>
        </is>
      </c>
      <c r="C920" s="18" t="inlineStr">
        <is>
          <t>legal_management</t>
        </is>
      </c>
      <c r="D920" s="18" t="inlineStr">
        <is>
          <t>correo_tracking_tokens</t>
        </is>
      </c>
      <c r="E920" s="18" t="n">
        <v>100</v>
      </c>
      <c r="F920" s="18" t="inlineStr">
        <is>
          <t>abierto</t>
        </is>
      </c>
      <c r="G920" s="18" t="inlineStr">
        <is>
          <t>boolean</t>
        </is>
      </c>
      <c r="H920" s="18" t="inlineStr">
        <is>
          <t>No</t>
        </is>
      </c>
      <c r="I920" s="18" t="inlineStr"/>
      <c r="J920" s="18" t="inlineStr"/>
      <c r="K920" s="18" t="inlineStr"/>
      <c r="L920" s="18" t="inlineStr">
        <is>
          <t>No</t>
        </is>
      </c>
      <c r="M920" s="18" t="inlineStr">
        <is>
          <t>No</t>
        </is>
      </c>
      <c r="N920" s="18" t="inlineStr"/>
      <c r="O920" s="18" t="inlineStr"/>
      <c r="P920" s="18" t="inlineStr">
        <is>
          <t>Mapeada en legal-management-service/src/entities/correo-tracking-token.entity.ts:26 (CorreoTrackingToken.abierto)</t>
        </is>
      </c>
      <c r="Q920" s="18" t="inlineStr">
        <is>
          <t>Regla estructural (redacción revisada)</t>
        </is>
      </c>
      <c r="R920" s="18" t="inlineStr">
        <is>
          <t>Indica si se abrió el correo o el adjunto rastreado.</t>
        </is>
      </c>
      <c r="S920" s="18" t="inlineStr">
        <is>
          <t>Alta</t>
        </is>
      </c>
      <c r="T920" s="18" t="inlineStr">
        <is>
          <t>Convención de nombre, redactada con el contexto de la tabla y el código.</t>
        </is>
      </c>
      <c r="U920" s="18" t="inlineStr"/>
      <c r="V920" s="19" t="inlineStr">
        <is>
          <t>Aprobada</t>
        </is>
      </c>
      <c r="W920" s="19" t="inlineStr"/>
      <c r="X920" s="19" t="inlineStr">
        <is>
          <t>Aldair González (aprobación en bloque)</t>
        </is>
      </c>
      <c r="Y920" s="20" t="n">
        <v>46321</v>
      </c>
      <c r="Z920" s="19" t="inlineStr">
        <is>
          <t>Nivel 2: regla estructural con redacción revisada.</t>
        </is>
      </c>
      <c r="AA920" s="18">
        <f>IF(OR(V920="Aprobada"),R920,IF(AND(OR(V920="Aprobada con ajuste",V920="Rechazada"),W920&lt;&gt;""),W920,""))</f>
        <v/>
      </c>
    </row>
    <row r="921">
      <c r="A921" s="18" t="inlineStr">
        <is>
          <t>C0920</t>
        </is>
      </c>
      <c r="B921" s="18" t="inlineStr">
        <is>
          <t>Gestión jurídica</t>
        </is>
      </c>
      <c r="C921" s="18" t="inlineStr">
        <is>
          <t>legal_management</t>
        </is>
      </c>
      <c r="D921" s="18" t="inlineStr">
        <is>
          <t>correo_tracking_tokens</t>
        </is>
      </c>
      <c r="E921" s="18" t="n">
        <v>100</v>
      </c>
      <c r="F921" s="18" t="inlineStr">
        <is>
          <t>fecha_apertura</t>
        </is>
      </c>
      <c r="G921" s="18" t="inlineStr">
        <is>
          <t>timestamp without time zone</t>
        </is>
      </c>
      <c r="H921" s="18" t="inlineStr">
        <is>
          <t>Sí</t>
        </is>
      </c>
      <c r="I921" s="18" t="inlineStr"/>
      <c r="J921" s="18" t="inlineStr"/>
      <c r="K921" s="18" t="inlineStr"/>
      <c r="L921" s="18" t="inlineStr">
        <is>
          <t>No</t>
        </is>
      </c>
      <c r="M921" s="18" t="inlineStr">
        <is>
          <t>No</t>
        </is>
      </c>
      <c r="N921" s="18" t="inlineStr"/>
      <c r="O921" s="18" t="inlineStr"/>
      <c r="P921" s="18" t="inlineStr">
        <is>
          <t>Mapeada en legal-management-service/src/entities/correo-tracking-token.entity.ts:29 (CorreoTrackingToken.fechaApertura)</t>
        </is>
      </c>
      <c r="Q921" s="18" t="inlineStr">
        <is>
          <t>Regla estructural (redacción revisada)</t>
        </is>
      </c>
      <c r="R921" s="18" t="inlineStr">
        <is>
          <t>Fecha y hora de apertura del correo o el adjunto rastreado.</t>
        </is>
      </c>
      <c r="S921" s="18" t="inlineStr">
        <is>
          <t>Alta</t>
        </is>
      </c>
      <c r="T921" s="18" t="inlineStr">
        <is>
          <t>Convención de nombre, redactada con el contexto de la tabla y el código.</t>
        </is>
      </c>
      <c r="U921" s="18" t="inlineStr"/>
      <c r="V921" s="19" t="inlineStr">
        <is>
          <t>Aprobada</t>
        </is>
      </c>
      <c r="W921" s="19" t="inlineStr"/>
      <c r="X921" s="19" t="inlineStr">
        <is>
          <t>Aldair González (aprobación en bloque)</t>
        </is>
      </c>
      <c r="Y921" s="20" t="n">
        <v>46321</v>
      </c>
      <c r="Z921" s="19" t="inlineStr">
        <is>
          <t>Nivel 2: regla estructural con redacción revisada.</t>
        </is>
      </c>
      <c r="AA921" s="18">
        <f>IF(OR(V921="Aprobada"),R921,IF(AND(OR(V921="Aprobada con ajuste",V921="Rechazada"),W921&lt;&gt;""),W921,""))</f>
        <v/>
      </c>
    </row>
    <row r="922">
      <c r="A922" s="18" t="inlineStr">
        <is>
          <t>C0921</t>
        </is>
      </c>
      <c r="B922" s="18" t="inlineStr">
        <is>
          <t>Gestión jurídica</t>
        </is>
      </c>
      <c r="C922" s="18" t="inlineStr">
        <is>
          <t>legal_management</t>
        </is>
      </c>
      <c r="D922" s="18" t="inlineStr">
        <is>
          <t>correo_tracking_tokens</t>
        </is>
      </c>
      <c r="E922" s="18" t="n">
        <v>100</v>
      </c>
      <c r="F922" s="18" t="inlineStr">
        <is>
          <t>ip_apertura</t>
        </is>
      </c>
      <c r="G922" s="18" t="inlineStr">
        <is>
          <t>character varying(50)</t>
        </is>
      </c>
      <c r="H922" s="18" t="inlineStr">
        <is>
          <t>Sí</t>
        </is>
      </c>
      <c r="I922" s="18" t="inlineStr"/>
      <c r="J922" s="18" t="inlineStr"/>
      <c r="K922" s="18" t="inlineStr"/>
      <c r="L922" s="18" t="inlineStr">
        <is>
          <t>No</t>
        </is>
      </c>
      <c r="M922" s="18" t="inlineStr">
        <is>
          <t>No</t>
        </is>
      </c>
      <c r="N922" s="18" t="inlineStr"/>
      <c r="O922" s="18" t="inlineStr"/>
      <c r="P922" s="18" t="inlineStr">
        <is>
          <t>Mapeada en legal-management-service/src/entities/correo-tracking-token.entity.ts:32 (CorreoTrackingToken.ipApertura)</t>
        </is>
      </c>
      <c r="Q922" s="18" t="inlineStr">
        <is>
          <t>Propuesta semántica</t>
        </is>
      </c>
      <c r="R922" s="18" t="inlineStr">
        <is>
          <t>Dirección IP desde la que se abrió el correo o adjunto.</t>
        </is>
      </c>
      <c r="S922" s="18" t="inlineStr">
        <is>
          <t>Alta</t>
        </is>
      </c>
      <c r="T922" s="18" t="inlineStr">
        <is>
          <t>nombre + tipo + columnas vecinas (abierto, fecha_apertura)</t>
        </is>
      </c>
      <c r="U922" s="18" t="inlineStr"/>
      <c r="V922" s="19" t="inlineStr">
        <is>
          <t>Aprobada</t>
        </is>
      </c>
      <c r="W922" s="19" t="inlineStr"/>
      <c r="X922" s="19" t="inlineStr">
        <is>
          <t>Aldair González (aprobación en bloque)</t>
        </is>
      </c>
      <c r="Y922" s="20" t="n">
        <v>46321</v>
      </c>
      <c r="Z922" s="19" t="inlineStr">
        <is>
          <t>Nivel 1: propuesta del comentario del desarrollador o de confianza alta, o regla de fecha/responsable/motivo.</t>
        </is>
      </c>
      <c r="AA922" s="18">
        <f>IF(OR(V922="Aprobada"),R922,IF(AND(OR(V922="Aprobada con ajuste",V922="Rechazada"),W922&lt;&gt;""),W922,""))</f>
        <v/>
      </c>
    </row>
    <row r="923">
      <c r="A923" s="18" t="inlineStr">
        <is>
          <t>C0922</t>
        </is>
      </c>
      <c r="B923" s="18" t="inlineStr">
        <is>
          <t>Gestión jurídica</t>
        </is>
      </c>
      <c r="C923" s="18" t="inlineStr">
        <is>
          <t>legal_management</t>
        </is>
      </c>
      <c r="D923" s="18" t="inlineStr">
        <is>
          <t>correo_tracking_tokens</t>
        </is>
      </c>
      <c r="E923" s="18" t="n">
        <v>100</v>
      </c>
      <c r="F923" s="18" t="inlineStr">
        <is>
          <t>user_agent</t>
        </is>
      </c>
      <c r="G923" s="18" t="inlineStr">
        <is>
          <t>text</t>
        </is>
      </c>
      <c r="H923" s="18" t="inlineStr">
        <is>
          <t>Sí</t>
        </is>
      </c>
      <c r="I923" s="18" t="inlineStr"/>
      <c r="J923" s="18" t="inlineStr"/>
      <c r="K923" s="18" t="inlineStr"/>
      <c r="L923" s="18" t="inlineStr">
        <is>
          <t>No</t>
        </is>
      </c>
      <c r="M923" s="18" t="inlineStr">
        <is>
          <t>No</t>
        </is>
      </c>
      <c r="N923" s="18" t="inlineStr"/>
      <c r="O923" s="18" t="inlineStr"/>
      <c r="P923" s="18" t="inlineStr">
        <is>
          <t>Mapeada en legal-management-service/src/entities/correo-tracking-token.entity.ts:35 (CorreoTrackingToken.userAgent)</t>
        </is>
      </c>
      <c r="Q923" s="18" t="inlineStr">
        <is>
          <t>Regla estructural (redacción revisada)</t>
        </is>
      </c>
      <c r="R923" s="18" t="inlineStr">
        <is>
          <t>Agente de usuario (navegador) registrado al abrir el correo o el adjunto rastreado.</t>
        </is>
      </c>
      <c r="S923" s="18" t="inlineStr">
        <is>
          <t>Alta</t>
        </is>
      </c>
      <c r="T923" s="18" t="inlineStr">
        <is>
          <t>Convención de nombre, redactada con el contexto de la tabla y el código.</t>
        </is>
      </c>
      <c r="U923" s="18" t="inlineStr"/>
      <c r="V923" s="19" t="inlineStr">
        <is>
          <t>Aprobada</t>
        </is>
      </c>
      <c r="W923" s="19" t="inlineStr"/>
      <c r="X923" s="19" t="inlineStr">
        <is>
          <t>Aldair González (aprobación en bloque)</t>
        </is>
      </c>
      <c r="Y923" s="20" t="n">
        <v>46321</v>
      </c>
      <c r="Z923" s="19" t="inlineStr">
        <is>
          <t>Nivel 2: regla estructural con redacción revisada.</t>
        </is>
      </c>
      <c r="AA923" s="18">
        <f>IF(OR(V923="Aprobada"),R923,IF(AND(OR(V923="Aprobada con ajuste",V923="Rechazada"),W923&lt;&gt;""),W923,""))</f>
        <v/>
      </c>
    </row>
    <row r="924">
      <c r="A924" s="18" t="inlineStr">
        <is>
          <t>C0923</t>
        </is>
      </c>
      <c r="B924" s="18" t="inlineStr">
        <is>
          <t>Gestión jurídica</t>
        </is>
      </c>
      <c r="C924" s="18" t="inlineStr">
        <is>
          <t>legal_management</t>
        </is>
      </c>
      <c r="D924" s="18" t="inlineStr">
        <is>
          <t>correo_tracking_tokens</t>
        </is>
      </c>
      <c r="E924" s="18" t="n">
        <v>100</v>
      </c>
      <c r="F924" s="18" t="inlineStr">
        <is>
          <t>destinatario_email</t>
        </is>
      </c>
      <c r="G924" s="18" t="inlineStr">
        <is>
          <t>character varying(255)</t>
        </is>
      </c>
      <c r="H924" s="18" t="inlineStr">
        <is>
          <t>Sí</t>
        </is>
      </c>
      <c r="I924" s="18" t="inlineStr"/>
      <c r="J924" s="18" t="inlineStr"/>
      <c r="K924" s="18" t="inlineStr"/>
      <c r="L924" s="18" t="inlineStr">
        <is>
          <t>No</t>
        </is>
      </c>
      <c r="M924" s="18" t="inlineStr">
        <is>
          <t>No</t>
        </is>
      </c>
      <c r="N924" s="18" t="inlineStr"/>
      <c r="O924" s="18" t="inlineStr"/>
      <c r="P924" s="18" t="inlineStr">
        <is>
          <t>legal-management-service/src/entities/correo-tracking-token.entity.ts:39: Destinatario original (para contexto)</t>
        </is>
      </c>
      <c r="Q924" s="18" t="inlineStr">
        <is>
          <t>Código fuente</t>
        </is>
      </c>
      <c r="R924" s="18" t="inlineStr">
        <is>
          <t>Correo electrónico del destinatario original del mensaje, guardado como contexto.</t>
        </is>
      </c>
      <c r="S924" s="18" t="inlineStr">
        <is>
          <t>Alta</t>
        </is>
      </c>
      <c r="T924" s="18" t="inlineStr">
        <is>
          <t>código: legal-management-service/src/entities/correo-tracking-token.entity.ts:39</t>
        </is>
      </c>
      <c r="U924" s="18" t="inlineStr"/>
      <c r="V924" s="19" t="inlineStr">
        <is>
          <t>Aprobada</t>
        </is>
      </c>
      <c r="W924" s="19" t="inlineStr"/>
      <c r="X924" s="19" t="inlineStr">
        <is>
          <t>Aldair González (aprobación en bloque)</t>
        </is>
      </c>
      <c r="Y924" s="20" t="n">
        <v>46321</v>
      </c>
      <c r="Z924" s="19" t="inlineStr">
        <is>
          <t>Nivel 1: propuesta del comentario del desarrollador o de confianza alta, o regla de fecha/responsable/motivo.</t>
        </is>
      </c>
      <c r="AA924" s="18">
        <f>IF(OR(V924="Aprobada"),R924,IF(AND(OR(V924="Aprobada con ajuste",V924="Rechazada"),W924&lt;&gt;""),W924,""))</f>
        <v/>
      </c>
    </row>
    <row r="925">
      <c r="A925" s="18" t="inlineStr">
        <is>
          <t>C0924</t>
        </is>
      </c>
      <c r="B925" s="18" t="inlineStr">
        <is>
          <t>Gestión jurídica</t>
        </is>
      </c>
      <c r="C925" s="18" t="inlineStr">
        <is>
          <t>legal_management</t>
        </is>
      </c>
      <c r="D925" s="18" t="inlineStr">
        <is>
          <t>correos_juridicos</t>
        </is>
      </c>
      <c r="E925" s="18" t="n">
        <v>14042</v>
      </c>
      <c r="F925" s="18" t="inlineStr">
        <is>
          <t>graph_message_id</t>
        </is>
      </c>
      <c r="G925" s="18" t="inlineStr">
        <is>
          <t>character varying(500)</t>
        </is>
      </c>
      <c r="H925" s="18" t="inlineStr">
        <is>
          <t>No</t>
        </is>
      </c>
      <c r="I925" s="18" t="inlineStr">
        <is>
          <t>Única</t>
        </is>
      </c>
      <c r="J925" s="18" t="inlineStr"/>
      <c r="K925" s="18" t="inlineStr"/>
      <c r="L925" s="18" t="inlineStr">
        <is>
          <t>No</t>
        </is>
      </c>
      <c r="M925" s="18" t="inlineStr">
        <is>
          <t>No</t>
        </is>
      </c>
      <c r="N925" s="18" t="inlineStr"/>
      <c r="O925" s="18" t="inlineStr">
        <is>
          <t>correos_juridicos_graph_message_id_key</t>
        </is>
      </c>
      <c r="P925" s="18" t="inlineStr">
        <is>
          <t>Mapeada en legal-management-service/src/entities/correo-juridico.entity.ts:9 (CorreoJuridico.graphMessageId)</t>
        </is>
      </c>
      <c r="Q925" s="18" t="inlineStr">
        <is>
          <t>Propuesta semántica</t>
        </is>
      </c>
      <c r="R925" s="18" t="inlineStr">
        <is>
          <t>Identificador del mensaje en Microsoft Graph. Es único en la tabla.</t>
        </is>
      </c>
      <c r="S925" s="18" t="inlineStr">
        <is>
          <t>Alta</t>
        </is>
      </c>
      <c r="T925" s="18" t="inlineStr">
        <is>
          <t>nombre + tipo + columnas vecinas + restricción única</t>
        </is>
      </c>
      <c r="U925" s="18" t="inlineStr"/>
      <c r="V925" s="19" t="inlineStr">
        <is>
          <t>Aprobada</t>
        </is>
      </c>
      <c r="W925" s="19" t="inlineStr"/>
      <c r="X925" s="19" t="inlineStr">
        <is>
          <t>Aldair González (aprobación en bloque)</t>
        </is>
      </c>
      <c r="Y925" s="20" t="n">
        <v>46321</v>
      </c>
      <c r="Z925" s="19" t="inlineStr">
        <is>
          <t>Nivel 1: propuesta del comentario del desarrollador o de confianza alta, o regla de fecha/responsable/motivo.</t>
        </is>
      </c>
      <c r="AA925" s="18">
        <f>IF(OR(V925="Aprobada"),R925,IF(AND(OR(V925="Aprobada con ajuste",V925="Rechazada"),W925&lt;&gt;""),W925,""))</f>
        <v/>
      </c>
    </row>
    <row r="926">
      <c r="A926" s="18" t="inlineStr">
        <is>
          <t>C0925</t>
        </is>
      </c>
      <c r="B926" s="18" t="inlineStr">
        <is>
          <t>Gestión jurídica</t>
        </is>
      </c>
      <c r="C926" s="18" t="inlineStr">
        <is>
          <t>legal_management</t>
        </is>
      </c>
      <c r="D926" s="18" t="inlineStr">
        <is>
          <t>correos_juridicos</t>
        </is>
      </c>
      <c r="E926" s="18" t="n">
        <v>14042</v>
      </c>
      <c r="F926" s="18" t="inlineStr">
        <is>
          <t>asunto</t>
        </is>
      </c>
      <c r="G926" s="18" t="inlineStr">
        <is>
          <t>character varying(500)</t>
        </is>
      </c>
      <c r="H926" s="18" t="inlineStr">
        <is>
          <t>No</t>
        </is>
      </c>
      <c r="I926" s="18" t="inlineStr"/>
      <c r="J926" s="18" t="inlineStr"/>
      <c r="K926" s="18" t="inlineStr"/>
      <c r="L926" s="18" t="inlineStr">
        <is>
          <t>No</t>
        </is>
      </c>
      <c r="M926" s="18" t="inlineStr">
        <is>
          <t>No</t>
        </is>
      </c>
      <c r="N926" s="18" t="inlineStr"/>
      <c r="O926" s="18" t="inlineStr"/>
      <c r="P926" s="18" t="inlineStr">
        <is>
          <t>Mapeada en legal-management-service/src/entities/correo-juridico.entity.ts:12 (CorreoJuridico.asunto)</t>
        </is>
      </c>
      <c r="Q926" s="18" t="inlineStr">
        <is>
          <t>Propuesta semántica</t>
        </is>
      </c>
      <c r="R926" s="18" t="inlineStr">
        <is>
          <t>Asunto del correo.</t>
        </is>
      </c>
      <c r="S926" s="18" t="inlineStr">
        <is>
          <t>Alta</t>
        </is>
      </c>
      <c r="T926" s="18" t="inlineStr">
        <is>
          <t>nombre + tipo + columnas vecinas</t>
        </is>
      </c>
      <c r="U926" s="18" t="inlineStr"/>
      <c r="V926" s="19" t="inlineStr">
        <is>
          <t>Aprobada</t>
        </is>
      </c>
      <c r="W926" s="19" t="inlineStr"/>
      <c r="X926" s="19" t="inlineStr">
        <is>
          <t>Aldair González (aprobación en bloque)</t>
        </is>
      </c>
      <c r="Y926" s="20" t="n">
        <v>46321</v>
      </c>
      <c r="Z926" s="19" t="inlineStr">
        <is>
          <t>Nivel 1: propuesta del comentario del desarrollador o de confianza alta, o regla de fecha/responsable/motivo.</t>
        </is>
      </c>
      <c r="AA926" s="18">
        <f>IF(OR(V926="Aprobada"),R926,IF(AND(OR(V926="Aprobada con ajuste",V926="Rechazada"),W926&lt;&gt;""),W926,""))</f>
        <v/>
      </c>
    </row>
    <row r="927">
      <c r="A927" s="18" t="inlineStr">
        <is>
          <t>C0926</t>
        </is>
      </c>
      <c r="B927" s="18" t="inlineStr">
        <is>
          <t>Gestión jurídica</t>
        </is>
      </c>
      <c r="C927" s="18" t="inlineStr">
        <is>
          <t>legal_management</t>
        </is>
      </c>
      <c r="D927" s="18" t="inlineStr">
        <is>
          <t>correos_juridicos</t>
        </is>
      </c>
      <c r="E927" s="18" t="n">
        <v>14042</v>
      </c>
      <c r="F927" s="18" t="inlineStr">
        <is>
          <t>remitente_email</t>
        </is>
      </c>
      <c r="G927" s="18" t="inlineStr">
        <is>
          <t>character varying(255)</t>
        </is>
      </c>
      <c r="H927" s="18" t="inlineStr">
        <is>
          <t>No</t>
        </is>
      </c>
      <c r="I927" s="18" t="inlineStr"/>
      <c r="J927" s="18" t="inlineStr"/>
      <c r="K927" s="18" t="inlineStr"/>
      <c r="L927" s="18" t="inlineStr">
        <is>
          <t>No</t>
        </is>
      </c>
      <c r="M927" s="18" t="inlineStr">
        <is>
          <t>No</t>
        </is>
      </c>
      <c r="N927" s="18" t="inlineStr"/>
      <c r="O927" s="18" t="inlineStr"/>
      <c r="P927" s="18" t="inlineStr">
        <is>
          <t>Mapeada en legal-management-service/src/entities/correo-juridico.entity.ts:15 (CorreoJuridico.remitenteEmail)</t>
        </is>
      </c>
      <c r="Q927" s="18" t="inlineStr">
        <is>
          <t>Propuesta semántica</t>
        </is>
      </c>
      <c r="R927" s="18" t="inlineStr">
        <is>
          <t>Correo electrónico del remitente.</t>
        </is>
      </c>
      <c r="S927" s="18" t="inlineStr">
        <is>
          <t>Alta</t>
        </is>
      </c>
      <c r="T927" s="18" t="inlineStr">
        <is>
          <t>nombre + tipo + columnas vecinas</t>
        </is>
      </c>
      <c r="U927" s="18" t="inlineStr"/>
      <c r="V927" s="19" t="inlineStr">
        <is>
          <t>Aprobada</t>
        </is>
      </c>
      <c r="W927" s="19" t="inlineStr"/>
      <c r="X927" s="19" t="inlineStr">
        <is>
          <t>Aldair González (aprobación en bloque)</t>
        </is>
      </c>
      <c r="Y927" s="20" t="n">
        <v>46321</v>
      </c>
      <c r="Z927" s="19" t="inlineStr">
        <is>
          <t>Nivel 1: propuesta del comentario del desarrollador o de confianza alta, o regla de fecha/responsable/motivo.</t>
        </is>
      </c>
      <c r="AA927" s="18">
        <f>IF(OR(V927="Aprobada"),R927,IF(AND(OR(V927="Aprobada con ajuste",V927="Rechazada"),W927&lt;&gt;""),W927,""))</f>
        <v/>
      </c>
    </row>
    <row r="928">
      <c r="A928" s="18" t="inlineStr">
        <is>
          <t>C0927</t>
        </is>
      </c>
      <c r="B928" s="18" t="inlineStr">
        <is>
          <t>Gestión jurídica</t>
        </is>
      </c>
      <c r="C928" s="18" t="inlineStr">
        <is>
          <t>legal_management</t>
        </is>
      </c>
      <c r="D928" s="18" t="inlineStr">
        <is>
          <t>correos_juridicos</t>
        </is>
      </c>
      <c r="E928" s="18" t="n">
        <v>14042</v>
      </c>
      <c r="F928" s="18" t="inlineStr">
        <is>
          <t>remitente_nombre</t>
        </is>
      </c>
      <c r="G928" s="18" t="inlineStr">
        <is>
          <t>character varying(255)</t>
        </is>
      </c>
      <c r="H928" s="18" t="inlineStr">
        <is>
          <t>Sí</t>
        </is>
      </c>
      <c r="I928" s="18" t="inlineStr"/>
      <c r="J928" s="18" t="inlineStr"/>
      <c r="K928" s="18" t="inlineStr"/>
      <c r="L928" s="18" t="inlineStr">
        <is>
          <t>No</t>
        </is>
      </c>
      <c r="M928" s="18" t="inlineStr">
        <is>
          <t>No</t>
        </is>
      </c>
      <c r="N928" s="18" t="inlineStr"/>
      <c r="O928" s="18" t="inlineStr"/>
      <c r="P928" s="18" t="inlineStr">
        <is>
          <t>Mapeada en legal-management-service/src/entities/correo-juridico.entity.ts:18 (CorreoJuridico.remitenteNombre)</t>
        </is>
      </c>
      <c r="Q928" s="18" t="inlineStr">
        <is>
          <t>Propuesta semántica</t>
        </is>
      </c>
      <c r="R928" s="18" t="inlineStr">
        <is>
          <t>Nombre del remitente.</t>
        </is>
      </c>
      <c r="S928" s="18" t="inlineStr">
        <is>
          <t>Alta</t>
        </is>
      </c>
      <c r="T928" s="18" t="inlineStr">
        <is>
          <t>nombre + tipo + columnas vecinas</t>
        </is>
      </c>
      <c r="U928" s="18" t="inlineStr"/>
      <c r="V928" s="19" t="inlineStr">
        <is>
          <t>Aprobada</t>
        </is>
      </c>
      <c r="W928" s="19" t="inlineStr"/>
      <c r="X928" s="19" t="inlineStr">
        <is>
          <t>Aldair González (aprobación en bloque)</t>
        </is>
      </c>
      <c r="Y928" s="20" t="n">
        <v>46321</v>
      </c>
      <c r="Z928" s="19" t="inlineStr">
        <is>
          <t>Nivel 1: propuesta del comentario del desarrollador o de confianza alta, o regla de fecha/responsable/motivo.</t>
        </is>
      </c>
      <c r="AA928" s="18">
        <f>IF(OR(V928="Aprobada"),R928,IF(AND(OR(V928="Aprobada con ajuste",V928="Rechazada"),W928&lt;&gt;""),W928,""))</f>
        <v/>
      </c>
    </row>
    <row r="929">
      <c r="A929" s="18" t="inlineStr">
        <is>
          <t>C0928</t>
        </is>
      </c>
      <c r="B929" s="18" t="inlineStr">
        <is>
          <t>Gestión jurídica</t>
        </is>
      </c>
      <c r="C929" s="18" t="inlineStr">
        <is>
          <t>legal_management</t>
        </is>
      </c>
      <c r="D929" s="18" t="inlineStr">
        <is>
          <t>correos_juridicos</t>
        </is>
      </c>
      <c r="E929" s="18" t="n">
        <v>14042</v>
      </c>
      <c r="F929" s="18" t="inlineStr">
        <is>
          <t>destinatarios</t>
        </is>
      </c>
      <c r="G929" s="18" t="inlineStr">
        <is>
          <t>text</t>
        </is>
      </c>
      <c r="H929" s="18" t="inlineStr">
        <is>
          <t>Sí</t>
        </is>
      </c>
      <c r="I929" s="18" t="inlineStr"/>
      <c r="J929" s="18" t="inlineStr"/>
      <c r="K929" s="18" t="inlineStr"/>
      <c r="L929" s="18" t="inlineStr">
        <is>
          <t>No</t>
        </is>
      </c>
      <c r="M929" s="18" t="inlineStr">
        <is>
          <t>No</t>
        </is>
      </c>
      <c r="N929" s="18" t="inlineStr"/>
      <c r="O929" s="18" t="inlineStr"/>
      <c r="P929" s="18" t="inlineStr">
        <is>
          <t>legal-management-service/src/entities/correo-juridico.entity.ts:21: CC (arreglo JSON de correos)</t>
        </is>
      </c>
      <c r="Q929" s="18" t="inlineStr">
        <is>
          <t>Código fuente</t>
        </is>
      </c>
      <c r="R929" s="18" t="inlineStr">
        <is>
          <t>Destinatarios en copia (CC) del correo, como arreglo JSON de correos.</t>
        </is>
      </c>
      <c r="S929" s="18" t="inlineStr">
        <is>
          <t>Alta</t>
        </is>
      </c>
      <c r="T929" s="18" t="inlineStr">
        <is>
          <t>código: correo-juridico.entity.ts:21</t>
        </is>
      </c>
      <c r="U929" s="18" t="inlineStr"/>
      <c r="V929" s="19" t="inlineStr">
        <is>
          <t>Aprobada</t>
        </is>
      </c>
      <c r="W929" s="19" t="inlineStr"/>
      <c r="X929" s="19" t="inlineStr">
        <is>
          <t>Aldair González (aprobación en bloque)</t>
        </is>
      </c>
      <c r="Y929" s="20" t="n">
        <v>46321</v>
      </c>
      <c r="Z929" s="19" t="inlineStr">
        <is>
          <t>Nivel 1: propuesta del comentario del desarrollador o de confianza alta, o regla de fecha/responsable/motivo.</t>
        </is>
      </c>
      <c r="AA929" s="18">
        <f>IF(OR(V929="Aprobada"),R929,IF(AND(OR(V929="Aprobada con ajuste",V929="Rechazada"),W929&lt;&gt;""),W929,""))</f>
        <v/>
      </c>
    </row>
    <row r="930">
      <c r="A930" s="18" t="inlineStr">
        <is>
          <t>C0929</t>
        </is>
      </c>
      <c r="B930" s="18" t="inlineStr">
        <is>
          <t>Gestión jurídica</t>
        </is>
      </c>
      <c r="C930" s="18" t="inlineStr">
        <is>
          <t>legal_management</t>
        </is>
      </c>
      <c r="D930" s="18" t="inlineStr">
        <is>
          <t>correos_juridicos</t>
        </is>
      </c>
      <c r="E930" s="18" t="n">
        <v>14042</v>
      </c>
      <c r="F930" s="18" t="inlineStr">
        <is>
          <t>fecha_recepcion</t>
        </is>
      </c>
      <c r="G930" s="18" t="inlineStr">
        <is>
          <t>timestamp without time zone</t>
        </is>
      </c>
      <c r="H930" s="18" t="inlineStr">
        <is>
          <t>No</t>
        </is>
      </c>
      <c r="I930" s="18" t="inlineStr"/>
      <c r="J930" s="18" t="inlineStr"/>
      <c r="K930" s="18" t="inlineStr"/>
      <c r="L930" s="18" t="inlineStr">
        <is>
          <t>No</t>
        </is>
      </c>
      <c r="M930" s="18" t="inlineStr">
        <is>
          <t>No</t>
        </is>
      </c>
      <c r="N930" s="18" t="inlineStr"/>
      <c r="O930" s="18" t="inlineStr">
        <is>
          <t>idx_correos_juridicos_fecha</t>
        </is>
      </c>
      <c r="P930" s="18" t="inlineStr">
        <is>
          <t>Mapeada en legal-management-service/src/entities/correo-juridico.entity.ts:29 (CorreoJuridico.fechaRecepcion)</t>
        </is>
      </c>
      <c r="Q930" s="18" t="inlineStr">
        <is>
          <t>Regla estructural (redacción revisada)</t>
        </is>
      </c>
      <c r="R930" s="18" t="inlineStr">
        <is>
          <t>Fecha y hora de recepción del correo jurídico.</t>
        </is>
      </c>
      <c r="S930" s="18" t="inlineStr">
        <is>
          <t>Alta</t>
        </is>
      </c>
      <c r="T930" s="18" t="inlineStr">
        <is>
          <t>Convención de nombre, redactada con el contexto de la tabla y el código.</t>
        </is>
      </c>
      <c r="U930" s="18" t="inlineStr"/>
      <c r="V930" s="19" t="inlineStr">
        <is>
          <t>Aprobada</t>
        </is>
      </c>
      <c r="W930" s="19" t="inlineStr"/>
      <c r="X930" s="19" t="inlineStr">
        <is>
          <t>Aldair González (aprobación en bloque)</t>
        </is>
      </c>
      <c r="Y930" s="20" t="n">
        <v>46321</v>
      </c>
      <c r="Z930" s="19" t="inlineStr">
        <is>
          <t>Nivel 2: regla estructural con redacción revisada.</t>
        </is>
      </c>
      <c r="AA930" s="18">
        <f>IF(OR(V930="Aprobada"),R930,IF(AND(OR(V930="Aprobada con ajuste",V930="Rechazada"),W930&lt;&gt;""),W930,""))</f>
        <v/>
      </c>
    </row>
    <row r="931">
      <c r="A931" s="18" t="inlineStr">
        <is>
          <t>C0930</t>
        </is>
      </c>
      <c r="B931" s="18" t="inlineStr">
        <is>
          <t>Gestión jurídica</t>
        </is>
      </c>
      <c r="C931" s="18" t="inlineStr">
        <is>
          <t>legal_management</t>
        </is>
      </c>
      <c r="D931" s="18" t="inlineStr">
        <is>
          <t>correos_juridicos</t>
        </is>
      </c>
      <c r="E931" s="18" t="n">
        <v>14042</v>
      </c>
      <c r="F931" s="18" t="inlineStr">
        <is>
          <t>cuerpo_html</t>
        </is>
      </c>
      <c r="G931" s="18" t="inlineStr">
        <is>
          <t>text</t>
        </is>
      </c>
      <c r="H931" s="18" t="inlineStr">
        <is>
          <t>Sí</t>
        </is>
      </c>
      <c r="I931" s="18" t="inlineStr"/>
      <c r="J931" s="18" t="inlineStr"/>
      <c r="K931" s="18" t="inlineStr"/>
      <c r="L931" s="18" t="inlineStr">
        <is>
          <t>No</t>
        </is>
      </c>
      <c r="M931" s="18" t="inlineStr">
        <is>
          <t>No</t>
        </is>
      </c>
      <c r="N931" s="18" t="inlineStr"/>
      <c r="O931" s="18" t="inlineStr"/>
      <c r="P931" s="18" t="inlineStr">
        <is>
          <t>Mapeada en legal-management-service/src/entities/correo-juridico.entity.ts:32 (CorreoJuridico.cuerpoHtml)</t>
        </is>
      </c>
      <c r="Q931" s="18" t="inlineStr">
        <is>
          <t>Propuesta semántica</t>
        </is>
      </c>
      <c r="R931" s="18" t="inlineStr">
        <is>
          <t>Cuerpo del correo en formato HTML.</t>
        </is>
      </c>
      <c r="S931" s="18" t="inlineStr">
        <is>
          <t>Alta</t>
        </is>
      </c>
      <c r="T931" s="18" t="inlineStr">
        <is>
          <t>nombre + tipo + columnas vecinas</t>
        </is>
      </c>
      <c r="U931" s="18" t="inlineStr"/>
      <c r="V931" s="19" t="inlineStr">
        <is>
          <t>Aprobada</t>
        </is>
      </c>
      <c r="W931" s="19" t="inlineStr"/>
      <c r="X931" s="19" t="inlineStr">
        <is>
          <t>Aldair González (aprobación en bloque)</t>
        </is>
      </c>
      <c r="Y931" s="20" t="n">
        <v>46321</v>
      </c>
      <c r="Z931" s="19" t="inlineStr">
        <is>
          <t>Nivel 1: propuesta del comentario del desarrollador o de confianza alta, o regla de fecha/responsable/motivo.</t>
        </is>
      </c>
      <c r="AA931" s="18">
        <f>IF(OR(V931="Aprobada"),R931,IF(AND(OR(V931="Aprobada con ajuste",V931="Rechazada"),W931&lt;&gt;""),W931,""))</f>
        <v/>
      </c>
    </row>
    <row r="932">
      <c r="A932" s="18" t="inlineStr">
        <is>
          <t>C0931</t>
        </is>
      </c>
      <c r="B932" s="18" t="inlineStr">
        <is>
          <t>Gestión jurídica</t>
        </is>
      </c>
      <c r="C932" s="18" t="inlineStr">
        <is>
          <t>legal_management</t>
        </is>
      </c>
      <c r="D932" s="18" t="inlineStr">
        <is>
          <t>correos_juridicos</t>
        </is>
      </c>
      <c r="E932" s="18" t="n">
        <v>14042</v>
      </c>
      <c r="F932" s="18" t="inlineStr">
        <is>
          <t>cuerpo_texto</t>
        </is>
      </c>
      <c r="G932" s="18" t="inlineStr">
        <is>
          <t>text</t>
        </is>
      </c>
      <c r="H932" s="18" t="inlineStr">
        <is>
          <t>Sí</t>
        </is>
      </c>
      <c r="I932" s="18" t="inlineStr"/>
      <c r="J932" s="18" t="inlineStr"/>
      <c r="K932" s="18" t="inlineStr"/>
      <c r="L932" s="18" t="inlineStr">
        <is>
          <t>No</t>
        </is>
      </c>
      <c r="M932" s="18" t="inlineStr">
        <is>
          <t>No</t>
        </is>
      </c>
      <c r="N932" s="18" t="inlineStr"/>
      <c r="O932" s="18" t="inlineStr"/>
      <c r="P932" s="18" t="inlineStr">
        <is>
          <t>Mapeada en legal-management-service/src/entities/correo-juridico.entity.ts:35 (CorreoJuridico.cuerpoTexto)</t>
        </is>
      </c>
      <c r="Q932" s="18" t="inlineStr">
        <is>
          <t>Propuesta semántica</t>
        </is>
      </c>
      <c r="R932" s="18" t="inlineStr">
        <is>
          <t>Cuerpo del correo en texto plano.</t>
        </is>
      </c>
      <c r="S932" s="18" t="inlineStr">
        <is>
          <t>Alta</t>
        </is>
      </c>
      <c r="T932" s="18" t="inlineStr">
        <is>
          <t>nombre + tipo + columnas vecinas</t>
        </is>
      </c>
      <c r="U932" s="18" t="inlineStr"/>
      <c r="V932" s="19" t="inlineStr">
        <is>
          <t>Aprobada</t>
        </is>
      </c>
      <c r="W932" s="19" t="inlineStr"/>
      <c r="X932" s="19" t="inlineStr">
        <is>
          <t>Aldair González (aprobación en bloque)</t>
        </is>
      </c>
      <c r="Y932" s="20" t="n">
        <v>46321</v>
      </c>
      <c r="Z932" s="19" t="inlineStr">
        <is>
          <t>Nivel 1: propuesta del comentario del desarrollador o de confianza alta, o regla de fecha/responsable/motivo.</t>
        </is>
      </c>
      <c r="AA932" s="18">
        <f>IF(OR(V932="Aprobada"),R932,IF(AND(OR(V932="Aprobada con ajuste",V932="Rechazada"),W932&lt;&gt;""),W932,""))</f>
        <v/>
      </c>
    </row>
    <row r="933">
      <c r="A933" s="18" t="inlineStr">
        <is>
          <t>C0932</t>
        </is>
      </c>
      <c r="B933" s="18" t="inlineStr">
        <is>
          <t>Gestión jurídica</t>
        </is>
      </c>
      <c r="C933" s="18" t="inlineStr">
        <is>
          <t>legal_management</t>
        </is>
      </c>
      <c r="D933" s="18" t="inlineStr">
        <is>
          <t>correos_juridicos</t>
        </is>
      </c>
      <c r="E933" s="18" t="n">
        <v>14042</v>
      </c>
      <c r="F933" s="18" t="inlineStr">
        <is>
          <t>tiene_adjuntos</t>
        </is>
      </c>
      <c r="G933" s="18" t="inlineStr">
        <is>
          <t>boolean</t>
        </is>
      </c>
      <c r="H933" s="18" t="inlineStr">
        <is>
          <t>Sí</t>
        </is>
      </c>
      <c r="I933" s="18" t="inlineStr"/>
      <c r="J933" s="18" t="inlineStr"/>
      <c r="K933" s="18" t="inlineStr"/>
      <c r="L933" s="18" t="inlineStr">
        <is>
          <t>No</t>
        </is>
      </c>
      <c r="M933" s="18" t="inlineStr">
        <is>
          <t>No</t>
        </is>
      </c>
      <c r="N933" s="18" t="inlineStr"/>
      <c r="O933" s="18" t="inlineStr"/>
      <c r="P933" s="18" t="inlineStr">
        <is>
          <t>Mapeada en legal-management-service/src/entities/correo-juridico.entity.ts:38 (CorreoJuridico.tieneAdjuntos)</t>
        </is>
      </c>
      <c r="Q933" s="18" t="inlineStr">
        <is>
          <t>Regla estructural (redacción revisada)</t>
        </is>
      </c>
      <c r="R933" s="18" t="inlineStr">
        <is>
          <t>Indica si el correo jurídico tiene adjuntos.</t>
        </is>
      </c>
      <c r="S933" s="18" t="inlineStr">
        <is>
          <t>Alta</t>
        </is>
      </c>
      <c r="T933" s="18" t="inlineStr">
        <is>
          <t>Convención de nombre, redactada con el contexto de la tabla y el código.</t>
        </is>
      </c>
      <c r="U933" s="18" t="inlineStr"/>
      <c r="V933" s="19" t="inlineStr">
        <is>
          <t>Aprobada</t>
        </is>
      </c>
      <c r="W933" s="19" t="inlineStr"/>
      <c r="X933" s="19" t="inlineStr">
        <is>
          <t>Aldair González (aprobación en bloque)</t>
        </is>
      </c>
      <c r="Y933" s="20" t="n">
        <v>46321</v>
      </c>
      <c r="Z933" s="19" t="inlineStr">
        <is>
          <t>Nivel 2: regla estructural con redacción revisada.</t>
        </is>
      </c>
      <c r="AA933" s="18">
        <f>IF(OR(V933="Aprobada"),R933,IF(AND(OR(V933="Aprobada con ajuste",V933="Rechazada"),W933&lt;&gt;""),W933,""))</f>
        <v/>
      </c>
    </row>
    <row r="934">
      <c r="A934" s="18" t="inlineStr">
        <is>
          <t>C0933</t>
        </is>
      </c>
      <c r="B934" s="18" t="inlineStr">
        <is>
          <t>Gestión jurídica</t>
        </is>
      </c>
      <c r="C934" s="18" t="inlineStr">
        <is>
          <t>legal_management</t>
        </is>
      </c>
      <c r="D934" s="18" t="inlineStr">
        <is>
          <t>correos_juridicos</t>
        </is>
      </c>
      <c r="E934" s="18" t="n">
        <v>14042</v>
      </c>
      <c r="F934" s="18" t="inlineStr">
        <is>
          <t>leido</t>
        </is>
      </c>
      <c r="G934" s="18" t="inlineStr">
        <is>
          <t>boolean</t>
        </is>
      </c>
      <c r="H934" s="18" t="inlineStr">
        <is>
          <t>Sí</t>
        </is>
      </c>
      <c r="I934" s="18" t="inlineStr"/>
      <c r="J934" s="18" t="inlineStr"/>
      <c r="K934" s="18" t="inlineStr"/>
      <c r="L934" s="18" t="inlineStr">
        <is>
          <t>No</t>
        </is>
      </c>
      <c r="M934" s="18" t="inlineStr">
        <is>
          <t>No</t>
        </is>
      </c>
      <c r="N934" s="18" t="inlineStr"/>
      <c r="O934" s="18" t="inlineStr">
        <is>
          <t>idx_correos_juridicos_leido</t>
        </is>
      </c>
      <c r="P934" s="18" t="inlineStr">
        <is>
          <t>Mapeada en legal-management-service/src/entities/correo-juridico.entity.ts:41 (CorreoJuridico.leido)</t>
        </is>
      </c>
      <c r="Q934" s="18" t="inlineStr">
        <is>
          <t>Regla estructural (redacción revisada)</t>
        </is>
      </c>
      <c r="R934" s="18" t="inlineStr">
        <is>
          <t>Indica si el correo jurídico fue leído.</t>
        </is>
      </c>
      <c r="S934" s="18" t="inlineStr">
        <is>
          <t>Alta</t>
        </is>
      </c>
      <c r="T934" s="18" t="inlineStr">
        <is>
          <t>Convención de nombre, redactada con el contexto de la tabla y el código.</t>
        </is>
      </c>
      <c r="U934" s="18" t="inlineStr"/>
      <c r="V934" s="19" t="inlineStr">
        <is>
          <t>Aprobada</t>
        </is>
      </c>
      <c r="W934" s="19" t="inlineStr"/>
      <c r="X934" s="19" t="inlineStr">
        <is>
          <t>Aldair González (aprobación en bloque)</t>
        </is>
      </c>
      <c r="Y934" s="20" t="n">
        <v>46321</v>
      </c>
      <c r="Z934" s="19" t="inlineStr">
        <is>
          <t>Nivel 2: regla estructural con redacción revisada.</t>
        </is>
      </c>
      <c r="AA934" s="18">
        <f>IF(OR(V934="Aprobada"),R934,IF(AND(OR(V934="Aprobada con ajuste",V934="Rechazada"),W934&lt;&gt;""),W934,""))</f>
        <v/>
      </c>
    </row>
    <row r="935">
      <c r="A935" s="18" t="inlineStr">
        <is>
          <t>C0934</t>
        </is>
      </c>
      <c r="B935" s="18" t="inlineStr">
        <is>
          <t>Gestión jurídica</t>
        </is>
      </c>
      <c r="C935" s="18" t="inlineStr">
        <is>
          <t>legal_management</t>
        </is>
      </c>
      <c r="D935" s="18" t="inlineStr">
        <is>
          <t>correos_juridicos</t>
        </is>
      </c>
      <c r="E935" s="18" t="n">
        <v>14042</v>
      </c>
      <c r="F935" s="18" t="inlineStr">
        <is>
          <t>archivado</t>
        </is>
      </c>
      <c r="G935" s="18" t="inlineStr">
        <is>
          <t>boolean</t>
        </is>
      </c>
      <c r="H935" s="18" t="inlineStr">
        <is>
          <t>Sí</t>
        </is>
      </c>
      <c r="I935" s="18" t="inlineStr"/>
      <c r="J935" s="18" t="inlineStr"/>
      <c r="K935" s="18" t="inlineStr"/>
      <c r="L935" s="18" t="inlineStr">
        <is>
          <t>No</t>
        </is>
      </c>
      <c r="M935" s="18" t="inlineStr">
        <is>
          <t>No</t>
        </is>
      </c>
      <c r="N935" s="18" t="inlineStr"/>
      <c r="O935" s="18" t="inlineStr">
        <is>
          <t>idx_correos_juridicos_archivado</t>
        </is>
      </c>
      <c r="P935" s="18" t="inlineStr">
        <is>
          <t>Mapeada en legal-management-service/src/entities/correo-juridico.entity.ts:44 (CorreoJuridico.archivado)</t>
        </is>
      </c>
      <c r="Q935" s="18" t="inlineStr">
        <is>
          <t>Regla estructural (redacción revisada)</t>
        </is>
      </c>
      <c r="R935" s="18" t="inlineStr">
        <is>
          <t>Indica si el correo jurídico está archivado.</t>
        </is>
      </c>
      <c r="S935" s="18" t="inlineStr">
        <is>
          <t>Alta</t>
        </is>
      </c>
      <c r="T935" s="18" t="inlineStr">
        <is>
          <t>Convención de nombre, redactada con el contexto de la tabla y el código.</t>
        </is>
      </c>
      <c r="U935" s="18" t="inlineStr"/>
      <c r="V935" s="19" t="inlineStr">
        <is>
          <t>Aprobada</t>
        </is>
      </c>
      <c r="W935" s="19" t="inlineStr"/>
      <c r="X935" s="19" t="inlineStr">
        <is>
          <t>Aldair González (aprobación en bloque)</t>
        </is>
      </c>
      <c r="Y935" s="20" t="n">
        <v>46321</v>
      </c>
      <c r="Z935" s="19" t="inlineStr">
        <is>
          <t>Nivel 2: regla estructural con redacción revisada.</t>
        </is>
      </c>
      <c r="AA935" s="18">
        <f>IF(OR(V935="Aprobada"),R935,IF(AND(OR(V935="Aprobada con ajuste",V935="Rechazada"),W935&lt;&gt;""),W935,""))</f>
        <v/>
      </c>
    </row>
    <row r="936">
      <c r="A936" s="18" t="inlineStr">
        <is>
          <t>C0935</t>
        </is>
      </c>
      <c r="B936" s="18" t="inlineStr">
        <is>
          <t>Gestión jurídica</t>
        </is>
      </c>
      <c r="C936" s="18" t="inlineStr">
        <is>
          <t>legal_management</t>
        </is>
      </c>
      <c r="D936" s="18" t="inlineStr">
        <is>
          <t>correos_juridicos</t>
        </is>
      </c>
      <c r="E936" s="18" t="n">
        <v>14042</v>
      </c>
      <c r="F936" s="18" t="inlineStr">
        <is>
          <t>urgente</t>
        </is>
      </c>
      <c r="G936" s="18" t="inlineStr">
        <is>
          <t>boolean</t>
        </is>
      </c>
      <c r="H936" s="18" t="inlineStr">
        <is>
          <t>Sí</t>
        </is>
      </c>
      <c r="I936" s="18" t="inlineStr"/>
      <c r="J936" s="18" t="inlineStr"/>
      <c r="K936" s="18" t="inlineStr"/>
      <c r="L936" s="18" t="inlineStr">
        <is>
          <t>No</t>
        </is>
      </c>
      <c r="M936" s="18" t="inlineStr">
        <is>
          <t>No</t>
        </is>
      </c>
      <c r="N936" s="18" t="inlineStr"/>
      <c r="O936" s="18" t="inlineStr">
        <is>
          <t>idx_correos_juridicos_urgente</t>
        </is>
      </c>
      <c r="P936" s="18" t="inlineStr">
        <is>
          <t>Mapeada en legal-management-service/src/entities/correo-juridico.entity.ts:47 (CorreoJuridico.urgente)</t>
        </is>
      </c>
      <c r="Q936" s="18" t="inlineStr">
        <is>
          <t>Regla estructural (redacción revisada)</t>
        </is>
      </c>
      <c r="R936" s="18" t="inlineStr">
        <is>
          <t>Indica si el correo jurídico está marcado como urgente.</t>
        </is>
      </c>
      <c r="S936" s="18" t="inlineStr">
        <is>
          <t>Alta</t>
        </is>
      </c>
      <c r="T936" s="18" t="inlineStr">
        <is>
          <t>Convención de nombre, redactada con el contexto de la tabla y el código.</t>
        </is>
      </c>
      <c r="U936" s="18" t="inlineStr"/>
      <c r="V936" s="19" t="inlineStr">
        <is>
          <t>Aprobada</t>
        </is>
      </c>
      <c r="W936" s="19" t="inlineStr"/>
      <c r="X936" s="19" t="inlineStr">
        <is>
          <t>Aldair González (aprobación en bloque)</t>
        </is>
      </c>
      <c r="Y936" s="20" t="n">
        <v>46321</v>
      </c>
      <c r="Z936" s="19" t="inlineStr">
        <is>
          <t>Nivel 2: regla estructural con redacción revisada.</t>
        </is>
      </c>
      <c r="AA936" s="18">
        <f>IF(OR(V936="Aprobada"),R936,IF(AND(OR(V936="Aprobada con ajuste",V936="Rechazada"),W936&lt;&gt;""),W936,""))</f>
        <v/>
      </c>
    </row>
    <row r="937">
      <c r="A937" s="18" t="inlineStr">
        <is>
          <t>C0936</t>
        </is>
      </c>
      <c r="B937" s="18" t="inlineStr">
        <is>
          <t>Gestión jurídica</t>
        </is>
      </c>
      <c r="C937" s="18" t="inlineStr">
        <is>
          <t>legal_management</t>
        </is>
      </c>
      <c r="D937" s="18" t="inlineStr">
        <is>
          <t>correos_juridicos</t>
        </is>
      </c>
      <c r="E937" s="18" t="n">
        <v>14042</v>
      </c>
      <c r="F937" s="18" t="inlineStr">
        <is>
          <t>tipo</t>
        </is>
      </c>
      <c r="G937" s="18" t="inlineStr">
        <is>
          <t>character varying(20)</t>
        </is>
      </c>
      <c r="H937" s="18" t="inlineStr">
        <is>
          <t>Sí</t>
        </is>
      </c>
      <c r="I937" s="18" t="inlineStr"/>
      <c r="J937" s="18" t="inlineStr"/>
      <c r="K937" s="18" t="inlineStr"/>
      <c r="L937" s="18" t="inlineStr">
        <is>
          <t>No</t>
        </is>
      </c>
      <c r="M937" s="18" t="inlineStr">
        <is>
          <t>No</t>
        </is>
      </c>
      <c r="N937" s="18" t="inlineStr"/>
      <c r="O937" s="18" t="inlineStr">
        <is>
          <t>idx_correos_juridicos_tipo</t>
        </is>
      </c>
      <c r="P937" s="18" t="inlineStr">
        <is>
          <t>legal-management-service/src/entities/correo-juridico.entity.ts:50: JUDICIAL, CORREO, OFICIO | db/migrations/old/065_create_correos_juridicos.sql:19: Classification fields JUDICIAL, CORREO, OFICIO</t>
        </is>
      </c>
      <c r="Q937" s="18" t="inlineStr">
        <is>
          <t>Código fuente</t>
        </is>
      </c>
      <c r="R937" s="18" t="inlineStr">
        <is>
          <t>Clasificación del correo. Valores: JUDICIAL, CORREO, OFICIO. Por defecto, CORREO.</t>
        </is>
      </c>
      <c r="S937" s="18" t="inlineStr">
        <is>
          <t>Alta</t>
        </is>
      </c>
      <c r="T937" s="18" t="inlineStr">
        <is>
          <t>código: correo-juridico.entity.ts:50</t>
        </is>
      </c>
      <c r="U937" s="18" t="inlineStr"/>
      <c r="V937" s="19" t="inlineStr">
        <is>
          <t>Aprobada</t>
        </is>
      </c>
      <c r="W937" s="19" t="inlineStr"/>
      <c r="X937" s="19" t="inlineStr">
        <is>
          <t>Aldair González (aprobación en bloque)</t>
        </is>
      </c>
      <c r="Y937" s="20" t="n">
        <v>46321</v>
      </c>
      <c r="Z937" s="19" t="inlineStr">
        <is>
          <t>Nivel 1: propuesta del comentario del desarrollador o de confianza alta, o regla de fecha/responsable/motivo.</t>
        </is>
      </c>
      <c r="AA937" s="18">
        <f>IF(OR(V937="Aprobada"),R937,IF(AND(OR(V937="Aprobada con ajuste",V937="Rechazada"),W937&lt;&gt;""),W937,""))</f>
        <v/>
      </c>
    </row>
    <row r="938">
      <c r="A938" s="18" t="inlineStr">
        <is>
          <t>C0937</t>
        </is>
      </c>
      <c r="B938" s="18" t="inlineStr">
        <is>
          <t>Gestión jurídica</t>
        </is>
      </c>
      <c r="C938" s="18" t="inlineStr">
        <is>
          <t>legal_management</t>
        </is>
      </c>
      <c r="D938" s="18" t="inlineStr">
        <is>
          <t>correos_juridicos</t>
        </is>
      </c>
      <c r="E938" s="18" t="n">
        <v>14042</v>
      </c>
      <c r="F938" s="18" t="inlineStr">
        <is>
          <t>categoria</t>
        </is>
      </c>
      <c r="G938" s="18" t="inlineStr">
        <is>
          <t>character varying(100)</t>
        </is>
      </c>
      <c r="H938" s="18" t="inlineStr">
        <is>
          <t>Sí</t>
        </is>
      </c>
      <c r="I938" s="18" t="inlineStr"/>
      <c r="J938" s="18" t="inlineStr"/>
      <c r="K938" s="18" t="inlineStr"/>
      <c r="L938" s="18" t="inlineStr">
        <is>
          <t>No</t>
        </is>
      </c>
      <c r="M938" s="18" t="inlineStr">
        <is>
          <t>No</t>
        </is>
      </c>
      <c r="N938" s="18" t="inlineStr"/>
      <c r="O938" s="18" t="inlineStr"/>
      <c r="P938" s="18" t="inlineStr">
        <is>
          <t>Mapeada en legal-management-service/src/entities/correo-juridico.entity.ts:60 (CorreoJuridico.categoria)</t>
        </is>
      </c>
      <c r="Q938" s="18" t="inlineStr">
        <is>
          <t>Código fuente (verificado)</t>
        </is>
      </c>
      <c r="R938" s="18" t="inlineStr">
        <is>
          <t>Categoría del correo: la que asigna la clasificación automática (JUDICIAL, OFICIO, CONSULTA o CORREO), la que corrige un usuario, la heredada del hilo, o ENVIADO, RESPUESTA o REENVIO en correos salientes. tipo se deriva de ella (JUDICIAL, OFICIO o CORREO) y ai_suggested_category conserva la categoría automática.</t>
        </is>
      </c>
      <c r="S938" s="18" t="inlineStr">
        <is>
          <t>Alta</t>
        </is>
      </c>
      <c r="T938" s="18" t="inlineStr">
        <is>
          <t>legal-management-service/src/services/correos-juridicos.service.ts:581: categoria y aiSuggestedCategory = categoría automática | legal-management-service/src/services/correos-juridicos.service.ts:541: tipo derivado de la categoría | legal-management-service/src/services/correos-juridicos.service.ts:2016: corrección manual solo cambia categoria | legal-management-service/src/services/correos-juridicos.service.ts:898: ENVIADO | legal-management-service/src/services/correos-juridicos.service.ts:1066: RESPUESTA</t>
        </is>
      </c>
      <c r="U938" s="18" t="inlineStr"/>
      <c r="V938" s="19" t="inlineStr">
        <is>
          <t>Aprobada</t>
        </is>
      </c>
      <c r="W938" s="19" t="inlineStr"/>
      <c r="X938" s="19" t="inlineStr">
        <is>
          <t>Aldair González (aprobación en bloque)</t>
        </is>
      </c>
      <c r="Y938" s="20" t="n">
        <v>46321</v>
      </c>
      <c r="Z938" s="19" t="inlineStr">
        <is>
          <t>Nivel 3: verificada con el código de la aplicación.</t>
        </is>
      </c>
      <c r="AA938" s="18">
        <f>IF(OR(V938="Aprobada"),R938,IF(AND(OR(V938="Aprobada con ajuste",V938="Rechazada"),W938&lt;&gt;""),W938,""))</f>
        <v/>
      </c>
    </row>
    <row r="939">
      <c r="A939" s="18" t="inlineStr">
        <is>
          <t>C0938</t>
        </is>
      </c>
      <c r="B939" s="18" t="inlineStr">
        <is>
          <t>Gestión jurídica</t>
        </is>
      </c>
      <c r="C939" s="18" t="inlineStr">
        <is>
          <t>legal_management</t>
        </is>
      </c>
      <c r="D939" s="18" t="inlineStr">
        <is>
          <t>correos_juridicos</t>
        </is>
      </c>
      <c r="E939" s="18" t="n">
        <v>14042</v>
      </c>
      <c r="F939" s="18" t="inlineStr">
        <is>
          <t>modulo_sugerido</t>
        </is>
      </c>
      <c r="G939" s="18" t="inlineStr">
        <is>
          <t>character varying(100)</t>
        </is>
      </c>
      <c r="H939" s="18" t="inlineStr">
        <is>
          <t>Sí</t>
        </is>
      </c>
      <c r="I939" s="18" t="inlineStr"/>
      <c r="J939" s="18" t="inlineStr"/>
      <c r="K939" s="18" t="inlineStr"/>
      <c r="L939" s="18" t="inlineStr">
        <is>
          <t>No</t>
        </is>
      </c>
      <c r="M939" s="18" t="inlineStr">
        <is>
          <t>No</t>
        </is>
      </c>
      <c r="N939" s="18" t="inlineStr"/>
      <c r="O939" s="18" t="inlineStr"/>
      <c r="P939" s="18" t="inlineStr">
        <is>
          <t>Mapeada en legal-management-service/src/entities/correo-juridico.entity.ts:63 (CorreoJuridico.moduloSugerido)</t>
        </is>
      </c>
      <c r="Q939" s="18" t="inlineStr">
        <is>
          <t>Código fuente (verificado)</t>
        </is>
      </c>
      <c r="R939" s="18" t="inlineStr">
        <is>
          <t>Módulo de gestión jurídica sugerido para el correo (MOD-01: Defensa Judicial, MOD-02: Juzgamiento Disciplinario, MOD-03: Asesoría Jurídica o Buzón General). Lo calcula la clasificación automática con reglas heurísticas y un clasificador bayesiano, y se recalcula si un usuario corrige la categoría.</t>
        </is>
      </c>
      <c r="S939" s="18" t="inlineStr">
        <is>
          <t>Alta</t>
        </is>
      </c>
      <c r="T939" s="18" t="inlineStr">
        <is>
          <t>legal-management-service/src/services/smart-classification.service.ts:10: método HEURISTIC, BAYESIAN o DEFAULT | legal-management-service/src/services/smart-classification.service.ts:188: mapeo categoría a módulo | legal-management-service/src/services/correos-juridicos.service.ts:2020: recálculo tras corrección manual</t>
        </is>
      </c>
      <c r="U939" s="18" t="inlineStr"/>
      <c r="V939" s="19" t="inlineStr">
        <is>
          <t>Aprobada</t>
        </is>
      </c>
      <c r="W939" s="19" t="inlineStr"/>
      <c r="X939" s="19" t="inlineStr">
        <is>
          <t>Aldair González (aprobación en bloque)</t>
        </is>
      </c>
      <c r="Y939" s="20" t="n">
        <v>46321</v>
      </c>
      <c r="Z939" s="19" t="inlineStr">
        <is>
          <t>Nivel 3: verificada con el código de la aplicación.</t>
        </is>
      </c>
      <c r="AA939" s="18">
        <f>IF(OR(V939="Aprobada"),R939,IF(AND(OR(V939="Aprobada con ajuste",V939="Rechazada"),W939&lt;&gt;""),W939,""))</f>
        <v/>
      </c>
    </row>
    <row r="940">
      <c r="A940" s="18" t="inlineStr">
        <is>
          <t>C0939</t>
        </is>
      </c>
      <c r="B940" s="18" t="inlineStr">
        <is>
          <t>Gestión jurídica</t>
        </is>
      </c>
      <c r="C940" s="18" t="inlineStr">
        <is>
          <t>legal_management</t>
        </is>
      </c>
      <c r="D940" s="18" t="inlineStr">
        <is>
          <t>correos_juridicos</t>
        </is>
      </c>
      <c r="E940" s="18" t="n">
        <v>14042</v>
      </c>
      <c r="F940" s="18" t="inlineStr">
        <is>
          <t>confianza_clasificacion</t>
        </is>
      </c>
      <c r="G940" s="18" t="inlineStr">
        <is>
          <t>double precision</t>
        </is>
      </c>
      <c r="H940" s="18" t="inlineStr">
        <is>
          <t>Sí</t>
        </is>
      </c>
      <c r="I940" s="18" t="inlineStr"/>
      <c r="J940" s="18" t="inlineStr"/>
      <c r="K940" s="18" t="inlineStr"/>
      <c r="L940" s="18" t="inlineStr">
        <is>
          <t>No</t>
        </is>
      </c>
      <c r="M940" s="18" t="inlineStr">
        <is>
          <t>No</t>
        </is>
      </c>
      <c r="N940" s="18" t="inlineStr"/>
      <c r="O940" s="18" t="inlineStr"/>
      <c r="P940" s="18" t="inlineStr">
        <is>
          <t>Mapeada en legal-management-service/src/entities/correo-juridico.entity.ts:66 (CorreoJuridico.confianzaClasificacion)</t>
        </is>
      </c>
      <c r="Q940" s="18" t="inlineStr">
        <is>
          <t>Código fuente (verificado)</t>
        </is>
      </c>
      <c r="R940" s="18" t="inlineStr">
        <is>
          <t>Nivel de confianza de la clasificación automática del correo, en escala de 0 a 1.</t>
        </is>
      </c>
      <c r="S940" s="18" t="inlineStr">
        <is>
          <t>Alta</t>
        </is>
      </c>
      <c r="T940" s="18" t="inlineStr">
        <is>
          <t>legal-management-service/src/services/smart-classification.service.ts:85: confidence 1.0 | legal-management-service/src/services/smart-classification.service.ts:155: confidence 0.0 sin modelo | legal-management-service/src/services/smart-classification.service.ts:165: umbral 0.7</t>
        </is>
      </c>
      <c r="U940" s="18" t="inlineStr"/>
      <c r="V940" s="19" t="inlineStr">
        <is>
          <t>Aprobada</t>
        </is>
      </c>
      <c r="W940" s="19" t="inlineStr"/>
      <c r="X940" s="19" t="inlineStr">
        <is>
          <t>Aldair González (aprobación en bloque)</t>
        </is>
      </c>
      <c r="Y940" s="20" t="n">
        <v>46321</v>
      </c>
      <c r="Z940" s="19" t="inlineStr">
        <is>
          <t>Nivel 3: verificada con el código de la aplicación.</t>
        </is>
      </c>
      <c r="AA940" s="18">
        <f>IF(OR(V940="Aprobada"),R940,IF(AND(OR(V940="Aprobada con ajuste",V940="Rechazada"),W940&lt;&gt;""),W940,""))</f>
        <v/>
      </c>
    </row>
    <row r="941">
      <c r="A941" s="18" t="inlineStr">
        <is>
          <t>C0940</t>
        </is>
      </c>
      <c r="B941" s="18" t="inlineStr">
        <is>
          <t>Gestión jurídica</t>
        </is>
      </c>
      <c r="C941" s="18" t="inlineStr">
        <is>
          <t>legal_management</t>
        </is>
      </c>
      <c r="D941" s="18" t="inlineStr">
        <is>
          <t>correos_juridicos</t>
        </is>
      </c>
      <c r="E941" s="18" t="n">
        <v>14042</v>
      </c>
      <c r="F941" s="18" t="inlineStr">
        <is>
          <t>ai_suggested_category</t>
        </is>
      </c>
      <c r="G941" s="18" t="inlineStr">
        <is>
          <t>character varying(100)</t>
        </is>
      </c>
      <c r="H941" s="18" t="inlineStr">
        <is>
          <t>Sí</t>
        </is>
      </c>
      <c r="I941" s="18" t="inlineStr"/>
      <c r="J941" s="18" t="inlineStr"/>
      <c r="K941" s="18" t="inlineStr"/>
      <c r="L941" s="18" t="inlineStr">
        <is>
          <t>No</t>
        </is>
      </c>
      <c r="M941" s="18" t="inlineStr">
        <is>
          <t>No</t>
        </is>
      </c>
      <c r="N941" s="18" t="inlineStr"/>
      <c r="O941" s="18" t="inlineStr"/>
      <c r="P941" s="18" t="inlineStr">
        <is>
          <t>Mapeada en legal-management-service/src/entities/correo-juridico.entity.ts:69 (CorreoJuridico.aiSuggestedCategory)</t>
        </is>
      </c>
      <c r="Q941" s="18" t="inlineStr">
        <is>
          <t>Propuesta semántica</t>
        </is>
      </c>
      <c r="R941" s="18" t="inlineStr">
        <is>
          <t>Categoría del correo sugerida por inteligencia artificial.</t>
        </is>
      </c>
      <c r="S941" s="18" t="inlineStr">
        <is>
          <t>Alta</t>
        </is>
      </c>
      <c r="T941" s="18" t="inlineStr">
        <is>
          <t>nombre + tipo + columnas vecinas</t>
        </is>
      </c>
      <c r="U941" s="18" t="inlineStr"/>
      <c r="V941" s="19" t="inlineStr">
        <is>
          <t>Aprobada</t>
        </is>
      </c>
      <c r="W941" s="19" t="inlineStr"/>
      <c r="X941" s="19" t="inlineStr">
        <is>
          <t>Aldair González (aprobación en bloque)</t>
        </is>
      </c>
      <c r="Y941" s="20" t="n">
        <v>46321</v>
      </c>
      <c r="Z941" s="19" t="inlineStr">
        <is>
          <t>Nivel 1: propuesta del comentario del desarrollador o de confianza alta, o regla de fecha/responsable/motivo.</t>
        </is>
      </c>
      <c r="AA941" s="18">
        <f>IF(OR(V941="Aprobada"),R941,IF(AND(OR(V941="Aprobada con ajuste",V941="Rechazada"),W941&lt;&gt;""),W941,""))</f>
        <v/>
      </c>
    </row>
    <row r="942">
      <c r="A942" s="18" t="inlineStr">
        <is>
          <t>C0941</t>
        </is>
      </c>
      <c r="B942" s="18" t="inlineStr">
        <is>
          <t>Gestión jurídica</t>
        </is>
      </c>
      <c r="C942" s="18" t="inlineStr">
        <is>
          <t>legal_management</t>
        </is>
      </c>
      <c r="D942" s="18" t="inlineStr">
        <is>
          <t>correos_juridicos</t>
        </is>
      </c>
      <c r="E942" s="18" t="n">
        <v>14042</v>
      </c>
      <c r="F942" s="18" t="inlineStr">
        <is>
          <t>is_trained</t>
        </is>
      </c>
      <c r="G942" s="18" t="inlineStr">
        <is>
          <t>boolean</t>
        </is>
      </c>
      <c r="H942" s="18" t="inlineStr">
        <is>
          <t>Sí</t>
        </is>
      </c>
      <c r="I942" s="18" t="inlineStr"/>
      <c r="J942" s="18" t="inlineStr"/>
      <c r="K942" s="18" t="inlineStr"/>
      <c r="L942" s="18" t="inlineStr">
        <is>
          <t>No</t>
        </is>
      </c>
      <c r="M942" s="18" t="inlineStr">
        <is>
          <t>No</t>
        </is>
      </c>
      <c r="N942" s="18" t="inlineStr"/>
      <c r="O942" s="18" t="inlineStr"/>
      <c r="P942" s="18" t="inlineStr">
        <is>
          <t>Mapeada en legal-management-service/src/entities/correo-juridico.entity.ts:72 (CorreoJuridico.isTrained)</t>
        </is>
      </c>
      <c r="Q942" s="18" t="inlineStr">
        <is>
          <t>Regla estructural (redacción revisada)</t>
        </is>
      </c>
      <c r="R942" s="18" t="inlineStr">
        <is>
          <t>Indica si el correo jurídico está marcado como entrenado.</t>
        </is>
      </c>
      <c r="S942" s="18" t="inlineStr">
        <is>
          <t>Alta</t>
        </is>
      </c>
      <c r="T942" s="18" t="inlineStr">
        <is>
          <t>Convención de nombre, redactada con el contexto de la tabla y el código.</t>
        </is>
      </c>
      <c r="U942" s="18" t="inlineStr"/>
      <c r="V942" s="19" t="inlineStr">
        <is>
          <t>Aprobada</t>
        </is>
      </c>
      <c r="W942" s="19" t="inlineStr"/>
      <c r="X942" s="19" t="inlineStr">
        <is>
          <t>Aldair González (aprobación en bloque)</t>
        </is>
      </c>
      <c r="Y942" s="20" t="n">
        <v>46321</v>
      </c>
      <c r="Z942" s="19" t="inlineStr">
        <is>
          <t>Nivel 2: regla estructural con redacción revisada.</t>
        </is>
      </c>
      <c r="AA942" s="18">
        <f>IF(OR(V942="Aprobada"),R942,IF(AND(OR(V942="Aprobada con ajuste",V942="Rechazada"),W942&lt;&gt;""),W942,""))</f>
        <v/>
      </c>
    </row>
    <row r="943">
      <c r="A943" s="18" t="inlineStr">
        <is>
          <t>C0942</t>
        </is>
      </c>
      <c r="B943" s="18" t="inlineStr">
        <is>
          <t>Gestión jurídica</t>
        </is>
      </c>
      <c r="C943" s="18" t="inlineStr">
        <is>
          <t>legal_management</t>
        </is>
      </c>
      <c r="D943" s="18" t="inlineStr">
        <is>
          <t>correos_juridicos</t>
        </is>
      </c>
      <c r="E943" s="18" t="n">
        <v>14042</v>
      </c>
      <c r="F943" s="18" t="inlineStr">
        <is>
          <t>expediente_id</t>
        </is>
      </c>
      <c r="G943" s="18" t="inlineStr">
        <is>
          <t>character varying(255)</t>
        </is>
      </c>
      <c r="H943" s="18" t="inlineStr">
        <is>
          <t>Sí</t>
        </is>
      </c>
      <c r="I943" s="18" t="inlineStr"/>
      <c r="J943" s="18" t="inlineStr"/>
      <c r="K943" s="18" t="inlineStr"/>
      <c r="L943" s="18" t="inlineStr">
        <is>
          <t>No</t>
        </is>
      </c>
      <c r="M943" s="18" t="inlineStr">
        <is>
          <t>No</t>
        </is>
      </c>
      <c r="N943" s="18" t="inlineStr"/>
      <c r="O943" s="18" t="inlineStr">
        <is>
          <t>idx_correos_juridicos_expediente</t>
        </is>
      </c>
      <c r="P943" s="18" t="inlineStr">
        <is>
          <t>Mapeada en legal-management-service/src/entities/correo-juridico.entity.ts:75 (CorreoJuridico.expedienteId)</t>
        </is>
      </c>
      <c r="Q943" s="18" t="inlineStr">
        <is>
          <t>Código fuente (verificado)</t>
        </is>
      </c>
      <c r="R943" s="18" t="inlineStr">
        <is>
          <t>Identificador (expedientes.id, guardado como texto) del expediente de Defensa Judicial o Juzgamiento Disciplinario al que se asoció el correo; las consultas de Asesoría Jurídica van en consulta_id.</t>
        </is>
      </c>
      <c r="S943" s="18" t="inlineStr">
        <is>
          <t>Alta</t>
        </is>
      </c>
      <c r="T943" s="18" t="inlineStr">
        <is>
          <t>legal-management-service/src/services/correos-juridicos.service.ts:2146: expedienteId = procesoId de expedientes | legal-management-service/src/entities/correo-juridico.entity.ts:78: Asesoría usa consulta_id | legal-management-service/src/services/expediente.service.ts:1046: se anula al borrar el expediente por su id</t>
        </is>
      </c>
      <c r="U943" s="18" t="inlineStr"/>
      <c r="V943" s="19" t="inlineStr">
        <is>
          <t>Aprobada</t>
        </is>
      </c>
      <c r="W943" s="19" t="inlineStr"/>
      <c r="X943" s="19" t="inlineStr">
        <is>
          <t>Aldair González (aprobación en bloque)</t>
        </is>
      </c>
      <c r="Y943" s="20" t="n">
        <v>46321</v>
      </c>
      <c r="Z943" s="19" t="inlineStr">
        <is>
          <t>Nivel 3: verificada con el código de la aplicación.</t>
        </is>
      </c>
      <c r="AA943" s="18">
        <f>IF(OR(V943="Aprobada"),R943,IF(AND(OR(V943="Aprobada con ajuste",V943="Rechazada"),W943&lt;&gt;""),W943,""))</f>
        <v/>
      </c>
    </row>
    <row r="944">
      <c r="A944" s="18" t="inlineStr">
        <is>
          <t>C0943</t>
        </is>
      </c>
      <c r="B944" s="18" t="inlineStr">
        <is>
          <t>Gestión jurídica</t>
        </is>
      </c>
      <c r="C944" s="18" t="inlineStr">
        <is>
          <t>legal_management</t>
        </is>
      </c>
      <c r="D944" s="18" t="inlineStr">
        <is>
          <t>correos_juridicos</t>
        </is>
      </c>
      <c r="E944" s="18" t="n">
        <v>14042</v>
      </c>
      <c r="F944" s="18" t="inlineStr">
        <is>
          <t>direccion</t>
        </is>
      </c>
      <c r="G944" s="18" t="inlineStr">
        <is>
          <t>character varying(20)</t>
        </is>
      </c>
      <c r="H944" s="18" t="inlineStr">
        <is>
          <t>Sí</t>
        </is>
      </c>
      <c r="I944" s="18" t="inlineStr"/>
      <c r="J944" s="18" t="inlineStr"/>
      <c r="K944" s="18" t="inlineStr"/>
      <c r="L944" s="18" t="inlineStr">
        <is>
          <t>No</t>
        </is>
      </c>
      <c r="M944" s="18" t="inlineStr">
        <is>
          <t>No</t>
        </is>
      </c>
      <c r="N944" s="18" t="inlineStr"/>
      <c r="O944" s="18" t="inlineStr"/>
      <c r="P944" s="18" t="inlineStr">
        <is>
          <t>legal-management-service/src/entities/correo-juridico.entity.ts:90: ENTRANTE, ENVIADO</t>
        </is>
      </c>
      <c r="Q944" s="18" t="inlineStr">
        <is>
          <t>Código fuente</t>
        </is>
      </c>
      <c r="R944" s="18" t="inlineStr">
        <is>
          <t>Dirección del correo. Valores: ENTRANTE, ENVIADO. Por defecto, ENTRANTE.</t>
        </is>
      </c>
      <c r="S944" s="18" t="inlineStr">
        <is>
          <t>Alta</t>
        </is>
      </c>
      <c r="T944" s="18" t="inlineStr">
        <is>
          <t>código: correo-juridico.entity.ts:90</t>
        </is>
      </c>
      <c r="U944" s="18" t="inlineStr"/>
      <c r="V944" s="19" t="inlineStr">
        <is>
          <t>Aprobada</t>
        </is>
      </c>
      <c r="W944" s="19" t="inlineStr"/>
      <c r="X944" s="19" t="inlineStr">
        <is>
          <t>Aldair González (aprobación en bloque)</t>
        </is>
      </c>
      <c r="Y944" s="20" t="n">
        <v>46321</v>
      </c>
      <c r="Z944" s="19" t="inlineStr">
        <is>
          <t>Nivel 1: propuesta del comentario del desarrollador o de confianza alta, o regla de fecha/responsable/motivo.</t>
        </is>
      </c>
      <c r="AA944" s="18">
        <f>IF(OR(V944="Aprobada"),R944,IF(AND(OR(V944="Aprobada con ajuste",V944="Rechazada"),W944&lt;&gt;""),W944,""))</f>
        <v/>
      </c>
    </row>
    <row r="945">
      <c r="A945" s="18" t="inlineStr">
        <is>
          <t>C0944</t>
        </is>
      </c>
      <c r="B945" s="18" t="inlineStr">
        <is>
          <t>Gestión jurídica</t>
        </is>
      </c>
      <c r="C945" s="18" t="inlineStr">
        <is>
          <t>legal_management</t>
        </is>
      </c>
      <c r="D945" s="18" t="inlineStr">
        <is>
          <t>correos_juridicos</t>
        </is>
      </c>
      <c r="E945" s="18" t="n">
        <v>14042</v>
      </c>
      <c r="F945" s="18" t="inlineStr">
        <is>
          <t>destinatarios_to</t>
        </is>
      </c>
      <c r="G945" s="18" t="inlineStr">
        <is>
          <t>text</t>
        </is>
      </c>
      <c r="H945" s="18" t="inlineStr">
        <is>
          <t>Sí</t>
        </is>
      </c>
      <c r="I945" s="18" t="inlineStr"/>
      <c r="J945" s="18" t="inlineStr"/>
      <c r="K945" s="18" t="inlineStr"/>
      <c r="L945" s="18" t="inlineStr">
        <is>
          <t>No</t>
        </is>
      </c>
      <c r="M945" s="18" t="inlineStr">
        <is>
          <t>No</t>
        </is>
      </c>
      <c r="N945" s="18" t="inlineStr"/>
      <c r="O945" s="18" t="inlineStr"/>
      <c r="P945" s="18" t="inlineStr">
        <is>
          <t>Mapeada en legal-management-service/src/entities/correo-juridico.entity.ts:93 (CorreoJuridico.destinatariosTo)</t>
        </is>
      </c>
      <c r="Q945" s="18" t="inlineStr">
        <is>
          <t>Código fuente (verificado)</t>
        </is>
      </c>
      <c r="R945" s="18" t="inlineStr">
        <is>
          <t>Destinatarios principales («Para») de los correos enviados, respuestas y reenvíos, como lista de correos separada por coma y espacio (no JSON).</t>
        </is>
      </c>
      <c r="S945" s="18" t="inlineStr">
        <is>
          <t>Alta</t>
        </is>
      </c>
      <c r="T945" s="18" t="inlineStr">
        <is>
          <t>legal-management-service/src/services/correos-juridicos.service.ts:873: destinatariosTo = toList.join(", ") | legal-management-service/src/services/correos-juridicos.service.ts:1036: idem en respuestas | legal-management-service/src/services/correos-juridicos.service.ts:1109: idem en reenvíos</t>
        </is>
      </c>
      <c r="U945" s="18" t="inlineStr"/>
      <c r="V945" s="19" t="inlineStr">
        <is>
          <t>Aprobada</t>
        </is>
      </c>
      <c r="W945" s="19" t="inlineStr"/>
      <c r="X945" s="19" t="inlineStr">
        <is>
          <t>Aldair González (aprobación en bloque)</t>
        </is>
      </c>
      <c r="Y945" s="20" t="n">
        <v>46321</v>
      </c>
      <c r="Z945" s="19" t="inlineStr">
        <is>
          <t>Nivel 3: verificada con el código de la aplicación.</t>
        </is>
      </c>
      <c r="AA945" s="18">
        <f>IF(OR(V945="Aprobada"),R945,IF(AND(OR(V945="Aprobada con ajuste",V945="Rechazada"),W945&lt;&gt;""),W945,""))</f>
        <v/>
      </c>
    </row>
    <row r="946">
      <c r="A946" s="18" t="inlineStr">
        <is>
          <t>C0945</t>
        </is>
      </c>
      <c r="B946" s="18" t="inlineStr">
        <is>
          <t>Gestión jurídica</t>
        </is>
      </c>
      <c r="C946" s="18" t="inlineStr">
        <is>
          <t>legal_management</t>
        </is>
      </c>
      <c r="D946" s="18" t="inlineStr">
        <is>
          <t>correos_juridicos</t>
        </is>
      </c>
      <c r="E946" s="18" t="n">
        <v>14042</v>
      </c>
      <c r="F946" s="18" t="inlineStr">
        <is>
          <t>is_forwarded</t>
        </is>
      </c>
      <c r="G946" s="18" t="inlineStr">
        <is>
          <t>boolean</t>
        </is>
      </c>
      <c r="H946" s="18" t="inlineStr">
        <is>
          <t>Sí</t>
        </is>
      </c>
      <c r="I946" s="18" t="inlineStr"/>
      <c r="J946" s="18" t="inlineStr"/>
      <c r="K946" s="18" t="inlineStr"/>
      <c r="L946" s="18" t="inlineStr">
        <is>
          <t>No</t>
        </is>
      </c>
      <c r="M946" s="18" t="inlineStr">
        <is>
          <t>No</t>
        </is>
      </c>
      <c r="N946" s="18" t="inlineStr"/>
      <c r="O946" s="18" t="inlineStr"/>
      <c r="P946" s="18" t="inlineStr">
        <is>
          <t>Mapeada en legal-management-service/src/entities/correo-juridico.entity.ts:100 (CorreoJuridico.isForwarded)</t>
        </is>
      </c>
      <c r="Q946" s="18" t="inlineStr">
        <is>
          <t>Regla estructural (redacción revisada)</t>
        </is>
      </c>
      <c r="R946" s="18" t="inlineStr">
        <is>
          <t>Indica si el correo jurídico fue reenviado.</t>
        </is>
      </c>
      <c r="S946" s="18" t="inlineStr">
        <is>
          <t>Alta</t>
        </is>
      </c>
      <c r="T946" s="18" t="inlineStr">
        <is>
          <t>Convención de nombre, redactada con el contexto de la tabla y el código.</t>
        </is>
      </c>
      <c r="U946" s="18" t="inlineStr"/>
      <c r="V946" s="19" t="inlineStr">
        <is>
          <t>Aprobada</t>
        </is>
      </c>
      <c r="W946" s="19" t="inlineStr"/>
      <c r="X946" s="19" t="inlineStr">
        <is>
          <t>Aldair González (aprobación en bloque)</t>
        </is>
      </c>
      <c r="Y946" s="20" t="n">
        <v>46321</v>
      </c>
      <c r="Z946" s="19" t="inlineStr">
        <is>
          <t>Nivel 2: regla estructural con redacción revisada.</t>
        </is>
      </c>
      <c r="AA946" s="18">
        <f>IF(OR(V946="Aprobada"),R946,IF(AND(OR(V946="Aprobada con ajuste",V946="Rechazada"),W946&lt;&gt;""),W946,""))</f>
        <v/>
      </c>
    </row>
    <row r="947">
      <c r="A947" s="18" t="inlineStr">
        <is>
          <t>C0946</t>
        </is>
      </c>
      <c r="B947" s="18" t="inlineStr">
        <is>
          <t>Gestión jurídica</t>
        </is>
      </c>
      <c r="C947" s="18" t="inlineStr">
        <is>
          <t>legal_management</t>
        </is>
      </c>
      <c r="D947" s="18" t="inlineStr">
        <is>
          <t>correos_juridicos</t>
        </is>
      </c>
      <c r="E947" s="18" t="n">
        <v>14042</v>
      </c>
      <c r="F947" s="18" t="inlineStr">
        <is>
          <t>is_replied</t>
        </is>
      </c>
      <c r="G947" s="18" t="inlineStr">
        <is>
          <t>boolean</t>
        </is>
      </c>
      <c r="H947" s="18" t="inlineStr">
        <is>
          <t>Sí</t>
        </is>
      </c>
      <c r="I947" s="18" t="inlineStr"/>
      <c r="J947" s="18" t="inlineStr"/>
      <c r="K947" s="18" t="inlineStr"/>
      <c r="L947" s="18" t="inlineStr">
        <is>
          <t>No</t>
        </is>
      </c>
      <c r="M947" s="18" t="inlineStr">
        <is>
          <t>No</t>
        </is>
      </c>
      <c r="N947" s="18" t="inlineStr"/>
      <c r="O947" s="18" t="inlineStr"/>
      <c r="P947" s="18" t="inlineStr">
        <is>
          <t>legal-management-service/src/entities/correo-juridico.entity.ts:97: ── Threading / Reply support ──</t>
        </is>
      </c>
      <c r="Q947" s="18" t="inlineStr">
        <is>
          <t>Código fuente</t>
        </is>
      </c>
      <c r="R947" s="18" t="inlineStr">
        <is>
          <t>Indica si el correo fue respondido.</t>
        </is>
      </c>
      <c r="S947" s="18" t="inlineStr">
        <is>
          <t>Alta</t>
        </is>
      </c>
      <c r="T947" s="18" t="inlineStr">
        <is>
          <t>nombre + tipo + código: correo-juridico.entity.ts:97 (sección de hilos y respuestas)</t>
        </is>
      </c>
      <c r="U947" s="18" t="inlineStr"/>
      <c r="V947" s="19" t="inlineStr">
        <is>
          <t>Aprobada</t>
        </is>
      </c>
      <c r="W947" s="19" t="inlineStr"/>
      <c r="X947" s="19" t="inlineStr">
        <is>
          <t>Aldair González (aprobación en bloque)</t>
        </is>
      </c>
      <c r="Y947" s="20" t="n">
        <v>46321</v>
      </c>
      <c r="Z947" s="19" t="inlineStr">
        <is>
          <t>Nivel 1: propuesta del comentario del desarrollador o de confianza alta, o regla de fecha/responsable/motivo.</t>
        </is>
      </c>
      <c r="AA947" s="18">
        <f>IF(OR(V947="Aprobada"),R947,IF(AND(OR(V947="Aprobada con ajuste",V947="Rechazada"),W947&lt;&gt;""),W947,""))</f>
        <v/>
      </c>
    </row>
    <row r="948">
      <c r="A948" s="18" t="inlineStr">
        <is>
          <t>C0947</t>
        </is>
      </c>
      <c r="B948" s="18" t="inlineStr">
        <is>
          <t>Gestión jurídica</t>
        </is>
      </c>
      <c r="C948" s="18" t="inlineStr">
        <is>
          <t>legal_management</t>
        </is>
      </c>
      <c r="D948" s="18" t="inlineStr">
        <is>
          <t>correos_juridicos</t>
        </is>
      </c>
      <c r="E948" s="18" t="n">
        <v>14042</v>
      </c>
      <c r="F948" s="18" t="inlineStr">
        <is>
          <t>thread_id</t>
        </is>
      </c>
      <c r="G948" s="18" t="inlineStr">
        <is>
          <t>character varying(500)</t>
        </is>
      </c>
      <c r="H948" s="18" t="inlineStr">
        <is>
          <t>Sí</t>
        </is>
      </c>
      <c r="I948" s="18" t="inlineStr"/>
      <c r="J948" s="18" t="inlineStr"/>
      <c r="K948" s="18" t="inlineStr"/>
      <c r="L948" s="18" t="inlineStr">
        <is>
          <t>No</t>
        </is>
      </c>
      <c r="M948" s="18" t="inlineStr">
        <is>
          <t>No</t>
        </is>
      </c>
      <c r="N948" s="18" t="inlineStr"/>
      <c r="O948" s="18" t="inlineStr">
        <is>
          <t>idx_correos_thread_id</t>
        </is>
      </c>
      <c r="P948" s="18" t="inlineStr">
        <is>
          <t>Mapeada en legal-management-service/src/entities/correo-juridico.entity.ts:106 (CorreoJuridico.threadId)</t>
        </is>
      </c>
      <c r="Q948" s="18" t="inlineStr">
        <is>
          <t>Propuesta semántica</t>
        </is>
      </c>
      <c r="R948" s="18" t="inlineStr">
        <is>
          <t>Identificador del hilo de conversación del correo.</t>
        </is>
      </c>
      <c r="S948" s="18" t="inlineStr">
        <is>
          <t>Alta</t>
        </is>
      </c>
      <c r="T948" s="18" t="inlineStr">
        <is>
          <t>nombre + tipo + columnas vecinas</t>
        </is>
      </c>
      <c r="U948" s="18" t="inlineStr"/>
      <c r="V948" s="19" t="inlineStr">
        <is>
          <t>Aprobada</t>
        </is>
      </c>
      <c r="W948" s="19" t="inlineStr"/>
      <c r="X948" s="19" t="inlineStr">
        <is>
          <t>Aldair González (aprobación en bloque)</t>
        </is>
      </c>
      <c r="Y948" s="20" t="n">
        <v>46321</v>
      </c>
      <c r="Z948" s="19" t="inlineStr">
        <is>
          <t>Nivel 1: propuesta del comentario del desarrollador o de confianza alta, o regla de fecha/responsable/motivo.</t>
        </is>
      </c>
      <c r="AA948" s="18">
        <f>IF(OR(V948="Aprobada"),R948,IF(AND(OR(V948="Aprobada con ajuste",V948="Rechazada"),W948&lt;&gt;""),W948,""))</f>
        <v/>
      </c>
    </row>
    <row r="949">
      <c r="A949" s="18" t="inlineStr">
        <is>
          <t>C0948</t>
        </is>
      </c>
      <c r="B949" s="18" t="inlineStr">
        <is>
          <t>Gestión jurídica</t>
        </is>
      </c>
      <c r="C949" s="18" t="inlineStr">
        <is>
          <t>legal_management</t>
        </is>
      </c>
      <c r="D949" s="18" t="inlineStr">
        <is>
          <t>correos_juridicos</t>
        </is>
      </c>
      <c r="E949" s="18" t="n">
        <v>14042</v>
      </c>
      <c r="F949" s="18" t="inlineStr">
        <is>
          <t>internet_message_id</t>
        </is>
      </c>
      <c r="G949" s="18" t="inlineStr">
        <is>
          <t>character varying(500)</t>
        </is>
      </c>
      <c r="H949" s="18" t="inlineStr">
        <is>
          <t>Sí</t>
        </is>
      </c>
      <c r="I949" s="18" t="inlineStr"/>
      <c r="J949" s="18" t="inlineStr"/>
      <c r="K949" s="18" t="inlineStr"/>
      <c r="L949" s="18" t="inlineStr">
        <is>
          <t>No</t>
        </is>
      </c>
      <c r="M949" s="18" t="inlineStr">
        <is>
          <t>No</t>
        </is>
      </c>
      <c r="N949" s="18" t="inlineStr"/>
      <c r="O949" s="18" t="inlineStr">
        <is>
          <t>idx_correos_internet_msg_id</t>
        </is>
      </c>
      <c r="P949" s="18" t="inlineStr">
        <is>
          <t>Mapeada en legal-management-service/src/entities/correo-juridico.entity.ts:109 (CorreoJuridico.internetMessageId)</t>
        </is>
      </c>
      <c r="Q949" s="18" t="inlineStr">
        <is>
          <t>Propuesta semántica</t>
        </is>
      </c>
      <c r="R949" s="18" t="inlineStr">
        <is>
          <t>Identificador del mensaje en Internet (cabecera Message-ID).</t>
        </is>
      </c>
      <c r="S949" s="18" t="inlineStr">
        <is>
          <t>Alta</t>
        </is>
      </c>
      <c r="T949" s="18" t="inlineStr">
        <is>
          <t>nombre + tipo + columnas vecinas</t>
        </is>
      </c>
      <c r="U949" s="18" t="inlineStr"/>
      <c r="V949" s="19" t="inlineStr">
        <is>
          <t>Aprobada</t>
        </is>
      </c>
      <c r="W949" s="19" t="inlineStr"/>
      <c r="X949" s="19" t="inlineStr">
        <is>
          <t>Aldair González (aprobación en bloque)</t>
        </is>
      </c>
      <c r="Y949" s="20" t="n">
        <v>46321</v>
      </c>
      <c r="Z949" s="19" t="inlineStr">
        <is>
          <t>Nivel 1: propuesta del comentario del desarrollador o de confianza alta, o regla de fecha/responsable/motivo.</t>
        </is>
      </c>
      <c r="AA949" s="18">
        <f>IF(OR(V949="Aprobada"),R949,IF(AND(OR(V949="Aprobada con ajuste",V949="Rechazada"),W949&lt;&gt;""),W949,""))</f>
        <v/>
      </c>
    </row>
    <row r="950">
      <c r="A950" s="18" t="inlineStr">
        <is>
          <t>C0949</t>
        </is>
      </c>
      <c r="B950" s="18" t="inlineStr">
        <is>
          <t>Gestión jurídica</t>
        </is>
      </c>
      <c r="C950" s="18" t="inlineStr">
        <is>
          <t>legal_management</t>
        </is>
      </c>
      <c r="D950" s="18" t="inlineStr">
        <is>
          <t>correos_juridicos</t>
        </is>
      </c>
      <c r="E950" s="18" t="n">
        <v>14042</v>
      </c>
      <c r="F950" s="18" t="inlineStr">
        <is>
          <t>proceso_id_sugerido</t>
        </is>
      </c>
      <c r="G950" s="18" t="inlineStr">
        <is>
          <t>character varying(100)</t>
        </is>
      </c>
      <c r="H950" s="18" t="inlineStr">
        <is>
          <t>Sí</t>
        </is>
      </c>
      <c r="I950" s="18" t="inlineStr"/>
      <c r="J950" s="18" t="inlineStr"/>
      <c r="K950" s="18" t="inlineStr"/>
      <c r="L950" s="18" t="inlineStr">
        <is>
          <t>No</t>
        </is>
      </c>
      <c r="M950" s="18" t="inlineStr">
        <is>
          <t>No</t>
        </is>
      </c>
      <c r="N950" s="18" t="inlineStr"/>
      <c r="O950" s="18" t="inlineStr"/>
      <c r="P950" s="18" t="inlineStr">
        <is>
          <t>legal-management-service/src/entities/correo-juridico.entity.ts:113: ── NLP Entity extraction ──</t>
        </is>
      </c>
      <c r="Q950" s="18" t="inlineStr">
        <is>
          <t>Código fuente (verificado)</t>
        </is>
      </c>
      <c r="R950" s="18" t="inlineStr">
        <is>
          <t>Radicado del proceso detectado en el asunto o cuerpo del correo por la extracción automática de entidades (patrones PD-AAAA-N, DJ-AAAA-N, RAD., EXP. o radicado judicial), o radicado informado al registrar un traslado. No es el identificador interno del expediente.</t>
        </is>
      </c>
      <c r="S950" s="18" t="inlineStr">
        <is>
          <t>Alta</t>
        </is>
      </c>
      <c r="T950" s="18" t="inlineStr">
        <is>
          <t>legal-management-service/src/services/smart-classification.service.ts:224: patrones de radicado | legal-management-service/src/services/correos-juridicos.service.ts:591: guarda entities.procesoId | legal-management-service/src/services/correos-juridicos.service.ts:1510: usa radicadoProceso</t>
        </is>
      </c>
      <c r="U950" s="18" t="inlineStr"/>
      <c r="V950" s="19" t="inlineStr">
        <is>
          <t>Aprobada</t>
        </is>
      </c>
      <c r="W950" s="19" t="inlineStr"/>
      <c r="X950" s="19" t="inlineStr">
        <is>
          <t>Aldair González (aprobación en bloque)</t>
        </is>
      </c>
      <c r="Y950" s="20" t="n">
        <v>46321</v>
      </c>
      <c r="Z950" s="19" t="inlineStr">
        <is>
          <t>Nivel 3: verificada con el código de la aplicación.</t>
        </is>
      </c>
      <c r="AA950" s="18">
        <f>IF(OR(V950="Aprobada"),R950,IF(AND(OR(V950="Aprobada con ajuste",V950="Rechazada"),W950&lt;&gt;""),W950,""))</f>
        <v/>
      </c>
    </row>
    <row r="951">
      <c r="A951" s="18" t="inlineStr">
        <is>
          <t>C0950</t>
        </is>
      </c>
      <c r="B951" s="18" t="inlineStr">
        <is>
          <t>Gestión jurídica</t>
        </is>
      </c>
      <c r="C951" s="18" t="inlineStr">
        <is>
          <t>legal_management</t>
        </is>
      </c>
      <c r="D951" s="18" t="inlineStr">
        <is>
          <t>correos_juridicos</t>
        </is>
      </c>
      <c r="E951" s="18" t="n">
        <v>14042</v>
      </c>
      <c r="F951" s="18" t="inlineStr">
        <is>
          <t>implicado_sugerido</t>
        </is>
      </c>
      <c r="G951" s="18" t="inlineStr">
        <is>
          <t>character varying(255)</t>
        </is>
      </c>
      <c r="H951" s="18" t="inlineStr">
        <is>
          <t>Sí</t>
        </is>
      </c>
      <c r="I951" s="18" t="inlineStr"/>
      <c r="J951" s="18" t="inlineStr"/>
      <c r="K951" s="18" t="inlineStr"/>
      <c r="L951" s="18" t="inlineStr">
        <is>
          <t>No</t>
        </is>
      </c>
      <c r="M951" s="18" t="inlineStr">
        <is>
          <t>No</t>
        </is>
      </c>
      <c r="N951" s="18" t="inlineStr"/>
      <c r="O951" s="18" t="inlineStr"/>
      <c r="P951" s="18" t="inlineStr">
        <is>
          <t>Mapeada en legal-management-service/src/entities/correo-juridico.entity.ts:116 (CorreoJuridico.implicadoSugerido)</t>
        </is>
      </c>
      <c r="Q951" s="18" t="inlineStr">
        <is>
          <t>Código fuente (verificado)</t>
        </is>
      </c>
      <c r="R951" s="18" t="inlineStr">
        <is>
          <t>Nombre del implicado detectado en el texto del correo por la extracción automática de entidades (después de palabras como contra, investigado o demandado).</t>
        </is>
      </c>
      <c r="S951" s="18" t="inlineStr">
        <is>
          <t>Alta</t>
        </is>
      </c>
      <c r="T951" s="18" t="inlineStr">
        <is>
          <t>legal-management-service/src/services/smart-classification.service.ts:277: patrón de nombre del implicado | legal-management-service/src/services/correos-juridicos.service.ts:592: guarda entities.implicado</t>
        </is>
      </c>
      <c r="U951" s="18" t="inlineStr"/>
      <c r="V951" s="19" t="inlineStr">
        <is>
          <t>Aprobada</t>
        </is>
      </c>
      <c r="W951" s="19" t="inlineStr"/>
      <c r="X951" s="19" t="inlineStr">
        <is>
          <t>Aldair González (aprobación en bloque)</t>
        </is>
      </c>
      <c r="Y951" s="20" t="n">
        <v>46321</v>
      </c>
      <c r="Z951" s="19" t="inlineStr">
        <is>
          <t>Nivel 3: verificada con el código de la aplicación.</t>
        </is>
      </c>
      <c r="AA951" s="18">
        <f>IF(OR(V951="Aprobada"),R951,IF(AND(OR(V951="Aprobada con ajuste",V951="Rechazada"),W951&lt;&gt;""),W951,""))</f>
        <v/>
      </c>
    </row>
    <row r="952">
      <c r="A952" s="18" t="inlineStr">
        <is>
          <t>C0951</t>
        </is>
      </c>
      <c r="B952" s="18" t="inlineStr">
        <is>
          <t>Gestión jurídica</t>
        </is>
      </c>
      <c r="C952" s="18" t="inlineStr">
        <is>
          <t>legal_management</t>
        </is>
      </c>
      <c r="D952" s="18" t="inlineStr">
        <is>
          <t>correos_juridicos</t>
        </is>
      </c>
      <c r="E952" s="18" t="n">
        <v>14042</v>
      </c>
      <c r="F952" s="18" t="inlineStr">
        <is>
          <t>submodulo_sugerido</t>
        </is>
      </c>
      <c r="G952" s="18" t="inlineStr">
        <is>
          <t>character varying(100)</t>
        </is>
      </c>
      <c r="H952" s="18" t="inlineStr">
        <is>
          <t>Sí</t>
        </is>
      </c>
      <c r="I952" s="18" t="inlineStr"/>
      <c r="J952" s="18" t="inlineStr"/>
      <c r="K952" s="18" t="inlineStr"/>
      <c r="L952" s="18" t="inlineStr">
        <is>
          <t>No</t>
        </is>
      </c>
      <c r="M952" s="18" t="inlineStr">
        <is>
          <t>No</t>
        </is>
      </c>
      <c r="N952" s="18" t="inlineStr"/>
      <c r="O952" s="18" t="inlineStr"/>
      <c r="P952" s="18" t="inlineStr">
        <is>
          <t>Mapeada en legal-management-service/src/entities/correo-juridico.entity.ts:119 (CorreoJuridico.submoduloSugerido)</t>
        </is>
      </c>
      <c r="Q952" s="18" t="inlineStr">
        <is>
          <t>Código fuente (verificado)</t>
        </is>
      </c>
      <c r="R952" s="18" t="inlineStr">
        <is>
          <t>Submódulo sugerido por la extracción automática de entidades del correo: DEFENSA_JUDICIAL o JUZGAMIENTO_DISCIPLINARIO.</t>
        </is>
      </c>
      <c r="S952" s="18" t="inlineStr">
        <is>
          <t>Alta</t>
        </is>
      </c>
      <c r="T952" s="18" t="inlineStr">
        <is>
          <t>legal-management-service/src/services/smart-classification.service.ts:16: tipo con los dos valores | legal-management-service/src/services/smart-classification.service.ts:255: PD- a Juzgamiento, DJ- a Defensa | legal-management-service/src/services/correos-juridicos.service.ts:593: guarda entities.submodulo</t>
        </is>
      </c>
      <c r="U952" s="18" t="inlineStr"/>
      <c r="V952" s="19" t="inlineStr">
        <is>
          <t>Aprobada</t>
        </is>
      </c>
      <c r="W952" s="19" t="inlineStr"/>
      <c r="X952" s="19" t="inlineStr">
        <is>
          <t>Aldair González (aprobación en bloque)</t>
        </is>
      </c>
      <c r="Y952" s="20" t="n">
        <v>46321</v>
      </c>
      <c r="Z952" s="19" t="inlineStr">
        <is>
          <t>Nivel 3: verificada con el código de la aplicación.</t>
        </is>
      </c>
      <c r="AA952" s="18">
        <f>IF(OR(V952="Aprobada"),R952,IF(AND(OR(V952="Aprobada con ajuste",V952="Rechazada"),W952&lt;&gt;""),W952,""))</f>
        <v/>
      </c>
    </row>
    <row r="953">
      <c r="A953" s="18" t="inlineStr">
        <is>
          <t>C0952</t>
        </is>
      </c>
      <c r="B953" s="18" t="inlineStr">
        <is>
          <t>Gestión jurídica</t>
        </is>
      </c>
      <c r="C953" s="18" t="inlineStr">
        <is>
          <t>legal_management</t>
        </is>
      </c>
      <c r="D953" s="18" t="inlineStr">
        <is>
          <t>correos_juridicos</t>
        </is>
      </c>
      <c r="E953" s="18" t="n">
        <v>14042</v>
      </c>
      <c r="F953" s="18" t="inlineStr">
        <is>
          <t>buzon</t>
        </is>
      </c>
      <c r="G953" s="18" t="inlineStr">
        <is>
          <t>character varying(20)</t>
        </is>
      </c>
      <c r="H953" s="18" t="inlineStr">
        <is>
          <t>No</t>
        </is>
      </c>
      <c r="I953" s="18" t="inlineStr"/>
      <c r="J953" s="18" t="inlineStr"/>
      <c r="K953" s="18" t="inlineStr"/>
      <c r="L953" s="18" t="inlineStr">
        <is>
          <t>No</t>
        </is>
      </c>
      <c r="M953" s="18" t="inlineStr">
        <is>
          <t>No</t>
        </is>
      </c>
      <c r="N953" s="18" t="inlineStr"/>
      <c r="O953" s="18" t="inlineStr">
        <is>
          <t>idx_correos_juridicos_buzon</t>
        </is>
      </c>
      <c r="P953" s="18" t="inlineStr">
        <is>
          <t>legal-management-service/src/entities/correo-juridico.entity.ts:57: Buzón de origen (cuenta de correo desde la que se sincronizó). Permite separar las dos bandejas: 'JUDICIAL' (tab Judiciales/Oficios) y 'CORREOS' (tab Correos). Los tabs generales (Respondidos/Urgentes/Enviados/Archivados) muestran ambos y filtran internamente por este campo. JUDICIAL, CORREOS</t>
        </is>
      </c>
      <c r="Q953" s="18" t="inlineStr">
        <is>
          <t>Código fuente</t>
        </is>
      </c>
      <c r="R953" s="18" t="inlineStr">
        <is>
          <t>Buzón de origen: cuenta de correo desde la que se sincronizó el mensaje; separa la bandeja JUDICIAL (Judiciales/Oficios) de la bandeja CORREOS. Valores: JUDICIAL, CORREOS. Por defecto, JUDICIAL.</t>
        </is>
      </c>
      <c r="S953" s="18" t="inlineStr">
        <is>
          <t>Alta</t>
        </is>
      </c>
      <c r="T953" s="18" t="inlineStr">
        <is>
          <t>código: correo-juridico.entity.ts:57</t>
        </is>
      </c>
      <c r="U953" s="18" t="inlineStr"/>
      <c r="V953" s="19" t="inlineStr">
        <is>
          <t>Aprobada</t>
        </is>
      </c>
      <c r="W953" s="19" t="inlineStr"/>
      <c r="X953" s="19" t="inlineStr">
        <is>
          <t>Aldair González (aprobación en bloque)</t>
        </is>
      </c>
      <c r="Y953" s="20" t="n">
        <v>46321</v>
      </c>
      <c r="Z953" s="19" t="inlineStr">
        <is>
          <t>Nivel 1: propuesta del comentario del desarrollador o de confianza alta, o regla de fecha/responsable/motivo.</t>
        </is>
      </c>
      <c r="AA953" s="18">
        <f>IF(OR(V953="Aprobada"),R953,IF(AND(OR(V953="Aprobada con ajuste",V953="Rechazada"),W953&lt;&gt;""),W953,""))</f>
        <v/>
      </c>
    </row>
    <row r="954">
      <c r="A954" s="18" t="inlineStr">
        <is>
          <t>C0953</t>
        </is>
      </c>
      <c r="B954" s="18" t="inlineStr">
        <is>
          <t>Gestión jurídica</t>
        </is>
      </c>
      <c r="C954" s="18" t="inlineStr">
        <is>
          <t>legal_management</t>
        </is>
      </c>
      <c r="D954" s="18" t="inlineStr">
        <is>
          <t>correos_juridicos</t>
        </is>
      </c>
      <c r="E954" s="18" t="n">
        <v>14042</v>
      </c>
      <c r="F954" s="18" t="inlineStr">
        <is>
          <t>consulta_id</t>
        </is>
      </c>
      <c r="G954" s="18" t="inlineStr">
        <is>
          <t>uuid</t>
        </is>
      </c>
      <c r="H954" s="18" t="inlineStr">
        <is>
          <t>Sí</t>
        </is>
      </c>
      <c r="I954" s="18" t="inlineStr"/>
      <c r="J954" s="18" t="inlineStr"/>
      <c r="K954" s="18" t="inlineStr"/>
      <c r="L954" s="18" t="inlineStr">
        <is>
          <t>No</t>
        </is>
      </c>
      <c r="M954" s="18" t="inlineStr">
        <is>
          <t>No</t>
        </is>
      </c>
      <c r="N954" s="18" t="inlineStr"/>
      <c r="O954" s="18" t="inlineStr">
        <is>
          <t>idx_correos_juridicos_consulta</t>
        </is>
      </c>
      <c r="P954" s="18" t="inlineStr">
        <is>
          <t>legal-management-service/src/entities/correo-juridico.entity.ts:81: Trazabilidad de derivación: consulta de Asesoría Jurídica asociada. Asesoría usa la tabla `consultas_juridicas` (no comparte `expedientes`), por eso se guarda en columna propia en lugar de reutilizar `expediente_id`.</t>
        </is>
      </c>
      <c r="Q954" s="18" t="inlineStr">
        <is>
          <t>Código fuente</t>
        </is>
      </c>
      <c r="R954" s="18" t="inlineStr">
        <is>
          <t>Identificador de la consulta de Asesoría Jurídica (consultas_juridicas) a la que se derivó la comunicación.</t>
        </is>
      </c>
      <c r="S954" s="18" t="inlineStr">
        <is>
          <t>Alta</t>
        </is>
      </c>
      <c r="T954" s="18" t="inlineStr">
        <is>
          <t>código: legal-management-service/src/entities/correo-juridico.entity.ts:81</t>
        </is>
      </c>
      <c r="U954" s="18" t="inlineStr"/>
      <c r="V954" s="19" t="inlineStr">
        <is>
          <t>Aprobada</t>
        </is>
      </c>
      <c r="W954" s="19" t="inlineStr"/>
      <c r="X954" s="19" t="inlineStr">
        <is>
          <t>Aldair González (aprobación en bloque)</t>
        </is>
      </c>
      <c r="Y954" s="20" t="n">
        <v>46321</v>
      </c>
      <c r="Z954" s="19" t="inlineStr">
        <is>
          <t>Nivel 1: propuesta del comentario del desarrollador o de confianza alta, o regla de fecha/responsable/motivo.</t>
        </is>
      </c>
      <c r="AA954" s="18">
        <f>IF(OR(V954="Aprobada"),R954,IF(AND(OR(V954="Aprobada con ajuste",V954="Rechazada"),W954&lt;&gt;""),W954,""))</f>
        <v/>
      </c>
    </row>
    <row r="955">
      <c r="A955" s="18" t="inlineStr">
        <is>
          <t>C0954</t>
        </is>
      </c>
      <c r="B955" s="18" t="inlineStr">
        <is>
          <t>Gestión jurídica</t>
        </is>
      </c>
      <c r="C955" s="18" t="inlineStr">
        <is>
          <t>legal_management</t>
        </is>
      </c>
      <c r="D955" s="18" t="inlineStr">
        <is>
          <t>correos_juridicos</t>
        </is>
      </c>
      <c r="E955" s="18" t="n">
        <v>14042</v>
      </c>
      <c r="F955" s="18" t="inlineStr">
        <is>
          <t>modulo_destino</t>
        </is>
      </c>
      <c r="G955" s="18" t="inlineStr">
        <is>
          <t>character varying(50)</t>
        </is>
      </c>
      <c r="H955" s="18" t="inlineStr">
        <is>
          <t>Sí</t>
        </is>
      </c>
      <c r="I955" s="18" t="inlineStr"/>
      <c r="J955" s="18" t="inlineStr"/>
      <c r="K955" s="18" t="inlineStr"/>
      <c r="L955" s="18" t="inlineStr">
        <is>
          <t>No</t>
        </is>
      </c>
      <c r="M955" s="18" t="inlineStr">
        <is>
          <t>No</t>
        </is>
      </c>
      <c r="N955" s="18" t="inlineStr"/>
      <c r="O955" s="18" t="inlineStr"/>
      <c r="P955" s="18" t="inlineStr">
        <is>
          <t>legal-management-service/src/entities/correo-juridico.entity.ts:87: Módulo destino al que se derivó la comunicación: 'DEFENSA_JUDICIAL', 'JUZGAMIENTO_DISCIPLINARIO' o 'ASESORIA_JURIDICA'. Persiste la intención de derivación de forma consultable (antes solo vivía en el metadata de la Actuación).</t>
        </is>
      </c>
      <c r="Q955" s="18" t="inlineStr">
        <is>
          <t>Código fuente</t>
        </is>
      </c>
      <c r="R955" s="18" t="inlineStr">
        <is>
          <t>Módulo al que se derivó la comunicación. Valores: DEFENSA_JUDICIAL, JUZGAMIENTO_DISCIPLINARIO, ASESORIA_JURIDICA.</t>
        </is>
      </c>
      <c r="S955" s="18" t="inlineStr">
        <is>
          <t>Alta</t>
        </is>
      </c>
      <c r="T955" s="18" t="inlineStr">
        <is>
          <t>código: legal-management-service/src/entities/correo-juridico.entity.ts:87</t>
        </is>
      </c>
      <c r="U955" s="18" t="inlineStr"/>
      <c r="V955" s="19" t="inlineStr">
        <is>
          <t>Aprobada</t>
        </is>
      </c>
      <c r="W955" s="19" t="inlineStr"/>
      <c r="X955" s="19" t="inlineStr">
        <is>
          <t>Aldair González (aprobación en bloque)</t>
        </is>
      </c>
      <c r="Y955" s="20" t="n">
        <v>46321</v>
      </c>
      <c r="Z955" s="19" t="inlineStr">
        <is>
          <t>Nivel 1: propuesta del comentario del desarrollador o de confianza alta, o regla de fecha/responsable/motivo.</t>
        </is>
      </c>
      <c r="AA955" s="18">
        <f>IF(OR(V955="Aprobada"),R955,IF(AND(OR(V955="Aprobada con ajuste",V955="Rechazada"),W955&lt;&gt;""),W955,""))</f>
        <v/>
      </c>
    </row>
    <row r="956">
      <c r="A956" s="18" t="inlineStr">
        <is>
          <t>C0955</t>
        </is>
      </c>
      <c r="B956" s="18" t="inlineStr">
        <is>
          <t>Gestión jurídica</t>
        </is>
      </c>
      <c r="C956" s="18" t="inlineStr">
        <is>
          <t>legal_management</t>
        </is>
      </c>
      <c r="D956" s="18" t="inlineStr">
        <is>
          <t>decisiones_disciplinarias</t>
        </is>
      </c>
      <c r="E956" s="18" t="n">
        <v>6</v>
      </c>
      <c r="F956" s="18" t="inlineStr">
        <is>
          <t>sancion</t>
        </is>
      </c>
      <c r="G956" s="18" t="inlineStr">
        <is>
          <t>character varying(255)</t>
        </is>
      </c>
      <c r="H956" s="18" t="inlineStr">
        <is>
          <t>Sí</t>
        </is>
      </c>
      <c r="I956" s="18" t="inlineStr"/>
      <c r="J956" s="18" t="inlineStr"/>
      <c r="K956" s="18" t="inlineStr"/>
      <c r="L956" s="18" t="inlineStr">
        <is>
          <t>No</t>
        </is>
      </c>
      <c r="M956" s="18" t="inlineStr">
        <is>
          <t>No</t>
        </is>
      </c>
      <c r="N956" s="18" t="inlineStr"/>
      <c r="O956" s="18" t="inlineStr"/>
      <c r="P956" s="18" t="inlineStr">
        <is>
          <t>db/migrations/old/066_create_decisiones_disciplinarias.sql:12: Tipo de sanción aplicada si aplica | db/migrations/old/067_create_decisiones_disciplinarias_v2.sql:10: Tipo de sanción aplicada si aplica</t>
        </is>
      </c>
      <c r="Q956" s="18" t="inlineStr">
        <is>
          <t>Código fuente</t>
        </is>
      </c>
      <c r="R956" s="18" t="inlineStr">
        <is>
          <t>Tipo de sanción aplicada en la decisión, si aplica.</t>
        </is>
      </c>
      <c r="S956" s="18" t="inlineStr">
        <is>
          <t>Alta</t>
        </is>
      </c>
      <c r="T956" s="18" t="inlineStr">
        <is>
          <t>código: db/migrations/old/066_create_decisiones_disciplinarias.sql:12</t>
        </is>
      </c>
      <c r="U956" s="18" t="inlineStr"/>
      <c r="V956" s="19" t="inlineStr">
        <is>
          <t>Aprobada</t>
        </is>
      </c>
      <c r="W956" s="19" t="inlineStr"/>
      <c r="X956" s="19" t="inlineStr">
        <is>
          <t>Aldair González (aprobación en bloque)</t>
        </is>
      </c>
      <c r="Y956" s="20" t="n">
        <v>46321</v>
      </c>
      <c r="Z956" s="19" t="inlineStr">
        <is>
          <t>Nivel 1: propuesta del comentario del desarrollador o de confianza alta, o regla de fecha/responsable/motivo.</t>
        </is>
      </c>
      <c r="AA956" s="18">
        <f>IF(OR(V956="Aprobada"),R956,IF(AND(OR(V956="Aprobada con ajuste",V956="Rechazada"),W956&lt;&gt;""),W956,""))</f>
        <v/>
      </c>
    </row>
    <row r="957">
      <c r="A957" s="18" t="inlineStr">
        <is>
          <t>C0956</t>
        </is>
      </c>
      <c r="B957" s="18" t="inlineStr">
        <is>
          <t>Gestión jurídica</t>
        </is>
      </c>
      <c r="C957" s="18" t="inlineStr">
        <is>
          <t>legal_management</t>
        </is>
      </c>
      <c r="D957" s="18" t="inlineStr">
        <is>
          <t>decisiones_disciplinarias</t>
        </is>
      </c>
      <c r="E957" s="18" t="n">
        <v>6</v>
      </c>
      <c r="F957" s="18" t="inlineStr">
        <is>
          <t>consideraciones</t>
        </is>
      </c>
      <c r="G957" s="18" t="inlineStr">
        <is>
          <t>text</t>
        </is>
      </c>
      <c r="H957" s="18" t="inlineStr">
        <is>
          <t>No</t>
        </is>
      </c>
      <c r="I957" s="18" t="inlineStr"/>
      <c r="J957" s="18" t="inlineStr"/>
      <c r="K957" s="18" t="inlineStr"/>
      <c r="L957" s="18" t="inlineStr">
        <is>
          <t>No</t>
        </is>
      </c>
      <c r="M957" s="18" t="inlineStr">
        <is>
          <t>No</t>
        </is>
      </c>
      <c r="N957" s="18" t="inlineStr"/>
      <c r="O957" s="18" t="inlineStr"/>
      <c r="P957" s="18" t="inlineStr">
        <is>
          <t>db/migrations/old/066_create_decisiones_disciplinarias.sql:13: Consideraciones del fallo | db/migrations/old/067_create_decisiones_disciplinarias_v2.sql:11: Consideraciones del fallo</t>
        </is>
      </c>
      <c r="Q957" s="18" t="inlineStr">
        <is>
          <t>Código fuente</t>
        </is>
      </c>
      <c r="R957" s="18" t="inlineStr">
        <is>
          <t>Consideraciones del fallo.</t>
        </is>
      </c>
      <c r="S957" s="18" t="inlineStr">
        <is>
          <t>Alta</t>
        </is>
      </c>
      <c r="T957" s="18" t="inlineStr">
        <is>
          <t>código: db/migrations/old/066_create_decisiones_disciplinarias.sql:13</t>
        </is>
      </c>
      <c r="U957" s="18" t="inlineStr"/>
      <c r="V957" s="19" t="inlineStr">
        <is>
          <t>Aprobada</t>
        </is>
      </c>
      <c r="W957" s="19" t="inlineStr"/>
      <c r="X957" s="19" t="inlineStr">
        <is>
          <t>Aldair González (aprobación en bloque)</t>
        </is>
      </c>
      <c r="Y957" s="20" t="n">
        <v>46321</v>
      </c>
      <c r="Z957" s="19" t="inlineStr">
        <is>
          <t>Nivel 1: propuesta del comentario del desarrollador o de confianza alta, o regla de fecha/responsable/motivo.</t>
        </is>
      </c>
      <c r="AA957" s="18">
        <f>IF(OR(V957="Aprobada"),R957,IF(AND(OR(V957="Aprobada con ajuste",V957="Rechazada"),W957&lt;&gt;""),W957,""))</f>
        <v/>
      </c>
    </row>
    <row r="958">
      <c r="A958" s="18" t="inlineStr">
        <is>
          <t>C0957</t>
        </is>
      </c>
      <c r="B958" s="18" t="inlineStr">
        <is>
          <t>Gestión jurídica</t>
        </is>
      </c>
      <c r="C958" s="18" t="inlineStr">
        <is>
          <t>legal_management</t>
        </is>
      </c>
      <c r="D958" s="18" t="inlineStr">
        <is>
          <t>decisiones_disciplinarias</t>
        </is>
      </c>
      <c r="E958" s="18" t="n">
        <v>6</v>
      </c>
      <c r="F958" s="18" t="inlineStr">
        <is>
          <t>fundamentos_juridicos</t>
        </is>
      </c>
      <c r="G958" s="18" t="inlineStr">
        <is>
          <t>text</t>
        </is>
      </c>
      <c r="H958" s="18" t="inlineStr">
        <is>
          <t>Sí</t>
        </is>
      </c>
      <c r="I958" s="18" t="inlineStr"/>
      <c r="J958" s="18" t="inlineStr"/>
      <c r="K958" s="18" t="inlineStr"/>
      <c r="L958" s="18" t="inlineStr">
        <is>
          <t>No</t>
        </is>
      </c>
      <c r="M958" s="18" t="inlineStr">
        <is>
          <t>No</t>
        </is>
      </c>
      <c r="N958" s="18" t="inlineStr"/>
      <c r="O958" s="18" t="inlineStr"/>
      <c r="P958" s="18" t="inlineStr">
        <is>
          <t>db/migrations/old/066_create_decisiones_disciplinarias.sql:14: Fundamentos legales de la decisión | db/migrations/old/067_create_decisiones_disciplinarias_v2.sql:12: Fundamentos legales de la decisión</t>
        </is>
      </c>
      <c r="Q958" s="18" t="inlineStr">
        <is>
          <t>Código fuente</t>
        </is>
      </c>
      <c r="R958" s="18" t="inlineStr">
        <is>
          <t>Fundamentos legales de la decisión.</t>
        </is>
      </c>
      <c r="S958" s="18" t="inlineStr">
        <is>
          <t>Alta</t>
        </is>
      </c>
      <c r="T958" s="18" t="inlineStr">
        <is>
          <t>código: db/migrations/old/066_create_decisiones_disciplinarias.sql:14</t>
        </is>
      </c>
      <c r="U958" s="18" t="inlineStr"/>
      <c r="V958" s="19" t="inlineStr">
        <is>
          <t>Aprobada</t>
        </is>
      </c>
      <c r="W958" s="19" t="inlineStr"/>
      <c r="X958" s="19" t="inlineStr">
        <is>
          <t>Aldair González (aprobación en bloque)</t>
        </is>
      </c>
      <c r="Y958" s="20" t="n">
        <v>46321</v>
      </c>
      <c r="Z958" s="19" t="inlineStr">
        <is>
          <t>Nivel 1: propuesta del comentario del desarrollador o de confianza alta, o regla de fecha/responsable/motivo.</t>
        </is>
      </c>
      <c r="AA958" s="18">
        <f>IF(OR(V958="Aprobada"),R958,IF(AND(OR(V958="Aprobada con ajuste",V958="Rechazada"),W958&lt;&gt;""),W958,""))</f>
        <v/>
      </c>
    </row>
    <row r="959">
      <c r="A959" s="18" t="inlineStr">
        <is>
          <t>C0958</t>
        </is>
      </c>
      <c r="B959" s="18" t="inlineStr">
        <is>
          <t>Gestión jurídica</t>
        </is>
      </c>
      <c r="C959" s="18" t="inlineStr">
        <is>
          <t>legal_management</t>
        </is>
      </c>
      <c r="D959" s="18" t="inlineStr">
        <is>
          <t>decisiones_disciplinarias</t>
        </is>
      </c>
      <c r="E959" s="18" t="n">
        <v>6</v>
      </c>
      <c r="F959" s="18" t="inlineStr">
        <is>
          <t>responsable</t>
        </is>
      </c>
      <c r="G959" s="18" t="inlineStr">
        <is>
          <t>character varying(255)</t>
        </is>
      </c>
      <c r="H959" s="18" t="inlineStr">
        <is>
          <t>No</t>
        </is>
      </c>
      <c r="I959" s="18" t="inlineStr"/>
      <c r="J959" s="18" t="inlineStr"/>
      <c r="K959" s="18" t="inlineStr"/>
      <c r="L959" s="18" t="inlineStr">
        <is>
          <t>No</t>
        </is>
      </c>
      <c r="M959" s="18" t="inlineStr">
        <is>
          <t>No</t>
        </is>
      </c>
      <c r="N959" s="18" t="inlineStr"/>
      <c r="O959" s="18" t="inlineStr"/>
      <c r="P959" s="18" t="inlineStr">
        <is>
          <t>db/migrations/old/066_create_decisiones_disciplinarias.sql:15: Nombre del funcionario que toma la decisión | db/migrations/old/067_create_decisiones_disciplinarias_v2.sql:13: Nombre del funcionario que toma la decisión</t>
        </is>
      </c>
      <c r="Q959" s="18" t="inlineStr">
        <is>
          <t>Código fuente</t>
        </is>
      </c>
      <c r="R959" s="18" t="inlineStr">
        <is>
          <t>Nombre del funcionario que toma la decisión.</t>
        </is>
      </c>
      <c r="S959" s="18" t="inlineStr">
        <is>
          <t>Alta</t>
        </is>
      </c>
      <c r="T959" s="18" t="inlineStr">
        <is>
          <t>código: db/migrations/old/066_create_decisiones_disciplinarias.sql:15</t>
        </is>
      </c>
      <c r="U959" s="18" t="inlineStr"/>
      <c r="V959" s="19" t="inlineStr">
        <is>
          <t>Aprobada</t>
        </is>
      </c>
      <c r="W959" s="19" t="inlineStr"/>
      <c r="X959" s="19" t="inlineStr">
        <is>
          <t>Aldair González (aprobación en bloque)</t>
        </is>
      </c>
      <c r="Y959" s="20" t="n">
        <v>46321</v>
      </c>
      <c r="Z959" s="19" t="inlineStr">
        <is>
          <t>Nivel 1: propuesta del comentario del desarrollador o de confianza alta, o regla de fecha/responsable/motivo.</t>
        </is>
      </c>
      <c r="AA959" s="18">
        <f>IF(OR(V959="Aprobada"),R959,IF(AND(OR(V959="Aprobada con ajuste",V959="Rechazada"),W959&lt;&gt;""),W959,""))</f>
        <v/>
      </c>
    </row>
    <row r="960">
      <c r="A960" s="18" t="inlineStr">
        <is>
          <t>C0959</t>
        </is>
      </c>
      <c r="B960" s="18" t="inlineStr">
        <is>
          <t>Gestión jurídica</t>
        </is>
      </c>
      <c r="C960" s="18" t="inlineStr">
        <is>
          <t>legal_management</t>
        </is>
      </c>
      <c r="D960" s="18" t="inlineStr">
        <is>
          <t>decisiones_disciplinarias</t>
        </is>
      </c>
      <c r="E960" s="18" t="n">
        <v>6</v>
      </c>
      <c r="F960" s="18" t="inlineStr">
        <is>
          <t>cargo_responsable</t>
        </is>
      </c>
      <c r="G960" s="18" t="inlineStr">
        <is>
          <t>character varying(255)</t>
        </is>
      </c>
      <c r="H960" s="18" t="inlineStr">
        <is>
          <t>Sí</t>
        </is>
      </c>
      <c r="I960" s="18" t="inlineStr"/>
      <c r="J960" s="18" t="inlineStr"/>
      <c r="K960" s="18" t="inlineStr"/>
      <c r="L960" s="18" t="inlineStr">
        <is>
          <t>No</t>
        </is>
      </c>
      <c r="M960" s="18" t="inlineStr">
        <is>
          <t>No</t>
        </is>
      </c>
      <c r="N960" s="18" t="inlineStr"/>
      <c r="O960" s="18" t="inlineStr"/>
      <c r="P960" s="18" t="inlineStr">
        <is>
          <t>db/migrations/old/066_create_decisiones_disciplinarias.sql:16: Cargo del funcionario | db/migrations/old/067_create_decisiones_disciplinarias_v2.sql:14: Cargo del funcionario</t>
        </is>
      </c>
      <c r="Q960" s="18" t="inlineStr">
        <is>
          <t>Código fuente</t>
        </is>
      </c>
      <c r="R960" s="18" t="inlineStr">
        <is>
          <t>Cargo del funcionario que toma la decisión.</t>
        </is>
      </c>
      <c r="S960" s="18" t="inlineStr">
        <is>
          <t>Alta</t>
        </is>
      </c>
      <c r="T960" s="18" t="inlineStr">
        <is>
          <t>código: db/migrations/old/066_create_decisiones_disciplinarias.sql:16</t>
        </is>
      </c>
      <c r="U960" s="18" t="inlineStr"/>
      <c r="V960" s="19" t="inlineStr">
        <is>
          <t>Aprobada</t>
        </is>
      </c>
      <c r="W960" s="19" t="inlineStr"/>
      <c r="X960" s="19" t="inlineStr">
        <is>
          <t>Aldair González (aprobación en bloque)</t>
        </is>
      </c>
      <c r="Y960" s="20" t="n">
        <v>46321</v>
      </c>
      <c r="Z960" s="19" t="inlineStr">
        <is>
          <t>Nivel 1: propuesta del comentario del desarrollador o de confianza alta, o regla de fecha/responsable/motivo.</t>
        </is>
      </c>
      <c r="AA960" s="18">
        <f>IF(OR(V960="Aprobada"),R960,IF(AND(OR(V960="Aprobada con ajuste",V960="Rechazada"),W960&lt;&gt;""),W960,""))</f>
        <v/>
      </c>
    </row>
    <row r="961">
      <c r="A961" s="18" t="inlineStr">
        <is>
          <t>C0960</t>
        </is>
      </c>
      <c r="B961" s="18" t="inlineStr">
        <is>
          <t>Gestión jurídica</t>
        </is>
      </c>
      <c r="C961" s="18" t="inlineStr">
        <is>
          <t>legal_management</t>
        </is>
      </c>
      <c r="D961" s="18" t="inlineStr">
        <is>
          <t>decisiones_disciplinarias</t>
        </is>
      </c>
      <c r="E961" s="18" t="n">
        <v>6</v>
      </c>
      <c r="F961" s="18" t="inlineStr">
        <is>
          <t>fecha</t>
        </is>
      </c>
      <c r="G961" s="18" t="inlineStr">
        <is>
          <t>date</t>
        </is>
      </c>
      <c r="H961" s="18" t="inlineStr">
        <is>
          <t>No</t>
        </is>
      </c>
      <c r="I961" s="18" t="inlineStr"/>
      <c r="J961" s="18" t="inlineStr"/>
      <c r="K961" s="18" t="inlineStr"/>
      <c r="L961" s="18" t="inlineStr">
        <is>
          <t>No</t>
        </is>
      </c>
      <c r="M961" s="18" t="inlineStr">
        <is>
          <t>No</t>
        </is>
      </c>
      <c r="N961" s="18" t="inlineStr"/>
      <c r="O961" s="18" t="inlineStr">
        <is>
          <t>idx_decisiones_fecha</t>
        </is>
      </c>
      <c r="P961" s="18" t="inlineStr">
        <is>
          <t>db/migrations/old/066_create_decisiones_disciplinarias.sql:17: Fecha de la decisión | db/migrations/old/067_create_decisiones_disciplinarias_v2.sql:15: Fecha de la decisión</t>
        </is>
      </c>
      <c r="Q961" s="18" t="inlineStr">
        <is>
          <t>Código fuente</t>
        </is>
      </c>
      <c r="R961" s="18" t="inlineStr">
        <is>
          <t>Fecha de la decisión. Valor por defecto: fecha actual.</t>
        </is>
      </c>
      <c r="S961" s="18" t="inlineStr">
        <is>
          <t>Alta</t>
        </is>
      </c>
      <c r="T961" s="18" t="inlineStr">
        <is>
          <t>código: db/migrations/old/066_create_decisiones_disciplinarias.sql:17</t>
        </is>
      </c>
      <c r="U961" s="18" t="inlineStr"/>
      <c r="V961" s="19" t="inlineStr">
        <is>
          <t>Aprobada</t>
        </is>
      </c>
      <c r="W961" s="19" t="inlineStr"/>
      <c r="X961" s="19" t="inlineStr">
        <is>
          <t>Aldair González (aprobación en bloque)</t>
        </is>
      </c>
      <c r="Y961" s="20" t="n">
        <v>46321</v>
      </c>
      <c r="Z961" s="19" t="inlineStr">
        <is>
          <t>Nivel 1: propuesta del comentario del desarrollador o de confianza alta, o regla de fecha/responsable/motivo.</t>
        </is>
      </c>
      <c r="AA961" s="18">
        <f>IF(OR(V961="Aprobada"),R961,IF(AND(OR(V961="Aprobada con ajuste",V961="Rechazada"),W961&lt;&gt;""),W961,""))</f>
        <v/>
      </c>
    </row>
    <row r="962">
      <c r="A962" s="18" t="inlineStr">
        <is>
          <t>C0961</t>
        </is>
      </c>
      <c r="B962" s="18" t="inlineStr">
        <is>
          <t>Gestión jurídica</t>
        </is>
      </c>
      <c r="C962" s="18" t="inlineStr">
        <is>
          <t>legal_management</t>
        </is>
      </c>
      <c r="D962" s="18" t="inlineStr">
        <is>
          <t>documentos</t>
        </is>
      </c>
      <c r="E962" s="18" t="n">
        <v>157</v>
      </c>
      <c r="F962" s="18" t="inlineStr">
        <is>
          <t>nombre</t>
        </is>
      </c>
      <c r="G962" s="18" t="inlineStr">
        <is>
          <t>character varying(500)</t>
        </is>
      </c>
      <c r="H962" s="18" t="inlineStr">
        <is>
          <t>No</t>
        </is>
      </c>
      <c r="I962" s="18" t="inlineStr"/>
      <c r="J962" s="18" t="inlineStr"/>
      <c r="K962" s="18" t="inlineStr"/>
      <c r="L962" s="18" t="inlineStr">
        <is>
          <t>No</t>
        </is>
      </c>
      <c r="M962" s="18" t="inlineStr">
        <is>
          <t>No</t>
        </is>
      </c>
      <c r="N962" s="18" t="inlineStr"/>
      <c r="O962" s="18" t="inlineStr"/>
      <c r="P962" s="18" t="inlineStr">
        <is>
          <t>db/migrations/old/045_create_documentos_table.sql:13: Información del documento</t>
        </is>
      </c>
      <c r="Q962" s="18" t="inlineStr">
        <is>
          <t>Código fuente</t>
        </is>
      </c>
      <c r="R962" s="18" t="inlineStr">
        <is>
          <t>Nombre del documento asociado al expediente.</t>
        </is>
      </c>
      <c r="S962" s="18" t="inlineStr">
        <is>
          <t>Alta</t>
        </is>
      </c>
      <c r="T962" s="18" t="inlineStr">
        <is>
          <t>código: db/migrations/old/045_create_documentos_table.sql:13</t>
        </is>
      </c>
      <c r="U962" s="18" t="inlineStr"/>
      <c r="V962" s="19" t="inlineStr">
        <is>
          <t>Aprobada</t>
        </is>
      </c>
      <c r="W962" s="19" t="inlineStr"/>
      <c r="X962" s="19" t="inlineStr">
        <is>
          <t>Aldair González (aprobación en bloque)</t>
        </is>
      </c>
      <c r="Y962" s="20" t="n">
        <v>46321</v>
      </c>
      <c r="Z962" s="19" t="inlineStr">
        <is>
          <t>Nivel 1: propuesta del comentario del desarrollador o de confianza alta, o regla de fecha/responsable/motivo.</t>
        </is>
      </c>
      <c r="AA962" s="18">
        <f>IF(OR(V962="Aprobada"),R962,IF(AND(OR(V962="Aprobada con ajuste",V962="Rechazada"),W962&lt;&gt;""),W962,""))</f>
        <v/>
      </c>
    </row>
    <row r="963">
      <c r="A963" s="18" t="inlineStr">
        <is>
          <t>C0962</t>
        </is>
      </c>
      <c r="B963" s="18" t="inlineStr">
        <is>
          <t>Gestión jurídica</t>
        </is>
      </c>
      <c r="C963" s="18" t="inlineStr">
        <is>
          <t>legal_management</t>
        </is>
      </c>
      <c r="D963" s="18" t="inlineStr">
        <is>
          <t>documentos</t>
        </is>
      </c>
      <c r="E963" s="18" t="n">
        <v>157</v>
      </c>
      <c r="F963" s="18" t="inlineStr">
        <is>
          <t>descripcion</t>
        </is>
      </c>
      <c r="G963" s="18" t="inlineStr">
        <is>
          <t>text</t>
        </is>
      </c>
      <c r="H963" s="18" t="inlineStr">
        <is>
          <t>Sí</t>
        </is>
      </c>
      <c r="I963" s="18" t="inlineStr"/>
      <c r="J963" s="18" t="inlineStr"/>
      <c r="K963" s="18" t="inlineStr"/>
      <c r="L963" s="18" t="inlineStr">
        <is>
          <t>No</t>
        </is>
      </c>
      <c r="M963" s="18" t="inlineStr">
        <is>
          <t>No</t>
        </is>
      </c>
      <c r="N963" s="18" t="inlineStr"/>
      <c r="O963" s="18" t="inlineStr"/>
      <c r="P963" s="18" t="inlineStr">
        <is>
          <t>Mapeada en legal-management-service/src/entities/documento.entity.ts:22 (Documento.descripcion)</t>
        </is>
      </c>
      <c r="Q963" s="18" t="inlineStr">
        <is>
          <t>Regla estructural (redacción revisada)</t>
        </is>
      </c>
      <c r="R963" s="18" t="inlineStr">
        <is>
          <t>Descripción del documento del expediente judicial.</t>
        </is>
      </c>
      <c r="S963" s="18" t="inlineStr">
        <is>
          <t>Alta</t>
        </is>
      </c>
      <c r="T963" s="18" t="inlineStr">
        <is>
          <t>Convención de nombre, redactada con el contexto de la tabla y el código.</t>
        </is>
      </c>
      <c r="U963" s="18" t="inlineStr"/>
      <c r="V963" s="19" t="inlineStr">
        <is>
          <t>Aprobada</t>
        </is>
      </c>
      <c r="W963" s="19" t="inlineStr"/>
      <c r="X963" s="19" t="inlineStr">
        <is>
          <t>Aldair González (aprobación en bloque)</t>
        </is>
      </c>
      <c r="Y963" s="20" t="n">
        <v>46321</v>
      </c>
      <c r="Z963" s="19" t="inlineStr">
        <is>
          <t>Nivel 2: regla estructural con redacción revisada.</t>
        </is>
      </c>
      <c r="AA963" s="18">
        <f>IF(OR(V963="Aprobada"),R963,IF(AND(OR(V963="Aprobada con ajuste",V963="Rechazada"),W963&lt;&gt;""),W963,""))</f>
        <v/>
      </c>
    </row>
    <row r="964">
      <c r="A964" s="18" t="inlineStr">
        <is>
          <t>C0963</t>
        </is>
      </c>
      <c r="B964" s="18" t="inlineStr">
        <is>
          <t>Gestión jurídica</t>
        </is>
      </c>
      <c r="C964" s="18" t="inlineStr">
        <is>
          <t>legal_management</t>
        </is>
      </c>
      <c r="D964" s="18" t="inlineStr">
        <is>
          <t>documentos</t>
        </is>
      </c>
      <c r="E964" s="18" t="n">
        <v>157</v>
      </c>
      <c r="F964" s="18" t="inlineStr">
        <is>
          <t>archivo_nombre_original</t>
        </is>
      </c>
      <c r="G964" s="18" t="inlineStr">
        <is>
          <t>character varying(500)</t>
        </is>
      </c>
      <c r="H964" s="18" t="inlineStr">
        <is>
          <t>Sí</t>
        </is>
      </c>
      <c r="I964" s="18" t="inlineStr"/>
      <c r="J964" s="18" t="inlineStr"/>
      <c r="K964" s="18" t="inlineStr"/>
      <c r="L964" s="18" t="inlineStr">
        <is>
          <t>No</t>
        </is>
      </c>
      <c r="M964" s="18" t="inlineStr">
        <is>
          <t>No</t>
        </is>
      </c>
      <c r="N964" s="18" t="inlineStr"/>
      <c r="O964" s="18" t="inlineStr"/>
      <c r="P964" s="18" t="inlineStr">
        <is>
          <t>Mapeada en legal-management-service/src/entities/documento.entity.ts:28 (Documento.archivoNombreOriginal)</t>
        </is>
      </c>
      <c r="Q964" s="18" t="inlineStr">
        <is>
          <t>Propuesta semántica</t>
        </is>
      </c>
      <c r="R964" s="18" t="inlineStr">
        <is>
          <t>Nombre original del archivo cargado.</t>
        </is>
      </c>
      <c r="S964" s="18" t="inlineStr">
        <is>
          <t>Alta</t>
        </is>
      </c>
      <c r="T964" s="18" t="inlineStr">
        <is>
          <t>nombre + tipo + columnas vecinas</t>
        </is>
      </c>
      <c r="U964" s="18" t="inlineStr"/>
      <c r="V964" s="19" t="inlineStr">
        <is>
          <t>Aprobada</t>
        </is>
      </c>
      <c r="W964" s="19" t="inlineStr"/>
      <c r="X964" s="19" t="inlineStr">
        <is>
          <t>Aldair González (aprobación en bloque)</t>
        </is>
      </c>
      <c r="Y964" s="20" t="n">
        <v>46321</v>
      </c>
      <c r="Z964" s="19" t="inlineStr">
        <is>
          <t>Nivel 1: propuesta del comentario del desarrollador o de confianza alta, o regla de fecha/responsable/motivo.</t>
        </is>
      </c>
      <c r="AA964" s="18">
        <f>IF(OR(V964="Aprobada"),R964,IF(AND(OR(V964="Aprobada con ajuste",V964="Rechazada"),W964&lt;&gt;""),W964,""))</f>
        <v/>
      </c>
    </row>
    <row r="965">
      <c r="A965" s="18" t="inlineStr">
        <is>
          <t>C0964</t>
        </is>
      </c>
      <c r="B965" s="18" t="inlineStr">
        <is>
          <t>Gestión jurídica</t>
        </is>
      </c>
      <c r="C965" s="18" t="inlineStr">
        <is>
          <t>legal_management</t>
        </is>
      </c>
      <c r="D965" s="18" t="inlineStr">
        <is>
          <t>documentos</t>
        </is>
      </c>
      <c r="E965" s="18" t="n">
        <v>157</v>
      </c>
      <c r="F965" s="18" t="inlineStr">
        <is>
          <t>archivo_tamano</t>
        </is>
      </c>
      <c r="G965" s="18" t="inlineStr">
        <is>
          <t>integer</t>
        </is>
      </c>
      <c r="H965" s="18" t="inlineStr">
        <is>
          <t>Sí</t>
        </is>
      </c>
      <c r="I965" s="18" t="inlineStr"/>
      <c r="J965" s="18" t="inlineStr"/>
      <c r="K965" s="18" t="inlineStr"/>
      <c r="L965" s="18" t="inlineStr">
        <is>
          <t>No</t>
        </is>
      </c>
      <c r="M965" s="18" t="inlineStr">
        <is>
          <t>No</t>
        </is>
      </c>
      <c r="N965" s="18" t="inlineStr"/>
      <c r="O965" s="18" t="inlineStr"/>
      <c r="P965" s="18" t="inlineStr">
        <is>
          <t>db/migrations/old/045_create_documentos_table.sql:20: Tamaño en bytes</t>
        </is>
      </c>
      <c r="Q965" s="18" t="inlineStr">
        <is>
          <t>Código fuente</t>
        </is>
      </c>
      <c r="R965" s="18" t="inlineStr">
        <is>
          <t>Tamaño del archivo en bytes.</t>
        </is>
      </c>
      <c r="S965" s="18" t="inlineStr">
        <is>
          <t>Alta</t>
        </is>
      </c>
      <c r="T965" s="18" t="inlineStr">
        <is>
          <t>código: db/migrations/old/045_create_documentos_table.sql:20</t>
        </is>
      </c>
      <c r="U965" s="18" t="inlineStr"/>
      <c r="V965" s="19" t="inlineStr">
        <is>
          <t>Aprobada</t>
        </is>
      </c>
      <c r="W965" s="19" t="inlineStr"/>
      <c r="X965" s="19" t="inlineStr">
        <is>
          <t>Aldair González (aprobación en bloque)</t>
        </is>
      </c>
      <c r="Y965" s="20" t="n">
        <v>46321</v>
      </c>
      <c r="Z965" s="19" t="inlineStr">
        <is>
          <t>Nivel 1: propuesta del comentario del desarrollador o de confianza alta, o regla de fecha/responsable/motivo.</t>
        </is>
      </c>
      <c r="AA965" s="18">
        <f>IF(OR(V965="Aprobada"),R965,IF(AND(OR(V965="Aprobada con ajuste",V965="Rechazada"),W965&lt;&gt;""),W965,""))</f>
        <v/>
      </c>
    </row>
    <row r="966">
      <c r="A966" s="18" t="inlineStr">
        <is>
          <t>C0965</t>
        </is>
      </c>
      <c r="B966" s="18" t="inlineStr">
        <is>
          <t>Gestión jurídica</t>
        </is>
      </c>
      <c r="C966" s="18" t="inlineStr">
        <is>
          <t>legal_management</t>
        </is>
      </c>
      <c r="D966" s="18" t="inlineStr">
        <is>
          <t>documentos</t>
        </is>
      </c>
      <c r="E966" s="18" t="n">
        <v>157</v>
      </c>
      <c r="F966" s="18" t="inlineStr">
        <is>
          <t>archivo_mime_type</t>
        </is>
      </c>
      <c r="G966" s="18" t="inlineStr">
        <is>
          <t>character varying(100)</t>
        </is>
      </c>
      <c r="H966" s="18" t="inlineStr">
        <is>
          <t>Sí</t>
        </is>
      </c>
      <c r="I966" s="18" t="inlineStr"/>
      <c r="J966" s="18" t="inlineStr"/>
      <c r="K966" s="18" t="inlineStr"/>
      <c r="L966" s="18" t="inlineStr">
        <is>
          <t>No</t>
        </is>
      </c>
      <c r="M966" s="18" t="inlineStr">
        <is>
          <t>No</t>
        </is>
      </c>
      <c r="N966" s="18" t="inlineStr"/>
      <c r="O966" s="18" t="inlineStr"/>
      <c r="P966" s="18" t="inlineStr">
        <is>
          <t>Mapeada en legal-management-service/src/entities/documento.entity.ts:34 (Documento.archivoMimeType)</t>
        </is>
      </c>
      <c r="Q966" s="18" t="inlineStr">
        <is>
          <t>Propuesta semántica</t>
        </is>
      </c>
      <c r="R966" s="18" t="inlineStr">
        <is>
          <t>Tipo MIME del archivo.</t>
        </is>
      </c>
      <c r="S966" s="18" t="inlineStr">
        <is>
          <t>Alta</t>
        </is>
      </c>
      <c r="T966" s="18" t="inlineStr">
        <is>
          <t>nombre + tipo + columnas vecinas</t>
        </is>
      </c>
      <c r="U966" s="18" t="inlineStr"/>
      <c r="V966" s="19" t="inlineStr">
        <is>
          <t>Aprobada</t>
        </is>
      </c>
      <c r="W966" s="19" t="inlineStr"/>
      <c r="X966" s="19" t="inlineStr">
        <is>
          <t>Aldair González (aprobación en bloque)</t>
        </is>
      </c>
      <c r="Y966" s="20" t="n">
        <v>46321</v>
      </c>
      <c r="Z966" s="19" t="inlineStr">
        <is>
          <t>Nivel 1: propuesta del comentario del desarrollador o de confianza alta, o regla de fecha/responsable/motivo.</t>
        </is>
      </c>
      <c r="AA966" s="18">
        <f>IF(OR(V966="Aprobada"),R966,IF(AND(OR(V966="Aprobada con ajuste",V966="Rechazada"),W966&lt;&gt;""),W966,""))</f>
        <v/>
      </c>
    </row>
    <row r="967">
      <c r="A967" s="18" t="inlineStr">
        <is>
          <t>C0966</t>
        </is>
      </c>
      <c r="B967" s="18" t="inlineStr">
        <is>
          <t>Gestión jurídica</t>
        </is>
      </c>
      <c r="C967" s="18" t="inlineStr">
        <is>
          <t>legal_management</t>
        </is>
      </c>
      <c r="D967" s="18" t="inlineStr">
        <is>
          <t>documentos</t>
        </is>
      </c>
      <c r="E967" s="18" t="n">
        <v>157</v>
      </c>
      <c r="F967" s="18" t="inlineStr">
        <is>
          <t>fecha_documento</t>
        </is>
      </c>
      <c r="G967" s="18" t="inlineStr">
        <is>
          <t>date</t>
        </is>
      </c>
      <c r="H967" s="18" t="inlineStr">
        <is>
          <t>Sí</t>
        </is>
      </c>
      <c r="I967" s="18" t="inlineStr"/>
      <c r="J967" s="18" t="inlineStr"/>
      <c r="K967" s="18" t="inlineStr"/>
      <c r="L967" s="18" t="inlineStr">
        <is>
          <t>No</t>
        </is>
      </c>
      <c r="M967" s="18" t="inlineStr">
        <is>
          <t>No</t>
        </is>
      </c>
      <c r="N967" s="18" t="inlineStr"/>
      <c r="O967" s="18" t="inlineStr">
        <is>
          <t>idx_documentos_fecha</t>
        </is>
      </c>
      <c r="P967" s="18" t="inlineStr">
        <is>
          <t>db/migrations/old/045_create_documentos_table.sql:24: Metadatos Fecha del documento (diferente a fecha de carga)</t>
        </is>
      </c>
      <c r="Q967" s="18" t="inlineStr">
        <is>
          <t>Código fuente</t>
        </is>
      </c>
      <c r="R967" s="18" t="inlineStr">
        <is>
          <t>Fecha del documento, distinta de la fecha de carga.</t>
        </is>
      </c>
      <c r="S967" s="18" t="inlineStr">
        <is>
          <t>Alta</t>
        </is>
      </c>
      <c r="T967" s="18" t="inlineStr">
        <is>
          <t>código: db/migrations/old/045_create_documentos_table.sql:24</t>
        </is>
      </c>
      <c r="U967" s="18" t="inlineStr"/>
      <c r="V967" s="19" t="inlineStr">
        <is>
          <t>Aprobada</t>
        </is>
      </c>
      <c r="W967" s="19" t="inlineStr"/>
      <c r="X967" s="19" t="inlineStr">
        <is>
          <t>Aldair González (aprobación en bloque)</t>
        </is>
      </c>
      <c r="Y967" s="20" t="n">
        <v>46321</v>
      </c>
      <c r="Z967" s="19" t="inlineStr">
        <is>
          <t>Nivel 1: propuesta del comentario del desarrollador o de confianza alta, o regla de fecha/responsable/motivo.</t>
        </is>
      </c>
      <c r="AA967" s="18">
        <f>IF(OR(V967="Aprobada"),R967,IF(AND(OR(V967="Aprobada con ajuste",V967="Rechazada"),W967&lt;&gt;""),W967,""))</f>
        <v/>
      </c>
    </row>
    <row r="968">
      <c r="A968" s="18" t="inlineStr">
        <is>
          <t>C0967</t>
        </is>
      </c>
      <c r="B968" s="18" t="inlineStr">
        <is>
          <t>Gestión jurídica</t>
        </is>
      </c>
      <c r="C968" s="18" t="inlineStr">
        <is>
          <t>legal_management</t>
        </is>
      </c>
      <c r="D968" s="18" t="inlineStr">
        <is>
          <t>documentos</t>
        </is>
      </c>
      <c r="E968" s="18" t="n">
        <v>157</v>
      </c>
      <c r="F968" s="18" t="inlineStr">
        <is>
          <t>numero_folios</t>
        </is>
      </c>
      <c r="G968" s="18" t="inlineStr">
        <is>
          <t>integer</t>
        </is>
      </c>
      <c r="H968" s="18" t="inlineStr">
        <is>
          <t>Sí</t>
        </is>
      </c>
      <c r="I968" s="18" t="inlineStr"/>
      <c r="J968" s="18" t="inlineStr"/>
      <c r="K968" s="18" t="inlineStr"/>
      <c r="L968" s="18" t="inlineStr">
        <is>
          <t>No</t>
        </is>
      </c>
      <c r="M968" s="18" t="inlineStr">
        <is>
          <t>No</t>
        </is>
      </c>
      <c r="N968" s="18" t="inlineStr"/>
      <c r="O968" s="18" t="inlineStr"/>
      <c r="P968" s="18" t="inlineStr">
        <is>
          <t>Mapeada en legal-management-service/src/entities/documento.entity.ts:40 (Documento.numeroFolios)</t>
        </is>
      </c>
      <c r="Q968" s="18" t="inlineStr">
        <is>
          <t>Propuesta semántica</t>
        </is>
      </c>
      <c r="R968" s="18" t="inlineStr">
        <is>
          <t>Número de folios del documento.</t>
        </is>
      </c>
      <c r="S968" s="18" t="inlineStr">
        <is>
          <t>Alta</t>
        </is>
      </c>
      <c r="T968" s="18" t="inlineStr">
        <is>
          <t>nombre + tipo + columnas vecinas</t>
        </is>
      </c>
      <c r="U968" s="18" t="inlineStr"/>
      <c r="V968" s="19" t="inlineStr">
        <is>
          <t>Aprobada</t>
        </is>
      </c>
      <c r="W968" s="19" t="inlineStr"/>
      <c r="X968" s="19" t="inlineStr">
        <is>
          <t>Aldair González (aprobación en bloque)</t>
        </is>
      </c>
      <c r="Y968" s="20" t="n">
        <v>46321</v>
      </c>
      <c r="Z968" s="19" t="inlineStr">
        <is>
          <t>Nivel 1: propuesta del comentario del desarrollador o de confianza alta, o regla de fecha/responsable/motivo.</t>
        </is>
      </c>
      <c r="AA968" s="18">
        <f>IF(OR(V968="Aprobada"),R968,IF(AND(OR(V968="Aprobada con ajuste",V968="Rechazada"),W968&lt;&gt;""),W968,""))</f>
        <v/>
      </c>
    </row>
    <row r="969">
      <c r="A969" s="18" t="inlineStr">
        <is>
          <t>C0968</t>
        </is>
      </c>
      <c r="B969" s="18" t="inlineStr">
        <is>
          <t>Gestión jurídica</t>
        </is>
      </c>
      <c r="C969" s="18" t="inlineStr">
        <is>
          <t>legal_management</t>
        </is>
      </c>
      <c r="D969" s="18" t="inlineStr">
        <is>
          <t>documentos</t>
        </is>
      </c>
      <c r="E969" s="18" t="n">
        <v>157</v>
      </c>
      <c r="F969" s="18" t="inlineStr">
        <is>
          <t>confidencial</t>
        </is>
      </c>
      <c r="G969" s="18" t="inlineStr">
        <is>
          <t>boolean</t>
        </is>
      </c>
      <c r="H969" s="18" t="inlineStr">
        <is>
          <t>Sí</t>
        </is>
      </c>
      <c r="I969" s="18" t="inlineStr"/>
      <c r="J969" s="18" t="inlineStr"/>
      <c r="K969" s="18" t="inlineStr"/>
      <c r="L969" s="18" t="inlineStr">
        <is>
          <t>No</t>
        </is>
      </c>
      <c r="M969" s="18" t="inlineStr">
        <is>
          <t>No</t>
        </is>
      </c>
      <c r="N969" s="18" t="inlineStr"/>
      <c r="O969" s="18" t="inlineStr"/>
      <c r="P969" s="18" t="inlineStr">
        <is>
          <t>Mapeada en legal-management-service/src/entities/documento.entity.ts:43 (Documento.confidencial)</t>
        </is>
      </c>
      <c r="Q969" s="18" t="inlineStr">
        <is>
          <t>Regla estructural (redacción revisada)</t>
        </is>
      </c>
      <c r="R969" s="18" t="inlineStr">
        <is>
          <t>Indica si el documento del expediente judicial es confidencial.</t>
        </is>
      </c>
      <c r="S969" s="18" t="inlineStr">
        <is>
          <t>Alta</t>
        </is>
      </c>
      <c r="T969" s="18" t="inlineStr">
        <is>
          <t>Convención de nombre, redactada con el contexto de la tabla y el código.</t>
        </is>
      </c>
      <c r="U969" s="18" t="inlineStr"/>
      <c r="V969" s="19" t="inlineStr">
        <is>
          <t>Aprobada</t>
        </is>
      </c>
      <c r="W969" s="19" t="inlineStr"/>
      <c r="X969" s="19" t="inlineStr">
        <is>
          <t>Aldair González (aprobación en bloque)</t>
        </is>
      </c>
      <c r="Y969" s="20" t="n">
        <v>46321</v>
      </c>
      <c r="Z969" s="19" t="inlineStr">
        <is>
          <t>Nivel 2: regla estructural con redacción revisada.</t>
        </is>
      </c>
      <c r="AA969" s="18">
        <f>IF(OR(V969="Aprobada"),R969,IF(AND(OR(V969="Aprobada con ajuste",V969="Rechazada"),W969&lt;&gt;""),W969,""))</f>
        <v/>
      </c>
    </row>
    <row r="970">
      <c r="A970" s="18" t="inlineStr">
        <is>
          <t>C0969</t>
        </is>
      </c>
      <c r="B970" s="18" t="inlineStr">
        <is>
          <t>Gestión jurídica</t>
        </is>
      </c>
      <c r="C970" s="18" t="inlineStr">
        <is>
          <t>legal_management</t>
        </is>
      </c>
      <c r="D970" s="18" t="inlineStr">
        <is>
          <t>documentos</t>
        </is>
      </c>
      <c r="E970" s="18" t="n">
        <v>157</v>
      </c>
      <c r="F970" s="18" t="inlineStr">
        <is>
          <t>subido_por</t>
        </is>
      </c>
      <c r="G970" s="18" t="inlineStr">
        <is>
          <t>character varying(255)</t>
        </is>
      </c>
      <c r="H970" s="18" t="inlineStr">
        <is>
          <t>Sí</t>
        </is>
      </c>
      <c r="I970" s="18" t="inlineStr"/>
      <c r="J970" s="18" t="inlineStr"/>
      <c r="K970" s="18" t="inlineStr"/>
      <c r="L970" s="18" t="inlineStr">
        <is>
          <t>No</t>
        </is>
      </c>
      <c r="M970" s="18" t="inlineStr">
        <is>
          <t>No</t>
        </is>
      </c>
      <c r="N970" s="18" t="inlineStr"/>
      <c r="O970" s="18" t="inlineStr"/>
      <c r="P970" s="18" t="inlineStr">
        <is>
          <t>db/migrations/old/045_create_documentos_table.sql:29: Auditoría</t>
        </is>
      </c>
      <c r="Q970" s="18" t="inlineStr">
        <is>
          <t>Código fuente (verificado)</t>
        </is>
      </c>
      <c r="R970" s="18" t="inlineStr">
        <is>
          <t>Usuario que cargó el documento, enviado por el cliente; en cargas automáticas toma etiquetas como Sistema (Campo Dinámico) o Sistema (Derivación de Comunicación).</t>
        </is>
      </c>
      <c r="S970" s="18" t="inlineStr">
        <is>
          <t>Media</t>
        </is>
      </c>
      <c r="T970" s="18" t="inlineStr">
        <is>
          <t>legal-management-service/src/services/documento.service.ts:76: subidoPor = dto.subidoPor | legal-management-service/src/services/expediente.service.ts:249: Sistema (Campo Dinámico) | legal-management-service/src/services/correos-juridicos.service.ts:2095: Sistema (Derivación de Comunicación)</t>
        </is>
      </c>
      <c r="U970" s="18" t="inlineStr">
        <is>
          <t>¿Qué envía el frontend en subidoPor: identificador o nombre del usuario?</t>
        </is>
      </c>
      <c r="V970" s="19" t="inlineStr">
        <is>
          <t>Aprobada</t>
        </is>
      </c>
      <c r="W970" s="19" t="inlineStr"/>
      <c r="X970" s="19" t="inlineStr">
        <is>
          <t>Aldair González (validación del responsable de BD)</t>
        </is>
      </c>
      <c r="Y970" s="20" t="n">
        <v>46321</v>
      </c>
      <c r="Z970" s="19" t="inlineStr">
        <is>
          <t>Nivel 3: validada por decisión del responsable de la base de datos. Pregunta registrada para desarrollo: ¿Qué envía el frontend en subidoPor: identificador o nombre del usuario?</t>
        </is>
      </c>
      <c r="AA970" s="18">
        <f>IF(OR(V970="Aprobada"),R970,IF(AND(OR(V970="Aprobada con ajuste",V970="Rechazada"),W970&lt;&gt;""),W970,""))</f>
        <v/>
      </c>
    </row>
    <row r="971">
      <c r="A971" s="18" t="inlineStr">
        <is>
          <t>C0970</t>
        </is>
      </c>
      <c r="B971" s="18" t="inlineStr">
        <is>
          <t>Gestión jurídica</t>
        </is>
      </c>
      <c r="C971" s="18" t="inlineStr">
        <is>
          <t>legal_management</t>
        </is>
      </c>
      <c r="D971" s="18" t="inlineStr">
        <is>
          <t>documentos</t>
        </is>
      </c>
      <c r="E971" s="18" t="n">
        <v>157</v>
      </c>
      <c r="F971" s="18" t="inlineStr">
        <is>
          <t>categoria</t>
        </is>
      </c>
      <c r="G971" s="18" t="inlineStr">
        <is>
          <t>character varying(50)</t>
        </is>
      </c>
      <c r="H971" s="18" t="inlineStr">
        <is>
          <t>Sí</t>
        </is>
      </c>
      <c r="I971" s="18" t="inlineStr"/>
      <c r="J971" s="18" t="inlineStr"/>
      <c r="K971" s="18" t="inlineStr"/>
      <c r="L971" s="18" t="inlineStr">
        <is>
          <t>No</t>
        </is>
      </c>
      <c r="M971" s="18" t="inlineStr">
        <is>
          <t>No</t>
        </is>
      </c>
      <c r="N971" s="18" t="inlineStr"/>
      <c r="O971" s="18" t="inlineStr"/>
      <c r="P971" s="18" t="inlineStr">
        <is>
          <t>Mapeada en legal-management-service/src/entities/documento.entity.ts:49 (Documento.categoria)</t>
        </is>
      </c>
      <c r="Q971" s="18" t="inlineStr">
        <is>
          <t>Código fuente (verificado)</t>
        </is>
      </c>
      <c r="R971" s="18" t="inlineStr">
        <is>
          <t>Categoría del documento. Valor por defecto: documentos.</t>
        </is>
      </c>
      <c r="S971" s="18" t="inlineStr">
        <is>
          <t>Media</t>
        </is>
      </c>
      <c r="T971" s="18" t="inlineStr">
        <is>
          <t>legal-management-service/src/services/documento.service.ts:77: categoria = dto.categoria o documentos | legal-management-service/src/entities/documento.entity.ts:49: default documentos</t>
        </is>
      </c>
      <c r="U971" s="18" t="inlineStr">
        <is>
          <t>¿Qué otros valores de categoria envía el frontend?</t>
        </is>
      </c>
      <c r="V971" s="19" t="inlineStr">
        <is>
          <t>Aprobada</t>
        </is>
      </c>
      <c r="W971" s="19" t="inlineStr"/>
      <c r="X971" s="19" t="inlineStr">
        <is>
          <t>Aldair González (validación del responsable de BD)</t>
        </is>
      </c>
      <c r="Y971" s="20" t="n">
        <v>46321</v>
      </c>
      <c r="Z971" s="19" t="inlineStr">
        <is>
          <t>Nivel 3: validada por decisión del responsable de la base de datos. Pregunta registrada para desarrollo: ¿Qué otros valores de categoria envía el frontend?</t>
        </is>
      </c>
      <c r="AA971" s="18">
        <f>IF(OR(V971="Aprobada"),R971,IF(AND(OR(V971="Aprobada con ajuste",V971="Rechazada"),W971&lt;&gt;""),W971,""))</f>
        <v/>
      </c>
    </row>
    <row r="972">
      <c r="A972" s="18" t="inlineStr">
        <is>
          <t>C0971</t>
        </is>
      </c>
      <c r="B972" s="18" t="inlineStr">
        <is>
          <t>Gestión jurídica</t>
        </is>
      </c>
      <c r="C972" s="18" t="inlineStr">
        <is>
          <t>legal_management</t>
        </is>
      </c>
      <c r="D972" s="18" t="inlineStr">
        <is>
          <t>documentos_consulta</t>
        </is>
      </c>
      <c r="E972" s="18" t="n">
        <v>25</v>
      </c>
      <c r="F972" s="18" t="inlineStr">
        <is>
          <t>nombre</t>
        </is>
      </c>
      <c r="G972" s="18" t="inlineStr">
        <is>
          <t>character varying(255)</t>
        </is>
      </c>
      <c r="H972" s="18" t="inlineStr">
        <is>
          <t>No</t>
        </is>
      </c>
      <c r="I972" s="18" t="inlineStr"/>
      <c r="J972" s="18" t="inlineStr"/>
      <c r="K972" s="18" t="inlineStr"/>
      <c r="L972" s="18" t="inlineStr">
        <is>
          <t>No</t>
        </is>
      </c>
      <c r="M972" s="18" t="inlineStr">
        <is>
          <t>No</t>
        </is>
      </c>
      <c r="N972" s="18" t="inlineStr"/>
      <c r="O972" s="18" t="inlineStr"/>
      <c r="P972" s="18" t="inlineStr">
        <is>
          <t>Mapeada en legal-management-service/src/entities/documento-consulta.entity.ts:16 (DocumentoConsulta.nombre)</t>
        </is>
      </c>
      <c r="Q972" s="18" t="inlineStr">
        <is>
          <t>Regla estructural (redacción revisada)</t>
        </is>
      </c>
      <c r="R972" s="18" t="inlineStr">
        <is>
          <t>Nombre del documento adjunto a la consulta jurídica.</t>
        </is>
      </c>
      <c r="S972" s="18" t="inlineStr">
        <is>
          <t>Alta</t>
        </is>
      </c>
      <c r="T972" s="18" t="inlineStr">
        <is>
          <t>Convención de nombre, redactada con el contexto de la tabla y el código.</t>
        </is>
      </c>
      <c r="U972" s="18" t="inlineStr"/>
      <c r="V972" s="19" t="inlineStr">
        <is>
          <t>Aprobada</t>
        </is>
      </c>
      <c r="W972" s="19" t="inlineStr"/>
      <c r="X972" s="19" t="inlineStr">
        <is>
          <t>Aldair González (aprobación en bloque)</t>
        </is>
      </c>
      <c r="Y972" s="20" t="n">
        <v>46321</v>
      </c>
      <c r="Z972" s="19" t="inlineStr">
        <is>
          <t>Nivel 2: regla estructural con redacción revisada.</t>
        </is>
      </c>
      <c r="AA972" s="18">
        <f>IF(OR(V972="Aprobada"),R972,IF(AND(OR(V972="Aprobada con ajuste",V972="Rechazada"),W972&lt;&gt;""),W972,""))</f>
        <v/>
      </c>
    </row>
    <row r="973">
      <c r="A973" s="18" t="inlineStr">
        <is>
          <t>C0972</t>
        </is>
      </c>
      <c r="B973" s="18" t="inlineStr">
        <is>
          <t>Gestión jurídica</t>
        </is>
      </c>
      <c r="C973" s="18" t="inlineStr">
        <is>
          <t>legal_management</t>
        </is>
      </c>
      <c r="D973" s="18" t="inlineStr">
        <is>
          <t>documentos_consulta</t>
        </is>
      </c>
      <c r="E973" s="18" t="n">
        <v>25</v>
      </c>
      <c r="F973" s="18" t="inlineStr">
        <is>
          <t>descripcion</t>
        </is>
      </c>
      <c r="G973" s="18" t="inlineStr">
        <is>
          <t>text</t>
        </is>
      </c>
      <c r="H973" s="18" t="inlineStr">
        <is>
          <t>Sí</t>
        </is>
      </c>
      <c r="I973" s="18" t="inlineStr"/>
      <c r="J973" s="18" t="inlineStr"/>
      <c r="K973" s="18" t="inlineStr"/>
      <c r="L973" s="18" t="inlineStr">
        <is>
          <t>No</t>
        </is>
      </c>
      <c r="M973" s="18" t="inlineStr">
        <is>
          <t>No</t>
        </is>
      </c>
      <c r="N973" s="18" t="inlineStr"/>
      <c r="O973" s="18" t="inlineStr"/>
      <c r="P973" s="18" t="inlineStr">
        <is>
          <t>Mapeada en legal-management-service/src/entities/documento-consulta.entity.ts:22 (DocumentoConsulta.descripcion)</t>
        </is>
      </c>
      <c r="Q973" s="18" t="inlineStr">
        <is>
          <t>Regla estructural (redacción revisada)</t>
        </is>
      </c>
      <c r="R973" s="18" t="inlineStr">
        <is>
          <t>Descripción del documento adjunto a la consulta jurídica.</t>
        </is>
      </c>
      <c r="S973" s="18" t="inlineStr">
        <is>
          <t>Alta</t>
        </is>
      </c>
      <c r="T973" s="18" t="inlineStr">
        <is>
          <t>Convención de nombre, redactada con el contexto de la tabla y el código.</t>
        </is>
      </c>
      <c r="U973" s="18" t="inlineStr"/>
      <c r="V973" s="19" t="inlineStr">
        <is>
          <t>Aprobada</t>
        </is>
      </c>
      <c r="W973" s="19" t="inlineStr"/>
      <c r="X973" s="19" t="inlineStr">
        <is>
          <t>Aldair González (aprobación en bloque)</t>
        </is>
      </c>
      <c r="Y973" s="20" t="n">
        <v>46321</v>
      </c>
      <c r="Z973" s="19" t="inlineStr">
        <is>
          <t>Nivel 2: regla estructural con redacción revisada.</t>
        </is>
      </c>
      <c r="AA973" s="18">
        <f>IF(OR(V973="Aprobada"),R973,IF(AND(OR(V973="Aprobada con ajuste",V973="Rechazada"),W973&lt;&gt;""),W973,""))</f>
        <v/>
      </c>
    </row>
    <row r="974">
      <c r="A974" s="18" t="inlineStr">
        <is>
          <t>C0973</t>
        </is>
      </c>
      <c r="B974" s="18" t="inlineStr">
        <is>
          <t>Gestión jurídica</t>
        </is>
      </c>
      <c r="C974" s="18" t="inlineStr">
        <is>
          <t>legal_management</t>
        </is>
      </c>
      <c r="D974" s="18" t="inlineStr">
        <is>
          <t>documentos_consulta</t>
        </is>
      </c>
      <c r="E974" s="18" t="n">
        <v>25</v>
      </c>
      <c r="F974" s="18" t="inlineStr">
        <is>
          <t>archivo_url</t>
        </is>
      </c>
      <c r="G974" s="18" t="inlineStr">
        <is>
          <t>text</t>
        </is>
      </c>
      <c r="H974" s="18" t="inlineStr">
        <is>
          <t>Sí</t>
        </is>
      </c>
      <c r="I974" s="18" t="inlineStr"/>
      <c r="J974" s="18" t="inlineStr"/>
      <c r="K974" s="18" t="inlineStr"/>
      <c r="L974" s="18" t="inlineStr">
        <is>
          <t>No</t>
        </is>
      </c>
      <c r="M974" s="18" t="inlineStr">
        <is>
          <t>No</t>
        </is>
      </c>
      <c r="N974" s="18" t="inlineStr"/>
      <c r="O974" s="18" t="inlineStr"/>
      <c r="P974" s="18" t="inlineStr">
        <is>
          <t>Mapeada en legal-management-service/src/entities/documento-consulta.entity.ts:25 (DocumentoConsulta.archivoUrl)</t>
        </is>
      </c>
      <c r="Q974" s="18" t="inlineStr">
        <is>
          <t>Propuesta semántica</t>
        </is>
      </c>
      <c r="R974" s="18" t="inlineStr">
        <is>
          <t>URL del archivo del documento.</t>
        </is>
      </c>
      <c r="S974" s="18" t="inlineStr">
        <is>
          <t>Alta</t>
        </is>
      </c>
      <c r="T974" s="18" t="inlineStr">
        <is>
          <t>nombre + tipo + columnas vecinas</t>
        </is>
      </c>
      <c r="U974" s="18" t="inlineStr"/>
      <c r="V974" s="19" t="inlineStr">
        <is>
          <t>Aprobada</t>
        </is>
      </c>
      <c r="W974" s="19" t="inlineStr"/>
      <c r="X974" s="19" t="inlineStr">
        <is>
          <t>Aldair González (aprobación en bloque)</t>
        </is>
      </c>
      <c r="Y974" s="20" t="n">
        <v>46321</v>
      </c>
      <c r="Z974" s="19" t="inlineStr">
        <is>
          <t>Nivel 1: propuesta del comentario del desarrollador o de confianza alta, o regla de fecha/responsable/motivo.</t>
        </is>
      </c>
      <c r="AA974" s="18">
        <f>IF(OR(V974="Aprobada"),R974,IF(AND(OR(V974="Aprobada con ajuste",V974="Rechazada"),W974&lt;&gt;""),W974,""))</f>
        <v/>
      </c>
    </row>
    <row r="975">
      <c r="A975" s="18" t="inlineStr">
        <is>
          <t>C0974</t>
        </is>
      </c>
      <c r="B975" s="18" t="inlineStr">
        <is>
          <t>Gestión jurídica</t>
        </is>
      </c>
      <c r="C975" s="18" t="inlineStr">
        <is>
          <t>legal_management</t>
        </is>
      </c>
      <c r="D975" s="18" t="inlineStr">
        <is>
          <t>documentos_consulta</t>
        </is>
      </c>
      <c r="E975" s="18" t="n">
        <v>25</v>
      </c>
      <c r="F975" s="18" t="inlineStr">
        <is>
          <t>archivo_nombre_original</t>
        </is>
      </c>
      <c r="G975" s="18" t="inlineStr">
        <is>
          <t>character varying(255)</t>
        </is>
      </c>
      <c r="H975" s="18" t="inlineStr">
        <is>
          <t>Sí</t>
        </is>
      </c>
      <c r="I975" s="18" t="inlineStr"/>
      <c r="J975" s="18" t="inlineStr"/>
      <c r="K975" s="18" t="inlineStr"/>
      <c r="L975" s="18" t="inlineStr">
        <is>
          <t>No</t>
        </is>
      </c>
      <c r="M975" s="18" t="inlineStr">
        <is>
          <t>No</t>
        </is>
      </c>
      <c r="N975" s="18" t="inlineStr"/>
      <c r="O975" s="18" t="inlineStr"/>
      <c r="P975" s="18" t="inlineStr">
        <is>
          <t>Mapeada en legal-management-service/src/entities/documento-consulta.entity.ts:28 (DocumentoConsulta.archivoNombreOriginal)</t>
        </is>
      </c>
      <c r="Q975" s="18" t="inlineStr">
        <is>
          <t>Propuesta semántica</t>
        </is>
      </c>
      <c r="R975" s="18" t="inlineStr">
        <is>
          <t>Nombre original del archivo cargado.</t>
        </is>
      </c>
      <c r="S975" s="18" t="inlineStr">
        <is>
          <t>Alta</t>
        </is>
      </c>
      <c r="T975" s="18" t="inlineStr">
        <is>
          <t>nombre + tipo + columnas vecinas</t>
        </is>
      </c>
      <c r="U975" s="18" t="inlineStr"/>
      <c r="V975" s="19" t="inlineStr">
        <is>
          <t>Aprobada</t>
        </is>
      </c>
      <c r="W975" s="19" t="inlineStr"/>
      <c r="X975" s="19" t="inlineStr">
        <is>
          <t>Aldair González (aprobación en bloque)</t>
        </is>
      </c>
      <c r="Y975" s="20" t="n">
        <v>46321</v>
      </c>
      <c r="Z975" s="19" t="inlineStr">
        <is>
          <t>Nivel 1: propuesta del comentario del desarrollador o de confianza alta, o regla de fecha/responsable/motivo.</t>
        </is>
      </c>
      <c r="AA975" s="18">
        <f>IF(OR(V975="Aprobada"),R975,IF(AND(OR(V975="Aprobada con ajuste",V975="Rechazada"),W975&lt;&gt;""),W975,""))</f>
        <v/>
      </c>
    </row>
    <row r="976">
      <c r="A976" s="18" t="inlineStr">
        <is>
          <t>C0975</t>
        </is>
      </c>
      <c r="B976" s="18" t="inlineStr">
        <is>
          <t>Gestión jurídica</t>
        </is>
      </c>
      <c r="C976" s="18" t="inlineStr">
        <is>
          <t>legal_management</t>
        </is>
      </c>
      <c r="D976" s="18" t="inlineStr">
        <is>
          <t>documentos_consulta</t>
        </is>
      </c>
      <c r="E976" s="18" t="n">
        <v>25</v>
      </c>
      <c r="F976" s="18" t="inlineStr">
        <is>
          <t>tamano_bytes</t>
        </is>
      </c>
      <c r="G976" s="18" t="inlineStr">
        <is>
          <t>bigint</t>
        </is>
      </c>
      <c r="H976" s="18" t="inlineStr">
        <is>
          <t>Sí</t>
        </is>
      </c>
      <c r="I976" s="18" t="inlineStr"/>
      <c r="J976" s="18" t="inlineStr"/>
      <c r="K976" s="18" t="inlineStr"/>
      <c r="L976" s="18" t="inlineStr">
        <is>
          <t>No</t>
        </is>
      </c>
      <c r="M976" s="18" t="inlineStr">
        <is>
          <t>No</t>
        </is>
      </c>
      <c r="N976" s="18" t="inlineStr"/>
      <c r="O976" s="18" t="inlineStr"/>
      <c r="P976" s="18" t="inlineStr">
        <is>
          <t>Mapeada en legal-management-service/src/entities/documento-consulta.entity.ts:31 (DocumentoConsulta.tamanoBytes)</t>
        </is>
      </c>
      <c r="Q976" s="18" t="inlineStr">
        <is>
          <t>Regla estructural (redacción revisada)</t>
        </is>
      </c>
      <c r="R976" s="18" t="inlineStr">
        <is>
          <t>Tamaño en bytes del documento adjunto a la consulta jurídica.</t>
        </is>
      </c>
      <c r="S976" s="18" t="inlineStr">
        <is>
          <t>Alta</t>
        </is>
      </c>
      <c r="T976" s="18" t="inlineStr">
        <is>
          <t>Convención de nombre, redactada con el contexto de la tabla y el código.</t>
        </is>
      </c>
      <c r="U976" s="18" t="inlineStr"/>
      <c r="V976" s="19" t="inlineStr">
        <is>
          <t>Aprobada</t>
        </is>
      </c>
      <c r="W976" s="19" t="inlineStr"/>
      <c r="X976" s="19" t="inlineStr">
        <is>
          <t>Aldair González (aprobación en bloque)</t>
        </is>
      </c>
      <c r="Y976" s="20" t="n">
        <v>46321</v>
      </c>
      <c r="Z976" s="19" t="inlineStr">
        <is>
          <t>Nivel 2: regla estructural con redacción revisada.</t>
        </is>
      </c>
      <c r="AA976" s="18">
        <f>IF(OR(V976="Aprobada"),R976,IF(AND(OR(V976="Aprobada con ajuste",V976="Rechazada"),W976&lt;&gt;""),W976,""))</f>
        <v/>
      </c>
    </row>
    <row r="977">
      <c r="A977" s="18" t="inlineStr">
        <is>
          <t>C0976</t>
        </is>
      </c>
      <c r="B977" s="18" t="inlineStr">
        <is>
          <t>Gestión jurídica</t>
        </is>
      </c>
      <c r="C977" s="18" t="inlineStr">
        <is>
          <t>legal_management</t>
        </is>
      </c>
      <c r="D977" s="18" t="inlineStr">
        <is>
          <t>documentos_consulta</t>
        </is>
      </c>
      <c r="E977" s="18" t="n">
        <v>25</v>
      </c>
      <c r="F977" s="18" t="inlineStr">
        <is>
          <t>mime_type</t>
        </is>
      </c>
      <c r="G977" s="18" t="inlineStr">
        <is>
          <t>character varying(100)</t>
        </is>
      </c>
      <c r="H977" s="18" t="inlineStr">
        <is>
          <t>Sí</t>
        </is>
      </c>
      <c r="I977" s="18" t="inlineStr"/>
      <c r="J977" s="18" t="inlineStr"/>
      <c r="K977" s="18" t="inlineStr"/>
      <c r="L977" s="18" t="inlineStr">
        <is>
          <t>No</t>
        </is>
      </c>
      <c r="M977" s="18" t="inlineStr">
        <is>
          <t>No</t>
        </is>
      </c>
      <c r="N977" s="18" t="inlineStr"/>
      <c r="O977" s="18" t="inlineStr"/>
      <c r="P977" s="18" t="inlineStr">
        <is>
          <t>Mapeada en legal-management-service/src/entities/documento-consulta.entity.ts:34 (DocumentoConsulta.mimeType)</t>
        </is>
      </c>
      <c r="Q977" s="18" t="inlineStr">
        <is>
          <t>Regla estructural (redacción revisada)</t>
        </is>
      </c>
      <c r="R977" s="18" t="inlineStr">
        <is>
          <t>Tipo MIME del documento adjunto a la consulta jurídica.</t>
        </is>
      </c>
      <c r="S977" s="18" t="inlineStr">
        <is>
          <t>Alta</t>
        </is>
      </c>
      <c r="T977" s="18" t="inlineStr">
        <is>
          <t>Convención de nombre, redactada con el contexto de la tabla y el código.</t>
        </is>
      </c>
      <c r="U977" s="18" t="inlineStr"/>
      <c r="V977" s="19" t="inlineStr">
        <is>
          <t>Aprobada</t>
        </is>
      </c>
      <c r="W977" s="19" t="inlineStr"/>
      <c r="X977" s="19" t="inlineStr">
        <is>
          <t>Aldair González (aprobación en bloque)</t>
        </is>
      </c>
      <c r="Y977" s="20" t="n">
        <v>46321</v>
      </c>
      <c r="Z977" s="19" t="inlineStr">
        <is>
          <t>Nivel 2: regla estructural con redacción revisada.</t>
        </is>
      </c>
      <c r="AA977" s="18">
        <f>IF(OR(V977="Aprobada"),R977,IF(AND(OR(V977="Aprobada con ajuste",V977="Rechazada"),W977&lt;&gt;""),W977,""))</f>
        <v/>
      </c>
    </row>
    <row r="978">
      <c r="A978" s="18" t="inlineStr">
        <is>
          <t>C0977</t>
        </is>
      </c>
      <c r="B978" s="18" t="inlineStr">
        <is>
          <t>Gestión jurídica</t>
        </is>
      </c>
      <c r="C978" s="18" t="inlineStr">
        <is>
          <t>legal_management</t>
        </is>
      </c>
      <c r="D978" s="18" t="inlineStr">
        <is>
          <t>documentos_consulta</t>
        </is>
      </c>
      <c r="E978" s="18" t="n">
        <v>25</v>
      </c>
      <c r="F978" s="18" t="inlineStr">
        <is>
          <t>subido_por</t>
        </is>
      </c>
      <c r="G978" s="18" t="inlineStr">
        <is>
          <t>character varying(200)</t>
        </is>
      </c>
      <c r="H978" s="18" t="inlineStr">
        <is>
          <t>Sí</t>
        </is>
      </c>
      <c r="I978" s="18" t="inlineStr"/>
      <c r="J978" s="18" t="inlineStr"/>
      <c r="K978" s="18" t="inlineStr"/>
      <c r="L978" s="18" t="inlineStr">
        <is>
          <t>No</t>
        </is>
      </c>
      <c r="M978" s="18" t="inlineStr">
        <is>
          <t>No</t>
        </is>
      </c>
      <c r="N978" s="18" t="inlineStr"/>
      <c r="O978" s="18" t="inlineStr"/>
      <c r="P978" s="18" t="inlineStr">
        <is>
          <t>Mapeada en legal-management-service/src/entities/documento-consulta.entity.ts:37 (DocumentoConsulta.subidoPor)</t>
        </is>
      </c>
      <c r="Q978" s="18" t="inlineStr">
        <is>
          <t>Regla estructural</t>
        </is>
      </c>
      <c r="R978" s="18" t="inlineStr">
        <is>
          <t>Usuario que realizó la carga.</t>
        </is>
      </c>
      <c r="S978" s="18" t="inlineStr">
        <is>
          <t>Media</t>
        </is>
      </c>
      <c r="T978" s="18" t="inlineStr">
        <is>
          <t>Convención de nombre de la columna.</t>
        </is>
      </c>
      <c r="U978" s="18" t="inlineStr"/>
      <c r="V978" s="19" t="inlineStr">
        <is>
          <t>Aprobada</t>
        </is>
      </c>
      <c r="W978" s="19" t="inlineStr"/>
      <c r="X978" s="19" t="inlineStr">
        <is>
          <t>Aldair González (aprobación en bloque)</t>
        </is>
      </c>
      <c r="Y978" s="20" t="n">
        <v>46321</v>
      </c>
      <c r="Z978" s="19" t="inlineStr">
        <is>
          <t>Nivel 1: propuesta del comentario del desarrollador o de confianza alta, o regla de fecha/responsable/motivo.</t>
        </is>
      </c>
      <c r="AA978" s="18">
        <f>IF(OR(V978="Aprobada"),R978,IF(AND(OR(V978="Aprobada con ajuste",V978="Rechazada"),W978&lt;&gt;""),W978,""))</f>
        <v/>
      </c>
    </row>
    <row r="979">
      <c r="A979" s="18" t="inlineStr">
        <is>
          <t>C0978</t>
        </is>
      </c>
      <c r="B979" s="18" t="inlineStr">
        <is>
          <t>Gestión jurídica</t>
        </is>
      </c>
      <c r="C979" s="18" t="inlineStr">
        <is>
          <t>legal_management</t>
        </is>
      </c>
      <c r="D979" s="18" t="inlineStr">
        <is>
          <t>documentos_consulta</t>
        </is>
      </c>
      <c r="E979" s="18" t="n">
        <v>25</v>
      </c>
      <c r="F979" s="18" t="inlineStr">
        <is>
          <t>fecha_documento</t>
        </is>
      </c>
      <c r="G979" s="18" t="inlineStr">
        <is>
          <t>date</t>
        </is>
      </c>
      <c r="H979" s="18" t="inlineStr">
        <is>
          <t>Sí</t>
        </is>
      </c>
      <c r="I979" s="18" t="inlineStr"/>
      <c r="J979" s="18" t="inlineStr"/>
      <c r="K979" s="18" t="inlineStr"/>
      <c r="L979" s="18" t="inlineStr">
        <is>
          <t>No</t>
        </is>
      </c>
      <c r="M979" s="18" t="inlineStr">
        <is>
          <t>No</t>
        </is>
      </c>
      <c r="N979" s="18" t="inlineStr"/>
      <c r="O979" s="18" t="inlineStr"/>
      <c r="P979" s="18" t="inlineStr">
        <is>
          <t>Mapeada en legal-management-service/src/entities/documento-consulta.entity.ts:43 (DocumentoConsulta.fechaDocumento)</t>
        </is>
      </c>
      <c r="Q979" s="18" t="inlineStr">
        <is>
          <t>Regla estructural (redacción revisada)</t>
        </is>
      </c>
      <c r="R979" s="18" t="inlineStr">
        <is>
          <t>Fecha del documento adjunto a la consulta jurídica.</t>
        </is>
      </c>
      <c r="S979" s="18" t="inlineStr">
        <is>
          <t>Alta</t>
        </is>
      </c>
      <c r="T979" s="18" t="inlineStr">
        <is>
          <t>Convención de nombre, redactada con el contexto de la tabla y el código.</t>
        </is>
      </c>
      <c r="U979" s="18" t="inlineStr"/>
      <c r="V979" s="19" t="inlineStr">
        <is>
          <t>Aprobada</t>
        </is>
      </c>
      <c r="W979" s="19" t="inlineStr"/>
      <c r="X979" s="19" t="inlineStr">
        <is>
          <t>Aldair González (aprobación en bloque)</t>
        </is>
      </c>
      <c r="Y979" s="20" t="n">
        <v>46321</v>
      </c>
      <c r="Z979" s="19" t="inlineStr">
        <is>
          <t>Nivel 2: regla estructural con redacción revisada.</t>
        </is>
      </c>
      <c r="AA979" s="18">
        <f>IF(OR(V979="Aprobada"),R979,IF(AND(OR(V979="Aprobada con ajuste",V979="Rechazada"),W979&lt;&gt;""),W979,""))</f>
        <v/>
      </c>
    </row>
    <row r="980">
      <c r="A980" s="18" t="inlineStr">
        <is>
          <t>C0979</t>
        </is>
      </c>
      <c r="B980" s="18" t="inlineStr">
        <is>
          <t>Gestión jurídica</t>
        </is>
      </c>
      <c r="C980" s="18" t="inlineStr">
        <is>
          <t>legal_management</t>
        </is>
      </c>
      <c r="D980" s="18" t="inlineStr">
        <is>
          <t>documentos_oc</t>
        </is>
      </c>
      <c r="E980" s="18" t="n">
        <v>21</v>
      </c>
      <c r="F980" s="18" t="inlineStr">
        <is>
          <t>nombre</t>
        </is>
      </c>
      <c r="G980" s="18" t="inlineStr">
        <is>
          <t>character varying(255)</t>
        </is>
      </c>
      <c r="H980" s="18" t="inlineStr">
        <is>
          <t>No</t>
        </is>
      </c>
      <c r="I980" s="18" t="inlineStr"/>
      <c r="J980" s="18" t="inlineStr"/>
      <c r="K980" s="18" t="inlineStr"/>
      <c r="L980" s="18" t="inlineStr">
        <is>
          <t>No</t>
        </is>
      </c>
      <c r="M980" s="18" t="inlineStr">
        <is>
          <t>No</t>
        </is>
      </c>
      <c r="N980" s="18" t="inlineStr"/>
      <c r="O980" s="18" t="inlineStr"/>
      <c r="P980" s="18" t="inlineStr">
        <is>
          <t>Mapeada en legal-management-service/src/entities/documento-oc.entity.ts:16 (DocumentoOC.nombre)</t>
        </is>
      </c>
      <c r="Q980" s="18" t="inlineStr">
        <is>
          <t>Regla estructural (redacción revisada)</t>
        </is>
      </c>
      <c r="R980" s="18" t="inlineStr">
        <is>
          <t>Nombre del documento del requerimiento.</t>
        </is>
      </c>
      <c r="S980" s="18" t="inlineStr">
        <is>
          <t>Alta</t>
        </is>
      </c>
      <c r="T980" s="18" t="inlineStr">
        <is>
          <t>Convención de nombre, redactada con el contexto de la tabla y el código.</t>
        </is>
      </c>
      <c r="U980" s="18" t="inlineStr"/>
      <c r="V980" s="19" t="inlineStr">
        <is>
          <t>Aprobada</t>
        </is>
      </c>
      <c r="W980" s="19" t="inlineStr"/>
      <c r="X980" s="19" t="inlineStr">
        <is>
          <t>Aldair González (aprobación en bloque)</t>
        </is>
      </c>
      <c r="Y980" s="20" t="n">
        <v>46321</v>
      </c>
      <c r="Z980" s="19" t="inlineStr">
        <is>
          <t>Nivel 2: regla estructural con redacción revisada.</t>
        </is>
      </c>
      <c r="AA980" s="18">
        <f>IF(OR(V980="Aprobada"),R980,IF(AND(OR(V980="Aprobada con ajuste",V980="Rechazada"),W980&lt;&gt;""),W980,""))</f>
        <v/>
      </c>
    </row>
    <row r="981">
      <c r="A981" s="18" t="inlineStr">
        <is>
          <t>C0980</t>
        </is>
      </c>
      <c r="B981" s="18" t="inlineStr">
        <is>
          <t>Gestión jurídica</t>
        </is>
      </c>
      <c r="C981" s="18" t="inlineStr">
        <is>
          <t>legal_management</t>
        </is>
      </c>
      <c r="D981" s="18" t="inlineStr">
        <is>
          <t>documentos_oc</t>
        </is>
      </c>
      <c r="E981" s="18" t="n">
        <v>21</v>
      </c>
      <c r="F981" s="18" t="inlineStr">
        <is>
          <t>tipo_documento</t>
        </is>
      </c>
      <c r="G981" s="18" t="inlineStr">
        <is>
          <t>character varying(50)</t>
        </is>
      </c>
      <c r="H981" s="18" t="inlineStr">
        <is>
          <t>Sí</t>
        </is>
      </c>
      <c r="I981" s="18" t="inlineStr">
        <is>
          <t>CHECK</t>
        </is>
      </c>
      <c r="J981" s="18" t="inlineStr">
        <is>
          <t>acuse, anexo, evidencia, informe, oficio, otro, respuesta</t>
        </is>
      </c>
      <c r="K981" s="18" t="inlineStr"/>
      <c r="L981" s="18" t="inlineStr">
        <is>
          <t>Sí</t>
        </is>
      </c>
      <c r="M981" s="18" t="inlineStr">
        <is>
          <t>No</t>
        </is>
      </c>
      <c r="N981" s="18" t="inlineStr"/>
      <c r="O981" s="18" t="inlineStr">
        <is>
          <t>idx_documentos_oc_tipo</t>
        </is>
      </c>
      <c r="P981" s="18" t="inlineStr">
        <is>
          <t>Mapeada en legal-management-service/src/entities/documento-oc.entity.ts:19 (DocumentoOC.tipoDocumento)</t>
        </is>
      </c>
      <c r="Q981" s="18" t="inlineStr">
        <is>
          <t>Propuesta semántica</t>
        </is>
      </c>
      <c r="R981" s="18" t="inlineStr">
        <is>
          <t>Tipo de documento. Valores permitidos: acuse, anexo, evidencia, informe, oficio, otro, respuesta. Valor por defecto: otro.</t>
        </is>
      </c>
      <c r="S981" s="18" t="inlineStr">
        <is>
          <t>Alta</t>
        </is>
      </c>
      <c r="T981" s="18" t="inlineStr">
        <is>
          <t>valores permitidos del CHECK + defecto</t>
        </is>
      </c>
      <c r="U981" s="18" t="inlineStr"/>
      <c r="V981" s="19" t="inlineStr">
        <is>
          <t>Aprobada</t>
        </is>
      </c>
      <c r="W981" s="19" t="inlineStr"/>
      <c r="X981" s="19" t="inlineStr">
        <is>
          <t>Aldair González (aprobación en bloque)</t>
        </is>
      </c>
      <c r="Y981" s="20" t="n">
        <v>46321</v>
      </c>
      <c r="Z981" s="19" t="inlineStr">
        <is>
          <t>Nivel 1: propuesta del comentario del desarrollador o de confianza alta, o regla de fecha/responsable/motivo.</t>
        </is>
      </c>
      <c r="AA981" s="18">
        <f>IF(OR(V981="Aprobada"),R981,IF(AND(OR(V981="Aprobada con ajuste",V981="Rechazada"),W981&lt;&gt;""),W981,""))</f>
        <v/>
      </c>
    </row>
    <row r="982">
      <c r="A982" s="18" t="inlineStr">
        <is>
          <t>C0981</t>
        </is>
      </c>
      <c r="B982" s="18" t="inlineStr">
        <is>
          <t>Gestión jurídica</t>
        </is>
      </c>
      <c r="C982" s="18" t="inlineStr">
        <is>
          <t>legal_management</t>
        </is>
      </c>
      <c r="D982" s="18" t="inlineStr">
        <is>
          <t>documentos_oc</t>
        </is>
      </c>
      <c r="E982" s="18" t="n">
        <v>21</v>
      </c>
      <c r="F982" s="18" t="inlineStr">
        <is>
          <t>descripcion</t>
        </is>
      </c>
      <c r="G982" s="18" t="inlineStr">
        <is>
          <t>text</t>
        </is>
      </c>
      <c r="H982" s="18" t="inlineStr">
        <is>
          <t>Sí</t>
        </is>
      </c>
      <c r="I982" s="18" t="inlineStr"/>
      <c r="J982" s="18" t="inlineStr"/>
      <c r="K982" s="18" t="inlineStr"/>
      <c r="L982" s="18" t="inlineStr">
        <is>
          <t>No</t>
        </is>
      </c>
      <c r="M982" s="18" t="inlineStr">
        <is>
          <t>No</t>
        </is>
      </c>
      <c r="N982" s="18" t="inlineStr"/>
      <c r="O982" s="18" t="inlineStr"/>
      <c r="P982" s="18" t="inlineStr">
        <is>
          <t>Mapeada en legal-management-service/src/entities/documento-oc.entity.ts:22 (DocumentoOC.descripcion)</t>
        </is>
      </c>
      <c r="Q982" s="18" t="inlineStr">
        <is>
          <t>Regla estructural (redacción revisada)</t>
        </is>
      </c>
      <c r="R982" s="18" t="inlineStr">
        <is>
          <t>Descripción del documento del requerimiento.</t>
        </is>
      </c>
      <c r="S982" s="18" t="inlineStr">
        <is>
          <t>Alta</t>
        </is>
      </c>
      <c r="T982" s="18" t="inlineStr">
        <is>
          <t>Convención de nombre, redactada con el contexto de la tabla y el código.</t>
        </is>
      </c>
      <c r="U982" s="18" t="inlineStr"/>
      <c r="V982" s="19" t="inlineStr">
        <is>
          <t>Aprobada</t>
        </is>
      </c>
      <c r="W982" s="19" t="inlineStr"/>
      <c r="X982" s="19" t="inlineStr">
        <is>
          <t>Aldair González (aprobación en bloque)</t>
        </is>
      </c>
      <c r="Y982" s="20" t="n">
        <v>46321</v>
      </c>
      <c r="Z982" s="19" t="inlineStr">
        <is>
          <t>Nivel 2: regla estructural con redacción revisada.</t>
        </is>
      </c>
      <c r="AA982" s="18">
        <f>IF(OR(V982="Aprobada"),R982,IF(AND(OR(V982="Aprobada con ajuste",V982="Rechazada"),W982&lt;&gt;""),W982,""))</f>
        <v/>
      </c>
    </row>
    <row r="983">
      <c r="A983" s="18" t="inlineStr">
        <is>
          <t>C0982</t>
        </is>
      </c>
      <c r="B983" s="18" t="inlineStr">
        <is>
          <t>Gestión jurídica</t>
        </is>
      </c>
      <c r="C983" s="18" t="inlineStr">
        <is>
          <t>legal_management</t>
        </is>
      </c>
      <c r="D983" s="18" t="inlineStr">
        <is>
          <t>documentos_oc</t>
        </is>
      </c>
      <c r="E983" s="18" t="n">
        <v>21</v>
      </c>
      <c r="F983" s="18" t="inlineStr">
        <is>
          <t>archivo_url</t>
        </is>
      </c>
      <c r="G983" s="18" t="inlineStr">
        <is>
          <t>text</t>
        </is>
      </c>
      <c r="H983" s="18" t="inlineStr">
        <is>
          <t>Sí</t>
        </is>
      </c>
      <c r="I983" s="18" t="inlineStr"/>
      <c r="J983" s="18" t="inlineStr"/>
      <c r="K983" s="18" t="inlineStr"/>
      <c r="L983" s="18" t="inlineStr">
        <is>
          <t>No</t>
        </is>
      </c>
      <c r="M983" s="18" t="inlineStr">
        <is>
          <t>No</t>
        </is>
      </c>
      <c r="N983" s="18" t="inlineStr"/>
      <c r="O983" s="18" t="inlineStr"/>
      <c r="P983" s="18" t="inlineStr">
        <is>
          <t>Mapeada en legal-management-service/src/entities/documento-oc.entity.ts:25 (DocumentoOC.archivoUrl)</t>
        </is>
      </c>
      <c r="Q983" s="18" t="inlineStr">
        <is>
          <t>Propuesta semántica</t>
        </is>
      </c>
      <c r="R983" s="18" t="inlineStr">
        <is>
          <t>URL del archivo del documento.</t>
        </is>
      </c>
      <c r="S983" s="18" t="inlineStr">
        <is>
          <t>Alta</t>
        </is>
      </c>
      <c r="T983" s="18" t="inlineStr">
        <is>
          <t>nombre + tipo + columnas vecinas</t>
        </is>
      </c>
      <c r="U983" s="18" t="inlineStr"/>
      <c r="V983" s="19" t="inlineStr">
        <is>
          <t>Aprobada</t>
        </is>
      </c>
      <c r="W983" s="19" t="inlineStr"/>
      <c r="X983" s="19" t="inlineStr">
        <is>
          <t>Aldair González (aprobación en bloque)</t>
        </is>
      </c>
      <c r="Y983" s="20" t="n">
        <v>46321</v>
      </c>
      <c r="Z983" s="19" t="inlineStr">
        <is>
          <t>Nivel 1: propuesta del comentario del desarrollador o de confianza alta, o regla de fecha/responsable/motivo.</t>
        </is>
      </c>
      <c r="AA983" s="18">
        <f>IF(OR(V983="Aprobada"),R983,IF(AND(OR(V983="Aprobada con ajuste",V983="Rechazada"),W983&lt;&gt;""),W983,""))</f>
        <v/>
      </c>
    </row>
    <row r="984">
      <c r="A984" s="18" t="inlineStr">
        <is>
          <t>C0983</t>
        </is>
      </c>
      <c r="B984" s="18" t="inlineStr">
        <is>
          <t>Gestión jurídica</t>
        </is>
      </c>
      <c r="C984" s="18" t="inlineStr">
        <is>
          <t>legal_management</t>
        </is>
      </c>
      <c r="D984" s="18" t="inlineStr">
        <is>
          <t>documentos_oc</t>
        </is>
      </c>
      <c r="E984" s="18" t="n">
        <v>21</v>
      </c>
      <c r="F984" s="18" t="inlineStr">
        <is>
          <t>tamano_bytes</t>
        </is>
      </c>
      <c r="G984" s="18" t="inlineStr">
        <is>
          <t>bigint</t>
        </is>
      </c>
      <c r="H984" s="18" t="inlineStr">
        <is>
          <t>Sí</t>
        </is>
      </c>
      <c r="I984" s="18" t="inlineStr"/>
      <c r="J984" s="18" t="inlineStr"/>
      <c r="K984" s="18" t="inlineStr"/>
      <c r="L984" s="18" t="inlineStr">
        <is>
          <t>No</t>
        </is>
      </c>
      <c r="M984" s="18" t="inlineStr">
        <is>
          <t>No</t>
        </is>
      </c>
      <c r="N984" s="18" t="inlineStr"/>
      <c r="O984" s="18" t="inlineStr"/>
      <c r="P984" s="18" t="inlineStr">
        <is>
          <t>Mapeada en legal-management-service/src/entities/documento-oc.entity.ts:28 (DocumentoOC.tamanoBytes)</t>
        </is>
      </c>
      <c r="Q984" s="18" t="inlineStr">
        <is>
          <t>Regla estructural (redacción revisada)</t>
        </is>
      </c>
      <c r="R984" s="18" t="inlineStr">
        <is>
          <t>Tamaño en bytes del documento del requerimiento.</t>
        </is>
      </c>
      <c r="S984" s="18" t="inlineStr">
        <is>
          <t>Alta</t>
        </is>
      </c>
      <c r="T984" s="18" t="inlineStr">
        <is>
          <t>Convención de nombre, redactada con el contexto de la tabla y el código.</t>
        </is>
      </c>
      <c r="U984" s="18" t="inlineStr"/>
      <c r="V984" s="19" t="inlineStr">
        <is>
          <t>Aprobada</t>
        </is>
      </c>
      <c r="W984" s="19" t="inlineStr"/>
      <c r="X984" s="19" t="inlineStr">
        <is>
          <t>Aldair González (aprobación en bloque)</t>
        </is>
      </c>
      <c r="Y984" s="20" t="n">
        <v>46321</v>
      </c>
      <c r="Z984" s="19" t="inlineStr">
        <is>
          <t>Nivel 2: regla estructural con redacción revisada.</t>
        </is>
      </c>
      <c r="AA984" s="18">
        <f>IF(OR(V984="Aprobada"),R984,IF(AND(OR(V984="Aprobada con ajuste",V984="Rechazada"),W984&lt;&gt;""),W984,""))</f>
        <v/>
      </c>
    </row>
    <row r="985">
      <c r="A985" s="18" t="inlineStr">
        <is>
          <t>C0984</t>
        </is>
      </c>
      <c r="B985" s="18" t="inlineStr">
        <is>
          <t>Gestión jurídica</t>
        </is>
      </c>
      <c r="C985" s="18" t="inlineStr">
        <is>
          <t>legal_management</t>
        </is>
      </c>
      <c r="D985" s="18" t="inlineStr">
        <is>
          <t>documentos_oc</t>
        </is>
      </c>
      <c r="E985" s="18" t="n">
        <v>21</v>
      </c>
      <c r="F985" s="18" t="inlineStr">
        <is>
          <t>mime_type</t>
        </is>
      </c>
      <c r="G985" s="18" t="inlineStr">
        <is>
          <t>character varying(100)</t>
        </is>
      </c>
      <c r="H985" s="18" t="inlineStr">
        <is>
          <t>Sí</t>
        </is>
      </c>
      <c r="I985" s="18" t="inlineStr"/>
      <c r="J985" s="18" t="inlineStr"/>
      <c r="K985" s="18" t="inlineStr"/>
      <c r="L985" s="18" t="inlineStr">
        <is>
          <t>No</t>
        </is>
      </c>
      <c r="M985" s="18" t="inlineStr">
        <is>
          <t>No</t>
        </is>
      </c>
      <c r="N985" s="18" t="inlineStr"/>
      <c r="O985" s="18" t="inlineStr"/>
      <c r="P985" s="18" t="inlineStr">
        <is>
          <t>Mapeada en legal-management-service/src/entities/documento-oc.entity.ts:31 (DocumentoOC.mimeType)</t>
        </is>
      </c>
      <c r="Q985" s="18" t="inlineStr">
        <is>
          <t>Regla estructural (redacción revisada)</t>
        </is>
      </c>
      <c r="R985" s="18" t="inlineStr">
        <is>
          <t>Tipo MIME del documento del requerimiento.</t>
        </is>
      </c>
      <c r="S985" s="18" t="inlineStr">
        <is>
          <t>Alta</t>
        </is>
      </c>
      <c r="T985" s="18" t="inlineStr">
        <is>
          <t>Convención de nombre, redactada con el contexto de la tabla y el código.</t>
        </is>
      </c>
      <c r="U985" s="18" t="inlineStr"/>
      <c r="V985" s="19" t="inlineStr">
        <is>
          <t>Aprobada</t>
        </is>
      </c>
      <c r="W985" s="19" t="inlineStr"/>
      <c r="X985" s="19" t="inlineStr">
        <is>
          <t>Aldair González (aprobación en bloque)</t>
        </is>
      </c>
      <c r="Y985" s="20" t="n">
        <v>46321</v>
      </c>
      <c r="Z985" s="19" t="inlineStr">
        <is>
          <t>Nivel 2: regla estructural con redacción revisada.</t>
        </is>
      </c>
      <c r="AA985" s="18">
        <f>IF(OR(V985="Aprobada"),R985,IF(AND(OR(V985="Aprobada con ajuste",V985="Rechazada"),W985&lt;&gt;""),W985,""))</f>
        <v/>
      </c>
    </row>
    <row r="986">
      <c r="A986" s="18" t="inlineStr">
        <is>
          <t>C0985</t>
        </is>
      </c>
      <c r="B986" s="18" t="inlineStr">
        <is>
          <t>Gestión jurídica</t>
        </is>
      </c>
      <c r="C986" s="18" t="inlineStr">
        <is>
          <t>legal_management</t>
        </is>
      </c>
      <c r="D986" s="18" t="inlineStr">
        <is>
          <t>documentos_oc</t>
        </is>
      </c>
      <c r="E986" s="18" t="n">
        <v>21</v>
      </c>
      <c r="F986" s="18" t="inlineStr">
        <is>
          <t>subido_por</t>
        </is>
      </c>
      <c r="G986" s="18" t="inlineStr">
        <is>
          <t>character varying(200)</t>
        </is>
      </c>
      <c r="H986" s="18" t="inlineStr">
        <is>
          <t>Sí</t>
        </is>
      </c>
      <c r="I986" s="18" t="inlineStr"/>
      <c r="J986" s="18" t="inlineStr"/>
      <c r="K986" s="18" t="inlineStr"/>
      <c r="L986" s="18" t="inlineStr">
        <is>
          <t>No</t>
        </is>
      </c>
      <c r="M986" s="18" t="inlineStr">
        <is>
          <t>No</t>
        </is>
      </c>
      <c r="N986" s="18" t="inlineStr"/>
      <c r="O986" s="18" t="inlineStr"/>
      <c r="P986" s="18" t="inlineStr">
        <is>
          <t>Mapeada en legal-management-service/src/entities/documento-oc.entity.ts:34 (DocumentoOC.subidoPor)</t>
        </is>
      </c>
      <c r="Q986" s="18" t="inlineStr">
        <is>
          <t>Regla estructural</t>
        </is>
      </c>
      <c r="R986" s="18" t="inlineStr">
        <is>
          <t>Usuario que realizó la carga.</t>
        </is>
      </c>
      <c r="S986" s="18" t="inlineStr">
        <is>
          <t>Media</t>
        </is>
      </c>
      <c r="T986" s="18" t="inlineStr">
        <is>
          <t>Convención de nombre de la columna.</t>
        </is>
      </c>
      <c r="U986" s="18" t="inlineStr"/>
      <c r="V986" s="19" t="inlineStr">
        <is>
          <t>Aprobada</t>
        </is>
      </c>
      <c r="W986" s="19" t="inlineStr"/>
      <c r="X986" s="19" t="inlineStr">
        <is>
          <t>Aldair González (aprobación en bloque)</t>
        </is>
      </c>
      <c r="Y986" s="20" t="n">
        <v>46321</v>
      </c>
      <c r="Z986" s="19" t="inlineStr">
        <is>
          <t>Nivel 1: propuesta del comentario del desarrollador o de confianza alta, o regla de fecha/responsable/motivo.</t>
        </is>
      </c>
      <c r="AA986" s="18">
        <f>IF(OR(V986="Aprobada"),R986,IF(AND(OR(V986="Aprobada con ajuste",V986="Rechazada"),W986&lt;&gt;""),W986,""))</f>
        <v/>
      </c>
    </row>
    <row r="987">
      <c r="A987" s="18" t="inlineStr">
        <is>
          <t>C0986</t>
        </is>
      </c>
      <c r="B987" s="18" t="inlineStr">
        <is>
          <t>Gestión jurídica</t>
        </is>
      </c>
      <c r="C987" s="18" t="inlineStr">
        <is>
          <t>legal_management</t>
        </is>
      </c>
      <c r="D987" s="18" t="inlineStr">
        <is>
          <t>documentos_oc</t>
        </is>
      </c>
      <c r="E987" s="18" t="n">
        <v>21</v>
      </c>
      <c r="F987" s="18" t="inlineStr">
        <is>
          <t>fecha_documento</t>
        </is>
      </c>
      <c r="G987" s="18" t="inlineStr">
        <is>
          <t>date</t>
        </is>
      </c>
      <c r="H987" s="18" t="inlineStr">
        <is>
          <t>Sí</t>
        </is>
      </c>
      <c r="I987" s="18" t="inlineStr"/>
      <c r="J987" s="18" t="inlineStr"/>
      <c r="K987" s="18" t="inlineStr"/>
      <c r="L987" s="18" t="inlineStr">
        <is>
          <t>No</t>
        </is>
      </c>
      <c r="M987" s="18" t="inlineStr">
        <is>
          <t>No</t>
        </is>
      </c>
      <c r="N987" s="18" t="inlineStr"/>
      <c r="O987" s="18" t="inlineStr"/>
      <c r="P987" s="18" t="inlineStr">
        <is>
          <t>Mapeada en legal-management-service/src/entities/documento-oc.entity.ts:37 (DocumentoOC.fechaDocumento)</t>
        </is>
      </c>
      <c r="Q987" s="18" t="inlineStr">
        <is>
          <t>Regla estructural (redacción revisada)</t>
        </is>
      </c>
      <c r="R987" s="18" t="inlineStr">
        <is>
          <t>Fecha del documento del requerimiento.</t>
        </is>
      </c>
      <c r="S987" s="18" t="inlineStr">
        <is>
          <t>Alta</t>
        </is>
      </c>
      <c r="T987" s="18" t="inlineStr">
        <is>
          <t>Convención de nombre, redactada con el contexto de la tabla y el código.</t>
        </is>
      </c>
      <c r="U987" s="18" t="inlineStr"/>
      <c r="V987" s="19" t="inlineStr">
        <is>
          <t>Aprobada</t>
        </is>
      </c>
      <c r="W987" s="19" t="inlineStr"/>
      <c r="X987" s="19" t="inlineStr">
        <is>
          <t>Aldair González (aprobación en bloque)</t>
        </is>
      </c>
      <c r="Y987" s="20" t="n">
        <v>46321</v>
      </c>
      <c r="Z987" s="19" t="inlineStr">
        <is>
          <t>Nivel 2: regla estructural con redacción revisada.</t>
        </is>
      </c>
      <c r="AA987" s="18">
        <f>IF(OR(V987="Aprobada"),R987,IF(AND(OR(V987="Aprobada con ajuste",V987="Rechazada"),W987&lt;&gt;""),W987,""))</f>
        <v/>
      </c>
    </row>
    <row r="988">
      <c r="A988" s="18" t="inlineStr">
        <is>
          <t>C0987</t>
        </is>
      </c>
      <c r="B988" s="18" t="inlineStr">
        <is>
          <t>Gestión jurídica</t>
        </is>
      </c>
      <c r="C988" s="18" t="inlineStr">
        <is>
          <t>legal_management</t>
        </is>
      </c>
      <c r="D988" s="18" t="inlineStr">
        <is>
          <t>evidencias</t>
        </is>
      </c>
      <c r="E988" s="18" t="n">
        <v>16</v>
      </c>
      <c r="F988" s="18" t="inlineStr">
        <is>
          <t>descripcion</t>
        </is>
      </c>
      <c r="G988" s="18" t="inlineStr">
        <is>
          <t>text</t>
        </is>
      </c>
      <c r="H988" s="18" t="inlineStr">
        <is>
          <t>Sí</t>
        </is>
      </c>
      <c r="I988" s="18" t="inlineStr"/>
      <c r="J988" s="18" t="inlineStr"/>
      <c r="K988" s="18" t="inlineStr"/>
      <c r="L988" s="18" t="inlineStr">
        <is>
          <t>No</t>
        </is>
      </c>
      <c r="M988" s="18" t="inlineStr">
        <is>
          <t>No</t>
        </is>
      </c>
      <c r="N988" s="18" t="inlineStr"/>
      <c r="O988" s="18" t="inlineStr"/>
      <c r="P988" s="18" t="inlineStr">
        <is>
          <t>Mapeada en legal-management-service/src/entities/evidencia.entity.ts:16 (Evidencia.descripcion)</t>
        </is>
      </c>
      <c r="Q988" s="18" t="inlineStr">
        <is>
          <t>Regla estructural (redacción revisada)</t>
        </is>
      </c>
      <c r="R988" s="18" t="inlineStr">
        <is>
          <t>Descripción de la evidencia del expediente.</t>
        </is>
      </c>
      <c r="S988" s="18" t="inlineStr">
        <is>
          <t>Alta</t>
        </is>
      </c>
      <c r="T988" s="18" t="inlineStr">
        <is>
          <t>Convención de nombre, redactada con el contexto de la tabla y el código.</t>
        </is>
      </c>
      <c r="U988" s="18" t="inlineStr"/>
      <c r="V988" s="19" t="inlineStr">
        <is>
          <t>Aprobada</t>
        </is>
      </c>
      <c r="W988" s="19" t="inlineStr"/>
      <c r="X988" s="19" t="inlineStr">
        <is>
          <t>Aldair González (aprobación en bloque)</t>
        </is>
      </c>
      <c r="Y988" s="20" t="n">
        <v>46321</v>
      </c>
      <c r="Z988" s="19" t="inlineStr">
        <is>
          <t>Nivel 2: regla estructural con redacción revisada.</t>
        </is>
      </c>
      <c r="AA988" s="18">
        <f>IF(OR(V988="Aprobada"),R988,IF(AND(OR(V988="Aprobada con ajuste",V988="Rechazada"),W988&lt;&gt;""),W988,""))</f>
        <v/>
      </c>
    </row>
    <row r="989">
      <c r="A989" s="18" t="inlineStr">
        <is>
          <t>C0988</t>
        </is>
      </c>
      <c r="B989" s="18" t="inlineStr">
        <is>
          <t>Gestión jurídica</t>
        </is>
      </c>
      <c r="C989" s="18" t="inlineStr">
        <is>
          <t>legal_management</t>
        </is>
      </c>
      <c r="D989" s="18" t="inlineStr">
        <is>
          <t>evidencias</t>
        </is>
      </c>
      <c r="E989" s="18" t="n">
        <v>16</v>
      </c>
      <c r="F989" s="18" t="inlineStr">
        <is>
          <t>aportado_por</t>
        </is>
      </c>
      <c r="G989" s="18" t="inlineStr">
        <is>
          <t>character varying(255)</t>
        </is>
      </c>
      <c r="H989" s="18" t="inlineStr">
        <is>
          <t>Sí</t>
        </is>
      </c>
      <c r="I989" s="18" t="inlineStr"/>
      <c r="J989" s="18" t="inlineStr"/>
      <c r="K989" s="18" t="inlineStr"/>
      <c r="L989" s="18" t="inlineStr">
        <is>
          <t>No</t>
        </is>
      </c>
      <c r="M989" s="18" t="inlineStr">
        <is>
          <t>No</t>
        </is>
      </c>
      <c r="N989" s="18" t="inlineStr"/>
      <c r="O989" s="18" t="inlineStr"/>
      <c r="P989" s="18" t="inlineStr">
        <is>
          <t>Mapeada en legal-management-service/src/entities/evidencia.entity.ts:19 (Evidencia.aportadoPor)</t>
        </is>
      </c>
      <c r="Q989" s="18" t="inlineStr">
        <is>
          <t>Propuesta semántica</t>
        </is>
      </c>
      <c r="R989" s="18" t="inlineStr">
        <is>
          <t>Persona que aportó la evidencia.</t>
        </is>
      </c>
      <c r="S989" s="18" t="inlineStr">
        <is>
          <t>Alta</t>
        </is>
      </c>
      <c r="T989" s="18" t="inlineStr">
        <is>
          <t>nombre + tipo + columnas vecinas</t>
        </is>
      </c>
      <c r="U989" s="18" t="inlineStr"/>
      <c r="V989" s="19" t="inlineStr">
        <is>
          <t>Aprobada</t>
        </is>
      </c>
      <c r="W989" s="19" t="inlineStr"/>
      <c r="X989" s="19" t="inlineStr">
        <is>
          <t>Aldair González (aprobación en bloque)</t>
        </is>
      </c>
      <c r="Y989" s="20" t="n">
        <v>46321</v>
      </c>
      <c r="Z989" s="19" t="inlineStr">
        <is>
          <t>Nivel 1: propuesta del comentario del desarrollador o de confianza alta, o regla de fecha/responsable/motivo.</t>
        </is>
      </c>
      <c r="AA989" s="18">
        <f>IF(OR(V989="Aprobada"),R989,IF(AND(OR(V989="Aprobada con ajuste",V989="Rechazada"),W989&lt;&gt;""),W989,""))</f>
        <v/>
      </c>
    </row>
    <row r="990">
      <c r="A990" s="18" t="inlineStr">
        <is>
          <t>C0989</t>
        </is>
      </c>
      <c r="B990" s="18" t="inlineStr">
        <is>
          <t>Gestión jurídica</t>
        </is>
      </c>
      <c r="C990" s="18" t="inlineStr">
        <is>
          <t>legal_management</t>
        </is>
      </c>
      <c r="D990" s="18" t="inlineStr">
        <is>
          <t>evidencias</t>
        </is>
      </c>
      <c r="E990" s="18" t="n">
        <v>16</v>
      </c>
      <c r="F990" s="18" t="inlineStr">
        <is>
          <t>fecha_presentacion</t>
        </is>
      </c>
      <c r="G990" s="18" t="inlineStr">
        <is>
          <t>timestamp with time zone</t>
        </is>
      </c>
      <c r="H990" s="18" t="inlineStr">
        <is>
          <t>Sí</t>
        </is>
      </c>
      <c r="I990" s="18" t="inlineStr"/>
      <c r="J990" s="18" t="inlineStr"/>
      <c r="K990" s="18" t="inlineStr"/>
      <c r="L990" s="18" t="inlineStr">
        <is>
          <t>No</t>
        </is>
      </c>
      <c r="M990" s="18" t="inlineStr">
        <is>
          <t>No</t>
        </is>
      </c>
      <c r="N990" s="18" t="inlineStr"/>
      <c r="O990" s="18" t="inlineStr"/>
      <c r="P990" s="18" t="inlineStr">
        <is>
          <t>Mapeada en legal-management-service/src/entities/evidencia.entity.ts:22 (Evidencia.fechaPresentacion)</t>
        </is>
      </c>
      <c r="Q990" s="18" t="inlineStr">
        <is>
          <t>Regla estructural (redacción revisada)</t>
        </is>
      </c>
      <c r="R990" s="18" t="inlineStr">
        <is>
          <t>Fecha y hora de presentación de la evidencia.</t>
        </is>
      </c>
      <c r="S990" s="18" t="inlineStr">
        <is>
          <t>Alta</t>
        </is>
      </c>
      <c r="T990" s="18" t="inlineStr">
        <is>
          <t>Convención de nombre, redactada con el contexto de la tabla y el código.</t>
        </is>
      </c>
      <c r="U990" s="18" t="inlineStr"/>
      <c r="V990" s="19" t="inlineStr">
        <is>
          <t>Aprobada</t>
        </is>
      </c>
      <c r="W990" s="19" t="inlineStr"/>
      <c r="X990" s="19" t="inlineStr">
        <is>
          <t>Aldair González (aprobación en bloque)</t>
        </is>
      </c>
      <c r="Y990" s="20" t="n">
        <v>46321</v>
      </c>
      <c r="Z990" s="19" t="inlineStr">
        <is>
          <t>Nivel 2: regla estructural con redacción revisada.</t>
        </is>
      </c>
      <c r="AA990" s="18">
        <f>IF(OR(V990="Aprobada"),R990,IF(AND(OR(V990="Aprobada con ajuste",V990="Rechazada"),W990&lt;&gt;""),W990,""))</f>
        <v/>
      </c>
    </row>
    <row r="991">
      <c r="A991" s="18" t="inlineStr">
        <is>
          <t>C0990</t>
        </is>
      </c>
      <c r="B991" s="18" t="inlineStr">
        <is>
          <t>Gestión jurídica</t>
        </is>
      </c>
      <c r="C991" s="18" t="inlineStr">
        <is>
          <t>legal_management</t>
        </is>
      </c>
      <c r="D991" s="18" t="inlineStr">
        <is>
          <t>evidencias</t>
        </is>
      </c>
      <c r="E991" s="18" t="n">
        <v>16</v>
      </c>
      <c r="F991" s="18" t="inlineStr">
        <is>
          <t>archivo_nombre</t>
        </is>
      </c>
      <c r="G991" s="18" t="inlineStr">
        <is>
          <t>character varying(255)</t>
        </is>
      </c>
      <c r="H991" s="18" t="inlineStr">
        <is>
          <t>Sí</t>
        </is>
      </c>
      <c r="I991" s="18" t="inlineStr"/>
      <c r="J991" s="18" t="inlineStr"/>
      <c r="K991" s="18" t="inlineStr"/>
      <c r="L991" s="18" t="inlineStr">
        <is>
          <t>No</t>
        </is>
      </c>
      <c r="M991" s="18" t="inlineStr">
        <is>
          <t>No</t>
        </is>
      </c>
      <c r="N991" s="18" t="inlineStr"/>
      <c r="O991" s="18" t="inlineStr"/>
      <c r="P991" s="18" t="inlineStr">
        <is>
          <t>Mapeada en legal-management-service/src/entities/evidencia.entity.ts:25 (Evidencia.archivoNombre)</t>
        </is>
      </c>
      <c r="Q991" s="18" t="inlineStr">
        <is>
          <t>Propuesta semántica</t>
        </is>
      </c>
      <c r="R991" s="18" t="inlineStr">
        <is>
          <t>Nombre del archivo de la evidencia.</t>
        </is>
      </c>
      <c r="S991" s="18" t="inlineStr">
        <is>
          <t>Alta</t>
        </is>
      </c>
      <c r="T991" s="18" t="inlineStr">
        <is>
          <t>nombre + tipo + columnas vecinas</t>
        </is>
      </c>
      <c r="U991" s="18" t="inlineStr"/>
      <c r="V991" s="19" t="inlineStr">
        <is>
          <t>Aprobada</t>
        </is>
      </c>
      <c r="W991" s="19" t="inlineStr"/>
      <c r="X991" s="19" t="inlineStr">
        <is>
          <t>Aldair González (aprobación en bloque)</t>
        </is>
      </c>
      <c r="Y991" s="20" t="n">
        <v>46321</v>
      </c>
      <c r="Z991" s="19" t="inlineStr">
        <is>
          <t>Nivel 1: propuesta del comentario del desarrollador o de confianza alta, o regla de fecha/responsable/motivo.</t>
        </is>
      </c>
      <c r="AA991" s="18">
        <f>IF(OR(V991="Aprobada"),R991,IF(AND(OR(V991="Aprobada con ajuste",V991="Rechazada"),W991&lt;&gt;""),W991,""))</f>
        <v/>
      </c>
    </row>
    <row r="992">
      <c r="A992" s="18" t="inlineStr">
        <is>
          <t>C0991</t>
        </is>
      </c>
      <c r="B992" s="18" t="inlineStr">
        <is>
          <t>Gestión jurídica</t>
        </is>
      </c>
      <c r="C992" s="18" t="inlineStr">
        <is>
          <t>legal_management</t>
        </is>
      </c>
      <c r="D992" s="18" t="inlineStr">
        <is>
          <t>evidencias</t>
        </is>
      </c>
      <c r="E992" s="18" t="n">
        <v>16</v>
      </c>
      <c r="F992" s="18" t="inlineStr">
        <is>
          <t>archivo_url</t>
        </is>
      </c>
      <c r="G992" s="18" t="inlineStr">
        <is>
          <t>text</t>
        </is>
      </c>
      <c r="H992" s="18" t="inlineStr">
        <is>
          <t>Sí</t>
        </is>
      </c>
      <c r="I992" s="18" t="inlineStr"/>
      <c r="J992" s="18" t="inlineStr"/>
      <c r="K992" s="18" t="inlineStr"/>
      <c r="L992" s="18" t="inlineStr">
        <is>
          <t>No</t>
        </is>
      </c>
      <c r="M992" s="18" t="inlineStr">
        <is>
          <t>No</t>
        </is>
      </c>
      <c r="N992" s="18" t="inlineStr"/>
      <c r="O992" s="18" t="inlineStr"/>
      <c r="P992" s="18" t="inlineStr">
        <is>
          <t>Mapeada en legal-management-service/src/entities/evidencia.entity.ts:28 (Evidencia.archivoUrl)</t>
        </is>
      </c>
      <c r="Q992" s="18" t="inlineStr">
        <is>
          <t>Propuesta semántica</t>
        </is>
      </c>
      <c r="R992" s="18" t="inlineStr">
        <is>
          <t>URL del archivo de la evidencia.</t>
        </is>
      </c>
      <c r="S992" s="18" t="inlineStr">
        <is>
          <t>Alta</t>
        </is>
      </c>
      <c r="T992" s="18" t="inlineStr">
        <is>
          <t>nombre + tipo + columnas vecinas</t>
        </is>
      </c>
      <c r="U992" s="18" t="inlineStr"/>
      <c r="V992" s="19" t="inlineStr">
        <is>
          <t>Aprobada</t>
        </is>
      </c>
      <c r="W992" s="19" t="inlineStr"/>
      <c r="X992" s="19" t="inlineStr">
        <is>
          <t>Aldair González (aprobación en bloque)</t>
        </is>
      </c>
      <c r="Y992" s="20" t="n">
        <v>46321</v>
      </c>
      <c r="Z992" s="19" t="inlineStr">
        <is>
          <t>Nivel 1: propuesta del comentario del desarrollador o de confianza alta, o regla de fecha/responsable/motivo.</t>
        </is>
      </c>
      <c r="AA992" s="18">
        <f>IF(OR(V992="Aprobada"),R992,IF(AND(OR(V992="Aprobada con ajuste",V992="Rechazada"),W992&lt;&gt;""),W992,""))</f>
        <v/>
      </c>
    </row>
    <row r="993">
      <c r="A993" s="18" t="inlineStr">
        <is>
          <t>C0992</t>
        </is>
      </c>
      <c r="B993" s="18" t="inlineStr">
        <is>
          <t>Gestión jurídica</t>
        </is>
      </c>
      <c r="C993" s="18" t="inlineStr">
        <is>
          <t>legal_management</t>
        </is>
      </c>
      <c r="D993" s="18" t="inlineStr">
        <is>
          <t>evidencias</t>
        </is>
      </c>
      <c r="E993" s="18" t="n">
        <v>16</v>
      </c>
      <c r="F993" s="18" t="inlineStr">
        <is>
          <t>archivo_tamano</t>
        </is>
      </c>
      <c r="G993" s="18" t="inlineStr">
        <is>
          <t>integer</t>
        </is>
      </c>
      <c r="H993" s="18" t="inlineStr">
        <is>
          <t>Sí</t>
        </is>
      </c>
      <c r="I993" s="18" t="inlineStr"/>
      <c r="J993" s="18" t="inlineStr"/>
      <c r="K993" s="18" t="inlineStr"/>
      <c r="L993" s="18" t="inlineStr">
        <is>
          <t>No</t>
        </is>
      </c>
      <c r="M993" s="18" t="inlineStr">
        <is>
          <t>No</t>
        </is>
      </c>
      <c r="N993" s="18" t="inlineStr"/>
      <c r="O993" s="18" t="inlineStr"/>
      <c r="P993" s="18" t="inlineStr">
        <is>
          <t>Mapeada en legal-management-service/src/entities/evidencia.entity.ts:31 (Evidencia.archivoTamano)</t>
        </is>
      </c>
      <c r="Q993" s="18" t="inlineStr">
        <is>
          <t>Código fuente (verificado)</t>
        </is>
      </c>
      <c r="R993" s="18" t="inlineStr">
        <is>
          <t>Tamaño del archivo de la evidencia, en bytes.</t>
        </is>
      </c>
      <c r="S993" s="18" t="inlineStr">
        <is>
          <t>Alta</t>
        </is>
      </c>
      <c r="T993" s="18" t="inlineStr">
        <is>
          <t>legal-management-service/src/services/evidencias.service.ts:60: archivoTamano = file.size (Multer, bytes)</t>
        </is>
      </c>
      <c r="U993" s="18" t="inlineStr"/>
      <c r="V993" s="19" t="inlineStr">
        <is>
          <t>Aprobada</t>
        </is>
      </c>
      <c r="W993" s="19" t="inlineStr"/>
      <c r="X993" s="19" t="inlineStr">
        <is>
          <t>Aldair González (aprobación en bloque)</t>
        </is>
      </c>
      <c r="Y993" s="20" t="n">
        <v>46321</v>
      </c>
      <c r="Z993" s="19" t="inlineStr">
        <is>
          <t>Nivel 3: verificada con el código de la aplicación.</t>
        </is>
      </c>
      <c r="AA993" s="18">
        <f>IF(OR(V993="Aprobada"),R993,IF(AND(OR(V993="Aprobada con ajuste",V993="Rechazada"),W993&lt;&gt;""),W993,""))</f>
        <v/>
      </c>
    </row>
    <row r="994">
      <c r="A994" s="18" t="inlineStr">
        <is>
          <t>C0993</t>
        </is>
      </c>
      <c r="B994" s="18" t="inlineStr">
        <is>
          <t>Gestión jurídica</t>
        </is>
      </c>
      <c r="C994" s="18" t="inlineStr">
        <is>
          <t>legal_management</t>
        </is>
      </c>
      <c r="D994" s="18" t="inlineStr">
        <is>
          <t>evidencias</t>
        </is>
      </c>
      <c r="E994" s="18" t="n">
        <v>16</v>
      </c>
      <c r="F994" s="18" t="inlineStr">
        <is>
          <t>tipo</t>
        </is>
      </c>
      <c r="G994" s="18" t="inlineStr">
        <is>
          <t>character varying(100)</t>
        </is>
      </c>
      <c r="H994" s="18" t="inlineStr">
        <is>
          <t>Sí</t>
        </is>
      </c>
      <c r="I994" s="18" t="inlineStr"/>
      <c r="J994" s="18" t="inlineStr"/>
      <c r="K994" s="18" t="inlineStr"/>
      <c r="L994" s="18" t="inlineStr">
        <is>
          <t>No</t>
        </is>
      </c>
      <c r="M994" s="18" t="inlineStr">
        <is>
          <t>No</t>
        </is>
      </c>
      <c r="N994" s="18" t="inlineStr"/>
      <c r="O994" s="18" t="inlineStr"/>
      <c r="P994" s="18" t="inlineStr">
        <is>
          <t>Mapeada en legal-management-service/src/entities/evidencia.entity.ts:34 (Evidencia.tipo)</t>
        </is>
      </c>
      <c r="Q994" s="18" t="inlineStr">
        <is>
          <t>Regla estructural (redacción revisada)</t>
        </is>
      </c>
      <c r="R994" s="18" t="inlineStr">
        <is>
          <t>Tipo de evidencia.</t>
        </is>
      </c>
      <c r="S994" s="18" t="inlineStr">
        <is>
          <t>Alta</t>
        </is>
      </c>
      <c r="T994" s="18" t="inlineStr">
        <is>
          <t>Convención de nombre, redactada con el contexto de la tabla y el código.</t>
        </is>
      </c>
      <c r="U994" s="18" t="inlineStr"/>
      <c r="V994" s="19" t="inlineStr">
        <is>
          <t>Aprobada</t>
        </is>
      </c>
      <c r="W994" s="19" t="inlineStr"/>
      <c r="X994" s="19" t="inlineStr">
        <is>
          <t>Aldair González (aprobación en bloque)</t>
        </is>
      </c>
      <c r="Y994" s="20" t="n">
        <v>46321</v>
      </c>
      <c r="Z994" s="19" t="inlineStr">
        <is>
          <t>Nivel 2: regla estructural con redacción revisada.</t>
        </is>
      </c>
      <c r="AA994" s="18">
        <f>IF(OR(V994="Aprobada"),R994,IF(AND(OR(V994="Aprobada con ajuste",V994="Rechazada"),W994&lt;&gt;""),W994,""))</f>
        <v/>
      </c>
    </row>
    <row r="995">
      <c r="A995" s="18" t="inlineStr">
        <is>
          <t>C0994</t>
        </is>
      </c>
      <c r="B995" s="18" t="inlineStr">
        <is>
          <t>Gestión jurídica</t>
        </is>
      </c>
      <c r="C995" s="18" t="inlineStr">
        <is>
          <t>legal_management</t>
        </is>
      </c>
      <c r="D995" s="18" t="inlineStr">
        <is>
          <t>evidencias</t>
        </is>
      </c>
      <c r="E995" s="18" t="n">
        <v>16</v>
      </c>
      <c r="F995" s="18" t="inlineStr">
        <is>
          <t>prioridad</t>
        </is>
      </c>
      <c r="G995" s="18" t="inlineStr">
        <is>
          <t>character varying(20)</t>
        </is>
      </c>
      <c r="H995" s="18" t="inlineStr">
        <is>
          <t>Sí</t>
        </is>
      </c>
      <c r="I995" s="18" t="inlineStr">
        <is>
          <t>CHECK</t>
        </is>
      </c>
      <c r="J995" s="18" t="inlineStr">
        <is>
          <t>Alta, Baja, Media</t>
        </is>
      </c>
      <c r="K995" s="18" t="inlineStr"/>
      <c r="L995" s="18" t="inlineStr">
        <is>
          <t>Sí</t>
        </is>
      </c>
      <c r="M995" s="18" t="inlineStr">
        <is>
          <t>No</t>
        </is>
      </c>
      <c r="N995" s="18" t="inlineStr"/>
      <c r="O995" s="18" t="inlineStr"/>
      <c r="P995" s="18" t="inlineStr">
        <is>
          <t>Mapeada en legal-management-service/src/entities/evidencia.entity.ts:37 (Evidencia.prioridad)</t>
        </is>
      </c>
      <c r="Q995" s="18" t="inlineStr">
        <is>
          <t>Propuesta semántica</t>
        </is>
      </c>
      <c r="R995" s="18" t="inlineStr">
        <is>
          <t>Prioridad de la evidencia. Valores permitidos: Alta, Media, Baja.</t>
        </is>
      </c>
      <c r="S995" s="18" t="inlineStr">
        <is>
          <t>Alta</t>
        </is>
      </c>
      <c r="T995" s="18" t="inlineStr">
        <is>
          <t>valores permitidos del CHECK</t>
        </is>
      </c>
      <c r="U995" s="18" t="inlineStr"/>
      <c r="V995" s="19" t="inlineStr">
        <is>
          <t>Aprobada</t>
        </is>
      </c>
      <c r="W995" s="19" t="inlineStr"/>
      <c r="X995" s="19" t="inlineStr">
        <is>
          <t>Aldair González (aprobación en bloque)</t>
        </is>
      </c>
      <c r="Y995" s="20" t="n">
        <v>46321</v>
      </c>
      <c r="Z995" s="19" t="inlineStr">
        <is>
          <t>Nivel 1: propuesta del comentario del desarrollador o de confianza alta, o regla de fecha/responsable/motivo.</t>
        </is>
      </c>
      <c r="AA995" s="18">
        <f>IF(OR(V995="Aprobada"),R995,IF(AND(OR(V995="Aprobada con ajuste",V995="Rechazada"),W995&lt;&gt;""),W995,""))</f>
        <v/>
      </c>
    </row>
    <row r="996">
      <c r="A996" s="18" t="inlineStr">
        <is>
          <t>C0995</t>
        </is>
      </c>
      <c r="B996" s="18" t="inlineStr">
        <is>
          <t>Gestión jurídica</t>
        </is>
      </c>
      <c r="C996" s="18" t="inlineStr">
        <is>
          <t>legal_management</t>
        </is>
      </c>
      <c r="D996" s="18" t="inlineStr">
        <is>
          <t>evidencias</t>
        </is>
      </c>
      <c r="E996" s="18" t="n">
        <v>16</v>
      </c>
      <c r="F996" s="18" t="inlineStr">
        <is>
          <t>estado</t>
        </is>
      </c>
      <c r="G996" s="18" t="inlineStr">
        <is>
          <t>character varying(50)</t>
        </is>
      </c>
      <c r="H996" s="18" t="inlineStr">
        <is>
          <t>Sí</t>
        </is>
      </c>
      <c r="I996" s="18" t="inlineStr">
        <is>
          <t>CHECK</t>
        </is>
      </c>
      <c r="J996" s="18" t="inlineStr">
        <is>
          <t>Admitida, En Revisión, Pendiente, Rechazada, Valida</t>
        </is>
      </c>
      <c r="K996" s="18" t="inlineStr"/>
      <c r="L996" s="18" t="inlineStr">
        <is>
          <t>Sí</t>
        </is>
      </c>
      <c r="M996" s="18" t="inlineStr">
        <is>
          <t>No</t>
        </is>
      </c>
      <c r="N996" s="18" t="inlineStr"/>
      <c r="O996" s="18" t="inlineStr"/>
      <c r="P996" s="18" t="inlineStr">
        <is>
          <t>Mapeada en legal-management-service/src/entities/evidencia.entity.ts:40 (Evidencia.estado)</t>
        </is>
      </c>
      <c r="Q996" s="18" t="inlineStr">
        <is>
          <t>Regla estructural (redacción revisada)</t>
        </is>
      </c>
      <c r="R996" s="18" t="inlineStr">
        <is>
          <t>Estado de la evidencia (Admitida, En Revisión, Pendiente, Rechazada o Valida).</t>
        </is>
      </c>
      <c r="S996" s="18" t="inlineStr">
        <is>
          <t>Alta</t>
        </is>
      </c>
      <c r="T996" s="18" t="inlineStr">
        <is>
          <t>Convención de nombre, redactada con el contexto de la tabla y el código.</t>
        </is>
      </c>
      <c r="U996" s="18" t="inlineStr"/>
      <c r="V996" s="19" t="inlineStr">
        <is>
          <t>Aprobada</t>
        </is>
      </c>
      <c r="W996" s="19" t="inlineStr"/>
      <c r="X996" s="19" t="inlineStr">
        <is>
          <t>Aldair González (aprobación en bloque)</t>
        </is>
      </c>
      <c r="Y996" s="20" t="n">
        <v>46321</v>
      </c>
      <c r="Z996" s="19" t="inlineStr">
        <is>
          <t>Nivel 2: regla estructural con redacción revisada.</t>
        </is>
      </c>
      <c r="AA996" s="18">
        <f>IF(OR(V996="Aprobada"),R996,IF(AND(OR(V996="Aprobada con ajuste",V996="Rechazada"),W996&lt;&gt;""),W996,""))</f>
        <v/>
      </c>
    </row>
    <row r="997">
      <c r="A997" s="18" t="inlineStr">
        <is>
          <t>C0996</t>
        </is>
      </c>
      <c r="B997" s="18" t="inlineStr">
        <is>
          <t>Gestión jurídica</t>
        </is>
      </c>
      <c r="C997" s="18" t="inlineStr">
        <is>
          <t>legal_management</t>
        </is>
      </c>
      <c r="D997" s="18" t="inlineStr">
        <is>
          <t>excepciones_procesales</t>
        </is>
      </c>
      <c r="E997" s="18" t="n">
        <v>2</v>
      </c>
      <c r="F997" s="18" t="inlineStr">
        <is>
          <t>descripcion</t>
        </is>
      </c>
      <c r="G997" s="18" t="inlineStr">
        <is>
          <t>text</t>
        </is>
      </c>
      <c r="H997" s="18" t="inlineStr">
        <is>
          <t>No</t>
        </is>
      </c>
      <c r="I997" s="18" t="inlineStr"/>
      <c r="J997" s="18" t="inlineStr"/>
      <c r="K997" s="18" t="inlineStr"/>
      <c r="L997" s="18" t="inlineStr">
        <is>
          <t>No</t>
        </is>
      </c>
      <c r="M997" s="18" t="inlineStr">
        <is>
          <t>No</t>
        </is>
      </c>
      <c r="N997" s="18" t="inlineStr"/>
      <c r="O997" s="18" t="inlineStr"/>
      <c r="P997" s="18" t="inlineStr">
        <is>
          <t>Mapeada en legal-management-service/src/entities/excepcion-procesal.entity.ts:15 (ExcepcionProcesal.descripcion)</t>
        </is>
      </c>
      <c r="Q997" s="18" t="inlineStr">
        <is>
          <t>Regla estructural (redacción revisada)</t>
        </is>
      </c>
      <c r="R997" s="18" t="inlineStr">
        <is>
          <t>Descripción de la excepción procesal.</t>
        </is>
      </c>
      <c r="S997" s="18" t="inlineStr">
        <is>
          <t>Alta</t>
        </is>
      </c>
      <c r="T997" s="18" t="inlineStr">
        <is>
          <t>Convención de nombre, redactada con el contexto de la tabla y el código.</t>
        </is>
      </c>
      <c r="U997" s="18" t="inlineStr"/>
      <c r="V997" s="19" t="inlineStr">
        <is>
          <t>Aprobada</t>
        </is>
      </c>
      <c r="W997" s="19" t="inlineStr"/>
      <c r="X997" s="19" t="inlineStr">
        <is>
          <t>Aldair González (aprobación en bloque)</t>
        </is>
      </c>
      <c r="Y997" s="20" t="n">
        <v>46321</v>
      </c>
      <c r="Z997" s="19" t="inlineStr">
        <is>
          <t>Nivel 2: regla estructural con redacción revisada.</t>
        </is>
      </c>
      <c r="AA997" s="18">
        <f>IF(OR(V997="Aprobada"),R997,IF(AND(OR(V997="Aprobada con ajuste",V997="Rechazada"),W997&lt;&gt;""),W997,""))</f>
        <v/>
      </c>
    </row>
    <row r="998">
      <c r="A998" s="18" t="inlineStr">
        <is>
          <t>C0997</t>
        </is>
      </c>
      <c r="B998" s="18" t="inlineStr">
        <is>
          <t>Gestión jurídica</t>
        </is>
      </c>
      <c r="C998" s="18" t="inlineStr">
        <is>
          <t>legal_management</t>
        </is>
      </c>
      <c r="D998" s="18" t="inlineStr">
        <is>
          <t>excepciones_procesales</t>
        </is>
      </c>
      <c r="E998" s="18" t="n">
        <v>2</v>
      </c>
      <c r="F998" s="18" t="inlineStr">
        <is>
          <t>fundamento</t>
        </is>
      </c>
      <c r="G998" s="18" t="inlineStr">
        <is>
          <t>text</t>
        </is>
      </c>
      <c r="H998" s="18" t="inlineStr">
        <is>
          <t>Sí</t>
        </is>
      </c>
      <c r="I998" s="18" t="inlineStr"/>
      <c r="J998" s="18" t="inlineStr"/>
      <c r="K998" s="18" t="inlineStr"/>
      <c r="L998" s="18" t="inlineStr">
        <is>
          <t>No</t>
        </is>
      </c>
      <c r="M998" s="18" t="inlineStr">
        <is>
          <t>No</t>
        </is>
      </c>
      <c r="N998" s="18" t="inlineStr"/>
      <c r="O998" s="18" t="inlineStr"/>
      <c r="P998" s="18" t="inlineStr">
        <is>
          <t>Mapeada en legal-management-service/src/entities/excepcion-procesal.entity.ts:18 (ExcepcionProcesal.fundamento)</t>
        </is>
      </c>
      <c r="Q998" s="18" t="inlineStr">
        <is>
          <t>Propuesta semántica</t>
        </is>
      </c>
      <c r="R998" s="18" t="inlineStr">
        <is>
          <t>Fundamento de la excepción procesal.</t>
        </is>
      </c>
      <c r="S998" s="18" t="inlineStr">
        <is>
          <t>Alta</t>
        </is>
      </c>
      <c r="T998" s="18" t="inlineStr">
        <is>
          <t>nombre + tipo + columnas vecinas</t>
        </is>
      </c>
      <c r="U998" s="18" t="inlineStr"/>
      <c r="V998" s="19" t="inlineStr">
        <is>
          <t>Aprobada</t>
        </is>
      </c>
      <c r="W998" s="19" t="inlineStr"/>
      <c r="X998" s="19" t="inlineStr">
        <is>
          <t>Aldair González (aprobación en bloque)</t>
        </is>
      </c>
      <c r="Y998" s="20" t="n">
        <v>46321</v>
      </c>
      <c r="Z998" s="19" t="inlineStr">
        <is>
          <t>Nivel 1: propuesta del comentario del desarrollador o de confianza alta, o regla de fecha/responsable/motivo.</t>
        </is>
      </c>
      <c r="AA998" s="18">
        <f>IF(OR(V998="Aprobada"),R998,IF(AND(OR(V998="Aprobada con ajuste",V998="Rechazada"),W998&lt;&gt;""),W998,""))</f>
        <v/>
      </c>
    </row>
    <row r="999">
      <c r="A999" s="18" t="inlineStr">
        <is>
          <t>C0998</t>
        </is>
      </c>
      <c r="B999" s="18" t="inlineStr">
        <is>
          <t>Gestión jurídica</t>
        </is>
      </c>
      <c r="C999" s="18" t="inlineStr">
        <is>
          <t>legal_management</t>
        </is>
      </c>
      <c r="D999" s="18" t="inlineStr">
        <is>
          <t>excepciones_procesales</t>
        </is>
      </c>
      <c r="E999" s="18" t="n">
        <v>2</v>
      </c>
      <c r="F999" s="18" t="inlineStr">
        <is>
          <t>resolucion</t>
        </is>
      </c>
      <c r="G999" s="18" t="inlineStr">
        <is>
          <t>text</t>
        </is>
      </c>
      <c r="H999" s="18" t="inlineStr">
        <is>
          <t>Sí</t>
        </is>
      </c>
      <c r="I999" s="18" t="inlineStr"/>
      <c r="J999" s="18" t="inlineStr"/>
      <c r="K999" s="18" t="inlineStr"/>
      <c r="L999" s="18" t="inlineStr">
        <is>
          <t>No</t>
        </is>
      </c>
      <c r="M999" s="18" t="inlineStr">
        <is>
          <t>No</t>
        </is>
      </c>
      <c r="N999" s="18" t="inlineStr"/>
      <c r="O999" s="18" t="inlineStr"/>
      <c r="P999" s="18" t="inlineStr">
        <is>
          <t>Mapeada en legal-management-service/src/entities/excepcion-procesal.entity.ts:24 (ExcepcionProcesal.resolucion)</t>
        </is>
      </c>
      <c r="Q999" s="18" t="inlineStr">
        <is>
          <t>Propuesta semántica</t>
        </is>
      </c>
      <c r="R999" s="18" t="inlineStr">
        <is>
          <t>Decisión adoptada sobre la excepción procesal.</t>
        </is>
      </c>
      <c r="S999" s="18" t="inlineStr">
        <is>
          <t>Alta</t>
        </is>
      </c>
      <c r="T999" s="18" t="inlineStr">
        <is>
          <t>nombre + tipo + columnas vecinas (fecha_resolucion)</t>
        </is>
      </c>
      <c r="U999" s="18" t="inlineStr"/>
      <c r="V999" s="19" t="inlineStr">
        <is>
          <t>Aprobada</t>
        </is>
      </c>
      <c r="W999" s="19" t="inlineStr"/>
      <c r="X999" s="19" t="inlineStr">
        <is>
          <t>Aldair González (aprobación en bloque)</t>
        </is>
      </c>
      <c r="Y999" s="20" t="n">
        <v>46321</v>
      </c>
      <c r="Z999" s="19" t="inlineStr">
        <is>
          <t>Nivel 1: propuesta del comentario del desarrollador o de confianza alta, o regla de fecha/responsable/motivo.</t>
        </is>
      </c>
      <c r="AA999" s="18">
        <f>IF(OR(V999="Aprobada"),R999,IF(AND(OR(V999="Aprobada con ajuste",V999="Rechazada"),W999&lt;&gt;""),W999,""))</f>
        <v/>
      </c>
    </row>
    <row r="1000">
      <c r="A1000" s="18" t="inlineStr">
        <is>
          <t>C0999</t>
        </is>
      </c>
      <c r="B1000" s="18" t="inlineStr">
        <is>
          <t>Gestión jurídica</t>
        </is>
      </c>
      <c r="C1000" s="18" t="inlineStr">
        <is>
          <t>legal_management</t>
        </is>
      </c>
      <c r="D1000" s="18" t="inlineStr">
        <is>
          <t>excepciones_procesales</t>
        </is>
      </c>
      <c r="E1000" s="18" t="n">
        <v>2</v>
      </c>
      <c r="F1000" s="18" t="inlineStr">
        <is>
          <t>fecha_presentacion</t>
        </is>
      </c>
      <c r="G1000" s="18" t="inlineStr">
        <is>
          <t>date</t>
        </is>
      </c>
      <c r="H1000" s="18" t="inlineStr">
        <is>
          <t>No</t>
        </is>
      </c>
      <c r="I1000" s="18" t="inlineStr"/>
      <c r="J1000" s="18" t="inlineStr"/>
      <c r="K1000" s="18" t="inlineStr"/>
      <c r="L1000" s="18" t="inlineStr">
        <is>
          <t>No</t>
        </is>
      </c>
      <c r="M1000" s="18" t="inlineStr">
        <is>
          <t>No</t>
        </is>
      </c>
      <c r="N1000" s="18" t="inlineStr"/>
      <c r="O1000" s="18" t="inlineStr"/>
      <c r="P1000" s="18" t="inlineStr">
        <is>
          <t>Mapeada en legal-management-service/src/entities/excepcion-procesal.entity.ts:27 (ExcepcionProcesal.fechaPresentacion)</t>
        </is>
      </c>
      <c r="Q1000" s="18" t="inlineStr">
        <is>
          <t>Regla estructural (redacción revisada)</t>
        </is>
      </c>
      <c r="R1000" s="18" t="inlineStr">
        <is>
          <t>Fecha de presentación de la excepción procesal.</t>
        </is>
      </c>
      <c r="S1000" s="18" t="inlineStr">
        <is>
          <t>Alta</t>
        </is>
      </c>
      <c r="T1000" s="18" t="inlineStr">
        <is>
          <t>Convención de nombre, redactada con el contexto de la tabla y el código.</t>
        </is>
      </c>
      <c r="U1000" s="18" t="inlineStr"/>
      <c r="V1000" s="19" t="inlineStr">
        <is>
          <t>Aprobada</t>
        </is>
      </c>
      <c r="W1000" s="19" t="inlineStr"/>
      <c r="X1000" s="19" t="inlineStr">
        <is>
          <t>Aldair González (aprobación en bloque)</t>
        </is>
      </c>
      <c r="Y1000" s="20" t="n">
        <v>46321</v>
      </c>
      <c r="Z1000" s="19" t="inlineStr">
        <is>
          <t>Nivel 2: regla estructural con redacción revisada.</t>
        </is>
      </c>
      <c r="AA1000" s="18">
        <f>IF(OR(V1000="Aprobada"),R1000,IF(AND(OR(V1000="Aprobada con ajuste",V1000="Rechazada"),W1000&lt;&gt;""),W1000,""))</f>
        <v/>
      </c>
    </row>
    <row r="1001">
      <c r="A1001" s="18" t="inlineStr">
        <is>
          <t>C1000</t>
        </is>
      </c>
      <c r="B1001" s="18" t="inlineStr">
        <is>
          <t>Gestión jurídica</t>
        </is>
      </c>
      <c r="C1001" s="18" t="inlineStr">
        <is>
          <t>legal_management</t>
        </is>
      </c>
      <c r="D1001" s="18" t="inlineStr">
        <is>
          <t>excepciones_procesales</t>
        </is>
      </c>
      <c r="E1001" s="18" t="n">
        <v>2</v>
      </c>
      <c r="F1001" s="18" t="inlineStr">
        <is>
          <t>fecha_resolucion</t>
        </is>
      </c>
      <c r="G1001" s="18" t="inlineStr">
        <is>
          <t>date</t>
        </is>
      </c>
      <c r="H1001" s="18" t="inlineStr">
        <is>
          <t>Sí</t>
        </is>
      </c>
      <c r="I1001" s="18" t="inlineStr"/>
      <c r="J1001" s="18" t="inlineStr"/>
      <c r="K1001" s="18" t="inlineStr"/>
      <c r="L1001" s="18" t="inlineStr">
        <is>
          <t>No</t>
        </is>
      </c>
      <c r="M1001" s="18" t="inlineStr">
        <is>
          <t>No</t>
        </is>
      </c>
      <c r="N1001" s="18" t="inlineStr"/>
      <c r="O1001" s="18" t="inlineStr"/>
      <c r="P1001" s="18" t="inlineStr">
        <is>
          <t>Mapeada en legal-management-service/src/entities/excepcion-procesal.entity.ts:30 (ExcepcionProcesal.fechaResolucion)</t>
        </is>
      </c>
      <c r="Q1001" s="18" t="inlineStr">
        <is>
          <t>Regla estructural (redacción revisada)</t>
        </is>
      </c>
      <c r="R1001" s="18" t="inlineStr">
        <is>
          <t>Fecha de resolución de la excepción procesal.</t>
        </is>
      </c>
      <c r="S1001" s="18" t="inlineStr">
        <is>
          <t>Alta</t>
        </is>
      </c>
      <c r="T1001" s="18" t="inlineStr">
        <is>
          <t>Convención de nombre, redactada con el contexto de la tabla y el código.</t>
        </is>
      </c>
      <c r="U1001" s="18" t="inlineStr"/>
      <c r="V1001" s="19" t="inlineStr">
        <is>
          <t>Aprobada</t>
        </is>
      </c>
      <c r="W1001" s="19" t="inlineStr"/>
      <c r="X1001" s="19" t="inlineStr">
        <is>
          <t>Aldair González (aprobación en bloque)</t>
        </is>
      </c>
      <c r="Y1001" s="20" t="n">
        <v>46321</v>
      </c>
      <c r="Z1001" s="19" t="inlineStr">
        <is>
          <t>Nivel 2: regla estructural con redacción revisada.</t>
        </is>
      </c>
      <c r="AA1001" s="18">
        <f>IF(OR(V1001="Aprobada"),R1001,IF(AND(OR(V1001="Aprobada con ajuste",V1001="Rechazada"),W1001&lt;&gt;""),W1001,""))</f>
        <v/>
      </c>
    </row>
    <row r="1002">
      <c r="A1002" s="18" t="inlineStr">
        <is>
          <t>C1001</t>
        </is>
      </c>
      <c r="B1002" s="18" t="inlineStr">
        <is>
          <t>Gestión jurídica</t>
        </is>
      </c>
      <c r="C1002" s="18" t="inlineStr">
        <is>
          <t>legal_management</t>
        </is>
      </c>
      <c r="D1002" s="18" t="inlineStr">
        <is>
          <t>excepciones_procesales</t>
        </is>
      </c>
      <c r="E1002" s="18" t="n">
        <v>2</v>
      </c>
      <c r="F1002" s="18" t="inlineStr">
        <is>
          <t>presentado_por</t>
        </is>
      </c>
      <c r="G1002" s="18" t="inlineStr">
        <is>
          <t>character varying(255)</t>
        </is>
      </c>
      <c r="H1002" s="18" t="inlineStr">
        <is>
          <t>Sí</t>
        </is>
      </c>
      <c r="I1002" s="18" t="inlineStr"/>
      <c r="J1002" s="18" t="inlineStr"/>
      <c r="K1002" s="18" t="inlineStr"/>
      <c r="L1002" s="18" t="inlineStr">
        <is>
          <t>No</t>
        </is>
      </c>
      <c r="M1002" s="18" t="inlineStr">
        <is>
          <t>No</t>
        </is>
      </c>
      <c r="N1002" s="18" t="inlineStr"/>
      <c r="O1002" s="18" t="inlineStr"/>
      <c r="P1002" s="18" t="inlineStr">
        <is>
          <t>Mapeada en legal-management-service/src/entities/excepcion-procesal.entity.ts:33 (ExcepcionProcesal.presentadoPor)</t>
        </is>
      </c>
      <c r="Q1002" s="18" t="inlineStr">
        <is>
          <t>Propuesta semántica</t>
        </is>
      </c>
      <c r="R1002" s="18" t="inlineStr">
        <is>
          <t>Persona que presentó la excepción.</t>
        </is>
      </c>
      <c r="S1002" s="18" t="inlineStr">
        <is>
          <t>Alta</t>
        </is>
      </c>
      <c r="T1002" s="18" t="inlineStr">
        <is>
          <t>nombre + tipo + columnas vecinas</t>
        </is>
      </c>
      <c r="U1002" s="18" t="inlineStr"/>
      <c r="V1002" s="19" t="inlineStr">
        <is>
          <t>Aprobada</t>
        </is>
      </c>
      <c r="W1002" s="19" t="inlineStr"/>
      <c r="X1002" s="19" t="inlineStr">
        <is>
          <t>Aldair González (aprobación en bloque)</t>
        </is>
      </c>
      <c r="Y1002" s="20" t="n">
        <v>46321</v>
      </c>
      <c r="Z1002" s="19" t="inlineStr">
        <is>
          <t>Nivel 1: propuesta del comentario del desarrollador o de confianza alta, o regla de fecha/responsable/motivo.</t>
        </is>
      </c>
      <c r="AA1002" s="18">
        <f>IF(OR(V1002="Aprobada"),R1002,IF(AND(OR(V1002="Aprobada con ajuste",V1002="Rechazada"),W1002&lt;&gt;""),W1002,""))</f>
        <v/>
      </c>
    </row>
    <row r="1003">
      <c r="A1003" s="18" t="inlineStr">
        <is>
          <t>C1002</t>
        </is>
      </c>
      <c r="B1003" s="18" t="inlineStr">
        <is>
          <t>Gestión jurídica</t>
        </is>
      </c>
      <c r="C1003" s="18" t="inlineStr">
        <is>
          <t>legal_management</t>
        </is>
      </c>
      <c r="D1003" s="18" t="inlineStr">
        <is>
          <t>expedientes</t>
        </is>
      </c>
      <c r="E1003" s="18" t="n">
        <v>91</v>
      </c>
      <c r="F1003" s="18" t="inlineStr">
        <is>
          <t>radicado</t>
        </is>
      </c>
      <c r="G1003" s="18" t="inlineStr">
        <is>
          <t>character varying(50)</t>
        </is>
      </c>
      <c r="H1003" s="18" t="inlineStr">
        <is>
          <t>No</t>
        </is>
      </c>
      <c r="I1003" s="18" t="inlineStr">
        <is>
          <t>Única</t>
        </is>
      </c>
      <c r="J1003" s="18" t="inlineStr"/>
      <c r="K1003" s="18" t="inlineStr"/>
      <c r="L1003" s="18" t="inlineStr">
        <is>
          <t>No</t>
        </is>
      </c>
      <c r="M1003" s="18" t="inlineStr">
        <is>
          <t>No</t>
        </is>
      </c>
      <c r="N1003" s="18" t="inlineStr"/>
      <c r="O1003" s="18" t="inlineStr">
        <is>
          <t>expedientes_radicado_key</t>
        </is>
      </c>
      <c r="P1003" s="18" t="inlineStr">
        <is>
          <t>Mapeada en legal-management-service/src/entities/expediente.entity.ts:42 (Expediente.radicado) | Validación: IsString, Length(23, 23, { message: 'El radicado debe tener 23 dígitos.' })</t>
        </is>
      </c>
      <c r="Q1003" s="18" t="inlineStr">
        <is>
          <t>Propuesta semántica</t>
        </is>
      </c>
      <c r="R1003" s="18" t="inlineStr">
        <is>
          <t>Número de radicado del expediente, de 23 dígitos. Es único en la tabla.</t>
        </is>
      </c>
      <c r="S1003" s="18" t="inlineStr">
        <is>
          <t>Alta</t>
        </is>
      </c>
      <c r="T1003" s="18" t="inlineStr">
        <is>
          <t>restricción única + validación Length(23, 23)</t>
        </is>
      </c>
      <c r="U1003" s="18" t="inlineStr"/>
      <c r="V1003" s="19" t="inlineStr">
        <is>
          <t>Aprobada</t>
        </is>
      </c>
      <c r="W1003" s="19" t="inlineStr"/>
      <c r="X1003" s="19" t="inlineStr">
        <is>
          <t>Aldair González (aprobación en bloque)</t>
        </is>
      </c>
      <c r="Y1003" s="20" t="n">
        <v>46321</v>
      </c>
      <c r="Z1003" s="19" t="inlineStr">
        <is>
          <t>Nivel 1: propuesta del comentario del desarrollador o de confianza alta, o regla de fecha/responsable/motivo.</t>
        </is>
      </c>
      <c r="AA1003" s="18">
        <f>IF(OR(V1003="Aprobada"),R1003,IF(AND(OR(V1003="Aprobada con ajuste",V1003="Rechazada"),W1003&lt;&gt;""),W1003,""))</f>
        <v/>
      </c>
    </row>
    <row r="1004">
      <c r="A1004" s="18" t="inlineStr">
        <is>
          <t>C1003</t>
        </is>
      </c>
      <c r="B1004" s="18" t="inlineStr">
        <is>
          <t>Gestión jurídica</t>
        </is>
      </c>
      <c r="C1004" s="18" t="inlineStr">
        <is>
          <t>legal_management</t>
        </is>
      </c>
      <c r="D1004" s="18" t="inlineStr">
        <is>
          <t>expedientes</t>
        </is>
      </c>
      <c r="E1004" s="18" t="n">
        <v>91</v>
      </c>
      <c r="F1004" s="18" t="inlineStr">
        <is>
          <t>jurisdiccion</t>
        </is>
      </c>
      <c r="G1004" s="18" t="inlineStr">
        <is>
          <t>character varying(50)</t>
        </is>
      </c>
      <c r="H1004" s="18" t="inlineStr">
        <is>
          <t>No</t>
        </is>
      </c>
      <c r="I1004" s="18" t="inlineStr"/>
      <c r="J1004" s="18" t="inlineStr"/>
      <c r="K1004" s="18" t="inlineStr"/>
      <c r="L1004" s="18" t="inlineStr">
        <is>
          <t>No</t>
        </is>
      </c>
      <c r="M1004" s="18" t="inlineStr">
        <is>
          <t>No</t>
        </is>
      </c>
      <c r="N1004" s="18" t="inlineStr"/>
      <c r="O1004" s="18" t="inlineStr"/>
      <c r="P1004" s="18" t="inlineStr">
        <is>
          <t>legal-management-service/src/entities/expediente.entity.ts:45: CIVIL, PENAL, ADMINISTRATIVO | db/migrations/old/000a_legal_schema_init.sql:16: CIVIL, PENAL, ADMINISTRATIVO | db/init/old/01_legal_schema_init.sql:13: CIVIL, PENAL, ADMINISTRATIVO | Validación: IsString</t>
        </is>
      </c>
      <c r="Q1004" s="18" t="inlineStr">
        <is>
          <t>Código fuente</t>
        </is>
      </c>
      <c r="R1004" s="18" t="inlineStr">
        <is>
          <t>Jurisdicción del expediente. Valores: CIVIL, PENAL, ADMINISTRATIVO.</t>
        </is>
      </c>
      <c r="S1004" s="18" t="inlineStr">
        <is>
          <t>Alta</t>
        </is>
      </c>
      <c r="T1004" s="18" t="inlineStr">
        <is>
          <t>código: expediente.entity.ts:45</t>
        </is>
      </c>
      <c r="U1004" s="18" t="inlineStr"/>
      <c r="V1004" s="19" t="inlineStr">
        <is>
          <t>Aprobada</t>
        </is>
      </c>
      <c r="W1004" s="19" t="inlineStr"/>
      <c r="X1004" s="19" t="inlineStr">
        <is>
          <t>Aldair González (aprobación en bloque)</t>
        </is>
      </c>
      <c r="Y1004" s="20" t="n">
        <v>46321</v>
      </c>
      <c r="Z1004" s="19" t="inlineStr">
        <is>
          <t>Nivel 1: propuesta del comentario del desarrollador o de confianza alta, o regla de fecha/responsable/motivo.</t>
        </is>
      </c>
      <c r="AA1004" s="18">
        <f>IF(OR(V1004="Aprobada"),R1004,IF(AND(OR(V1004="Aprobada con ajuste",V1004="Rechazada"),W1004&lt;&gt;""),W1004,""))</f>
        <v/>
      </c>
    </row>
    <row r="1005">
      <c r="A1005" s="18" t="inlineStr">
        <is>
          <t>C1004</t>
        </is>
      </c>
      <c r="B1005" s="18" t="inlineStr">
        <is>
          <t>Gestión jurídica</t>
        </is>
      </c>
      <c r="C1005" s="18" t="inlineStr">
        <is>
          <t>legal_management</t>
        </is>
      </c>
      <c r="D1005" s="18" t="inlineStr">
        <is>
          <t>expedientes</t>
        </is>
      </c>
      <c r="E1005" s="18" t="n">
        <v>91</v>
      </c>
      <c r="F1005" s="18" t="inlineStr">
        <is>
          <t>tipo_proceso</t>
        </is>
      </c>
      <c r="G1005" s="18" t="inlineStr">
        <is>
          <t>character varying(100)</t>
        </is>
      </c>
      <c r="H1005" s="18" t="inlineStr">
        <is>
          <t>No</t>
        </is>
      </c>
      <c r="I1005" s="18" t="inlineStr"/>
      <c r="J1005" s="18" t="inlineStr"/>
      <c r="K1005" s="18" t="inlineStr"/>
      <c r="L1005" s="18" t="inlineStr">
        <is>
          <t>No</t>
        </is>
      </c>
      <c r="M1005" s="18" t="inlineStr">
        <is>
          <t>No</t>
        </is>
      </c>
      <c r="N1005" s="18" t="inlineStr"/>
      <c r="O1005" s="18" t="inlineStr"/>
      <c r="P1005" s="18" t="inlineStr">
        <is>
          <t>db/migrations/old/000a_legal_schema_init.sql:17: REPARACION DIRECTA, NULIDAD, ETC | db/init/old/01_legal_schema_init.sql:14: REPARACION DIRECTA, NULIDAD, ETC</t>
        </is>
      </c>
      <c r="Q1005" s="18" t="inlineStr">
        <is>
          <t>Código fuente (verificado)</t>
        </is>
      </c>
      <c r="R1005" s="18" t="inlineStr">
        <is>
          <t>Tipo de proceso del expediente. Toma el nombre de un tipo de proceso de la configuración del módulo (system_configurations, llaves defensa-judicial y juzgamiento), que define sus etapas. Por defecto, Ordinario; los procesos disciplinarios usan Disciplinario.</t>
        </is>
      </c>
      <c r="S1005" s="18" t="inlineStr">
        <is>
          <t>Alta</t>
        </is>
      </c>
      <c r="T1005" s="18" t="inlineStr">
        <is>
          <t>legal-management-service/src/entities/expediente.entity.ts:48: default Ordinario | legal-management-service/src/services/configurations.service.ts:100: cruza tipo_proceso con tiposProcesos de la configuración | legal-management-service/src/services/expediente.service.ts:312: renombrar tipo de proceso | legal-management-service/src/controllers/juzgamiento.controller.ts:172: Disciplinario</t>
        </is>
      </c>
      <c r="U1005" s="18" t="inlineStr"/>
      <c r="V1005" s="19" t="inlineStr">
        <is>
          <t>Aprobada</t>
        </is>
      </c>
      <c r="W1005" s="19" t="inlineStr"/>
      <c r="X1005" s="19" t="inlineStr">
        <is>
          <t>Aldair González (aprobación en bloque)</t>
        </is>
      </c>
      <c r="Y1005" s="20" t="n">
        <v>46321</v>
      </c>
      <c r="Z1005" s="19" t="inlineStr">
        <is>
          <t>Nivel 3: verificada con el código de la aplicación.</t>
        </is>
      </c>
      <c r="AA1005" s="18">
        <f>IF(OR(V1005="Aprobada"),R1005,IF(AND(OR(V1005="Aprobada con ajuste",V1005="Rechazada"),W1005&lt;&gt;""),W1005,""))</f>
        <v/>
      </c>
    </row>
    <row r="1006">
      <c r="A1006" s="18" t="inlineStr">
        <is>
          <t>C1005</t>
        </is>
      </c>
      <c r="B1006" s="18" t="inlineStr">
        <is>
          <t>Gestión jurídica</t>
        </is>
      </c>
      <c r="C1006" s="18" t="inlineStr">
        <is>
          <t>legal_management</t>
        </is>
      </c>
      <c r="D1006" s="18" t="inlineStr">
        <is>
          <t>expedientes</t>
        </is>
      </c>
      <c r="E1006" s="18" t="n">
        <v>91</v>
      </c>
      <c r="F1006" s="18" t="inlineStr">
        <is>
          <t>demandante</t>
        </is>
      </c>
      <c r="G1006" s="18" t="inlineStr">
        <is>
          <t>character varying(255)</t>
        </is>
      </c>
      <c r="H1006" s="18" t="inlineStr">
        <is>
          <t>No</t>
        </is>
      </c>
      <c r="I1006" s="18" t="inlineStr"/>
      <c r="J1006" s="18" t="inlineStr"/>
      <c r="K1006" s="18" t="inlineStr"/>
      <c r="L1006" s="18" t="inlineStr">
        <is>
          <t>No</t>
        </is>
      </c>
      <c r="M1006" s="18" t="inlineStr">
        <is>
          <t>No</t>
        </is>
      </c>
      <c r="N1006" s="18" t="inlineStr"/>
      <c r="O1006" s="18" t="inlineStr"/>
      <c r="P1006" s="18" t="inlineStr">
        <is>
          <t>Mapeada en legal-management-service/src/entities/expediente.entity.ts:51 (Expediente.demandante) | Validación: IsString</t>
        </is>
      </c>
      <c r="Q1006" s="18" t="inlineStr">
        <is>
          <t>Propuesta semántica</t>
        </is>
      </c>
      <c r="R1006" s="18" t="inlineStr">
        <is>
          <t>Nombre del demandante.</t>
        </is>
      </c>
      <c r="S1006" s="18" t="inlineStr">
        <is>
          <t>Alta</t>
        </is>
      </c>
      <c r="T1006" s="18" t="inlineStr">
        <is>
          <t>nombre + tipo + columnas vecinas</t>
        </is>
      </c>
      <c r="U1006" s="18" t="inlineStr"/>
      <c r="V1006" s="19" t="inlineStr">
        <is>
          <t>Aprobada</t>
        </is>
      </c>
      <c r="W1006" s="19" t="inlineStr"/>
      <c r="X1006" s="19" t="inlineStr">
        <is>
          <t>Aldair González (aprobación en bloque)</t>
        </is>
      </c>
      <c r="Y1006" s="20" t="n">
        <v>46321</v>
      </c>
      <c r="Z1006" s="19" t="inlineStr">
        <is>
          <t>Nivel 1: propuesta del comentario del desarrollador o de confianza alta, o regla de fecha/responsable/motivo.</t>
        </is>
      </c>
      <c r="AA1006" s="18">
        <f>IF(OR(V1006="Aprobada"),R1006,IF(AND(OR(V1006="Aprobada con ajuste",V1006="Rechazada"),W1006&lt;&gt;""),W1006,""))</f>
        <v/>
      </c>
    </row>
    <row r="1007">
      <c r="A1007" s="18" t="inlineStr">
        <is>
          <t>C1006</t>
        </is>
      </c>
      <c r="B1007" s="18" t="inlineStr">
        <is>
          <t>Gestión jurídica</t>
        </is>
      </c>
      <c r="C1007" s="18" t="inlineStr">
        <is>
          <t>legal_management</t>
        </is>
      </c>
      <c r="D1007" s="18" t="inlineStr">
        <is>
          <t>expedientes</t>
        </is>
      </c>
      <c r="E1007" s="18" t="n">
        <v>91</v>
      </c>
      <c r="F1007" s="18" t="inlineStr">
        <is>
          <t>demandado</t>
        </is>
      </c>
      <c r="G1007" s="18" t="inlineStr">
        <is>
          <t>character varying(255)</t>
        </is>
      </c>
      <c r="H1007" s="18" t="inlineStr">
        <is>
          <t>No</t>
        </is>
      </c>
      <c r="I1007" s="18" t="inlineStr"/>
      <c r="J1007" s="18" t="inlineStr"/>
      <c r="K1007" s="18" t="inlineStr"/>
      <c r="L1007" s="18" t="inlineStr">
        <is>
          <t>No</t>
        </is>
      </c>
      <c r="M1007" s="18" t="inlineStr">
        <is>
          <t>No</t>
        </is>
      </c>
      <c r="N1007" s="18" t="inlineStr"/>
      <c r="O1007" s="18" t="inlineStr"/>
      <c r="P1007" s="18" t="inlineStr">
        <is>
          <t>Mapeada en legal-management-service/src/entities/expediente.entity.ts:54 (Expediente.demandado) | Validación: IsString</t>
        </is>
      </c>
      <c r="Q1007" s="18" t="inlineStr">
        <is>
          <t>Propuesta semántica</t>
        </is>
      </c>
      <c r="R1007" s="18" t="inlineStr">
        <is>
          <t>Nombre del demandado. Valor por defecto: ESAP.</t>
        </is>
      </c>
      <c r="S1007" s="18" t="inlineStr">
        <is>
          <t>Alta</t>
        </is>
      </c>
      <c r="T1007" s="18" t="inlineStr">
        <is>
          <t>nombre + tipo + columnas vecinas + defecto</t>
        </is>
      </c>
      <c r="U1007" s="18" t="inlineStr"/>
      <c r="V1007" s="19" t="inlineStr">
        <is>
          <t>Aprobada</t>
        </is>
      </c>
      <c r="W1007" s="19" t="inlineStr"/>
      <c r="X1007" s="19" t="inlineStr">
        <is>
          <t>Aldair González (aprobación en bloque)</t>
        </is>
      </c>
      <c r="Y1007" s="20" t="n">
        <v>46321</v>
      </c>
      <c r="Z1007" s="19" t="inlineStr">
        <is>
          <t>Nivel 1: propuesta del comentario del desarrollador o de confianza alta, o regla de fecha/responsable/motivo.</t>
        </is>
      </c>
      <c r="AA1007" s="18">
        <f>IF(OR(V1007="Aprobada"),R1007,IF(AND(OR(V1007="Aprobada con ajuste",V1007="Rechazada"),W1007&lt;&gt;""),W1007,""))</f>
        <v/>
      </c>
    </row>
    <row r="1008">
      <c r="A1008" s="18" t="inlineStr">
        <is>
          <t>C1007</t>
        </is>
      </c>
      <c r="B1008" s="18" t="inlineStr">
        <is>
          <t>Gestión jurídica</t>
        </is>
      </c>
      <c r="C1008" s="18" t="inlineStr">
        <is>
          <t>legal_management</t>
        </is>
      </c>
      <c r="D1008" s="18" t="inlineStr">
        <is>
          <t>expedientes</t>
        </is>
      </c>
      <c r="E1008" s="18" t="n">
        <v>91</v>
      </c>
      <c r="F1008" s="18" t="inlineStr">
        <is>
          <t>estado</t>
        </is>
      </c>
      <c r="G1008" s="18" t="inlineStr">
        <is>
          <t>character varying(50)</t>
        </is>
      </c>
      <c r="H1008" s="18" t="inlineStr">
        <is>
          <t>No</t>
        </is>
      </c>
      <c r="I1008" s="18" t="inlineStr"/>
      <c r="J1008" s="18" t="inlineStr"/>
      <c r="K1008" s="18" t="inlineStr"/>
      <c r="L1008" s="18" t="inlineStr">
        <is>
          <t>No</t>
        </is>
      </c>
      <c r="M1008" s="18" t="inlineStr">
        <is>
          <t>No</t>
        </is>
      </c>
      <c r="N1008" s="18" t="inlineStr"/>
      <c r="O1008" s="18" t="inlineStr"/>
      <c r="P1008" s="18" t="inlineStr">
        <is>
          <t>legal-management-service/src/entities/expediente.entity.ts:57: RADICADO, EN_TRAMITE, FALLO... | db/migrations/old/000a_legal_schema_init.sql:20: RADICADO, EN_TRAMITE, FALLO, TRASLADO_DESCARGOS | db/init/old/01_legal_schema_init.sql:17: RADICADO, EN_TRAMITE, FALLO, TRASLADO_DESCARGOS</t>
        </is>
      </c>
      <c r="Q1008" s="18" t="inlineStr">
        <is>
          <t>Código fuente (verificado)</t>
        </is>
      </c>
      <c r="R1008" s="18" t="inlineStr">
        <is>
          <t>Estado del expediente. La aplicación asigna ACTIVO al crearlo; el valor por defecto de la columna es RADICADO.</t>
        </is>
      </c>
      <c r="S1008" s="18" t="inlineStr">
        <is>
          <t>Media</t>
        </is>
      </c>
      <c r="T1008" s="18" t="inlineStr">
        <is>
          <t>legal-management-service/src/services/expediente.service.ts:121: estado ACTIVO al crear | legal-management-service/src/entities/expediente.entity.ts:57: default RADICADO, comentario RADICADO, EN_TRAMITE, FALLO</t>
        </is>
      </c>
      <c r="U1008" s="18" t="inlineStr">
        <is>
          <t>¿Cuál es la lista completa de estados del expediente y qué diferencia hay entre ACTIVO y RADICADO?</t>
        </is>
      </c>
      <c r="V1008" s="19" t="inlineStr">
        <is>
          <t>Aprobada</t>
        </is>
      </c>
      <c r="W1008" s="19" t="inlineStr"/>
      <c r="X1008" s="19" t="inlineStr">
        <is>
          <t>Aldair González (validación del responsable de BD)</t>
        </is>
      </c>
      <c r="Y1008" s="20" t="n">
        <v>46321</v>
      </c>
      <c r="Z1008" s="19" t="inlineStr">
        <is>
          <t>Nivel 3: validada por decisión del responsable de la base de datos. Pregunta registrada para desarrollo: ¿Cuál es la lista completa de estados del expediente y qué diferencia hay entre ACTIVO y RADICADO?</t>
        </is>
      </c>
      <c r="AA1008" s="18">
        <f>IF(OR(V1008="Aprobada"),R1008,IF(AND(OR(V1008="Aprobada con ajuste",V1008="Rechazada"),W1008&lt;&gt;""),W1008,""))</f>
        <v/>
      </c>
    </row>
    <row r="1009">
      <c r="A1009" s="18" t="inlineStr">
        <is>
          <t>C1008</t>
        </is>
      </c>
      <c r="B1009" s="18" t="inlineStr">
        <is>
          <t>Gestión jurídica</t>
        </is>
      </c>
      <c r="C1009" s="18" t="inlineStr">
        <is>
          <t>legal_management</t>
        </is>
      </c>
      <c r="D1009" s="18" t="inlineStr">
        <is>
          <t>expedientes</t>
        </is>
      </c>
      <c r="E1009" s="18" t="n">
        <v>91</v>
      </c>
      <c r="F1009" s="18" t="inlineStr">
        <is>
          <t>fecha_radicacion</t>
        </is>
      </c>
      <c r="G1009" s="18" t="inlineStr">
        <is>
          <t>timestamp without time zone</t>
        </is>
      </c>
      <c r="H1009" s="18" t="inlineStr">
        <is>
          <t>No</t>
        </is>
      </c>
      <c r="I1009" s="18" t="inlineStr"/>
      <c r="J1009" s="18" t="inlineStr"/>
      <c r="K1009" s="18" t="inlineStr"/>
      <c r="L1009" s="18" t="inlineStr">
        <is>
          <t>No</t>
        </is>
      </c>
      <c r="M1009" s="18" t="inlineStr">
        <is>
          <t>No</t>
        </is>
      </c>
      <c r="N1009" s="18" t="inlineStr"/>
      <c r="O1009" s="18" t="inlineStr"/>
      <c r="P1009" s="18" t="inlineStr">
        <is>
          <t>Mapeada en legal-management-service/src/entities/expediente.entity.ts:60 (Expediente.fechaRadicacion)</t>
        </is>
      </c>
      <c r="Q1009" s="18" t="inlineStr">
        <is>
          <t>Regla estructural (redacción revisada)</t>
        </is>
      </c>
      <c r="R1009" s="18" t="inlineStr">
        <is>
          <t>Fecha y hora de radicación del expediente.</t>
        </is>
      </c>
      <c r="S1009" s="18" t="inlineStr">
        <is>
          <t>Alta</t>
        </is>
      </c>
      <c r="T1009" s="18" t="inlineStr">
        <is>
          <t>Convención de nombre, redactada con el contexto de la tabla y el código.</t>
        </is>
      </c>
      <c r="U1009" s="18" t="inlineStr"/>
      <c r="V1009" s="19" t="inlineStr">
        <is>
          <t>Aprobada</t>
        </is>
      </c>
      <c r="W1009" s="19" t="inlineStr"/>
      <c r="X1009" s="19" t="inlineStr">
        <is>
          <t>Aldair González (aprobación en bloque)</t>
        </is>
      </c>
      <c r="Y1009" s="20" t="n">
        <v>46321</v>
      </c>
      <c r="Z1009" s="19" t="inlineStr">
        <is>
          <t>Nivel 2: regla estructural con redacción revisada.</t>
        </is>
      </c>
      <c r="AA1009" s="18">
        <f>IF(OR(V1009="Aprobada"),R1009,IF(AND(OR(V1009="Aprobada con ajuste",V1009="Rechazada"),W1009&lt;&gt;""),W1009,""))</f>
        <v/>
      </c>
    </row>
    <row r="1010">
      <c r="A1010" s="18" t="inlineStr">
        <is>
          <t>C1009</t>
        </is>
      </c>
      <c r="B1010" s="18" t="inlineStr">
        <is>
          <t>Gestión jurídica</t>
        </is>
      </c>
      <c r="C1010" s="18" t="inlineStr">
        <is>
          <t>legal_management</t>
        </is>
      </c>
      <c r="D1010" s="18" t="inlineStr">
        <is>
          <t>expedientes</t>
        </is>
      </c>
      <c r="E1010" s="18" t="n">
        <v>91</v>
      </c>
      <c r="F1010" s="18" t="inlineStr">
        <is>
          <t>cuantia</t>
        </is>
      </c>
      <c r="G1010" s="18" t="inlineStr">
        <is>
          <t>numeric(15,2)</t>
        </is>
      </c>
      <c r="H1010" s="18" t="inlineStr">
        <is>
          <t>Sí</t>
        </is>
      </c>
      <c r="I1010" s="18" t="inlineStr"/>
      <c r="J1010" s="18" t="inlineStr"/>
      <c r="K1010" s="18" t="inlineStr"/>
      <c r="L1010" s="18" t="inlineStr">
        <is>
          <t>No</t>
        </is>
      </c>
      <c r="M1010" s="18" t="inlineStr">
        <is>
          <t>No</t>
        </is>
      </c>
      <c r="N1010" s="18" t="inlineStr"/>
      <c r="O1010" s="18" t="inlineStr"/>
      <c r="P1010" s="18" t="inlineStr">
        <is>
          <t>Mapeada en legal-management-service/src/entities/expediente.entity.ts:63 (Expediente.cuantia) | Validación: IsNumber, IsOptional</t>
        </is>
      </c>
      <c r="Q1010" s="18" t="inlineStr">
        <is>
          <t>Código fuente (verificado)</t>
        </is>
      </c>
      <c r="R1010" s="18" t="inlineStr">
        <is>
          <t>Cuantía del proceso, en valor numérico.</t>
        </is>
      </c>
      <c r="S1010" s="18" t="inlineStr">
        <is>
          <t>Media</t>
        </is>
      </c>
      <c r="T1010" s="18" t="inlineStr">
        <is>
          <t>legal-management-service/src/controllers/expediente.controller.ts:97: convierte a número | legal-management-service/src/entities/expediente.entity.ts:63: numeric(15,2)</t>
        </is>
      </c>
      <c r="U1010" s="18" t="inlineStr">
        <is>
          <t>¿La cuantía se registra en pesos colombianos?</t>
        </is>
      </c>
      <c r="V1010" s="19" t="inlineStr">
        <is>
          <t>Aprobada</t>
        </is>
      </c>
      <c r="W1010" s="19" t="inlineStr"/>
      <c r="X1010" s="19" t="inlineStr">
        <is>
          <t>Aldair González (validación del responsable de BD)</t>
        </is>
      </c>
      <c r="Y1010" s="20" t="n">
        <v>46321</v>
      </c>
      <c r="Z1010" s="19" t="inlineStr">
        <is>
          <t>Nivel 3: validada por decisión del responsable de la base de datos. Pregunta registrada para desarrollo: ¿La cuantía se registra en pesos colombianos?</t>
        </is>
      </c>
      <c r="AA1010" s="18">
        <f>IF(OR(V1010="Aprobada"),R1010,IF(AND(OR(V1010="Aprobada con ajuste",V1010="Rechazada"),W1010&lt;&gt;""),W1010,""))</f>
        <v/>
      </c>
    </row>
    <row r="1011">
      <c r="A1011" s="18" t="inlineStr">
        <is>
          <t>C1010</t>
        </is>
      </c>
      <c r="B1011" s="18" t="inlineStr">
        <is>
          <t>Gestión jurídica</t>
        </is>
      </c>
      <c r="C1011" s="18" t="inlineStr">
        <is>
          <t>legal_management</t>
        </is>
      </c>
      <c r="D1011" s="18" t="inlineStr">
        <is>
          <t>expedientes</t>
        </is>
      </c>
      <c r="E1011" s="18" t="n">
        <v>91</v>
      </c>
      <c r="F1011" s="18" t="inlineStr">
        <is>
          <t>abogado_sustanciador</t>
        </is>
      </c>
      <c r="G1011" s="18" t="inlineStr">
        <is>
          <t>character varying(255)</t>
        </is>
      </c>
      <c r="H1011" s="18" t="inlineStr">
        <is>
          <t>Sí</t>
        </is>
      </c>
      <c r="I1011" s="18" t="inlineStr"/>
      <c r="J1011" s="18" t="inlineStr"/>
      <c r="K1011" s="18" t="inlineStr"/>
      <c r="L1011" s="18" t="inlineStr">
        <is>
          <t>No</t>
        </is>
      </c>
      <c r="M1011" s="18" t="inlineStr">
        <is>
          <t>No</t>
        </is>
      </c>
      <c r="N1011" s="18" t="inlineStr"/>
      <c r="O1011" s="18" t="inlineStr"/>
      <c r="P1011" s="18" t="inlineStr">
        <is>
          <t>db/migrations/old/000a_legal_schema_init.sql:25: Campos adicionales inferidos de UI | db/init/old/01_legal_schema_init.sql:22: Campos adicionales inferidos de UI</t>
        </is>
      </c>
      <c r="Q1011" s="18" t="inlineStr">
        <is>
          <t>Código fuente (verificado)</t>
        </is>
      </c>
      <c r="R1011" s="18" t="inlineStr">
        <is>
          <t>Identificador del usuario (id_user de auth."user") del abogado sustanciador: el usuario autenticado si resuelve solo, o el abogadoId enviado. La búsqueda por abogado también compara con public_id y con el nombre de la persona.</t>
        </is>
      </c>
      <c r="S1011" s="18" t="inlineStr">
        <is>
          <t>Alta</t>
        </is>
      </c>
      <c r="T1011" s="18" t="inlineStr">
        <is>
          <t>legal-management-service/src/controllers/expediente.controller.ts:119: access.userId o body.abogadoId | legal-management-service/src/services/expediente.service.ts:386: compara con id, public_id y nom_largo | legal-management-service/src/services/actuacion.service.ts:554: notifica con notifyUserById</t>
        </is>
      </c>
      <c r="U1011" s="18" t="inlineStr"/>
      <c r="V1011" s="19" t="inlineStr">
        <is>
          <t>Aprobada</t>
        </is>
      </c>
      <c r="W1011" s="19" t="inlineStr"/>
      <c r="X1011" s="19" t="inlineStr">
        <is>
          <t>Aldair González (aprobación en bloque)</t>
        </is>
      </c>
      <c r="Y1011" s="20" t="n">
        <v>46321</v>
      </c>
      <c r="Z1011" s="19" t="inlineStr">
        <is>
          <t>Nivel 3: verificada con el código de la aplicación.</t>
        </is>
      </c>
      <c r="AA1011" s="18">
        <f>IF(OR(V1011="Aprobada"),R1011,IF(AND(OR(V1011="Aprobada con ajuste",V1011="Rechazada"),W1011&lt;&gt;""),W1011,""))</f>
        <v/>
      </c>
    </row>
    <row r="1012">
      <c r="A1012" s="18" t="inlineStr">
        <is>
          <t>C1011</t>
        </is>
      </c>
      <c r="B1012" s="18" t="inlineStr">
        <is>
          <t>Gestión jurídica</t>
        </is>
      </c>
      <c r="C1012" s="18" t="inlineStr">
        <is>
          <t>legal_management</t>
        </is>
      </c>
      <c r="D1012" s="18" t="inlineStr">
        <is>
          <t>expedientes</t>
        </is>
      </c>
      <c r="E1012" s="18" t="n">
        <v>91</v>
      </c>
      <c r="F1012" s="18" t="inlineStr">
        <is>
          <t>fecha_prescripcion</t>
        </is>
      </c>
      <c r="G1012" s="18" t="inlineStr">
        <is>
          <t>timestamp without time zone</t>
        </is>
      </c>
      <c r="H1012" s="18" t="inlineStr">
        <is>
          <t>Sí</t>
        </is>
      </c>
      <c r="I1012" s="18" t="inlineStr"/>
      <c r="J1012" s="18" t="inlineStr"/>
      <c r="K1012" s="18" t="inlineStr"/>
      <c r="L1012" s="18" t="inlineStr">
        <is>
          <t>No</t>
        </is>
      </c>
      <c r="M1012" s="18" t="inlineStr">
        <is>
          <t>No</t>
        </is>
      </c>
      <c r="N1012" s="18" t="inlineStr"/>
      <c r="O1012" s="18" t="inlineStr"/>
      <c r="P1012" s="18" t="inlineStr">
        <is>
          <t>Mapeada en legal-management-service/src/entities/expediente.entity.ts:85 (Expediente.fechaPrescripcion)</t>
        </is>
      </c>
      <c r="Q1012" s="18" t="inlineStr">
        <is>
          <t>Regla estructural (redacción revisada)</t>
        </is>
      </c>
      <c r="R1012" s="18" t="inlineStr">
        <is>
          <t>Fecha y hora de prescripción del expediente.</t>
        </is>
      </c>
      <c r="S1012" s="18" t="inlineStr">
        <is>
          <t>Alta</t>
        </is>
      </c>
      <c r="T1012" s="18" t="inlineStr">
        <is>
          <t>Convención de nombre, redactada con el contexto de la tabla y el código.</t>
        </is>
      </c>
      <c r="U1012" s="18" t="inlineStr"/>
      <c r="V1012" s="19" t="inlineStr">
        <is>
          <t>Aprobada</t>
        </is>
      </c>
      <c r="W1012" s="19" t="inlineStr"/>
      <c r="X1012" s="19" t="inlineStr">
        <is>
          <t>Aldair González (aprobación en bloque)</t>
        </is>
      </c>
      <c r="Y1012" s="20" t="n">
        <v>46321</v>
      </c>
      <c r="Z1012" s="19" t="inlineStr">
        <is>
          <t>Nivel 2: regla estructural con redacción revisada.</t>
        </is>
      </c>
      <c r="AA1012" s="18">
        <f>IF(OR(V1012="Aprobada"),R1012,IF(AND(OR(V1012="Aprobada con ajuste",V1012="Rechazada"),W1012&lt;&gt;""),W1012,""))</f>
        <v/>
      </c>
    </row>
    <row r="1013">
      <c r="A1013" s="18" t="inlineStr">
        <is>
          <t>C1012</t>
        </is>
      </c>
      <c r="B1013" s="18" t="inlineStr">
        <is>
          <t>Gestión jurídica</t>
        </is>
      </c>
      <c r="C1013" s="18" t="inlineStr">
        <is>
          <t>legal_management</t>
        </is>
      </c>
      <c r="D1013" s="18" t="inlineStr">
        <is>
          <t>expedientes</t>
        </is>
      </c>
      <c r="E1013" s="18" t="n">
        <v>91</v>
      </c>
      <c r="F1013" s="18" t="inlineStr">
        <is>
          <t>riesgo_prescripcion</t>
        </is>
      </c>
      <c r="G1013" s="18" t="inlineStr">
        <is>
          <t>boolean</t>
        </is>
      </c>
      <c r="H1013" s="18" t="inlineStr">
        <is>
          <t>Sí</t>
        </is>
      </c>
      <c r="I1013" s="18" t="inlineStr"/>
      <c r="J1013" s="18" t="inlineStr"/>
      <c r="K1013" s="18" t="inlineStr"/>
      <c r="L1013" s="18" t="inlineStr">
        <is>
          <t>No</t>
        </is>
      </c>
      <c r="M1013" s="18" t="inlineStr">
        <is>
          <t>No</t>
        </is>
      </c>
      <c r="N1013" s="18" t="inlineStr"/>
      <c r="O1013" s="18" t="inlineStr"/>
      <c r="P1013" s="18" t="inlineStr">
        <is>
          <t>Mapeada en legal-management-service/src/entities/expediente.entity.ts:88 (Expediente.riesgoPrescripcion)</t>
        </is>
      </c>
      <c r="Q1013" s="18" t="inlineStr">
        <is>
          <t>Regla estructural (redacción revisada)</t>
        </is>
      </c>
      <c r="R1013" s="18" t="inlineStr">
        <is>
          <t>Indica si el expediente tiene riesgo de prescripción.</t>
        </is>
      </c>
      <c r="S1013" s="18" t="inlineStr">
        <is>
          <t>Alta</t>
        </is>
      </c>
      <c r="T1013" s="18" t="inlineStr">
        <is>
          <t>Convención de nombre, redactada con el contexto de la tabla y el código.</t>
        </is>
      </c>
      <c r="U1013" s="18" t="inlineStr"/>
      <c r="V1013" s="19" t="inlineStr">
        <is>
          <t>Aprobada</t>
        </is>
      </c>
      <c r="W1013" s="19" t="inlineStr"/>
      <c r="X1013" s="19" t="inlineStr">
        <is>
          <t>Aldair González (aprobación en bloque)</t>
        </is>
      </c>
      <c r="Y1013" s="20" t="n">
        <v>46321</v>
      </c>
      <c r="Z1013" s="19" t="inlineStr">
        <is>
          <t>Nivel 2: regla estructural con redacción revisada.</t>
        </is>
      </c>
      <c r="AA1013" s="18">
        <f>IF(OR(V1013="Aprobada"),R1013,IF(AND(OR(V1013="Aprobada con ajuste",V1013="Rechazada"),W1013&lt;&gt;""),W1013,""))</f>
        <v/>
      </c>
    </row>
    <row r="1014">
      <c r="A1014" s="18" t="inlineStr">
        <is>
          <t>C1013</t>
        </is>
      </c>
      <c r="B1014" s="18" t="inlineStr">
        <is>
          <t>Gestión jurídica</t>
        </is>
      </c>
      <c r="C1014" s="18" t="inlineStr">
        <is>
          <t>legal_management</t>
        </is>
      </c>
      <c r="D1014" s="18" t="inlineStr">
        <is>
          <t>expedientes</t>
        </is>
      </c>
      <c r="E1014" s="18" t="n">
        <v>91</v>
      </c>
      <c r="F1014" s="18" t="inlineStr">
        <is>
          <t>termino_procesal_dias</t>
        </is>
      </c>
      <c r="G1014" s="18" t="inlineStr">
        <is>
          <t>integer</t>
        </is>
      </c>
      <c r="H1014" s="18" t="inlineStr">
        <is>
          <t>Sí</t>
        </is>
      </c>
      <c r="I1014" s="18" t="inlineStr"/>
      <c r="J1014" s="18" t="inlineStr"/>
      <c r="K1014" s="18" t="inlineStr"/>
      <c r="L1014" s="18" t="inlineStr">
        <is>
          <t>No</t>
        </is>
      </c>
      <c r="M1014" s="18" t="inlineStr">
        <is>
          <t>No</t>
        </is>
      </c>
      <c r="N1014" s="18" t="inlineStr"/>
      <c r="O1014" s="18" t="inlineStr"/>
      <c r="P1014" s="18" t="inlineStr">
        <is>
          <t>Mapeada en legal-management-service/src/entities/expediente.entity.ts:91 (Expediente.terminoProcesalDias) | Validación: IsNumber, IsOptional</t>
        </is>
      </c>
      <c r="Q1014" s="18" t="inlineStr">
        <is>
          <t>Código fuente (verificado)</t>
        </is>
      </c>
      <c r="R1014" s="18" t="inlineStr">
        <is>
          <t>Duración del término procesal, contada desde fecha_notificacion según tipo_conteo_termino: días hábiles (por defecto), días calendario u horas. Con ella se calcula fecha_vencimiento_termino.</t>
        </is>
      </c>
      <c r="S1014" s="18" t="inlineStr">
        <is>
          <t>Alta</t>
        </is>
      </c>
      <c r="T1014" s="18" t="inlineStr">
        <is>
          <t>legal-management-service/src/services/expediente.service.ts:124: cálculo del vencimiento | legal-management-service/src/services/expediente.service.ts:126: tipoConteo HABILES por defecto | legal-management-service/src/services/expediente.service.ts:132: modo HORAS</t>
        </is>
      </c>
      <c r="U1014" s="18" t="inlineStr"/>
      <c r="V1014" s="19" t="inlineStr">
        <is>
          <t>Aprobada</t>
        </is>
      </c>
      <c r="W1014" s="19" t="inlineStr"/>
      <c r="X1014" s="19" t="inlineStr">
        <is>
          <t>Aldair González (aprobación en bloque)</t>
        </is>
      </c>
      <c r="Y1014" s="20" t="n">
        <v>46321</v>
      </c>
      <c r="Z1014" s="19" t="inlineStr">
        <is>
          <t>Nivel 3: verificada con el código de la aplicación.</t>
        </is>
      </c>
      <c r="AA1014" s="18">
        <f>IF(OR(V1014="Aprobada"),R1014,IF(AND(OR(V1014="Aprobada con ajuste",V1014="Rechazada"),W1014&lt;&gt;""),W1014,""))</f>
        <v/>
      </c>
    </row>
    <row r="1015">
      <c r="A1015" s="18" t="inlineStr">
        <is>
          <t>C1014</t>
        </is>
      </c>
      <c r="B1015" s="18" t="inlineStr">
        <is>
          <t>Gestión jurídica</t>
        </is>
      </c>
      <c r="C1015" s="18" t="inlineStr">
        <is>
          <t>legal_management</t>
        </is>
      </c>
      <c r="D1015" s="18" t="inlineStr">
        <is>
          <t>expedientes</t>
        </is>
      </c>
      <c r="E1015" s="18" t="n">
        <v>91</v>
      </c>
      <c r="F1015" s="18" t="inlineStr">
        <is>
          <t>ultima_actuacion</t>
        </is>
      </c>
      <c r="G1015" s="18" t="inlineStr">
        <is>
          <t>character varying(255)</t>
        </is>
      </c>
      <c r="H1015" s="18" t="inlineStr">
        <is>
          <t>Sí</t>
        </is>
      </c>
      <c r="I1015" s="18" t="inlineStr"/>
      <c r="J1015" s="18" t="inlineStr"/>
      <c r="K1015" s="18" t="inlineStr"/>
      <c r="L1015" s="18" t="inlineStr">
        <is>
          <t>No</t>
        </is>
      </c>
      <c r="M1015" s="18" t="inlineStr">
        <is>
          <t>No</t>
        </is>
      </c>
      <c r="N1015" s="18" t="inlineStr"/>
      <c r="O1015" s="18" t="inlineStr"/>
      <c r="P1015" s="18" t="inlineStr">
        <is>
          <t>Mapeada en legal-management-service/src/entities/expediente.entity.ts:97 (Expediente.ultimaActuacion)</t>
        </is>
      </c>
      <c r="Q1015" s="18" t="inlineStr">
        <is>
          <t>Código fuente (verificado)</t>
        </is>
      </c>
      <c r="R1015" s="18" t="inlineStr">
        <is>
          <t>Descripción de la última actuación registrada en el expediente.</t>
        </is>
      </c>
      <c r="S1015" s="18" t="inlineStr">
        <is>
          <t>Media</t>
        </is>
      </c>
      <c r="T1015" s="18" t="inlineStr">
        <is>
          <t>legal-management-service/src/entities/expediente.entity.ts:97: columna mapeada; el servicio de expedientes no la actualiza a partir de actuaciones</t>
        </is>
      </c>
      <c r="U1015" s="18" t="inlineStr">
        <is>
          <t>¿Quién llena ultima_actuacion? El código no la actualiza desde la tabla actuaciones.</t>
        </is>
      </c>
      <c r="V1015" s="19" t="inlineStr">
        <is>
          <t>Aprobada</t>
        </is>
      </c>
      <c r="W1015" s="19" t="inlineStr"/>
      <c r="X1015" s="19" t="inlineStr">
        <is>
          <t>Aldair González (validación del responsable de BD)</t>
        </is>
      </c>
      <c r="Y1015" s="20" t="n">
        <v>46321</v>
      </c>
      <c r="Z1015" s="19" t="inlineStr">
        <is>
          <t>Nivel 3: validada por decisión del responsable de la base de datos. Pregunta registrada para desarrollo: ¿Quién llena ultima_actuacion? El código no la actualiza desde la tabla actuaciones.</t>
        </is>
      </c>
      <c r="AA1015" s="18">
        <f>IF(OR(V1015="Aprobada"),R1015,IF(AND(OR(V1015="Aprobada con ajuste",V1015="Rechazada"),W1015&lt;&gt;""),W1015,""))</f>
        <v/>
      </c>
    </row>
    <row r="1016">
      <c r="A1016" s="18" t="inlineStr">
        <is>
          <t>C1015</t>
        </is>
      </c>
      <c r="B1016" s="18" t="inlineStr">
        <is>
          <t>Gestión jurídica</t>
        </is>
      </c>
      <c r="C1016" s="18" t="inlineStr">
        <is>
          <t>legal_management</t>
        </is>
      </c>
      <c r="D1016" s="18" t="inlineStr">
        <is>
          <t>expedientes</t>
        </is>
      </c>
      <c r="E1016" s="18" t="n">
        <v>91</v>
      </c>
      <c r="F1016" s="18" t="inlineStr">
        <is>
          <t>ubicacion_fisica</t>
        </is>
      </c>
      <c r="G1016" s="18" t="inlineStr">
        <is>
          <t>character varying(255)</t>
        </is>
      </c>
      <c r="H1016" s="18" t="inlineStr">
        <is>
          <t>Sí</t>
        </is>
      </c>
      <c r="I1016" s="18" t="inlineStr"/>
      <c r="J1016" s="18" t="inlineStr"/>
      <c r="K1016" s="18" t="inlineStr"/>
      <c r="L1016" s="18" t="inlineStr">
        <is>
          <t>No</t>
        </is>
      </c>
      <c r="M1016" s="18" t="inlineStr">
        <is>
          <t>No</t>
        </is>
      </c>
      <c r="N1016" s="18" t="inlineStr"/>
      <c r="O1016" s="18" t="inlineStr"/>
      <c r="P1016" s="18" t="inlineStr">
        <is>
          <t>Mapeada en legal-management-service/src/entities/expediente.entity.ts:100 (Expediente.ubicacionFisica)</t>
        </is>
      </c>
      <c r="Q1016" s="18" t="inlineStr">
        <is>
          <t>Propuesta semántica</t>
        </is>
      </c>
      <c r="R1016" s="18" t="inlineStr">
        <is>
          <t>Ubicación física del expediente.</t>
        </is>
      </c>
      <c r="S1016" s="18" t="inlineStr">
        <is>
          <t>Alta</t>
        </is>
      </c>
      <c r="T1016" s="18" t="inlineStr">
        <is>
          <t>nombre + tipo + columnas vecinas</t>
        </is>
      </c>
      <c r="U1016" s="18" t="inlineStr"/>
      <c r="V1016" s="19" t="inlineStr">
        <is>
          <t>Aprobada</t>
        </is>
      </c>
      <c r="W1016" s="19" t="inlineStr"/>
      <c r="X1016" s="19" t="inlineStr">
        <is>
          <t>Aldair González (aprobación en bloque)</t>
        </is>
      </c>
      <c r="Y1016" s="20" t="n">
        <v>46321</v>
      </c>
      <c r="Z1016" s="19" t="inlineStr">
        <is>
          <t>Nivel 1: propuesta del comentario del desarrollador o de confianza alta, o regla de fecha/responsable/motivo.</t>
        </is>
      </c>
      <c r="AA1016" s="18">
        <f>IF(OR(V1016="Aprobada"),R1016,IF(AND(OR(V1016="Aprobada con ajuste",V1016="Rechazada"),W1016&lt;&gt;""),W1016,""))</f>
        <v/>
      </c>
    </row>
    <row r="1017">
      <c r="A1017" s="18" t="inlineStr">
        <is>
          <t>C1016</t>
        </is>
      </c>
      <c r="B1017" s="18" t="inlineStr">
        <is>
          <t>Gestión jurídica</t>
        </is>
      </c>
      <c r="C1017" s="18" t="inlineStr">
        <is>
          <t>legal_management</t>
        </is>
      </c>
      <c r="D1017" s="18" t="inlineStr">
        <is>
          <t>expedientes</t>
        </is>
      </c>
      <c r="E1017" s="18" t="n">
        <v>91</v>
      </c>
      <c r="F1017" s="18" t="inlineStr">
        <is>
          <t>sancion_proyectada</t>
        </is>
      </c>
      <c r="G1017" s="18" t="inlineStr">
        <is>
          <t>character varying</t>
        </is>
      </c>
      <c r="H1017" s="18" t="inlineStr">
        <is>
          <t>Sí</t>
        </is>
      </c>
      <c r="I1017" s="18" t="inlineStr"/>
      <c r="J1017" s="18" t="inlineStr"/>
      <c r="K1017" s="18" t="inlineStr"/>
      <c r="L1017" s="18" t="inlineStr">
        <is>
          <t>No</t>
        </is>
      </c>
      <c r="M1017" s="18" t="inlineStr">
        <is>
          <t>No</t>
        </is>
      </c>
      <c r="N1017" s="18" t="inlineStr"/>
      <c r="O1017" s="18" t="inlineStr"/>
      <c r="P1017" s="18" t="inlineStr">
        <is>
          <t>Mapeada en legal-management-service/src/entities/expediente.entity.ts:103 (Expediente.sancionProyectada)</t>
        </is>
      </c>
      <c r="Q1017" s="18" t="inlineStr">
        <is>
          <t>Código fuente (verificado)</t>
        </is>
      </c>
      <c r="R1017" s="18" t="inlineStr">
        <is>
          <t>Sanción proyectada en el proceso.</t>
        </is>
      </c>
      <c r="S1017" s="18" t="inlineStr">
        <is>
          <t>Media</t>
        </is>
      </c>
      <c r="T1017" s="18" t="inlineStr">
        <is>
          <t>legal-management-service/src/entities/expediente.entity.ts:103: solo mapeo, sin reglas en el código</t>
        </is>
      </c>
      <c r="U1017" s="18" t="inlineStr">
        <is>
          <t>¿Es texto libre o sale de un catálogo de sanciones?</t>
        </is>
      </c>
      <c r="V1017" s="19" t="inlineStr">
        <is>
          <t>Aprobada</t>
        </is>
      </c>
      <c r="W1017" s="19" t="inlineStr"/>
      <c r="X1017" s="19" t="inlineStr">
        <is>
          <t>Aldair González (validación del responsable de BD)</t>
        </is>
      </c>
      <c r="Y1017" s="20" t="n">
        <v>46321</v>
      </c>
      <c r="Z1017" s="19" t="inlineStr">
        <is>
          <t>Nivel 3: validada por decisión del responsable de la base de datos. Pregunta registrada para desarrollo: ¿Es texto libre o sale de un catálogo de sanciones?</t>
        </is>
      </c>
      <c r="AA1017" s="18">
        <f>IF(OR(V1017="Aprobada"),R1017,IF(AND(OR(V1017="Aprobada con ajuste",V1017="Rechazada"),W1017&lt;&gt;""),W1017,""))</f>
        <v/>
      </c>
    </row>
    <row r="1018">
      <c r="A1018" s="18" t="inlineStr">
        <is>
          <t>C1017</t>
        </is>
      </c>
      <c r="B1018" s="18" t="inlineStr">
        <is>
          <t>Gestión jurídica</t>
        </is>
      </c>
      <c r="C1018" s="18" t="inlineStr">
        <is>
          <t>legal_management</t>
        </is>
      </c>
      <c r="D1018" s="18" t="inlineStr">
        <is>
          <t>expedientes</t>
        </is>
      </c>
      <c r="E1018" s="18" t="n">
        <v>91</v>
      </c>
      <c r="F1018" s="18" t="inlineStr">
        <is>
          <t>hechos</t>
        </is>
      </c>
      <c r="G1018" s="18" t="inlineStr">
        <is>
          <t>text</t>
        </is>
      </c>
      <c r="H1018" s="18" t="inlineStr">
        <is>
          <t>Sí</t>
        </is>
      </c>
      <c r="I1018" s="18" t="inlineStr"/>
      <c r="J1018" s="18" t="inlineStr"/>
      <c r="K1018" s="18" t="inlineStr"/>
      <c r="L1018" s="18" t="inlineStr">
        <is>
          <t>No</t>
        </is>
      </c>
      <c r="M1018" s="18" t="inlineStr">
        <is>
          <t>No</t>
        </is>
      </c>
      <c r="N1018" s="18" t="inlineStr"/>
      <c r="O1018" s="18" t="inlineStr"/>
      <c r="P1018" s="18" t="inlineStr">
        <is>
          <t>Mapeada en legal-management-service/src/entities/expediente.entity.ts:197 (Expediente.hechos)</t>
        </is>
      </c>
      <c r="Q1018" s="18" t="inlineStr">
        <is>
          <t>Código fuente (verificado)</t>
        </is>
      </c>
      <c r="R1018" s="18" t="inlineStr">
        <is>
          <t>Descripción de los hechos del proceso en texto plano. Cuando hay lista de hechos (hechos_list), se deriva uniendo sus elementos con una línea en blanco, para compatibilidad con vistas previas.</t>
        </is>
      </c>
      <c r="S1018" s="18" t="inlineStr">
        <is>
          <t>Alta</t>
        </is>
      </c>
      <c r="T1018" s="18" t="inlineStr">
        <is>
          <t>legal-management-service/src/controllers/juzgamiento.controller.ts:130: derivarHechosTexto une hechosList | legal-management-service/src/entities/expediente.entity.ts:200: hechos_list y hechos como texto concatenado</t>
        </is>
      </c>
      <c r="U1018" s="18" t="inlineStr"/>
      <c r="V1018" s="19" t="inlineStr">
        <is>
          <t>Aprobada</t>
        </is>
      </c>
      <c r="W1018" s="19" t="inlineStr"/>
      <c r="X1018" s="19" t="inlineStr">
        <is>
          <t>Aldair González (aprobación en bloque)</t>
        </is>
      </c>
      <c r="Y1018" s="20" t="n">
        <v>46321</v>
      </c>
      <c r="Z1018" s="19" t="inlineStr">
        <is>
          <t>Nivel 3: verificada con el código de la aplicación.</t>
        </is>
      </c>
      <c r="AA1018" s="18">
        <f>IF(OR(V1018="Aprobada"),R1018,IF(AND(OR(V1018="Aprobada con ajuste",V1018="Rechazada"),W1018&lt;&gt;""),W1018,""))</f>
        <v/>
      </c>
    </row>
    <row r="1019">
      <c r="A1019" s="18" t="inlineStr">
        <is>
          <t>C1018</t>
        </is>
      </c>
      <c r="B1019" s="18" t="inlineStr">
        <is>
          <t>Gestión jurídica</t>
        </is>
      </c>
      <c r="C1019" s="18" t="inlineStr">
        <is>
          <t>legal_management</t>
        </is>
      </c>
      <c r="D1019" s="18" t="inlineStr">
        <is>
          <t>expedientes</t>
        </is>
      </c>
      <c r="E1019" s="18" t="n">
        <v>91</v>
      </c>
      <c r="F1019" s="18" t="inlineStr">
        <is>
          <t>fecha_limite_etapa</t>
        </is>
      </c>
      <c r="G1019" s="18" t="inlineStr">
        <is>
          <t>timestamp without time zone</t>
        </is>
      </c>
      <c r="H1019" s="18" t="inlineStr">
        <is>
          <t>Sí</t>
        </is>
      </c>
      <c r="I1019" s="18" t="inlineStr"/>
      <c r="J1019" s="18" t="inlineStr"/>
      <c r="K1019" s="18" t="inlineStr"/>
      <c r="L1019" s="18" t="inlineStr">
        <is>
          <t>No</t>
        </is>
      </c>
      <c r="M1019" s="18" t="inlineStr">
        <is>
          <t>No</t>
        </is>
      </c>
      <c r="N1019" s="18" t="inlineStr"/>
      <c r="O1019" s="18" t="inlineStr"/>
      <c r="P1019" s="18" t="inlineStr">
        <is>
          <t>Mapeada en legal-management-service/src/entities/expediente.entity.ts:225 (Expediente.fechaLimiteEtapa)</t>
        </is>
      </c>
      <c r="Q1019" s="18" t="inlineStr">
        <is>
          <t>Regla estructural (redacción revisada)</t>
        </is>
      </c>
      <c r="R1019" s="18" t="inlineStr">
        <is>
          <t>Fecha y hora límite de la etapa del expediente.</t>
        </is>
      </c>
      <c r="S1019" s="18" t="inlineStr">
        <is>
          <t>Alta</t>
        </is>
      </c>
      <c r="T1019" s="18" t="inlineStr">
        <is>
          <t>Convención de nombre, redactada con el contexto de la tabla y el código.</t>
        </is>
      </c>
      <c r="U1019" s="18" t="inlineStr"/>
      <c r="V1019" s="19" t="inlineStr">
        <is>
          <t>Aprobada</t>
        </is>
      </c>
      <c r="W1019" s="19" t="inlineStr"/>
      <c r="X1019" s="19" t="inlineStr">
        <is>
          <t>Aldair González (aprobación en bloque)</t>
        </is>
      </c>
      <c r="Y1019" s="20" t="n">
        <v>46321</v>
      </c>
      <c r="Z1019" s="19" t="inlineStr">
        <is>
          <t>Nivel 2: regla estructural con redacción revisada.</t>
        </is>
      </c>
      <c r="AA1019" s="18">
        <f>IF(OR(V1019="Aprobada"),R1019,IF(AND(OR(V1019="Aprobada con ajuste",V1019="Rechazada"),W1019&lt;&gt;""),W1019,""))</f>
        <v/>
      </c>
    </row>
    <row r="1020">
      <c r="A1020" s="18" t="inlineStr">
        <is>
          <t>C1019</t>
        </is>
      </c>
      <c r="B1020" s="18" t="inlineStr">
        <is>
          <t>Gestión jurídica</t>
        </is>
      </c>
      <c r="C1020" s="18" t="inlineStr">
        <is>
          <t>legal_management</t>
        </is>
      </c>
      <c r="D1020" s="18" t="inlineStr">
        <is>
          <t>expedientes</t>
        </is>
      </c>
      <c r="E1020" s="18" t="n">
        <v>91</v>
      </c>
      <c r="F1020" s="18" t="inlineStr">
        <is>
          <t>medio_control</t>
        </is>
      </c>
      <c r="G1020" s="18" t="inlineStr">
        <is>
          <t>character varying(255)</t>
        </is>
      </c>
      <c r="H1020" s="18" t="inlineStr">
        <is>
          <t>Sí</t>
        </is>
      </c>
      <c r="I1020" s="18" t="inlineStr"/>
      <c r="J1020" s="18" t="inlineStr"/>
      <c r="K1020" s="18" t="inlineStr"/>
      <c r="L1020" s="18" t="inlineStr">
        <is>
          <t>No</t>
        </is>
      </c>
      <c r="M1020" s="18" t="inlineStr">
        <is>
          <t>No</t>
        </is>
      </c>
      <c r="N1020" s="18" t="inlineStr"/>
      <c r="O1020" s="18" t="inlineStr"/>
      <c r="P1020" s="18" t="inlineStr">
        <is>
          <t>Mapeada en legal-management-service/src/entities/expediente.entity.ts:106 (Expediente.medioControl) | Validación: IsString</t>
        </is>
      </c>
      <c r="Q1020" s="18" t="inlineStr">
        <is>
          <t>Propuesta semántica</t>
        </is>
      </c>
      <c r="R1020" s="18" t="inlineStr">
        <is>
          <t>Medio de control judicial del proceso.</t>
        </is>
      </c>
      <c r="S1020" s="18" t="inlineStr">
        <is>
          <t>Alta</t>
        </is>
      </c>
      <c r="T1020" s="18" t="inlineStr">
        <is>
          <t>nombre + tipo + columnas vecinas</t>
        </is>
      </c>
      <c r="U1020" s="18" t="inlineStr"/>
      <c r="V1020" s="19" t="inlineStr">
        <is>
          <t>Aprobada</t>
        </is>
      </c>
      <c r="W1020" s="19" t="inlineStr"/>
      <c r="X1020" s="19" t="inlineStr">
        <is>
          <t>Aldair González (aprobación en bloque)</t>
        </is>
      </c>
      <c r="Y1020" s="20" t="n">
        <v>46321</v>
      </c>
      <c r="Z1020" s="19" t="inlineStr">
        <is>
          <t>Nivel 1: propuesta del comentario del desarrollador o de confianza alta, o regla de fecha/responsable/motivo.</t>
        </is>
      </c>
      <c r="AA1020" s="18">
        <f>IF(OR(V1020="Aprobada"),R1020,IF(AND(OR(V1020="Aprobada con ajuste",V1020="Rechazada"),W1020&lt;&gt;""),W1020,""))</f>
        <v/>
      </c>
    </row>
    <row r="1021">
      <c r="A1021" s="18" t="inlineStr">
        <is>
          <t>C1020</t>
        </is>
      </c>
      <c r="B1021" s="18" t="inlineStr">
        <is>
          <t>Gestión jurídica</t>
        </is>
      </c>
      <c r="C1021" s="18" t="inlineStr">
        <is>
          <t>legal_management</t>
        </is>
      </c>
      <c r="D1021" s="18" t="inlineStr">
        <is>
          <t>expedientes</t>
        </is>
      </c>
      <c r="E1021" s="18" t="n">
        <v>91</v>
      </c>
      <c r="F1021" s="18" t="inlineStr">
        <is>
          <t>juzgado_conocimiento</t>
        </is>
      </c>
      <c r="G1021" s="18" t="inlineStr">
        <is>
          <t>character varying(255)</t>
        </is>
      </c>
      <c r="H1021" s="18" t="inlineStr">
        <is>
          <t>Sí</t>
        </is>
      </c>
      <c r="I1021" s="18" t="inlineStr"/>
      <c r="J1021" s="18" t="inlineStr"/>
      <c r="K1021" s="18" t="inlineStr"/>
      <c r="L1021" s="18" t="inlineStr">
        <is>
          <t>No</t>
        </is>
      </c>
      <c r="M1021" s="18" t="inlineStr">
        <is>
          <t>No</t>
        </is>
      </c>
      <c r="N1021" s="18" t="inlineStr"/>
      <c r="O1021" s="18" t="inlineStr"/>
      <c r="P1021" s="18" t="inlineStr">
        <is>
          <t>Mapeada en legal-management-service/src/entities/expediente.entity.ts:109 (Expediente.juzgadoConocimiento) | Validación: IsString</t>
        </is>
      </c>
      <c r="Q1021" s="18" t="inlineStr">
        <is>
          <t>Propuesta semántica</t>
        </is>
      </c>
      <c r="R1021" s="18" t="inlineStr">
        <is>
          <t>Juzgado que conoce del proceso.</t>
        </is>
      </c>
      <c r="S1021" s="18" t="inlineStr">
        <is>
          <t>Alta</t>
        </is>
      </c>
      <c r="T1021" s="18" t="inlineStr">
        <is>
          <t>nombre + tipo + columnas vecinas</t>
        </is>
      </c>
      <c r="U1021" s="18" t="inlineStr"/>
      <c r="V1021" s="19" t="inlineStr">
        <is>
          <t>Aprobada</t>
        </is>
      </c>
      <c r="W1021" s="19" t="inlineStr"/>
      <c r="X1021" s="19" t="inlineStr">
        <is>
          <t>Aldair González (aprobación en bloque)</t>
        </is>
      </c>
      <c r="Y1021" s="20" t="n">
        <v>46321</v>
      </c>
      <c r="Z1021" s="19" t="inlineStr">
        <is>
          <t>Nivel 1: propuesta del comentario del desarrollador o de confianza alta, o regla de fecha/responsable/motivo.</t>
        </is>
      </c>
      <c r="AA1021" s="18">
        <f>IF(OR(V1021="Aprobada"),R1021,IF(AND(OR(V1021="Aprobada con ajuste",V1021="Rechazada"),W1021&lt;&gt;""),W1021,""))</f>
        <v/>
      </c>
    </row>
    <row r="1022">
      <c r="A1022" s="18" t="inlineStr">
        <is>
          <t>C1021</t>
        </is>
      </c>
      <c r="B1022" s="18" t="inlineStr">
        <is>
          <t>Gestión jurídica</t>
        </is>
      </c>
      <c r="C1022" s="18" t="inlineStr">
        <is>
          <t>legal_management</t>
        </is>
      </c>
      <c r="D1022" s="18" t="inlineStr">
        <is>
          <t>expedientes</t>
        </is>
      </c>
      <c r="E1022" s="18" t="n">
        <v>91</v>
      </c>
      <c r="F1022" s="18" t="inlineStr">
        <is>
          <t>pretension_demandante</t>
        </is>
      </c>
      <c r="G1022" s="18" t="inlineStr">
        <is>
          <t>text</t>
        </is>
      </c>
      <c r="H1022" s="18" t="inlineStr">
        <is>
          <t>Sí</t>
        </is>
      </c>
      <c r="I1022" s="18" t="inlineStr"/>
      <c r="J1022" s="18" t="inlineStr"/>
      <c r="K1022" s="18" t="inlineStr"/>
      <c r="L1022" s="18" t="inlineStr">
        <is>
          <t>No</t>
        </is>
      </c>
      <c r="M1022" s="18" t="inlineStr">
        <is>
          <t>No</t>
        </is>
      </c>
      <c r="N1022" s="18" t="inlineStr"/>
      <c r="O1022" s="18" t="inlineStr"/>
      <c r="P1022" s="18" t="inlineStr">
        <is>
          <t>Mapeada en legal-management-service/src/entities/expediente.entity.ts:112 (Expediente.pretensionDemandante) | Validación: IsString</t>
        </is>
      </c>
      <c r="Q1022" s="18" t="inlineStr">
        <is>
          <t>Propuesta semántica</t>
        </is>
      </c>
      <c r="R1022" s="18" t="inlineStr">
        <is>
          <t>Pretensiones del demandante.</t>
        </is>
      </c>
      <c r="S1022" s="18" t="inlineStr">
        <is>
          <t>Alta</t>
        </is>
      </c>
      <c r="T1022" s="18" t="inlineStr">
        <is>
          <t>nombre + tipo + columnas vecinas</t>
        </is>
      </c>
      <c r="U1022" s="18" t="inlineStr"/>
      <c r="V1022" s="19" t="inlineStr">
        <is>
          <t>Aprobada</t>
        </is>
      </c>
      <c r="W1022" s="19" t="inlineStr"/>
      <c r="X1022" s="19" t="inlineStr">
        <is>
          <t>Aldair González (aprobación en bloque)</t>
        </is>
      </c>
      <c r="Y1022" s="20" t="n">
        <v>46321</v>
      </c>
      <c r="Z1022" s="19" t="inlineStr">
        <is>
          <t>Nivel 1: propuesta del comentario del desarrollador o de confianza alta, o regla de fecha/responsable/motivo.</t>
        </is>
      </c>
      <c r="AA1022" s="18">
        <f>IF(OR(V1022="Aprobada"),R1022,IF(AND(OR(V1022="Aprobada con ajuste",V1022="Rechazada"),W1022&lt;&gt;""),W1022,""))</f>
        <v/>
      </c>
    </row>
    <row r="1023">
      <c r="A1023" s="18" t="inlineStr">
        <is>
          <t>C1022</t>
        </is>
      </c>
      <c r="B1023" s="18" t="inlineStr">
        <is>
          <t>Gestión jurídica</t>
        </is>
      </c>
      <c r="C1023" s="18" t="inlineStr">
        <is>
          <t>legal_management</t>
        </is>
      </c>
      <c r="D1023" s="18" t="inlineStr">
        <is>
          <t>expedientes</t>
        </is>
      </c>
      <c r="E1023" s="18" t="n">
        <v>91</v>
      </c>
      <c r="F1023" s="18" t="inlineStr">
        <is>
          <t>acto_administrativo_demandado</t>
        </is>
      </c>
      <c r="G1023" s="18" t="inlineStr">
        <is>
          <t>text</t>
        </is>
      </c>
      <c r="H1023" s="18" t="inlineStr">
        <is>
          <t>Sí</t>
        </is>
      </c>
      <c r="I1023" s="18" t="inlineStr"/>
      <c r="J1023" s="18" t="inlineStr"/>
      <c r="K1023" s="18" t="inlineStr"/>
      <c r="L1023" s="18" t="inlineStr">
        <is>
          <t>No</t>
        </is>
      </c>
      <c r="M1023" s="18" t="inlineStr">
        <is>
          <t>No</t>
        </is>
      </c>
      <c r="N1023" s="18" t="inlineStr"/>
      <c r="O1023" s="18" t="inlineStr"/>
      <c r="P1023" s="18" t="inlineStr">
        <is>
          <t>Mapeada en legal-management-service/src/entities/expediente.entity.ts:115 (Expediente.actoAdministrativoDemandado) | Validación: IsOptional, IsString</t>
        </is>
      </c>
      <c r="Q1023" s="18" t="inlineStr">
        <is>
          <t>Propuesta semántica</t>
        </is>
      </c>
      <c r="R1023" s="18" t="inlineStr">
        <is>
          <t>Acto administrativo demandado en el proceso.</t>
        </is>
      </c>
      <c r="S1023" s="18" t="inlineStr">
        <is>
          <t>Alta</t>
        </is>
      </c>
      <c r="T1023" s="18" t="inlineStr">
        <is>
          <t>nombre + tipo + columnas vecinas</t>
        </is>
      </c>
      <c r="U1023" s="18" t="inlineStr"/>
      <c r="V1023" s="19" t="inlineStr">
        <is>
          <t>Aprobada</t>
        </is>
      </c>
      <c r="W1023" s="19" t="inlineStr"/>
      <c r="X1023" s="19" t="inlineStr">
        <is>
          <t>Aldair González (aprobación en bloque)</t>
        </is>
      </c>
      <c r="Y1023" s="20" t="n">
        <v>46321</v>
      </c>
      <c r="Z1023" s="19" t="inlineStr">
        <is>
          <t>Nivel 1: propuesta del comentario del desarrollador o de confianza alta, o regla de fecha/responsable/motivo.</t>
        </is>
      </c>
      <c r="AA1023" s="18">
        <f>IF(OR(V1023="Aprobada"),R1023,IF(AND(OR(V1023="Aprobada con ajuste",V1023="Rechazada"),W1023&lt;&gt;""),W1023,""))</f>
        <v/>
      </c>
    </row>
    <row r="1024">
      <c r="A1024" s="18" t="inlineStr">
        <is>
          <t>C1023</t>
        </is>
      </c>
      <c r="B1024" s="18" t="inlineStr">
        <is>
          <t>Gestión jurídica</t>
        </is>
      </c>
      <c r="C1024" s="18" t="inlineStr">
        <is>
          <t>legal_management</t>
        </is>
      </c>
      <c r="D1024" s="18" t="inlineStr">
        <is>
          <t>expedientes</t>
        </is>
      </c>
      <c r="E1024" s="18" t="n">
        <v>91</v>
      </c>
      <c r="F1024" s="18" t="inlineStr">
        <is>
          <t>fecha_notificacion</t>
        </is>
      </c>
      <c r="G1024" s="18" t="inlineStr">
        <is>
          <t>timestamp without time zone</t>
        </is>
      </c>
      <c r="H1024" s="18" t="inlineStr">
        <is>
          <t>Sí</t>
        </is>
      </c>
      <c r="I1024" s="18" t="inlineStr"/>
      <c r="J1024" s="18" t="inlineStr"/>
      <c r="K1024" s="18" t="inlineStr"/>
      <c r="L1024" s="18" t="inlineStr">
        <is>
          <t>No</t>
        </is>
      </c>
      <c r="M1024" s="18" t="inlineStr">
        <is>
          <t>No</t>
        </is>
      </c>
      <c r="N1024" s="18" t="inlineStr"/>
      <c r="O1024" s="18" t="inlineStr"/>
      <c r="P1024" s="18" t="inlineStr">
        <is>
          <t>Mapeada en legal-management-service/src/entities/expediente.entity.ts:118 (Expediente.fechaNotificacion) | Validación: IsDateString</t>
        </is>
      </c>
      <c r="Q1024" s="18" t="inlineStr">
        <is>
          <t>Regla estructural (redacción revisada)</t>
        </is>
      </c>
      <c r="R1024" s="18" t="inlineStr">
        <is>
          <t>Fecha y hora de notificación del expediente.</t>
        </is>
      </c>
      <c r="S1024" s="18" t="inlineStr">
        <is>
          <t>Alta</t>
        </is>
      </c>
      <c r="T1024" s="18" t="inlineStr">
        <is>
          <t>Convención de nombre, redactada con el contexto de la tabla y el código.</t>
        </is>
      </c>
      <c r="U1024" s="18" t="inlineStr"/>
      <c r="V1024" s="19" t="inlineStr">
        <is>
          <t>Aprobada</t>
        </is>
      </c>
      <c r="W1024" s="19" t="inlineStr"/>
      <c r="X1024" s="19" t="inlineStr">
        <is>
          <t>Aldair González (aprobación en bloque)</t>
        </is>
      </c>
      <c r="Y1024" s="20" t="n">
        <v>46321</v>
      </c>
      <c r="Z1024" s="19" t="inlineStr">
        <is>
          <t>Nivel 2: regla estructural con redacción revisada.</t>
        </is>
      </c>
      <c r="AA1024" s="18">
        <f>IF(OR(V1024="Aprobada"),R1024,IF(AND(OR(V1024="Aprobada con ajuste",V1024="Rechazada"),W1024&lt;&gt;""),W1024,""))</f>
        <v/>
      </c>
    </row>
    <row r="1025">
      <c r="A1025" s="18" t="inlineStr">
        <is>
          <t>C1024</t>
        </is>
      </c>
      <c r="B1025" s="18" t="inlineStr">
        <is>
          <t>Gestión jurídica</t>
        </is>
      </c>
      <c r="C1025" s="18" t="inlineStr">
        <is>
          <t>legal_management</t>
        </is>
      </c>
      <c r="D1025" s="18" t="inlineStr">
        <is>
          <t>expedientes</t>
        </is>
      </c>
      <c r="E1025" s="18" t="n">
        <v>91</v>
      </c>
      <c r="F1025" s="18" t="inlineStr">
        <is>
          <t>fecha_vencimiento_termino</t>
        </is>
      </c>
      <c r="G1025" s="18" t="inlineStr">
        <is>
          <t>timestamp without time zone</t>
        </is>
      </c>
      <c r="H1025" s="18" t="inlineStr">
        <is>
          <t>Sí</t>
        </is>
      </c>
      <c r="I1025" s="18" t="inlineStr"/>
      <c r="J1025" s="18" t="inlineStr"/>
      <c r="K1025" s="18" t="inlineStr"/>
      <c r="L1025" s="18" t="inlineStr">
        <is>
          <t>No</t>
        </is>
      </c>
      <c r="M1025" s="18" t="inlineStr">
        <is>
          <t>No</t>
        </is>
      </c>
      <c r="N1025" s="18" t="inlineStr"/>
      <c r="O1025" s="18" t="inlineStr"/>
      <c r="P1025" s="18" t="inlineStr">
        <is>
          <t>Mapeada en legal-management-service/src/entities/expediente.entity.ts:121 (Expediente.fechaVencimientoTermino) | Validación: IsDateString, IsOptional</t>
        </is>
      </c>
      <c r="Q1025" s="18" t="inlineStr">
        <is>
          <t>Regla estructural (redacción revisada)</t>
        </is>
      </c>
      <c r="R1025" s="18" t="inlineStr">
        <is>
          <t>Fecha y hora de vencimiento del término del expediente.</t>
        </is>
      </c>
      <c r="S1025" s="18" t="inlineStr">
        <is>
          <t>Alta</t>
        </is>
      </c>
      <c r="T1025" s="18" t="inlineStr">
        <is>
          <t>Convención de nombre, redactada con el contexto de la tabla y el código.</t>
        </is>
      </c>
      <c r="U1025" s="18" t="inlineStr"/>
      <c r="V1025" s="19" t="inlineStr">
        <is>
          <t>Aprobada</t>
        </is>
      </c>
      <c r="W1025" s="19" t="inlineStr"/>
      <c r="X1025" s="19" t="inlineStr">
        <is>
          <t>Aldair González (aprobación en bloque)</t>
        </is>
      </c>
      <c r="Y1025" s="20" t="n">
        <v>46321</v>
      </c>
      <c r="Z1025" s="19" t="inlineStr">
        <is>
          <t>Nivel 2: regla estructural con redacción revisada.</t>
        </is>
      </c>
      <c r="AA1025" s="18">
        <f>IF(OR(V1025="Aprobada"),R1025,IF(AND(OR(V1025="Aprobada con ajuste",V1025="Rechazada"),W1025&lt;&gt;""),W1025,""))</f>
        <v/>
      </c>
    </row>
    <row r="1026">
      <c r="A1026" s="18" t="inlineStr">
        <is>
          <t>C1025</t>
        </is>
      </c>
      <c r="B1026" s="18" t="inlineStr">
        <is>
          <t>Gestión jurídica</t>
        </is>
      </c>
      <c r="C1026" s="18" t="inlineStr">
        <is>
          <t>legal_management</t>
        </is>
      </c>
      <c r="D1026" s="18" t="inlineStr">
        <is>
          <t>expedientes</t>
        </is>
      </c>
      <c r="E1026" s="18" t="n">
        <v>91</v>
      </c>
      <c r="F1026" s="18" t="inlineStr">
        <is>
          <t>tipo_id_demandante</t>
        </is>
      </c>
      <c r="G1026" s="18" t="inlineStr">
        <is>
          <t>character varying(10)</t>
        </is>
      </c>
      <c r="H1026" s="18" t="inlineStr">
        <is>
          <t>Sí</t>
        </is>
      </c>
      <c r="I1026" s="18" t="inlineStr"/>
      <c r="J1026" s="18" t="inlineStr"/>
      <c r="K1026" s="18" t="inlineStr"/>
      <c r="L1026" s="18" t="inlineStr">
        <is>
          <t>No</t>
        </is>
      </c>
      <c r="M1026" s="18" t="inlineStr">
        <is>
          <t>No</t>
        </is>
      </c>
      <c r="N1026" s="18" t="inlineStr"/>
      <c r="O1026" s="18" t="inlineStr"/>
      <c r="P1026" s="18" t="inlineStr">
        <is>
          <t>Mapeada en legal-management-service/src/entities/expediente.entity.ts:124 (Expediente.tipoIdDemandante) | Validación: IsString</t>
        </is>
      </c>
      <c r="Q1026" s="18" t="inlineStr">
        <is>
          <t>Código fuente (verificado)</t>
        </is>
      </c>
      <c r="R1026" s="18" t="inlineStr">
        <is>
          <t>Tipo de documento de identificación del demandante.</t>
        </is>
      </c>
      <c r="S1026" s="18" t="inlineStr">
        <is>
          <t>Media</t>
        </is>
      </c>
      <c r="T1026" s="18" t="inlineStr">
        <is>
          <t>legal-management-service/src/dtos/create-expediente.dto.ts:22: texto sin lista de valores</t>
        </is>
      </c>
      <c r="U1026" s="18" t="inlineStr">
        <is>
          <t>¿Qué valores admite (CC, NIT, CE…)?</t>
        </is>
      </c>
      <c r="V1026" s="19" t="inlineStr">
        <is>
          <t>Aprobada</t>
        </is>
      </c>
      <c r="W1026" s="19" t="inlineStr"/>
      <c r="X1026" s="19" t="inlineStr">
        <is>
          <t>Aldair González (validación del responsable de BD)</t>
        </is>
      </c>
      <c r="Y1026" s="20" t="n">
        <v>46321</v>
      </c>
      <c r="Z1026" s="19" t="inlineStr">
        <is>
          <t>Nivel 3: validada por decisión del responsable de la base de datos. Pregunta registrada para desarrollo: ¿Qué valores admite (CC, NIT, CE…)?</t>
        </is>
      </c>
      <c r="AA1026" s="18">
        <f>IF(OR(V1026="Aprobada"),R1026,IF(AND(OR(V1026="Aprobada con ajuste",V1026="Rechazada"),W1026&lt;&gt;""),W1026,""))</f>
        <v/>
      </c>
    </row>
    <row r="1027">
      <c r="A1027" s="18" t="inlineStr">
        <is>
          <t>C1026</t>
        </is>
      </c>
      <c r="B1027" s="18" t="inlineStr">
        <is>
          <t>Gestión jurídica</t>
        </is>
      </c>
      <c r="C1027" s="18" t="inlineStr">
        <is>
          <t>legal_management</t>
        </is>
      </c>
      <c r="D1027" s="18" t="inlineStr">
        <is>
          <t>expedientes</t>
        </is>
      </c>
      <c r="E1027" s="18" t="n">
        <v>91</v>
      </c>
      <c r="F1027" s="18" t="inlineStr">
        <is>
          <t>numero_id_demandante</t>
        </is>
      </c>
      <c r="G1027" s="18" t="inlineStr">
        <is>
          <t>character varying(20)</t>
        </is>
      </c>
      <c r="H1027" s="18" t="inlineStr">
        <is>
          <t>Sí</t>
        </is>
      </c>
      <c r="I1027" s="18" t="inlineStr"/>
      <c r="J1027" s="18" t="inlineStr"/>
      <c r="K1027" s="18" t="inlineStr"/>
      <c r="L1027" s="18" t="inlineStr">
        <is>
          <t>No</t>
        </is>
      </c>
      <c r="M1027" s="18" t="inlineStr">
        <is>
          <t>No</t>
        </is>
      </c>
      <c r="N1027" s="18" t="inlineStr"/>
      <c r="O1027" s="18" t="inlineStr"/>
      <c r="P1027" s="18" t="inlineStr">
        <is>
          <t>Mapeada en legal-management-service/src/entities/expediente.entity.ts:127 (Expediente.numeroIdDemandante) | Validación: IsString</t>
        </is>
      </c>
      <c r="Q1027" s="18" t="inlineStr">
        <is>
          <t>Propuesta semántica</t>
        </is>
      </c>
      <c r="R1027" s="18" t="inlineStr">
        <is>
          <t>Número de documento de identificación del demandante.</t>
        </is>
      </c>
      <c r="S1027" s="18" t="inlineStr">
        <is>
          <t>Alta</t>
        </is>
      </c>
      <c r="T1027" s="18" t="inlineStr">
        <is>
          <t>nombre + tipo + columnas vecinas</t>
        </is>
      </c>
      <c r="U1027" s="18" t="inlineStr"/>
      <c r="V1027" s="19" t="inlineStr">
        <is>
          <t>Aprobada</t>
        </is>
      </c>
      <c r="W1027" s="19" t="inlineStr"/>
      <c r="X1027" s="19" t="inlineStr">
        <is>
          <t>Aldair González (aprobación en bloque)</t>
        </is>
      </c>
      <c r="Y1027" s="20" t="n">
        <v>46321</v>
      </c>
      <c r="Z1027" s="19" t="inlineStr">
        <is>
          <t>Nivel 1: propuesta del comentario del desarrollador o de confianza alta, o regla de fecha/responsable/motivo.</t>
        </is>
      </c>
      <c r="AA1027" s="18">
        <f>IF(OR(V1027="Aprobada"),R1027,IF(AND(OR(V1027="Aprobada con ajuste",V1027="Rechazada"),W1027&lt;&gt;""),W1027,""))</f>
        <v/>
      </c>
    </row>
    <row r="1028">
      <c r="A1028" s="18" t="inlineStr">
        <is>
          <t>C1027</t>
        </is>
      </c>
      <c r="B1028" s="18" t="inlineStr">
        <is>
          <t>Gestión jurídica</t>
        </is>
      </c>
      <c r="C1028" s="18" t="inlineStr">
        <is>
          <t>legal_management</t>
        </is>
      </c>
      <c r="D1028" s="18" t="inlineStr">
        <is>
          <t>expedientes</t>
        </is>
      </c>
      <c r="E1028" s="18" t="n">
        <v>91</v>
      </c>
      <c r="F1028" s="18" t="inlineStr">
        <is>
          <t>tipo_id_demandado</t>
        </is>
      </c>
      <c r="G1028" s="18" t="inlineStr">
        <is>
          <t>character varying(10)</t>
        </is>
      </c>
      <c r="H1028" s="18" t="inlineStr">
        <is>
          <t>Sí</t>
        </is>
      </c>
      <c r="I1028" s="18" t="inlineStr"/>
      <c r="J1028" s="18" t="inlineStr"/>
      <c r="K1028" s="18" t="inlineStr"/>
      <c r="L1028" s="18" t="inlineStr">
        <is>
          <t>No</t>
        </is>
      </c>
      <c r="M1028" s="18" t="inlineStr">
        <is>
          <t>No</t>
        </is>
      </c>
      <c r="N1028" s="18" t="inlineStr"/>
      <c r="O1028" s="18" t="inlineStr"/>
      <c r="P1028" s="18" t="inlineStr">
        <is>
          <t>Mapeada en legal-management-service/src/entities/expediente.entity.ts:130 (Expediente.tipoIdDemandado) | Validación: IsString</t>
        </is>
      </c>
      <c r="Q1028" s="18" t="inlineStr">
        <is>
          <t>Código fuente (verificado)</t>
        </is>
      </c>
      <c r="R1028" s="18" t="inlineStr">
        <is>
          <t>Tipo de documento de identificación del demandado.</t>
        </is>
      </c>
      <c r="S1028" s="18" t="inlineStr">
        <is>
          <t>Media</t>
        </is>
      </c>
      <c r="T1028" s="18" t="inlineStr">
        <is>
          <t>legal-management-service/src/dtos/create-expediente.dto.ts:31: texto sin lista de valores</t>
        </is>
      </c>
      <c r="U1028" s="18" t="inlineStr">
        <is>
          <t>¿Qué valores admite (CC, NIT, CE…)?</t>
        </is>
      </c>
      <c r="V1028" s="19" t="inlineStr">
        <is>
          <t>Aprobada</t>
        </is>
      </c>
      <c r="W1028" s="19" t="inlineStr"/>
      <c r="X1028" s="19" t="inlineStr">
        <is>
          <t>Aldair González (validación del responsable de BD)</t>
        </is>
      </c>
      <c r="Y1028" s="20" t="n">
        <v>46321</v>
      </c>
      <c r="Z1028" s="19" t="inlineStr">
        <is>
          <t>Nivel 3: validada por decisión del responsable de la base de datos. Pregunta registrada para desarrollo: ¿Qué valores admite (CC, NIT, CE…)?</t>
        </is>
      </c>
      <c r="AA1028" s="18">
        <f>IF(OR(V1028="Aprobada"),R1028,IF(AND(OR(V1028="Aprobada con ajuste",V1028="Rechazada"),W1028&lt;&gt;""),W1028,""))</f>
        <v/>
      </c>
    </row>
    <row r="1029">
      <c r="A1029" s="18" t="inlineStr">
        <is>
          <t>C1028</t>
        </is>
      </c>
      <c r="B1029" s="18" t="inlineStr">
        <is>
          <t>Gestión jurídica</t>
        </is>
      </c>
      <c r="C1029" s="18" t="inlineStr">
        <is>
          <t>legal_management</t>
        </is>
      </c>
      <c r="D1029" s="18" t="inlineStr">
        <is>
          <t>expedientes</t>
        </is>
      </c>
      <c r="E1029" s="18" t="n">
        <v>91</v>
      </c>
      <c r="F1029" s="18" t="inlineStr">
        <is>
          <t>numero_id_demandado</t>
        </is>
      </c>
      <c r="G1029" s="18" t="inlineStr">
        <is>
          <t>character varying(20)</t>
        </is>
      </c>
      <c r="H1029" s="18" t="inlineStr">
        <is>
          <t>Sí</t>
        </is>
      </c>
      <c r="I1029" s="18" t="inlineStr"/>
      <c r="J1029" s="18" t="inlineStr"/>
      <c r="K1029" s="18" t="inlineStr"/>
      <c r="L1029" s="18" t="inlineStr">
        <is>
          <t>No</t>
        </is>
      </c>
      <c r="M1029" s="18" t="inlineStr">
        <is>
          <t>No</t>
        </is>
      </c>
      <c r="N1029" s="18" t="inlineStr"/>
      <c r="O1029" s="18" t="inlineStr"/>
      <c r="P1029" s="18" t="inlineStr">
        <is>
          <t>Mapeada en legal-management-service/src/entities/expediente.entity.ts:133 (Expediente.numeroIdDemandado) | Validación: IsString</t>
        </is>
      </c>
      <c r="Q1029" s="18" t="inlineStr">
        <is>
          <t>Propuesta semántica</t>
        </is>
      </c>
      <c r="R1029" s="18" t="inlineStr">
        <is>
          <t>Número de documento de identificación del demandado.</t>
        </is>
      </c>
      <c r="S1029" s="18" t="inlineStr">
        <is>
          <t>Alta</t>
        </is>
      </c>
      <c r="T1029" s="18" t="inlineStr">
        <is>
          <t>nombre + tipo + columnas vecinas</t>
        </is>
      </c>
      <c r="U1029" s="18" t="inlineStr"/>
      <c r="V1029" s="19" t="inlineStr">
        <is>
          <t>Aprobada</t>
        </is>
      </c>
      <c r="W1029" s="19" t="inlineStr"/>
      <c r="X1029" s="19" t="inlineStr">
        <is>
          <t>Aldair González (aprobación en bloque)</t>
        </is>
      </c>
      <c r="Y1029" s="20" t="n">
        <v>46321</v>
      </c>
      <c r="Z1029" s="19" t="inlineStr">
        <is>
          <t>Nivel 1: propuesta del comentario del desarrollador o de confianza alta, o regla de fecha/responsable/motivo.</t>
        </is>
      </c>
      <c r="AA1029" s="18">
        <f>IF(OR(V1029="Aprobada"),R1029,IF(AND(OR(V1029="Aprobada con ajuste",V1029="Rechazada"),W1029&lt;&gt;""),W1029,""))</f>
        <v/>
      </c>
    </row>
    <row r="1030">
      <c r="A1030" s="18" t="inlineStr">
        <is>
          <t>C1029</t>
        </is>
      </c>
      <c r="B1030" s="18" t="inlineStr">
        <is>
          <t>Gestión jurídica</t>
        </is>
      </c>
      <c r="C1030" s="18" t="inlineStr">
        <is>
          <t>legal_management</t>
        </is>
      </c>
      <c r="D1030" s="18" t="inlineStr">
        <is>
          <t>expedientes</t>
        </is>
      </c>
      <c r="E1030" s="18" t="n">
        <v>91</v>
      </c>
      <c r="F1030" s="18" t="inlineStr">
        <is>
          <t>etapa_procesal</t>
        </is>
      </c>
      <c r="G1030" s="18" t="inlineStr">
        <is>
          <t>character varying(100)</t>
        </is>
      </c>
      <c r="H1030" s="18" t="inlineStr">
        <is>
          <t>Sí</t>
        </is>
      </c>
      <c r="I1030" s="18" t="inlineStr"/>
      <c r="J1030" s="18" t="inlineStr"/>
      <c r="K1030" s="18" t="inlineStr"/>
      <c r="L1030" s="18" t="inlineStr">
        <is>
          <t>No</t>
        </is>
      </c>
      <c r="M1030" s="18" t="inlineStr">
        <is>
          <t>No</t>
        </is>
      </c>
      <c r="N1030" s="18" t="inlineStr"/>
      <c r="O1030" s="18" t="inlineStr"/>
      <c r="P1030" s="18" t="inlineStr">
        <is>
          <t>Mapeada en legal-management-service/src/entities/expediente.entity.ts:159 (Expediente.etapaProcesal)</t>
        </is>
      </c>
      <c r="Q1030" s="18" t="inlineStr">
        <is>
          <t>Código fuente (verificado)</t>
        </is>
      </c>
      <c r="R1030" s="18" t="inlineStr">
        <is>
          <t>Etapa del tablero (Kanban) en que está el expediente; sus valores son los estados configurados para el tipo de proceso. Valor por defecto: RADICACION. etapa, en cambio, guarda la etapa de Juzgamiento Disciplinario (por ejemplo, E1_AVOCAMIENTO).</t>
        </is>
      </c>
      <c r="S1030" s="18" t="inlineStr">
        <is>
          <t>Alta</t>
        </is>
      </c>
      <c r="T1030" s="18" t="inlineStr">
        <is>
          <t>legal-management-service/src/services/expediente.service.ts:122: RADICACION al crear | legal-management-service/src/services/expediente.service.ts:495: se ubica en los estados configurados | legal-management-service/src/services/actuacion.service.ts:74: estado Kanban según etapaProcesal | legal-management-service/src/controllers/juzgamiento.controller.ts:173: etapa E1_AVOCAMIENTO</t>
        </is>
      </c>
      <c r="U1030" s="18" t="inlineStr"/>
      <c r="V1030" s="19" t="inlineStr">
        <is>
          <t>Aprobada</t>
        </is>
      </c>
      <c r="W1030" s="19" t="inlineStr"/>
      <c r="X1030" s="19" t="inlineStr">
        <is>
          <t>Aldair González (aprobación en bloque)</t>
        </is>
      </c>
      <c r="Y1030" s="20" t="n">
        <v>46321</v>
      </c>
      <c r="Z1030" s="19" t="inlineStr">
        <is>
          <t>Nivel 3: verificada con el código de la aplicación.</t>
        </is>
      </c>
      <c r="AA1030" s="18">
        <f>IF(OR(V1030="Aprobada"),R1030,IF(AND(OR(V1030="Aprobada con ajuste",V1030="Rechazada"),W1030&lt;&gt;""),W1030,""))</f>
        <v/>
      </c>
    </row>
    <row r="1031">
      <c r="A1031" s="18" t="inlineStr">
        <is>
          <t>C1030</t>
        </is>
      </c>
      <c r="B1031" s="18" t="inlineStr">
        <is>
          <t>Gestión jurídica</t>
        </is>
      </c>
      <c r="C1031" s="18" t="inlineStr">
        <is>
          <t>legal_management</t>
        </is>
      </c>
      <c r="D1031" s="18" t="inlineStr">
        <is>
          <t>expedientes</t>
        </is>
      </c>
      <c r="E1031" s="18" t="n">
        <v>91</v>
      </c>
      <c r="F1031" s="18" t="inlineStr">
        <is>
          <t>documentos_iniciales_urls</t>
        </is>
      </c>
      <c r="G1031" s="18" t="inlineStr">
        <is>
          <t>text[]</t>
        </is>
      </c>
      <c r="H1031" s="18" t="inlineStr">
        <is>
          <t>Sí</t>
        </is>
      </c>
      <c r="I1031" s="18" t="inlineStr"/>
      <c r="J1031" s="18" t="inlineStr"/>
      <c r="K1031" s="18" t="inlineStr"/>
      <c r="L1031" s="18" t="inlineStr">
        <is>
          <t>No</t>
        </is>
      </c>
      <c r="M1031" s="18" t="inlineStr">
        <is>
          <t>No</t>
        </is>
      </c>
      <c r="N1031" s="18" t="inlineStr"/>
      <c r="O1031" s="18" t="inlineStr"/>
      <c r="P1031" s="18" t="inlineStr">
        <is>
          <t>db/migrations/old/000b_update_expediente_schema.sql:21: Array of URLs for initial docs | db/init/old/05_update_expediente_schema.sql:17: Array of URLs for initial docs | Validación: IsArray, IsOptional, IsString({ each: true })</t>
        </is>
      </c>
      <c r="Q1031" s="18" t="inlineStr">
        <is>
          <t>Código fuente</t>
        </is>
      </c>
      <c r="R1031" s="18" t="inlineStr">
        <is>
          <t>URL de los documentos iniciales del expediente, como arreglo.</t>
        </is>
      </c>
      <c r="S1031" s="18" t="inlineStr">
        <is>
          <t>Alta</t>
        </is>
      </c>
      <c r="T1031" s="18" t="inlineStr">
        <is>
          <t>código: db/migrations/old/000b_update_expediente_schema.sql:21</t>
        </is>
      </c>
      <c r="U1031" s="18" t="inlineStr"/>
      <c r="V1031" s="19" t="inlineStr">
        <is>
          <t>Aprobada</t>
        </is>
      </c>
      <c r="W1031" s="19" t="inlineStr"/>
      <c r="X1031" s="19" t="inlineStr">
        <is>
          <t>Aldair González (aprobación en bloque)</t>
        </is>
      </c>
      <c r="Y1031" s="20" t="n">
        <v>46321</v>
      </c>
      <c r="Z1031" s="19" t="inlineStr">
        <is>
          <t>Nivel 1: propuesta del comentario del desarrollador o de confianza alta, o regla de fecha/responsable/motivo.</t>
        </is>
      </c>
      <c r="AA1031" s="18">
        <f>IF(OR(V1031="Aprobada"),R1031,IF(AND(OR(V1031="Aprobada con ajuste",V1031="Rechazada"),W1031&lt;&gt;""),W1031,""))</f>
        <v/>
      </c>
    </row>
    <row r="1032">
      <c r="A1032" s="18" t="inlineStr">
        <is>
          <t>C1031</t>
        </is>
      </c>
      <c r="B1032" s="18" t="inlineStr">
        <is>
          <t>Gestión jurídica</t>
        </is>
      </c>
      <c r="C1032" s="18" t="inlineStr">
        <is>
          <t>legal_management</t>
        </is>
      </c>
      <c r="D1032" s="18" t="inlineStr">
        <is>
          <t>expedientes</t>
        </is>
      </c>
      <c r="E1032" s="18" t="n">
        <v>91</v>
      </c>
      <c r="F1032" s="18" t="inlineStr">
        <is>
          <t>demandado_direccion</t>
        </is>
      </c>
      <c r="G1032" s="18" t="inlineStr">
        <is>
          <t>character varying(500)</t>
        </is>
      </c>
      <c r="H1032" s="18" t="inlineStr">
        <is>
          <t>Sí</t>
        </is>
      </c>
      <c r="I1032" s="18" t="inlineStr"/>
      <c r="J1032" s="18" t="inlineStr"/>
      <c r="K1032" s="18" t="inlineStr"/>
      <c r="L1032" s="18" t="inlineStr">
        <is>
          <t>No</t>
        </is>
      </c>
      <c r="M1032" s="18" t="inlineStr">
        <is>
          <t>No</t>
        </is>
      </c>
      <c r="N1032" s="18" t="inlineStr"/>
      <c r="O1032" s="18" t="inlineStr"/>
      <c r="P1032" s="18" t="inlineStr">
        <is>
          <t>legal-management-service/src/entities/expediente.entity.ts:150: Campos de contacto del demandado (opcional)</t>
        </is>
      </c>
      <c r="Q1032" s="18" t="inlineStr">
        <is>
          <t>Código fuente</t>
        </is>
      </c>
      <c r="R1032" s="18" t="inlineStr">
        <is>
          <t>Dirección de contacto del demandado; opcional.</t>
        </is>
      </c>
      <c r="S1032" s="18" t="inlineStr">
        <is>
          <t>Alta</t>
        </is>
      </c>
      <c r="T1032" s="18" t="inlineStr">
        <is>
          <t>código: legal-management-service/src/entities/expediente.entity.ts:150</t>
        </is>
      </c>
      <c r="U1032" s="18" t="inlineStr"/>
      <c r="V1032" s="19" t="inlineStr">
        <is>
          <t>Aprobada</t>
        </is>
      </c>
      <c r="W1032" s="19" t="inlineStr"/>
      <c r="X1032" s="19" t="inlineStr">
        <is>
          <t>Aldair González (aprobación en bloque)</t>
        </is>
      </c>
      <c r="Y1032" s="20" t="n">
        <v>46321</v>
      </c>
      <c r="Z1032" s="19" t="inlineStr">
        <is>
          <t>Nivel 1: propuesta del comentario del desarrollador o de confianza alta, o regla de fecha/responsable/motivo.</t>
        </is>
      </c>
      <c r="AA1032" s="18">
        <f>IF(OR(V1032="Aprobada"),R1032,IF(AND(OR(V1032="Aprobada con ajuste",V1032="Rechazada"),W1032&lt;&gt;""),W1032,""))</f>
        <v/>
      </c>
    </row>
    <row r="1033">
      <c r="A1033" s="18" t="inlineStr">
        <is>
          <t>C1032</t>
        </is>
      </c>
      <c r="B1033" s="18" t="inlineStr">
        <is>
          <t>Gestión jurídica</t>
        </is>
      </c>
      <c r="C1033" s="18" t="inlineStr">
        <is>
          <t>legal_management</t>
        </is>
      </c>
      <c r="D1033" s="18" t="inlineStr">
        <is>
          <t>expedientes</t>
        </is>
      </c>
      <c r="E1033" s="18" t="n">
        <v>91</v>
      </c>
      <c r="F1033" s="18" t="inlineStr">
        <is>
          <t>demandado_telefono</t>
        </is>
      </c>
      <c r="G1033" s="18" t="inlineStr">
        <is>
          <t>character varying(50)</t>
        </is>
      </c>
      <c r="H1033" s="18" t="inlineStr">
        <is>
          <t>Sí</t>
        </is>
      </c>
      <c r="I1033" s="18" t="inlineStr"/>
      <c r="J1033" s="18" t="inlineStr"/>
      <c r="K1033" s="18" t="inlineStr"/>
      <c r="L1033" s="18" t="inlineStr">
        <is>
          <t>No</t>
        </is>
      </c>
      <c r="M1033" s="18" t="inlineStr">
        <is>
          <t>No</t>
        </is>
      </c>
      <c r="N1033" s="18" t="inlineStr"/>
      <c r="O1033" s="18" t="inlineStr"/>
      <c r="P1033" s="18" t="inlineStr">
        <is>
          <t>Mapeada en legal-management-service/src/entities/expediente.entity.ts:153 (Expediente.demandadoTelefono)</t>
        </is>
      </c>
      <c r="Q1033" s="18" t="inlineStr">
        <is>
          <t>Propuesta semántica</t>
        </is>
      </c>
      <c r="R1033" s="18" t="inlineStr">
        <is>
          <t>Teléfono del demandado.</t>
        </is>
      </c>
      <c r="S1033" s="18" t="inlineStr">
        <is>
          <t>Alta</t>
        </is>
      </c>
      <c r="T1033" s="18" t="inlineStr">
        <is>
          <t>nombre + tipo + columnas vecinas</t>
        </is>
      </c>
      <c r="U1033" s="18" t="inlineStr"/>
      <c r="V1033" s="19" t="inlineStr">
        <is>
          <t>Aprobada</t>
        </is>
      </c>
      <c r="W1033" s="19" t="inlineStr"/>
      <c r="X1033" s="19" t="inlineStr">
        <is>
          <t>Aldair González (aprobación en bloque)</t>
        </is>
      </c>
      <c r="Y1033" s="20" t="n">
        <v>46321</v>
      </c>
      <c r="Z1033" s="19" t="inlineStr">
        <is>
          <t>Nivel 1: propuesta del comentario del desarrollador o de confianza alta, o regla de fecha/responsable/motivo.</t>
        </is>
      </c>
      <c r="AA1033" s="18">
        <f>IF(OR(V1033="Aprobada"),R1033,IF(AND(OR(V1033="Aprobada con ajuste",V1033="Rechazada"),W1033&lt;&gt;""),W1033,""))</f>
        <v/>
      </c>
    </row>
    <row r="1034">
      <c r="A1034" s="18" t="inlineStr">
        <is>
          <t>C1033</t>
        </is>
      </c>
      <c r="B1034" s="18" t="inlineStr">
        <is>
          <t>Gestión jurídica</t>
        </is>
      </c>
      <c r="C1034" s="18" t="inlineStr">
        <is>
          <t>legal_management</t>
        </is>
      </c>
      <c r="D1034" s="18" t="inlineStr">
        <is>
          <t>expedientes</t>
        </is>
      </c>
      <c r="E1034" s="18" t="n">
        <v>91</v>
      </c>
      <c r="F1034" s="18" t="inlineStr">
        <is>
          <t>demandado_email</t>
        </is>
      </c>
      <c r="G1034" s="18" t="inlineStr">
        <is>
          <t>character varying(255)</t>
        </is>
      </c>
      <c r="H1034" s="18" t="inlineStr">
        <is>
          <t>Sí</t>
        </is>
      </c>
      <c r="I1034" s="18" t="inlineStr"/>
      <c r="J1034" s="18" t="inlineStr"/>
      <c r="K1034" s="18" t="inlineStr"/>
      <c r="L1034" s="18" t="inlineStr">
        <is>
          <t>No</t>
        </is>
      </c>
      <c r="M1034" s="18" t="inlineStr">
        <is>
          <t>No</t>
        </is>
      </c>
      <c r="N1034" s="18" t="inlineStr"/>
      <c r="O1034" s="18" t="inlineStr"/>
      <c r="P1034" s="18" t="inlineStr">
        <is>
          <t>Mapeada en legal-management-service/src/entities/expediente.entity.ts:156 (Expediente.demandadoEmail)</t>
        </is>
      </c>
      <c r="Q1034" s="18" t="inlineStr">
        <is>
          <t>Propuesta semántica</t>
        </is>
      </c>
      <c r="R1034" s="18" t="inlineStr">
        <is>
          <t>Correo electrónico del demandado.</t>
        </is>
      </c>
      <c r="S1034" s="18" t="inlineStr">
        <is>
          <t>Alta</t>
        </is>
      </c>
      <c r="T1034" s="18" t="inlineStr">
        <is>
          <t>nombre + tipo + columnas vecinas</t>
        </is>
      </c>
      <c r="U1034" s="18" t="inlineStr"/>
      <c r="V1034" s="19" t="inlineStr">
        <is>
          <t>Aprobada</t>
        </is>
      </c>
      <c r="W1034" s="19" t="inlineStr"/>
      <c r="X1034" s="19" t="inlineStr">
        <is>
          <t>Aldair González (aprobación en bloque)</t>
        </is>
      </c>
      <c r="Y1034" s="20" t="n">
        <v>46321</v>
      </c>
      <c r="Z1034" s="19" t="inlineStr">
        <is>
          <t>Nivel 1: propuesta del comentario del desarrollador o de confianza alta, o regla de fecha/responsable/motivo.</t>
        </is>
      </c>
      <c r="AA1034" s="18">
        <f>IF(OR(V1034="Aprobada"),R1034,IF(AND(OR(V1034="Aprobada con ajuste",V1034="Rechazada"),W1034&lt;&gt;""),W1034,""))</f>
        <v/>
      </c>
    </row>
    <row r="1035">
      <c r="A1035" s="18" t="inlineStr">
        <is>
          <t>C1034</t>
        </is>
      </c>
      <c r="B1035" s="18" t="inlineStr">
        <is>
          <t>Gestión jurídica</t>
        </is>
      </c>
      <c r="C1035" s="18" t="inlineStr">
        <is>
          <t>legal_management</t>
        </is>
      </c>
      <c r="D1035" s="18" t="inlineStr">
        <is>
          <t>expedientes</t>
        </is>
      </c>
      <c r="E1035" s="18" t="n">
        <v>91</v>
      </c>
      <c r="F1035" s="18" t="inlineStr">
        <is>
          <t>tipo_conteo_termino</t>
        </is>
      </c>
      <c r="G1035" s="18" t="inlineStr">
        <is>
          <t>character varying(20)</t>
        </is>
      </c>
      <c r="H1035" s="18" t="inlineStr">
        <is>
          <t>Sí</t>
        </is>
      </c>
      <c r="I1035" s="18" t="inlineStr"/>
      <c r="J1035" s="18" t="inlineStr"/>
      <c r="K1035" s="18" t="inlineStr"/>
      <c r="L1035" s="18" t="inlineStr">
        <is>
          <t>No</t>
        </is>
      </c>
      <c r="M1035" s="18" t="inlineStr">
        <is>
          <t>No</t>
        </is>
      </c>
      <c r="N1035" s="18" t="inlineStr"/>
      <c r="O1035" s="18" t="inlineStr"/>
      <c r="P1035" s="18" t="inlineStr">
        <is>
          <t>legal-management-service/src/entities/expediente.entity.ts:94: 'HABILES' (business days) or 'CALENDARIO' (calendar days) | Validación: IsOptional, IsString</t>
        </is>
      </c>
      <c r="Q1035" s="18" t="inlineStr">
        <is>
          <t>Código fuente</t>
        </is>
      </c>
      <c r="R1035" s="18" t="inlineStr">
        <is>
          <t>Tipo de conteo de los términos del expediente. Valores: HABILES (días hábiles), CALENDARIO (días calendario). Por defecto, HABILES.</t>
        </is>
      </c>
      <c r="S1035" s="18" t="inlineStr">
        <is>
          <t>Alta</t>
        </is>
      </c>
      <c r="T1035" s="18" t="inlineStr">
        <is>
          <t>código: expediente.entity.ts:94</t>
        </is>
      </c>
      <c r="U1035" s="18" t="inlineStr"/>
      <c r="V1035" s="19" t="inlineStr">
        <is>
          <t>Aprobada</t>
        </is>
      </c>
      <c r="W1035" s="19" t="inlineStr"/>
      <c r="X1035" s="19" t="inlineStr">
        <is>
          <t>Aldair González (aprobación en bloque)</t>
        </is>
      </c>
      <c r="Y1035" s="20" t="n">
        <v>46321</v>
      </c>
      <c r="Z1035" s="19" t="inlineStr">
        <is>
          <t>Nivel 1: propuesta del comentario del desarrollador o de confianza alta, o regla de fecha/responsable/motivo.</t>
        </is>
      </c>
      <c r="AA1035" s="18">
        <f>IF(OR(V1035="Aprobada"),R1035,IF(AND(OR(V1035="Aprobada con ajuste",V1035="Rechazada"),W1035&lt;&gt;""),W1035,""))</f>
        <v/>
      </c>
    </row>
    <row r="1036">
      <c r="A1036" s="18" t="inlineStr">
        <is>
          <t>C1035</t>
        </is>
      </c>
      <c r="B1036" s="18" t="inlineStr">
        <is>
          <t>Gestión jurídica</t>
        </is>
      </c>
      <c r="C1036" s="18" t="inlineStr">
        <is>
          <t>legal_management</t>
        </is>
      </c>
      <c r="D1036" s="18" t="inlineStr">
        <is>
          <t>expedientes</t>
        </is>
      </c>
      <c r="E1036" s="18" t="n">
        <v>91</v>
      </c>
      <c r="F1036" s="18" t="inlineStr">
        <is>
          <t>nivel_riesgo</t>
        </is>
      </c>
      <c r="G1036" s="18" t="inlineStr">
        <is>
          <t>character varying(255)</t>
        </is>
      </c>
      <c r="H1036" s="18" t="inlineStr">
        <is>
          <t>Sí</t>
        </is>
      </c>
      <c r="I1036" s="18" t="inlineStr"/>
      <c r="J1036" s="18" t="inlineStr"/>
      <c r="K1036" s="18" t="inlineStr"/>
      <c r="L1036" s="18" t="inlineStr">
        <is>
          <t>No</t>
        </is>
      </c>
      <c r="M1036" s="18" t="inlineStr">
        <is>
          <t>No</t>
        </is>
      </c>
      <c r="N1036" s="18" t="inlineStr"/>
      <c r="O1036" s="18" t="inlineStr"/>
      <c r="P1036" s="18" t="inlineStr">
        <is>
          <t>legal-management-service/src/entities/expediente.entity.ts:67: Campos para Dashboard y Conciliación | Validación: IsOptional, IsString</t>
        </is>
      </c>
      <c r="Q1036" s="18" t="inlineStr">
        <is>
          <t>Código fuente (verificado)</t>
        </is>
      </c>
      <c r="R1036" s="18" t="inlineStr">
        <is>
          <t>Nivel de riesgo del expediente, usado en el tablero y en conciliación.</t>
        </is>
      </c>
      <c r="S1036" s="18" t="inlineStr">
        <is>
          <t>Media</t>
        </is>
      </c>
      <c r="T1036" s="18" t="inlineStr">
        <is>
          <t>legal-management-service/src/entities/expediente.entity.ts:66: Campos para Dashboard y Conciliación | legal-management-service/src/dtos/create-expediente.dto.ts:51: texto opcional sin valores</t>
        </is>
      </c>
      <c r="U1036" s="18" t="inlineStr">
        <is>
          <t>¿Qué valores toma el nivel de riesgo y quién lo asigna?</t>
        </is>
      </c>
      <c r="V1036" s="19" t="inlineStr">
        <is>
          <t>Aprobada</t>
        </is>
      </c>
      <c r="W1036" s="19" t="inlineStr"/>
      <c r="X1036" s="19" t="inlineStr">
        <is>
          <t>Aldair González (validación del responsable de BD)</t>
        </is>
      </c>
      <c r="Y1036" s="20" t="n">
        <v>46321</v>
      </c>
      <c r="Z1036" s="19" t="inlineStr">
        <is>
          <t>Nivel 3: validada por decisión del responsable de la base de datos. Pregunta registrada para desarrollo: ¿Qué valores toma el nivel de riesgo y quién lo asigna?</t>
        </is>
      </c>
      <c r="AA1036" s="18">
        <f>IF(OR(V1036="Aprobada"),R1036,IF(AND(OR(V1036="Aprobada con ajuste",V1036="Rechazada"),W1036&lt;&gt;""),W1036,""))</f>
        <v/>
      </c>
    </row>
    <row r="1037">
      <c r="A1037" s="18" t="inlineStr">
        <is>
          <t>C1036</t>
        </is>
      </c>
      <c r="B1037" s="18" t="inlineStr">
        <is>
          <t>Gestión jurídica</t>
        </is>
      </c>
      <c r="C1037" s="18" t="inlineStr">
        <is>
          <t>legal_management</t>
        </is>
      </c>
      <c r="D1037" s="18" t="inlineStr">
        <is>
          <t>expedientes</t>
        </is>
      </c>
      <c r="E1037" s="18" t="n">
        <v>91</v>
      </c>
      <c r="F1037" s="18" t="inlineStr">
        <is>
          <t>provision_contable</t>
        </is>
      </c>
      <c r="G1037" s="18" t="inlineStr">
        <is>
          <t>numeric(15,2)</t>
        </is>
      </c>
      <c r="H1037" s="18" t="inlineStr">
        <is>
          <t>Sí</t>
        </is>
      </c>
      <c r="I1037" s="18" t="inlineStr"/>
      <c r="J1037" s="18" t="inlineStr"/>
      <c r="K1037" s="18" t="inlineStr"/>
      <c r="L1037" s="18" t="inlineStr">
        <is>
          <t>No</t>
        </is>
      </c>
      <c r="M1037" s="18" t="inlineStr">
        <is>
          <t>No</t>
        </is>
      </c>
      <c r="N1037" s="18" t="inlineStr"/>
      <c r="O1037" s="18" t="inlineStr"/>
      <c r="P1037" s="18" t="inlineStr">
        <is>
          <t>Mapeada en legal-management-service/src/entities/expediente.entity.ts:70 (Expediente.provisionContable) | Validación: IsNumber, IsOptional</t>
        </is>
      </c>
      <c r="Q1037" s="18" t="inlineStr">
        <is>
          <t>Código fuente (verificado)</t>
        </is>
      </c>
      <c r="R1037" s="18" t="inlineStr">
        <is>
          <t>Valor de la provisión contable del proceso.</t>
        </is>
      </c>
      <c r="S1037" s="18" t="inlineStr">
        <is>
          <t>Media</t>
        </is>
      </c>
      <c r="T1037" s="18" t="inlineStr">
        <is>
          <t>legal-management-service/src/entities/expediente.entity.ts:70: numeric(15,2) | legal-management-service/src/dtos/create-expediente.dto.ts:55: número opcional</t>
        </is>
      </c>
      <c r="U1037" s="18" t="inlineStr">
        <is>
          <t>¿El valor se registra en pesos colombianos?</t>
        </is>
      </c>
      <c r="V1037" s="19" t="inlineStr">
        <is>
          <t>Aprobada</t>
        </is>
      </c>
      <c r="W1037" s="19" t="inlineStr"/>
      <c r="X1037" s="19" t="inlineStr">
        <is>
          <t>Aldair González (validación del responsable de BD)</t>
        </is>
      </c>
      <c r="Y1037" s="20" t="n">
        <v>46321</v>
      </c>
      <c r="Z1037" s="19" t="inlineStr">
        <is>
          <t>Nivel 3: validada por decisión del responsable de la base de datos. Pregunta registrada para desarrollo: ¿El valor se registra en pesos colombianos?</t>
        </is>
      </c>
      <c r="AA1037" s="18">
        <f>IF(OR(V1037="Aprobada"),R1037,IF(AND(OR(V1037="Aprobada con ajuste",V1037="Rechazada"),W1037&lt;&gt;""),W1037,""))</f>
        <v/>
      </c>
    </row>
    <row r="1038">
      <c r="A1038" s="18" t="inlineStr">
        <is>
          <t>C1037</t>
        </is>
      </c>
      <c r="B1038" s="18" t="inlineStr">
        <is>
          <t>Gestión jurídica</t>
        </is>
      </c>
      <c r="C1038" s="18" t="inlineStr">
        <is>
          <t>legal_management</t>
        </is>
      </c>
      <c r="D1038" s="18" t="inlineStr">
        <is>
          <t>expedientes</t>
        </is>
      </c>
      <c r="E1038" s="18" t="n">
        <v>91</v>
      </c>
      <c r="F1038" s="18" t="inlineStr">
        <is>
          <t>fecha_estimacion_provision</t>
        </is>
      </c>
      <c r="G1038" s="18" t="inlineStr">
        <is>
          <t>timestamp without time zone</t>
        </is>
      </c>
      <c r="H1038" s="18" t="inlineStr">
        <is>
          <t>Sí</t>
        </is>
      </c>
      <c r="I1038" s="18" t="inlineStr"/>
      <c r="J1038" s="18" t="inlineStr"/>
      <c r="K1038" s="18" t="inlineStr"/>
      <c r="L1038" s="18" t="inlineStr">
        <is>
          <t>No</t>
        </is>
      </c>
      <c r="M1038" s="18" t="inlineStr">
        <is>
          <t>No</t>
        </is>
      </c>
      <c r="N1038" s="18" t="inlineStr"/>
      <c r="O1038" s="18" t="inlineStr"/>
      <c r="P1038" s="18" t="inlineStr">
        <is>
          <t>Mapeada en legal-management-service/src/entities/expediente.entity.ts:73 (Expediente.fechaEstimacionProvision) | Validación: IsDateString, IsOptional</t>
        </is>
      </c>
      <c r="Q1038" s="18" t="inlineStr">
        <is>
          <t>Regla estructural (redacción revisada)</t>
        </is>
      </c>
      <c r="R1038" s="18" t="inlineStr">
        <is>
          <t>Fecha y hora de estimación de la provisión del expediente.</t>
        </is>
      </c>
      <c r="S1038" s="18" t="inlineStr">
        <is>
          <t>Alta</t>
        </is>
      </c>
      <c r="T1038" s="18" t="inlineStr">
        <is>
          <t>Convención de nombre, redactada con el contexto de la tabla y el código.</t>
        </is>
      </c>
      <c r="U1038" s="18" t="inlineStr"/>
      <c r="V1038" s="19" t="inlineStr">
        <is>
          <t>Aprobada</t>
        </is>
      </c>
      <c r="W1038" s="19" t="inlineStr"/>
      <c r="X1038" s="19" t="inlineStr">
        <is>
          <t>Aldair González (aprobación en bloque)</t>
        </is>
      </c>
      <c r="Y1038" s="20" t="n">
        <v>46321</v>
      </c>
      <c r="Z1038" s="19" t="inlineStr">
        <is>
          <t>Nivel 2: regla estructural con redacción revisada.</t>
        </is>
      </c>
      <c r="AA1038" s="18">
        <f>IF(OR(V1038="Aprobada"),R1038,IF(AND(OR(V1038="Aprobada con ajuste",V1038="Rechazada"),W1038&lt;&gt;""),W1038,""))</f>
        <v/>
      </c>
    </row>
    <row r="1039">
      <c r="A1039" s="18" t="inlineStr">
        <is>
          <t>C1038</t>
        </is>
      </c>
      <c r="B1039" s="18" t="inlineStr">
        <is>
          <t>Gestión jurídica</t>
        </is>
      </c>
      <c r="C1039" s="18" t="inlineStr">
        <is>
          <t>legal_management</t>
        </is>
      </c>
      <c r="D1039" s="18" t="inlineStr">
        <is>
          <t>expedientes</t>
        </is>
      </c>
      <c r="E1039" s="18" t="n">
        <v>91</v>
      </c>
      <c r="F1039" s="18" t="inlineStr">
        <is>
          <t>observacion_provision</t>
        </is>
      </c>
      <c r="G1039" s="18" t="inlineStr">
        <is>
          <t>text</t>
        </is>
      </c>
      <c r="H1039" s="18" t="inlineStr">
        <is>
          <t>Sí</t>
        </is>
      </c>
      <c r="I1039" s="18" t="inlineStr"/>
      <c r="J1039" s="18" t="inlineStr"/>
      <c r="K1039" s="18" t="inlineStr"/>
      <c r="L1039" s="18" t="inlineStr">
        <is>
          <t>No</t>
        </is>
      </c>
      <c r="M1039" s="18" t="inlineStr">
        <is>
          <t>No</t>
        </is>
      </c>
      <c r="N1039" s="18" t="inlineStr"/>
      <c r="O1039" s="18" t="inlineStr"/>
      <c r="P1039" s="18" t="inlineStr">
        <is>
          <t>Mapeada en legal-management-service/src/entities/expediente.entity.ts:76 (Expediente.observacionProvision) | Validación: IsOptional, IsString</t>
        </is>
      </c>
      <c r="Q1039" s="18" t="inlineStr">
        <is>
          <t>Propuesta semántica</t>
        </is>
      </c>
      <c r="R1039" s="18" t="inlineStr">
        <is>
          <t>Observación sobre la provisión contable.</t>
        </is>
      </c>
      <c r="S1039" s="18" t="inlineStr">
        <is>
          <t>Alta</t>
        </is>
      </c>
      <c r="T1039" s="18" t="inlineStr">
        <is>
          <t>nombre + tipo + columnas vecinas</t>
        </is>
      </c>
      <c r="U1039" s="18" t="inlineStr"/>
      <c r="V1039" s="19" t="inlineStr">
        <is>
          <t>Aprobada</t>
        </is>
      </c>
      <c r="W1039" s="19" t="inlineStr"/>
      <c r="X1039" s="19" t="inlineStr">
        <is>
          <t>Aldair González (aprobación en bloque)</t>
        </is>
      </c>
      <c r="Y1039" s="20" t="n">
        <v>46321</v>
      </c>
      <c r="Z1039" s="19" t="inlineStr">
        <is>
          <t>Nivel 1: propuesta del comentario del desarrollador o de confianza alta, o regla de fecha/responsable/motivo.</t>
        </is>
      </c>
      <c r="AA1039" s="18">
        <f>IF(OR(V1039="Aprobada"),R1039,IF(AND(OR(V1039="Aprobada con ajuste",V1039="Rechazada"),W1039&lt;&gt;""),W1039,""))</f>
        <v/>
      </c>
    </row>
    <row r="1040">
      <c r="A1040" s="18" t="inlineStr">
        <is>
          <t>C1039</t>
        </is>
      </c>
      <c r="B1040" s="18" t="inlineStr">
        <is>
          <t>Gestión jurídica</t>
        </is>
      </c>
      <c r="C1040" s="18" t="inlineStr">
        <is>
          <t>legal_management</t>
        </is>
      </c>
      <c r="D1040" s="18" t="inlineStr">
        <is>
          <t>expedientes</t>
        </is>
      </c>
      <c r="E1040" s="18" t="n">
        <v>91</v>
      </c>
      <c r="F1040" s="18" t="inlineStr">
        <is>
          <t>campos_adicionales</t>
        </is>
      </c>
      <c r="G1040" s="18" t="inlineStr">
        <is>
          <t>jsonb</t>
        </is>
      </c>
      <c r="H1040" s="18" t="inlineStr">
        <is>
          <t>Sí</t>
        </is>
      </c>
      <c r="I1040" s="18" t="inlineStr"/>
      <c r="J1040" s="18" t="inlineStr"/>
      <c r="K1040" s="18" t="inlineStr"/>
      <c r="L1040" s="18" t="inlineStr">
        <is>
          <t>No</t>
        </is>
      </c>
      <c r="M1040" s="18" t="inlineStr">
        <is>
          <t>No</t>
        </is>
      </c>
      <c r="N1040" s="18" t="inlineStr"/>
      <c r="O1040" s="18" t="inlineStr"/>
      <c r="P1040" s="18" t="inlineStr">
        <is>
          <t>Mapeada en legal-management-service/src/entities/expediente.entity.ts:217 (Expediente.camposAdicionales) | Validación: IsOptional</t>
        </is>
      </c>
      <c r="Q1040" s="18" t="inlineStr">
        <is>
          <t>Código fuente (verificado)</t>
        </is>
      </c>
      <c r="R1040" s="18" t="inlineStr">
        <is>
          <t>Campos adicionales del expediente, en formato JSON: objeto con una entrada por campo dinámico del formulario. Los archivos cargados en base64 se guardan como documentos del expediente y en el JSON queda solo su metadata (nombre, tamaño). La territorial, antes guardada aquí, tiene columna propia.</t>
        </is>
      </c>
      <c r="S1040" s="18" t="inlineStr">
        <is>
          <t>Alta</t>
        </is>
      </c>
      <c r="T1040" s="18" t="inlineStr">
        <is>
          <t>legal-management-service/src/services/expediente.service.ts:206: extrae los base64 y deja metadata | legal-management-service/src/controllers/expediente.controller.ts:100: se recibe como JSON | legal-management-service/src/entities/expediente.entity.ts:209: territorial pasó a columna propia</t>
        </is>
      </c>
      <c r="U1040" s="18" t="inlineStr"/>
      <c r="V1040" s="19" t="inlineStr">
        <is>
          <t>Aprobada</t>
        </is>
      </c>
      <c r="W1040" s="19" t="inlineStr"/>
      <c r="X1040" s="19" t="inlineStr">
        <is>
          <t>Aldair González (aprobación en bloque)</t>
        </is>
      </c>
      <c r="Y1040" s="20" t="n">
        <v>46321</v>
      </c>
      <c r="Z1040" s="19" t="inlineStr">
        <is>
          <t>Nivel 3: verificada con el código de la aplicación.</t>
        </is>
      </c>
      <c r="AA1040" s="18">
        <f>IF(OR(V1040="Aprobada"),R1040,IF(AND(OR(V1040="Aprobada con ajuste",V1040="Rechazada"),W1040&lt;&gt;""),W1040,""))</f>
        <v/>
      </c>
    </row>
    <row r="1041">
      <c r="A1041" s="18" t="inlineStr">
        <is>
          <t>C1040</t>
        </is>
      </c>
      <c r="B1041" s="18" t="inlineStr">
        <is>
          <t>Gestión jurídica</t>
        </is>
      </c>
      <c r="C1041" s="18" t="inlineStr">
        <is>
          <t>legal_management</t>
        </is>
      </c>
      <c r="D1041" s="18" t="inlineStr">
        <is>
          <t>expedientes</t>
        </is>
      </c>
      <c r="E1041" s="18" t="n">
        <v>91</v>
      </c>
      <c r="F1041" s="18" t="inlineStr">
        <is>
          <t>origen</t>
        </is>
      </c>
      <c r="G1041" s="18" t="inlineStr">
        <is>
          <t>character varying(50)</t>
        </is>
      </c>
      <c r="H1041" s="18" t="inlineStr">
        <is>
          <t>Sí</t>
        </is>
      </c>
      <c r="I1041" s="18" t="inlineStr"/>
      <c r="J1041" s="18" t="inlineStr"/>
      <c r="K1041" s="18" t="inlineStr"/>
      <c r="L1041" s="18" t="inlineStr">
        <is>
          <t>No</t>
        </is>
      </c>
      <c r="M1041" s="18" t="inlineStr">
        <is>
          <t>No</t>
        </is>
      </c>
      <c r="N1041" s="18" t="inlineStr"/>
      <c r="O1041" s="18" t="inlineStr">
        <is>
          <t>idx_expedientes_origen</t>
        </is>
      </c>
      <c r="P1041" s="18" t="inlineStr">
        <is>
          <t>legal-management-service/src/entities/expediente.entity.ts:206: Origen del proceso (queja, denuncia, de oficio, etc.)</t>
        </is>
      </c>
      <c r="Q1041" s="18" t="inlineStr">
        <is>
          <t>Código fuente</t>
        </is>
      </c>
      <c r="R1041" s="18" t="inlineStr">
        <is>
          <t>Origen del proceso (por ejemplo, queja, denuncia, de oficio).</t>
        </is>
      </c>
      <c r="S1041" s="18" t="inlineStr">
        <is>
          <t>Alta</t>
        </is>
      </c>
      <c r="T1041" s="18" t="inlineStr">
        <is>
          <t>código: legal-management-service/src/entities/expediente.entity.ts:206</t>
        </is>
      </c>
      <c r="U1041" s="18" t="inlineStr"/>
      <c r="V1041" s="19" t="inlineStr">
        <is>
          <t>Aprobada</t>
        </is>
      </c>
      <c r="W1041" s="19" t="inlineStr"/>
      <c r="X1041" s="19" t="inlineStr">
        <is>
          <t>Aldair González (aprobación en bloque)</t>
        </is>
      </c>
      <c r="Y1041" s="20" t="n">
        <v>46321</v>
      </c>
      <c r="Z1041" s="19" t="inlineStr">
        <is>
          <t>Nivel 1: propuesta del comentario del desarrollador o de confianza alta, o regla de fecha/responsable/motivo.</t>
        </is>
      </c>
      <c r="AA1041" s="18">
        <f>IF(OR(V1041="Aprobada"),R1041,IF(AND(OR(V1041="Aprobada con ajuste",V1041="Rechazada"),W1041&lt;&gt;""),W1041,""))</f>
        <v/>
      </c>
    </row>
    <row r="1042">
      <c r="A1042" s="18" t="inlineStr">
        <is>
          <t>C1041</t>
        </is>
      </c>
      <c r="B1042" s="18" t="inlineStr">
        <is>
          <t>Gestión jurídica</t>
        </is>
      </c>
      <c r="C1042" s="18" t="inlineStr">
        <is>
          <t>legal_management</t>
        </is>
      </c>
      <c r="D1042" s="18" t="inlineStr">
        <is>
          <t>expedientes</t>
        </is>
      </c>
      <c r="E1042" s="18" t="n">
        <v>91</v>
      </c>
      <c r="F1042" s="18" t="inlineStr">
        <is>
          <t>territorial</t>
        </is>
      </c>
      <c r="G1042" s="18" t="inlineStr">
        <is>
          <t>character varying(150)</t>
        </is>
      </c>
      <c r="H1042" s="18" t="inlineStr">
        <is>
          <t>Sí</t>
        </is>
      </c>
      <c r="I1042" s="18" t="inlineStr"/>
      <c r="J1042" s="18" t="inlineStr"/>
      <c r="K1042" s="18" t="inlineStr"/>
      <c r="L1042" s="18" t="inlineStr">
        <is>
          <t>No</t>
        </is>
      </c>
      <c r="M1042" s="18" t="inlineStr">
        <is>
          <t>No</t>
        </is>
      </c>
      <c r="N1042" s="18" t="inlineStr"/>
      <c r="O1042" s="18" t="inlineStr">
        <is>
          <t>idx_expedientes_territorial</t>
        </is>
      </c>
      <c r="P1042" s="18" t="inlineStr">
        <is>
          <t>legal-management-service/src/entities/expediente.entity.ts:211: Territorial asociada. Antes vivía dentro de campos_adicionales; ahora tiene columna propia (indexable/reporteable) con backfill en migración 369.</t>
        </is>
      </c>
      <c r="Q1042" s="18" t="inlineStr">
        <is>
          <t>Código fuente</t>
        </is>
      </c>
      <c r="R1042" s="18" t="inlineStr">
        <is>
          <t>Territorial asociada al expediente; antes se guardaba en campos_adicionales (migración 369).</t>
        </is>
      </c>
      <c r="S1042" s="18" t="inlineStr">
        <is>
          <t>Alta</t>
        </is>
      </c>
      <c r="T1042" s="18" t="inlineStr">
        <is>
          <t>código: legal-management-service/src/entities/expediente.entity.ts:211</t>
        </is>
      </c>
      <c r="U1042" s="18" t="inlineStr"/>
      <c r="V1042" s="19" t="inlineStr">
        <is>
          <t>Aprobada</t>
        </is>
      </c>
      <c r="W1042" s="19" t="inlineStr"/>
      <c r="X1042" s="19" t="inlineStr">
        <is>
          <t>Aldair González (aprobación en bloque)</t>
        </is>
      </c>
      <c r="Y1042" s="20" t="n">
        <v>46321</v>
      </c>
      <c r="Z1042" s="19" t="inlineStr">
        <is>
          <t>Nivel 1: propuesta del comentario del desarrollador o de confianza alta, o regla de fecha/responsable/motivo.</t>
        </is>
      </c>
      <c r="AA1042" s="18">
        <f>IF(OR(V1042="Aprobada"),R1042,IF(AND(OR(V1042="Aprobada con ajuste",V1042="Rechazada"),W1042&lt;&gt;""),W1042,""))</f>
        <v/>
      </c>
    </row>
    <row r="1043">
      <c r="A1043" s="18" t="inlineStr">
        <is>
          <t>C1042</t>
        </is>
      </c>
      <c r="B1043" s="18" t="inlineStr">
        <is>
          <t>Gestión jurídica</t>
        </is>
      </c>
      <c r="C1043" s="18" t="inlineStr">
        <is>
          <t>legal_management</t>
        </is>
      </c>
      <c r="D1043" s="18" t="inlineStr">
        <is>
          <t>expedientes</t>
        </is>
      </c>
      <c r="E1043" s="18" t="n">
        <v>91</v>
      </c>
      <c r="F1043" s="18" t="inlineStr">
        <is>
          <t>presunta_conducta</t>
        </is>
      </c>
      <c r="G1043" s="18" t="inlineStr">
        <is>
          <t>text</t>
        </is>
      </c>
      <c r="H1043" s="18" t="inlineStr">
        <is>
          <t>Sí</t>
        </is>
      </c>
      <c r="I1043" s="18" t="inlineStr"/>
      <c r="J1043" s="18" t="inlineStr"/>
      <c r="K1043" s="18" t="inlineStr"/>
      <c r="L1043" s="18" t="inlineStr">
        <is>
          <t>No</t>
        </is>
      </c>
      <c r="M1043" s="18" t="inlineStr">
        <is>
          <t>No</t>
        </is>
      </c>
      <c r="N1043" s="18" t="inlineStr"/>
      <c r="O1043" s="18" t="inlineStr"/>
      <c r="P1043" s="18" t="inlineStr">
        <is>
          <t>Mapeada en legal-management-service/src/entities/expediente.entity.ts:214 (Expediente.presuntaConducta)</t>
        </is>
      </c>
      <c r="Q1043" s="18" t="inlineStr">
        <is>
          <t>Propuesta semántica</t>
        </is>
      </c>
      <c r="R1043" s="18" t="inlineStr">
        <is>
          <t>Descripción de la presunta conducta investigada.</t>
        </is>
      </c>
      <c r="S1043" s="18" t="inlineStr">
        <is>
          <t>Alta</t>
        </is>
      </c>
      <c r="T1043" s="18" t="inlineStr">
        <is>
          <t>nombre + tipo + columnas vecinas</t>
        </is>
      </c>
      <c r="U1043" s="18" t="inlineStr"/>
      <c r="V1043" s="19" t="inlineStr">
        <is>
          <t>Aprobada</t>
        </is>
      </c>
      <c r="W1043" s="19" t="inlineStr"/>
      <c r="X1043" s="19" t="inlineStr">
        <is>
          <t>Aldair González (aprobación en bloque)</t>
        </is>
      </c>
      <c r="Y1043" s="20" t="n">
        <v>46321</v>
      </c>
      <c r="Z1043" s="19" t="inlineStr">
        <is>
          <t>Nivel 1: propuesta del comentario del desarrollador o de confianza alta, o regla de fecha/responsable/motivo.</t>
        </is>
      </c>
      <c r="AA1043" s="18">
        <f>IF(OR(V1043="Aprobada"),R1043,IF(AND(OR(V1043="Aprobada con ajuste",V1043="Rechazada"),W1043&lt;&gt;""),W1043,""))</f>
        <v/>
      </c>
    </row>
    <row r="1044">
      <c r="A1044" s="18" t="inlineStr">
        <is>
          <t>C1043</t>
        </is>
      </c>
      <c r="B1044" s="18" t="inlineStr">
        <is>
          <t>Gestión jurídica</t>
        </is>
      </c>
      <c r="C1044" s="18" t="inlineStr">
        <is>
          <t>legal_management</t>
        </is>
      </c>
      <c r="D1044" s="18" t="inlineStr">
        <is>
          <t>expedientes</t>
        </is>
      </c>
      <c r="E1044" s="18" t="n">
        <v>91</v>
      </c>
      <c r="F1044" s="18" t="inlineStr">
        <is>
          <t>hechos_list</t>
        </is>
      </c>
      <c r="G1044" s="18" t="inlineStr">
        <is>
          <t>jsonb</t>
        </is>
      </c>
      <c r="H1044" s="18" t="inlineStr">
        <is>
          <t>No</t>
        </is>
      </c>
      <c r="I1044" s="18" t="inlineStr"/>
      <c r="J1044" s="18" t="inlineStr"/>
      <c r="K1044" s="18" t="inlineStr"/>
      <c r="L1044" s="18" t="inlineStr">
        <is>
          <t>No</t>
        </is>
      </c>
      <c r="M1044" s="18" t="inlineStr">
        <is>
          <t>No</t>
        </is>
      </c>
      <c r="N1044" s="18" t="inlineStr"/>
      <c r="O1044" s="18" t="inlineStr"/>
      <c r="P1044" s="18" t="inlineStr">
        <is>
          <t>legal-management-service/src/entities/expediente.entity.ts:202: Múltiples hechos del proceso (uniformación juzgamiento). Se conserva `hechos` (texto) como representación concatenada para compatibilidad con vistas previas.</t>
        </is>
      </c>
      <c r="Q1044" s="18" t="inlineStr">
        <is>
          <t>Código fuente</t>
        </is>
      </c>
      <c r="R1044" s="18" t="inlineStr">
        <is>
          <t>Hechos del proceso, como arreglo JSON; la columna hechos conserva su versión concatenada en texto.</t>
        </is>
      </c>
      <c r="S1044" s="18" t="inlineStr">
        <is>
          <t>Alta</t>
        </is>
      </c>
      <c r="T1044" s="18" t="inlineStr">
        <is>
          <t>código: legal-management-service/src/entities/expediente.entity.ts:202</t>
        </is>
      </c>
      <c r="U1044" s="18" t="inlineStr"/>
      <c r="V1044" s="19" t="inlineStr">
        <is>
          <t>Aprobada</t>
        </is>
      </c>
      <c r="W1044" s="19" t="inlineStr"/>
      <c r="X1044" s="19" t="inlineStr">
        <is>
          <t>Aldair González (aprobación en bloque)</t>
        </is>
      </c>
      <c r="Y1044" s="20" t="n">
        <v>46321</v>
      </c>
      <c r="Z1044" s="19" t="inlineStr">
        <is>
          <t>Nivel 1: propuesta del comentario del desarrollador o de confianza alta, o regla de fecha/responsable/motivo.</t>
        </is>
      </c>
      <c r="AA1044" s="18">
        <f>IF(OR(V1044="Aprobada"),R1044,IF(AND(OR(V1044="Aprobada con ajuste",V1044="Rechazada"),W1044&lt;&gt;""),W1044,""))</f>
        <v/>
      </c>
    </row>
    <row r="1045">
      <c r="A1045" s="18" t="inlineStr">
        <is>
          <t>C1044</t>
        </is>
      </c>
      <c r="B1045" s="18" t="inlineStr">
        <is>
          <t>Gestión jurídica</t>
        </is>
      </c>
      <c r="C1045" s="18" t="inlineStr">
        <is>
          <t>legal_management</t>
        </is>
      </c>
      <c r="D1045" s="18" t="inlineStr">
        <is>
          <t>expedientes</t>
        </is>
      </c>
      <c r="E1045" s="18" t="n">
        <v>91</v>
      </c>
      <c r="F1045" s="18" t="inlineStr">
        <is>
          <t>origen_comunicacion_id</t>
        </is>
      </c>
      <c r="G1045" s="18" t="inlineStr">
        <is>
          <t>uuid</t>
        </is>
      </c>
      <c r="H1045" s="18" t="inlineStr">
        <is>
          <t>Sí</t>
        </is>
      </c>
      <c r="I1045" s="18" t="inlineStr"/>
      <c r="J1045" s="18" t="inlineStr"/>
      <c r="K1045" s="18" t="inlineStr"/>
      <c r="L1045" s="18" t="inlineStr">
        <is>
          <t>No</t>
        </is>
      </c>
      <c r="M1045" s="18" t="inlineStr">
        <is>
          <t>No</t>
        </is>
      </c>
      <c r="N1045" s="18" t="inlineStr"/>
      <c r="O1045" s="18" t="inlineStr">
        <is>
          <t>idx_expedientes_origen_comunicacion</t>
        </is>
      </c>
      <c r="P1045" s="18" t="inlineStr">
        <is>
          <t>legal-management-service/src/entities/expediente.entity.ts:222: Trazabilidad inversa: comunicación (correo jurídico) que dio origen a este proceso cuando se crea desde el Centro de Comunicaciones → Clasificación IA.</t>
        </is>
      </c>
      <c r="Q1045" s="18" t="inlineStr">
        <is>
          <t>Código fuente</t>
        </is>
      </c>
      <c r="R1045" s="18" t="inlineStr">
        <is>
          <t>Identificador de la comunicación (correo jurídico) que dio origen al proceso cuando se crea desde el Centro de Comunicaciones (Clasificación IA).</t>
        </is>
      </c>
      <c r="S1045" s="18" t="inlineStr">
        <is>
          <t>Alta</t>
        </is>
      </c>
      <c r="T1045" s="18" t="inlineStr">
        <is>
          <t>código: legal-management-service/src/entities/expediente.entity.ts:222</t>
        </is>
      </c>
      <c r="U1045" s="18" t="inlineStr"/>
      <c r="V1045" s="19" t="inlineStr">
        <is>
          <t>Aprobada</t>
        </is>
      </c>
      <c r="W1045" s="19" t="inlineStr"/>
      <c r="X1045" s="19" t="inlineStr">
        <is>
          <t>Aldair González (aprobación en bloque)</t>
        </is>
      </c>
      <c r="Y1045" s="20" t="n">
        <v>46321</v>
      </c>
      <c r="Z1045" s="19" t="inlineStr">
        <is>
          <t>Nivel 1: propuesta del comentario del desarrollador o de confianza alta, o regla de fecha/responsable/motivo.</t>
        </is>
      </c>
      <c r="AA1045" s="18">
        <f>IF(OR(V1045="Aprobada"),R1045,IF(AND(OR(V1045="Aprobada con ajuste",V1045="Rechazada"),W1045&lt;&gt;""),W1045,""))</f>
        <v/>
      </c>
    </row>
    <row r="1046">
      <c r="A1046" s="18" t="inlineStr">
        <is>
          <t>C1045</t>
        </is>
      </c>
      <c r="B1046" s="18" t="inlineStr">
        <is>
          <t>Gestión jurídica</t>
        </is>
      </c>
      <c r="C1046" s="18" t="inlineStr">
        <is>
          <t>legal_management</t>
        </is>
      </c>
      <c r="D1046" s="18" t="inlineStr">
        <is>
          <t>hallazgos</t>
        </is>
      </c>
      <c r="E1046" s="18" t="n">
        <v>0</v>
      </c>
      <c r="F1046" s="18" t="inlineStr">
        <is>
          <t>codigo_hallazgo</t>
        </is>
      </c>
      <c r="G1046" s="18" t="inlineStr">
        <is>
          <t>character varying(50)</t>
        </is>
      </c>
      <c r="H1046" s="18" t="inlineStr">
        <is>
          <t>No</t>
        </is>
      </c>
      <c r="I1046" s="18" t="inlineStr">
        <is>
          <t>Única</t>
        </is>
      </c>
      <c r="J1046" s="18" t="inlineStr"/>
      <c r="K1046" s="18" t="inlineStr"/>
      <c r="L1046" s="18" t="inlineStr">
        <is>
          <t>No</t>
        </is>
      </c>
      <c r="M1046" s="18" t="inlineStr">
        <is>
          <t>No</t>
        </is>
      </c>
      <c r="N1046" s="18" t="inlineStr"/>
      <c r="O1046" s="18" t="inlineStr">
        <is>
          <t>hallazgos_codigo_hallazgo_key</t>
        </is>
      </c>
      <c r="P1046" s="18" t="inlineStr">
        <is>
          <t>Mapeada en legal-management-service/src/entities/hallazgo.entity.ts:20 (Hallazgo.codigoHallazgo)</t>
        </is>
      </c>
      <c r="Q1046" s="18" t="inlineStr">
        <is>
          <t>Código fuente (verificado)</t>
        </is>
      </c>
      <c r="R1046" s="18" t="inlineStr">
        <is>
          <t>Código único del hallazgo.</t>
        </is>
      </c>
      <c r="S1046" s="18" t="inlineStr">
        <is>
          <t>Media</t>
        </is>
      </c>
      <c r="T1046" s="18" t="inlineStr">
        <is>
          <t>db/init/007_legal_management_ddl_20260129_215541.sql:919: varchar(50) NOT NULL | legal-management-service/src/entities/hallazgo.entity.ts:20: unique; ningún servicio usa la entidad Hallazgo</t>
        </is>
      </c>
      <c r="U1046" s="18" t="inlineStr">
        <is>
          <t>¿El código lo asigna el organismo de control o lo genera el sistema, y con qué formato?</t>
        </is>
      </c>
      <c r="V1046" s="19" t="inlineStr">
        <is>
          <t>Aprobada</t>
        </is>
      </c>
      <c r="W1046" s="19" t="inlineStr"/>
      <c r="X1046" s="19" t="inlineStr">
        <is>
          <t>Aldair González (validación del responsable de BD)</t>
        </is>
      </c>
      <c r="Y1046" s="20" t="n">
        <v>46321</v>
      </c>
      <c r="Z1046" s="19" t="inlineStr">
        <is>
          <t>Nivel 3: validada por decisión del responsable de la base de datos. Pregunta registrada para desarrollo: ¿El código lo asigna el organismo de control o lo genera el sistema, y con qué formato?</t>
        </is>
      </c>
      <c r="AA1046" s="18">
        <f>IF(OR(V1046="Aprobada"),R1046,IF(AND(OR(V1046="Aprobada con ajuste",V1046="Rechazada"),W1046&lt;&gt;""),W1046,""))</f>
        <v/>
      </c>
    </row>
    <row r="1047">
      <c r="A1047" s="18" t="inlineStr">
        <is>
          <t>C1046</t>
        </is>
      </c>
      <c r="B1047" s="18" t="inlineStr">
        <is>
          <t>Gestión jurídica</t>
        </is>
      </c>
      <c r="C1047" s="18" t="inlineStr">
        <is>
          <t>legal_management</t>
        </is>
      </c>
      <c r="D1047" s="18" t="inlineStr">
        <is>
          <t>hallazgos</t>
        </is>
      </c>
      <c r="E1047" s="18" t="n">
        <v>0</v>
      </c>
      <c r="F1047" s="18" t="inlineStr">
        <is>
          <t>numero_interno</t>
        </is>
      </c>
      <c r="G1047" s="18" t="inlineStr">
        <is>
          <t>character varying(50)</t>
        </is>
      </c>
      <c r="H1047" s="18" t="inlineStr">
        <is>
          <t>Sí</t>
        </is>
      </c>
      <c r="I1047" s="18" t="inlineStr"/>
      <c r="J1047" s="18" t="inlineStr"/>
      <c r="K1047" s="18" t="inlineStr"/>
      <c r="L1047" s="18" t="inlineStr">
        <is>
          <t>No</t>
        </is>
      </c>
      <c r="M1047" s="18" t="inlineStr">
        <is>
          <t>No</t>
        </is>
      </c>
      <c r="N1047" s="18" t="inlineStr"/>
      <c r="O1047" s="18" t="inlineStr"/>
      <c r="P1047" s="18" t="inlineStr">
        <is>
          <t>Mapeada en legal-management-service/src/entities/hallazgo.entity.ts:23 (Hallazgo.numeroInterno)</t>
        </is>
      </c>
      <c r="Q1047" s="18" t="inlineStr">
        <is>
          <t>Código fuente (verificado)</t>
        </is>
      </c>
      <c r="R1047" s="18" t="inlineStr">
        <is>
          <t>Número interno asignado al hallazgo por la entidad.</t>
        </is>
      </c>
      <c r="S1047" s="18" t="inlineStr">
        <is>
          <t>Media</t>
        </is>
      </c>
      <c r="T1047" s="18" t="inlineStr">
        <is>
          <t>db/init/007_legal_management_ddl_20260129_215541.sql:920: varchar(50) | legal-management-service/src/entities/hallazgo.entity.ts:23: sin uso en servicios; legal_management.hallazgos no tiene trigger de numeración</t>
        </is>
      </c>
      <c r="U1047" s="18" t="inlineStr">
        <is>
          <t>¿Quién asigna el número interno y en qué se diferencia de codigo_hallazgo?</t>
        </is>
      </c>
      <c r="V1047" s="19" t="inlineStr">
        <is>
          <t>Aprobada</t>
        </is>
      </c>
      <c r="W1047" s="19" t="inlineStr"/>
      <c r="X1047" s="19" t="inlineStr">
        <is>
          <t>Aldair González (validación del responsable de BD)</t>
        </is>
      </c>
      <c r="Y1047" s="20" t="n">
        <v>46321</v>
      </c>
      <c r="Z1047" s="19" t="inlineStr">
        <is>
          <t>Nivel 3: validada por decisión del responsable de la base de datos. Pregunta registrada para desarrollo: ¿Quién asigna el número interno y en qué se diferencia de codigo_hallazgo?</t>
        </is>
      </c>
      <c r="AA1047" s="18">
        <f>IF(OR(V1047="Aprobada"),R1047,IF(AND(OR(V1047="Aprobada con ajuste",V1047="Rechazada"),W1047&lt;&gt;""),W1047,""))</f>
        <v/>
      </c>
    </row>
    <row r="1048">
      <c r="A1048" s="18" t="inlineStr">
        <is>
          <t>C1047</t>
        </is>
      </c>
      <c r="B1048" s="18" t="inlineStr">
        <is>
          <t>Gestión jurídica</t>
        </is>
      </c>
      <c r="C1048" s="18" t="inlineStr">
        <is>
          <t>legal_management</t>
        </is>
      </c>
      <c r="D1048" s="18" t="inlineStr">
        <is>
          <t>hallazgos</t>
        </is>
      </c>
      <c r="E1048" s="18" t="n">
        <v>0</v>
      </c>
      <c r="F1048" s="18" t="inlineStr">
        <is>
          <t>tipo_hallazgo</t>
        </is>
      </c>
      <c r="G1048" s="18" t="inlineStr">
        <is>
          <t>character varying(30)</t>
        </is>
      </c>
      <c r="H1048" s="18" t="inlineStr">
        <is>
          <t>Sí</t>
        </is>
      </c>
      <c r="I1048" s="18" t="inlineStr">
        <is>
          <t>CHECK</t>
        </is>
      </c>
      <c r="J1048" s="18" t="inlineStr">
        <is>
          <t>ADMINISTRATIVO, DISCIPLINARIO, FISCAL, PENAL</t>
        </is>
      </c>
      <c r="K1048" s="18" t="inlineStr"/>
      <c r="L1048" s="18" t="inlineStr">
        <is>
          <t>Sí</t>
        </is>
      </c>
      <c r="M1048" s="18" t="inlineStr">
        <is>
          <t>No</t>
        </is>
      </c>
      <c r="N1048" s="18" t="inlineStr"/>
      <c r="O1048" s="18" t="inlineStr"/>
      <c r="P1048" s="18" t="inlineStr">
        <is>
          <t>Mapeada en legal-management-service/src/entities/hallazgo.entity.ts:26 (Hallazgo.tipoHallazgo)</t>
        </is>
      </c>
      <c r="Q1048" s="18" t="inlineStr">
        <is>
          <t>Propuesta semántica</t>
        </is>
      </c>
      <c r="R1048" s="18" t="inlineStr">
        <is>
          <t>Tipo de hallazgo según su incidencia. Valores permitidos: ADMINISTRATIVO, DISCIPLINARIO, FISCAL, PENAL. Por defecto, ADMINISTRATIVO.</t>
        </is>
      </c>
      <c r="S1048" s="18" t="inlineStr">
        <is>
          <t>Alta</t>
        </is>
      </c>
      <c r="T1048" s="18" t="inlineStr">
        <is>
          <t>valores permitidos del CHECK</t>
        </is>
      </c>
      <c r="U1048" s="18" t="inlineStr"/>
      <c r="V1048" s="19" t="inlineStr">
        <is>
          <t>Aprobada</t>
        </is>
      </c>
      <c r="W1048" s="19" t="inlineStr"/>
      <c r="X1048" s="19" t="inlineStr">
        <is>
          <t>Aldair González (aprobación en bloque)</t>
        </is>
      </c>
      <c r="Y1048" s="20" t="n">
        <v>46321</v>
      </c>
      <c r="Z1048" s="19" t="inlineStr">
        <is>
          <t>Nivel 1: propuesta del comentario del desarrollador o de confianza alta, o regla de fecha/responsable/motivo.</t>
        </is>
      </c>
      <c r="AA1048" s="18">
        <f>IF(OR(V1048="Aprobada"),R1048,IF(AND(OR(V1048="Aprobada con ajuste",V1048="Rechazada"),W1048&lt;&gt;""),W1048,""))</f>
        <v/>
      </c>
    </row>
    <row r="1049">
      <c r="A1049" s="18" t="inlineStr">
        <is>
          <t>C1048</t>
        </is>
      </c>
      <c r="B1049" s="18" t="inlineStr">
        <is>
          <t>Gestión jurídica</t>
        </is>
      </c>
      <c r="C1049" s="18" t="inlineStr">
        <is>
          <t>legal_management</t>
        </is>
      </c>
      <c r="D1049" s="18" t="inlineStr">
        <is>
          <t>hallazgos</t>
        </is>
      </c>
      <c r="E1049" s="18" t="n">
        <v>0</v>
      </c>
      <c r="F1049" s="18" t="inlineStr">
        <is>
          <t>titulo</t>
        </is>
      </c>
      <c r="G1049" s="18" t="inlineStr">
        <is>
          <t>character varying(300)</t>
        </is>
      </c>
      <c r="H1049" s="18" t="inlineStr">
        <is>
          <t>No</t>
        </is>
      </c>
      <c r="I1049" s="18" t="inlineStr"/>
      <c r="J1049" s="18" t="inlineStr"/>
      <c r="K1049" s="18" t="inlineStr"/>
      <c r="L1049" s="18" t="inlineStr">
        <is>
          <t>No</t>
        </is>
      </c>
      <c r="M1049" s="18" t="inlineStr">
        <is>
          <t>Sí</t>
        </is>
      </c>
      <c r="N1049" s="18" t="inlineStr">
        <is>
          <t>Vista control_interno.v_auditorias_kanban_completo</t>
        </is>
      </c>
      <c r="O1049" s="18" t="inlineStr"/>
      <c r="P1049" s="18" t="inlineStr">
        <is>
          <t>Mapeada en legal-management-service/src/entities/hallazgo.entity.ts:29 (Hallazgo.titulo)</t>
        </is>
      </c>
      <c r="Q1049" s="18" t="inlineStr">
        <is>
          <t>Propuesta semántica</t>
        </is>
      </c>
      <c r="R1049" s="18" t="inlineStr">
        <is>
          <t>Título del hallazgo.</t>
        </is>
      </c>
      <c r="S1049" s="18" t="inlineStr">
        <is>
          <t>Alta</t>
        </is>
      </c>
      <c r="T1049" s="18" t="inlineStr">
        <is>
          <t>nombre + tipo</t>
        </is>
      </c>
      <c r="U1049" s="18" t="inlineStr"/>
      <c r="V1049" s="19" t="inlineStr">
        <is>
          <t>Aprobada</t>
        </is>
      </c>
      <c r="W1049" s="19" t="inlineStr"/>
      <c r="X1049" s="19" t="inlineStr">
        <is>
          <t>Aldair González (aprobación en bloque)</t>
        </is>
      </c>
      <c r="Y1049" s="20" t="n">
        <v>46321</v>
      </c>
      <c r="Z1049" s="19" t="inlineStr">
        <is>
          <t>Nivel 1: propuesta del comentario del desarrollador o de confianza alta, o regla de fecha/responsable/motivo.</t>
        </is>
      </c>
      <c r="AA1049" s="18">
        <f>IF(OR(V1049="Aprobada"),R1049,IF(AND(OR(V1049="Aprobada con ajuste",V1049="Rechazada"),W1049&lt;&gt;""),W1049,""))</f>
        <v/>
      </c>
    </row>
    <row r="1050">
      <c r="A1050" s="18" t="inlineStr">
        <is>
          <t>C1049</t>
        </is>
      </c>
      <c r="B1050" s="18" t="inlineStr">
        <is>
          <t>Gestión jurídica</t>
        </is>
      </c>
      <c r="C1050" s="18" t="inlineStr">
        <is>
          <t>legal_management</t>
        </is>
      </c>
      <c r="D1050" s="18" t="inlineStr">
        <is>
          <t>hallazgos</t>
        </is>
      </c>
      <c r="E1050" s="18" t="n">
        <v>0</v>
      </c>
      <c r="F1050" s="18" t="inlineStr">
        <is>
          <t>descripcion</t>
        </is>
      </c>
      <c r="G1050" s="18" t="inlineStr">
        <is>
          <t>text</t>
        </is>
      </c>
      <c r="H1050" s="18" t="inlineStr">
        <is>
          <t>No</t>
        </is>
      </c>
      <c r="I1050" s="18" t="inlineStr"/>
      <c r="J1050" s="18" t="inlineStr"/>
      <c r="K1050" s="18" t="inlineStr"/>
      <c r="L1050" s="18" t="inlineStr">
        <is>
          <t>No</t>
        </is>
      </c>
      <c r="M1050" s="18" t="inlineStr">
        <is>
          <t>Sí</t>
        </is>
      </c>
      <c r="N1050" s="18" t="inlineStr">
        <is>
          <t>Vista control_interno.v_auditorias_kanban_completo</t>
        </is>
      </c>
      <c r="O1050" s="18" t="inlineStr"/>
      <c r="P1050" s="18" t="inlineStr">
        <is>
          <t>Mapeada en legal-management-service/src/entities/hallazgo.entity.ts:32 (Hallazgo.descripcion)</t>
        </is>
      </c>
      <c r="Q1050" s="18" t="inlineStr">
        <is>
          <t>Regla estructural (redacción revisada)</t>
        </is>
      </c>
      <c r="R1050" s="18" t="inlineStr">
        <is>
          <t>Descripción del hallazgo.</t>
        </is>
      </c>
      <c r="S1050" s="18" t="inlineStr">
        <is>
          <t>Alta</t>
        </is>
      </c>
      <c r="T1050" s="18" t="inlineStr">
        <is>
          <t>Convención de nombre, redactada con el contexto de la tabla y el código.</t>
        </is>
      </c>
      <c r="U1050" s="18" t="inlineStr"/>
      <c r="V1050" s="19" t="inlineStr">
        <is>
          <t>Aprobada</t>
        </is>
      </c>
      <c r="W1050" s="19" t="inlineStr"/>
      <c r="X1050" s="19" t="inlineStr">
        <is>
          <t>Aldair González (aprobación en bloque)</t>
        </is>
      </c>
      <c r="Y1050" s="20" t="n">
        <v>46321</v>
      </c>
      <c r="Z1050" s="19" t="inlineStr">
        <is>
          <t>Nivel 2: regla estructural con redacción revisada.</t>
        </is>
      </c>
      <c r="AA1050" s="18">
        <f>IF(OR(V1050="Aprobada"),R1050,IF(AND(OR(V1050="Aprobada con ajuste",V1050="Rechazada"),W1050&lt;&gt;""),W1050,""))</f>
        <v/>
      </c>
    </row>
    <row r="1051">
      <c r="A1051" s="18" t="inlineStr">
        <is>
          <t>C1050</t>
        </is>
      </c>
      <c r="B1051" s="18" t="inlineStr">
        <is>
          <t>Gestión jurídica</t>
        </is>
      </c>
      <c r="C1051" s="18" t="inlineStr">
        <is>
          <t>legal_management</t>
        </is>
      </c>
      <c r="D1051" s="18" t="inlineStr">
        <is>
          <t>hallazgos</t>
        </is>
      </c>
      <c r="E1051" s="18" t="n">
        <v>0</v>
      </c>
      <c r="F1051" s="18" t="inlineStr">
        <is>
          <t>causa_raiz</t>
        </is>
      </c>
      <c r="G1051" s="18" t="inlineStr">
        <is>
          <t>text</t>
        </is>
      </c>
      <c r="H1051" s="18" t="inlineStr">
        <is>
          <t>Sí</t>
        </is>
      </c>
      <c r="I1051" s="18" t="inlineStr"/>
      <c r="J1051" s="18" t="inlineStr"/>
      <c r="K1051" s="18" t="inlineStr"/>
      <c r="L1051" s="18" t="inlineStr">
        <is>
          <t>No</t>
        </is>
      </c>
      <c r="M1051" s="18" t="inlineStr">
        <is>
          <t>No</t>
        </is>
      </c>
      <c r="N1051" s="18" t="inlineStr"/>
      <c r="O1051" s="18" t="inlineStr"/>
      <c r="P1051" s="18" t="inlineStr">
        <is>
          <t>Mapeada en legal-management-service/src/entities/hallazgo.entity.ts:35 (Hallazgo.causaRaiz)</t>
        </is>
      </c>
      <c r="Q1051" s="18" t="inlineStr">
        <is>
          <t>Propuesta semántica</t>
        </is>
      </c>
      <c r="R1051" s="18" t="inlineStr">
        <is>
          <t>Causa raíz identificada para el hallazgo.</t>
        </is>
      </c>
      <c r="S1051" s="18" t="inlineStr">
        <is>
          <t>Alta</t>
        </is>
      </c>
      <c r="T1051" s="18" t="inlineStr">
        <is>
          <t>nombre + tipo + columnas vecinas</t>
        </is>
      </c>
      <c r="U1051" s="18" t="inlineStr"/>
      <c r="V1051" s="19" t="inlineStr">
        <is>
          <t>Aprobada</t>
        </is>
      </c>
      <c r="W1051" s="19" t="inlineStr"/>
      <c r="X1051" s="19" t="inlineStr">
        <is>
          <t>Aldair González (aprobación en bloque)</t>
        </is>
      </c>
      <c r="Y1051" s="20" t="n">
        <v>46321</v>
      </c>
      <c r="Z1051" s="19" t="inlineStr">
        <is>
          <t>Nivel 1: propuesta del comentario del desarrollador o de confianza alta, o regla de fecha/responsable/motivo.</t>
        </is>
      </c>
      <c r="AA1051" s="18">
        <f>IF(OR(V1051="Aprobada"),R1051,IF(AND(OR(V1051="Aprobada con ajuste",V1051="Rechazada"),W1051&lt;&gt;""),W1051,""))</f>
        <v/>
      </c>
    </row>
    <row r="1052">
      <c r="A1052" s="18" t="inlineStr">
        <is>
          <t>C1051</t>
        </is>
      </c>
      <c r="B1052" s="18" t="inlineStr">
        <is>
          <t>Gestión jurídica</t>
        </is>
      </c>
      <c r="C1052" s="18" t="inlineStr">
        <is>
          <t>legal_management</t>
        </is>
      </c>
      <c r="D1052" s="18" t="inlineStr">
        <is>
          <t>hallazgos</t>
        </is>
      </c>
      <c r="E1052" s="18" t="n">
        <v>0</v>
      </c>
      <c r="F1052" s="18" t="inlineStr">
        <is>
          <t>efecto</t>
        </is>
      </c>
      <c r="G1052" s="18" t="inlineStr">
        <is>
          <t>text</t>
        </is>
      </c>
      <c r="H1052" s="18" t="inlineStr">
        <is>
          <t>Sí</t>
        </is>
      </c>
      <c r="I1052" s="18" t="inlineStr"/>
      <c r="J1052" s="18" t="inlineStr"/>
      <c r="K1052" s="18" t="inlineStr"/>
      <c r="L1052" s="18" t="inlineStr">
        <is>
          <t>No</t>
        </is>
      </c>
      <c r="M1052" s="18" t="inlineStr">
        <is>
          <t>No</t>
        </is>
      </c>
      <c r="N1052" s="18" t="inlineStr"/>
      <c r="O1052" s="18" t="inlineStr"/>
      <c r="P1052" s="18" t="inlineStr">
        <is>
          <t>Mapeada en legal-management-service/src/entities/hallazgo.entity.ts:38 (Hallazgo.efecto)</t>
        </is>
      </c>
      <c r="Q1052" s="18" t="inlineStr">
        <is>
          <t>Propuesta semántica</t>
        </is>
      </c>
      <c r="R1052" s="18" t="inlineStr">
        <is>
          <t>Efecto o consecuencia del hallazgo.</t>
        </is>
      </c>
      <c r="S1052" s="18" t="inlineStr">
        <is>
          <t>Alta</t>
        </is>
      </c>
      <c r="T1052" s="18" t="inlineStr">
        <is>
          <t>nombre + tipo + columnas vecinas</t>
        </is>
      </c>
      <c r="U1052" s="18" t="inlineStr"/>
      <c r="V1052" s="19" t="inlineStr">
        <is>
          <t>Aprobada</t>
        </is>
      </c>
      <c r="W1052" s="19" t="inlineStr"/>
      <c r="X1052" s="19" t="inlineStr">
        <is>
          <t>Aldair González (aprobación en bloque)</t>
        </is>
      </c>
      <c r="Y1052" s="20" t="n">
        <v>46321</v>
      </c>
      <c r="Z1052" s="19" t="inlineStr">
        <is>
          <t>Nivel 1: propuesta del comentario del desarrollador o de confianza alta, o regla de fecha/responsable/motivo.</t>
        </is>
      </c>
      <c r="AA1052" s="18">
        <f>IF(OR(V1052="Aprobada"),R1052,IF(AND(OR(V1052="Aprobada con ajuste",V1052="Rechazada"),W1052&lt;&gt;""),W1052,""))</f>
        <v/>
      </c>
    </row>
    <row r="1053">
      <c r="A1053" s="18" t="inlineStr">
        <is>
          <t>C1052</t>
        </is>
      </c>
      <c r="B1053" s="18" t="inlineStr">
        <is>
          <t>Gestión jurídica</t>
        </is>
      </c>
      <c r="C1053" s="18" t="inlineStr">
        <is>
          <t>legal_management</t>
        </is>
      </c>
      <c r="D1053" s="18" t="inlineStr">
        <is>
          <t>hallazgos</t>
        </is>
      </c>
      <c r="E1053" s="18" t="n">
        <v>0</v>
      </c>
      <c r="F1053" s="18" t="inlineStr">
        <is>
          <t>area_responsable</t>
        </is>
      </c>
      <c r="G1053" s="18" t="inlineStr">
        <is>
          <t>character varying(150)</t>
        </is>
      </c>
      <c r="H1053" s="18" t="inlineStr">
        <is>
          <t>Sí</t>
        </is>
      </c>
      <c r="I1053" s="18" t="inlineStr"/>
      <c r="J1053" s="18" t="inlineStr"/>
      <c r="K1053" s="18" t="inlineStr"/>
      <c r="L1053" s="18" t="inlineStr">
        <is>
          <t>No</t>
        </is>
      </c>
      <c r="M1053" s="18" t="inlineStr">
        <is>
          <t>No</t>
        </is>
      </c>
      <c r="N1053" s="18" t="inlineStr"/>
      <c r="O1053" s="18" t="inlineStr"/>
      <c r="P1053" s="18" t="inlineStr">
        <is>
          <t>Mapeada en legal-management-service/src/entities/hallazgo.entity.ts:41 (Hallazgo.areaResponsable)</t>
        </is>
      </c>
      <c r="Q1053" s="18" t="inlineStr">
        <is>
          <t>Código fuente (verificado)</t>
        </is>
      </c>
      <c r="R1053" s="18" t="inlineStr">
        <is>
          <t>Nombre del área responsable de atender el hallazgo.</t>
        </is>
      </c>
      <c r="S1053" s="18" t="inlineStr">
        <is>
          <t>Media</t>
        </is>
      </c>
      <c r="T1053" s="18" t="inlineStr">
        <is>
          <t>legal-management-service/src/entities/hallazgo.entity.ts:41: varchar(150); ningún servicio usa la entidad Hallazgo</t>
        </is>
      </c>
      <c r="U1053" s="18" t="inlineStr">
        <is>
          <t>¿El área se registra como texto libre o se toma de un catálogo de dependencias?</t>
        </is>
      </c>
      <c r="V1053" s="19" t="inlineStr">
        <is>
          <t>Aprobada</t>
        </is>
      </c>
      <c r="W1053" s="19" t="inlineStr"/>
      <c r="X1053" s="19" t="inlineStr">
        <is>
          <t>Aldair González (validación del responsable de BD)</t>
        </is>
      </c>
      <c r="Y1053" s="20" t="n">
        <v>46321</v>
      </c>
      <c r="Z1053" s="19" t="inlineStr">
        <is>
          <t>Nivel 3: validada por decisión del responsable de la base de datos. Pregunta registrada para desarrollo: ¿El área se registra como texto libre o se toma de un catálogo de dependencias?</t>
        </is>
      </c>
      <c r="AA1053" s="18">
        <f>IF(OR(V1053="Aprobada"),R1053,IF(AND(OR(V1053="Aprobada con ajuste",V1053="Rechazada"),W1053&lt;&gt;""),W1053,""))</f>
        <v/>
      </c>
    </row>
    <row r="1054">
      <c r="A1054" s="18" t="inlineStr">
        <is>
          <t>C1053</t>
        </is>
      </c>
      <c r="B1054" s="18" t="inlineStr">
        <is>
          <t>Gestión jurídica</t>
        </is>
      </c>
      <c r="C1054" s="18" t="inlineStr">
        <is>
          <t>legal_management</t>
        </is>
      </c>
      <c r="D1054" s="18" t="inlineStr">
        <is>
          <t>hallazgos</t>
        </is>
      </c>
      <c r="E1054" s="18" t="n">
        <v>0</v>
      </c>
      <c r="F1054" s="18" t="inlineStr">
        <is>
          <t>funcionario_responsable</t>
        </is>
      </c>
      <c r="G1054" s="18" t="inlineStr">
        <is>
          <t>character varying(200)</t>
        </is>
      </c>
      <c r="H1054" s="18" t="inlineStr">
        <is>
          <t>Sí</t>
        </is>
      </c>
      <c r="I1054" s="18" t="inlineStr"/>
      <c r="J1054" s="18" t="inlineStr"/>
      <c r="K1054" s="18" t="inlineStr"/>
      <c r="L1054" s="18" t="inlineStr">
        <is>
          <t>No</t>
        </is>
      </c>
      <c r="M1054" s="18" t="inlineStr">
        <is>
          <t>No</t>
        </is>
      </c>
      <c r="N1054" s="18" t="inlineStr"/>
      <c r="O1054" s="18" t="inlineStr"/>
      <c r="P1054" s="18" t="inlineStr">
        <is>
          <t>Mapeada en legal-management-service/src/entities/hallazgo.entity.ts:44 (Hallazgo.funcionarioResponsable)</t>
        </is>
      </c>
      <c r="Q1054" s="18" t="inlineStr">
        <is>
          <t>Código fuente (verificado)</t>
        </is>
      </c>
      <c r="R1054" s="18" t="inlineStr">
        <is>
          <t>Nombre del funcionario responsable de atender el hallazgo.</t>
        </is>
      </c>
      <c r="S1054" s="18" t="inlineStr">
        <is>
          <t>Media</t>
        </is>
      </c>
      <c r="T1054" s="18" t="inlineStr">
        <is>
          <t>legal-management-service/src/entities/hallazgo.entity.ts:44: varchar(200); ningún servicio usa la entidad Hallazgo</t>
        </is>
      </c>
      <c r="U1054" s="18" t="inlineStr">
        <is>
          <t>¿Se guarda el nombre completo del funcionario o un identificador de usuario?</t>
        </is>
      </c>
      <c r="V1054" s="19" t="inlineStr">
        <is>
          <t>Aprobada</t>
        </is>
      </c>
      <c r="W1054" s="19" t="inlineStr"/>
      <c r="X1054" s="19" t="inlineStr">
        <is>
          <t>Aldair González (validación del responsable de BD)</t>
        </is>
      </c>
      <c r="Y1054" s="20" t="n">
        <v>46321</v>
      </c>
      <c r="Z1054" s="19" t="inlineStr">
        <is>
          <t>Nivel 3: validada por decisión del responsable de la base de datos. Pregunta registrada para desarrollo: ¿Se guarda el nombre completo del funcionario o un identificador de usuario?</t>
        </is>
      </c>
      <c r="AA1054" s="18">
        <f>IF(OR(V1054="Aprobada"),R1054,IF(AND(OR(V1054="Aprobada con ajuste",V1054="Rechazada"),W1054&lt;&gt;""),W1054,""))</f>
        <v/>
      </c>
    </row>
    <row r="1055">
      <c r="A1055" s="18" t="inlineStr">
        <is>
          <t>C1054</t>
        </is>
      </c>
      <c r="B1055" s="18" t="inlineStr">
        <is>
          <t>Gestión jurídica</t>
        </is>
      </c>
      <c r="C1055" s="18" t="inlineStr">
        <is>
          <t>legal_management</t>
        </is>
      </c>
      <c r="D1055" s="18" t="inlineStr">
        <is>
          <t>hallazgos</t>
        </is>
      </c>
      <c r="E1055" s="18" t="n">
        <v>0</v>
      </c>
      <c r="F1055" s="18" t="inlineStr">
        <is>
          <t>accion_correctiva</t>
        </is>
      </c>
      <c r="G1055" s="18" t="inlineStr">
        <is>
          <t>text</t>
        </is>
      </c>
      <c r="H1055" s="18" t="inlineStr">
        <is>
          <t>No</t>
        </is>
      </c>
      <c r="I1055" s="18" t="inlineStr"/>
      <c r="J1055" s="18" t="inlineStr"/>
      <c r="K1055" s="18" t="inlineStr"/>
      <c r="L1055" s="18" t="inlineStr">
        <is>
          <t>No</t>
        </is>
      </c>
      <c r="M1055" s="18" t="inlineStr">
        <is>
          <t>No</t>
        </is>
      </c>
      <c r="N1055" s="18" t="inlineStr"/>
      <c r="O1055" s="18" t="inlineStr"/>
      <c r="P1055" s="18" t="inlineStr">
        <is>
          <t>Mapeada en legal-management-service/src/entities/hallazgo.entity.ts:47 (Hallazgo.accionCorrectiva)</t>
        </is>
      </c>
      <c r="Q1055" s="18" t="inlineStr">
        <is>
          <t>Propuesta semántica</t>
        </is>
      </c>
      <c r="R1055" s="18" t="inlineStr">
        <is>
          <t>Acción correctiva definida para subsanar el hallazgo.</t>
        </is>
      </c>
      <c r="S1055" s="18" t="inlineStr">
        <is>
          <t>Alta</t>
        </is>
      </c>
      <c r="T1055" s="18" t="inlineStr">
        <is>
          <t>nombre + tipo + columnas vecinas</t>
        </is>
      </c>
      <c r="U1055" s="18" t="inlineStr"/>
      <c r="V1055" s="19" t="inlineStr">
        <is>
          <t>Aprobada</t>
        </is>
      </c>
      <c r="W1055" s="19" t="inlineStr"/>
      <c r="X1055" s="19" t="inlineStr">
        <is>
          <t>Aldair González (aprobación en bloque)</t>
        </is>
      </c>
      <c r="Y1055" s="20" t="n">
        <v>46321</v>
      </c>
      <c r="Z1055" s="19" t="inlineStr">
        <is>
          <t>Nivel 1: propuesta del comentario del desarrollador o de confianza alta, o regla de fecha/responsable/motivo.</t>
        </is>
      </c>
      <c r="AA1055" s="18">
        <f>IF(OR(V1055="Aprobada"),R1055,IF(AND(OR(V1055="Aprobada con ajuste",V1055="Rechazada"),W1055&lt;&gt;""),W1055,""))</f>
        <v/>
      </c>
    </row>
    <row r="1056">
      <c r="A1056" s="18" t="inlineStr">
        <is>
          <t>C1055</t>
        </is>
      </c>
      <c r="B1056" s="18" t="inlineStr">
        <is>
          <t>Gestión jurídica</t>
        </is>
      </c>
      <c r="C1056" s="18" t="inlineStr">
        <is>
          <t>legal_management</t>
        </is>
      </c>
      <c r="D1056" s="18" t="inlineStr">
        <is>
          <t>hallazgos</t>
        </is>
      </c>
      <c r="E1056" s="18" t="n">
        <v>0</v>
      </c>
      <c r="F1056" s="18" t="inlineStr">
        <is>
          <t>fecha_compromiso</t>
        </is>
      </c>
      <c r="G1056" s="18" t="inlineStr">
        <is>
          <t>date</t>
        </is>
      </c>
      <c r="H1056" s="18" t="inlineStr">
        <is>
          <t>No</t>
        </is>
      </c>
      <c r="I1056" s="18" t="inlineStr"/>
      <c r="J1056" s="18" t="inlineStr"/>
      <c r="K1056" s="18" t="inlineStr"/>
      <c r="L1056" s="18" t="inlineStr">
        <is>
          <t>No</t>
        </is>
      </c>
      <c r="M1056" s="18" t="inlineStr">
        <is>
          <t>No</t>
        </is>
      </c>
      <c r="N1056" s="18" t="inlineStr"/>
      <c r="O1056" s="18" t="inlineStr">
        <is>
          <t>idx_hallazgos_fecha</t>
        </is>
      </c>
      <c r="P1056" s="18" t="inlineStr">
        <is>
          <t>Mapeada en legal-management-service/src/entities/hallazgo.entity.ts:50 (Hallazgo.fechaCompromiso)</t>
        </is>
      </c>
      <c r="Q1056" s="18" t="inlineStr">
        <is>
          <t>Regla estructural (redacción revisada)</t>
        </is>
      </c>
      <c r="R1056" s="18" t="inlineStr">
        <is>
          <t>Fecha de compromiso para atender el hallazgo.</t>
        </is>
      </c>
      <c r="S1056" s="18" t="inlineStr">
        <is>
          <t>Alta</t>
        </is>
      </c>
      <c r="T1056" s="18" t="inlineStr">
        <is>
          <t>Convención de nombre, redactada con el contexto de la tabla y el código.</t>
        </is>
      </c>
      <c r="U1056" s="18" t="inlineStr"/>
      <c r="V1056" s="19" t="inlineStr">
        <is>
          <t>Aprobada</t>
        </is>
      </c>
      <c r="W1056" s="19" t="inlineStr"/>
      <c r="X1056" s="19" t="inlineStr">
        <is>
          <t>Aldair González (aprobación en bloque)</t>
        </is>
      </c>
      <c r="Y1056" s="20" t="n">
        <v>46321</v>
      </c>
      <c r="Z1056" s="19" t="inlineStr">
        <is>
          <t>Nivel 2: regla estructural con redacción revisada.</t>
        </is>
      </c>
      <c r="AA1056" s="18">
        <f>IF(OR(V1056="Aprobada"),R1056,IF(AND(OR(V1056="Aprobada con ajuste",V1056="Rechazada"),W1056&lt;&gt;""),W1056,""))</f>
        <v/>
      </c>
    </row>
    <row r="1057">
      <c r="A1057" s="18" t="inlineStr">
        <is>
          <t>C1056</t>
        </is>
      </c>
      <c r="B1057" s="18" t="inlineStr">
        <is>
          <t>Gestión jurídica</t>
        </is>
      </c>
      <c r="C1057" s="18" t="inlineStr">
        <is>
          <t>legal_management</t>
        </is>
      </c>
      <c r="D1057" s="18" t="inlineStr">
        <is>
          <t>hallazgos</t>
        </is>
      </c>
      <c r="E1057" s="18" t="n">
        <v>0</v>
      </c>
      <c r="F1057" s="18" t="inlineStr">
        <is>
          <t>indicador_cumplimiento</t>
        </is>
      </c>
      <c r="G1057" s="18" t="inlineStr">
        <is>
          <t>text</t>
        </is>
      </c>
      <c r="H1057" s="18" t="inlineStr">
        <is>
          <t>Sí</t>
        </is>
      </c>
      <c r="I1057" s="18" t="inlineStr"/>
      <c r="J1057" s="18" t="inlineStr"/>
      <c r="K1057" s="18" t="inlineStr"/>
      <c r="L1057" s="18" t="inlineStr">
        <is>
          <t>No</t>
        </is>
      </c>
      <c r="M1057" s="18" t="inlineStr">
        <is>
          <t>No</t>
        </is>
      </c>
      <c r="N1057" s="18" t="inlineStr"/>
      <c r="O1057" s="18" t="inlineStr"/>
      <c r="P1057" s="18" t="inlineStr">
        <is>
          <t>Mapeada en legal-management-service/src/entities/hallazgo.entity.ts:53 (Hallazgo.indicadorCumplimiento)</t>
        </is>
      </c>
      <c r="Q1057" s="18" t="inlineStr">
        <is>
          <t>Código fuente (verificado)</t>
        </is>
      </c>
      <c r="R1057" s="18" t="inlineStr">
        <is>
          <t>Indicador con el que se mide el cumplimiento de la acción correctiva.</t>
        </is>
      </c>
      <c r="S1057" s="18" t="inlineStr">
        <is>
          <t>Media</t>
        </is>
      </c>
      <c r="T1057" s="18" t="inlineStr">
        <is>
          <t>legal-management-service/src/entities/hallazgo.entity.ts:53: text; ningún servicio usa la entidad Hallazgo</t>
        </is>
      </c>
      <c r="U1057" s="18" t="inlineStr">
        <is>
          <t>¿El indicador es una descripción libre o una fórmula de cálculo?</t>
        </is>
      </c>
      <c r="V1057" s="19" t="inlineStr">
        <is>
          <t>Aprobada</t>
        </is>
      </c>
      <c r="W1057" s="19" t="inlineStr"/>
      <c r="X1057" s="19" t="inlineStr">
        <is>
          <t>Aldair González (validación del responsable de BD)</t>
        </is>
      </c>
      <c r="Y1057" s="20" t="n">
        <v>46321</v>
      </c>
      <c r="Z1057" s="19" t="inlineStr">
        <is>
          <t>Nivel 3: validada por decisión del responsable de la base de datos. Pregunta registrada para desarrollo: ¿El indicador es una descripción libre o una fórmula de cálculo?</t>
        </is>
      </c>
      <c r="AA1057" s="18">
        <f>IF(OR(V1057="Aprobada"),R1057,IF(AND(OR(V1057="Aprobada con ajuste",V1057="Rechazada"),W1057&lt;&gt;""),W1057,""))</f>
        <v/>
      </c>
    </row>
    <row r="1058">
      <c r="A1058" s="18" t="inlineStr">
        <is>
          <t>C1057</t>
        </is>
      </c>
      <c r="B1058" s="18" t="inlineStr">
        <is>
          <t>Gestión jurídica</t>
        </is>
      </c>
      <c r="C1058" s="18" t="inlineStr">
        <is>
          <t>legal_management</t>
        </is>
      </c>
      <c r="D1058" s="18" t="inlineStr">
        <is>
          <t>hallazgos</t>
        </is>
      </c>
      <c r="E1058" s="18" t="n">
        <v>0</v>
      </c>
      <c r="F1058" s="18" t="inlineStr">
        <is>
          <t>meta_indicador</t>
        </is>
      </c>
      <c r="G1058" s="18" t="inlineStr">
        <is>
          <t>character varying(100)</t>
        </is>
      </c>
      <c r="H1058" s="18" t="inlineStr">
        <is>
          <t>Sí</t>
        </is>
      </c>
      <c r="I1058" s="18" t="inlineStr"/>
      <c r="J1058" s="18" t="inlineStr"/>
      <c r="K1058" s="18" t="inlineStr"/>
      <c r="L1058" s="18" t="inlineStr">
        <is>
          <t>No</t>
        </is>
      </c>
      <c r="M1058" s="18" t="inlineStr">
        <is>
          <t>No</t>
        </is>
      </c>
      <c r="N1058" s="18" t="inlineStr"/>
      <c r="O1058" s="18" t="inlineStr"/>
      <c r="P1058" s="18" t="inlineStr">
        <is>
          <t>Mapeada en legal-management-service/src/entities/hallazgo.entity.ts:56 (Hallazgo.metaIndicador)</t>
        </is>
      </c>
      <c r="Q1058" s="18" t="inlineStr">
        <is>
          <t>Código fuente (verificado)</t>
        </is>
      </c>
      <c r="R1058" s="18" t="inlineStr">
        <is>
          <t>Meta del indicador de cumplimiento.</t>
        </is>
      </c>
      <c r="S1058" s="18" t="inlineStr">
        <is>
          <t>Media</t>
        </is>
      </c>
      <c r="T1058" s="18" t="inlineStr">
        <is>
          <t>legal-management-service/src/entities/hallazgo.entity.ts:56: varchar(100); ningún servicio usa la entidad Hallazgo</t>
        </is>
      </c>
      <c r="U1058" s="18" t="inlineStr">
        <is>
          <t>¿En qué unidad se expresa la meta (porcentaje, cantidad, texto libre)?</t>
        </is>
      </c>
      <c r="V1058" s="19" t="inlineStr">
        <is>
          <t>Aprobada</t>
        </is>
      </c>
      <c r="W1058" s="19" t="inlineStr"/>
      <c r="X1058" s="19" t="inlineStr">
        <is>
          <t>Aldair González (validación del responsable de BD)</t>
        </is>
      </c>
      <c r="Y1058" s="20" t="n">
        <v>46321</v>
      </c>
      <c r="Z1058" s="19" t="inlineStr">
        <is>
          <t>Nivel 3: validada por decisión del responsable de la base de datos. Pregunta registrada para desarrollo: ¿En qué unidad se expresa la meta (porcentaje, cantidad, texto libre)?</t>
        </is>
      </c>
      <c r="AA1058" s="18">
        <f>IF(OR(V1058="Aprobada"),R1058,IF(AND(OR(V1058="Aprobada con ajuste",V1058="Rechazada"),W1058&lt;&gt;""),W1058,""))</f>
        <v/>
      </c>
    </row>
    <row r="1059">
      <c r="A1059" s="18" t="inlineStr">
        <is>
          <t>C1058</t>
        </is>
      </c>
      <c r="B1059" s="18" t="inlineStr">
        <is>
          <t>Gestión jurídica</t>
        </is>
      </c>
      <c r="C1059" s="18" t="inlineStr">
        <is>
          <t>legal_management</t>
        </is>
      </c>
      <c r="D1059" s="18" t="inlineStr">
        <is>
          <t>hallazgos</t>
        </is>
      </c>
      <c r="E1059" s="18" t="n">
        <v>0</v>
      </c>
      <c r="F1059" s="18" t="inlineStr">
        <is>
          <t>estado</t>
        </is>
      </c>
      <c r="G1059" s="18" t="inlineStr">
        <is>
          <t>character varying(30)</t>
        </is>
      </c>
      <c r="H1059" s="18" t="inlineStr">
        <is>
          <t>Sí</t>
        </is>
      </c>
      <c r="I1059" s="18" t="inlineStr">
        <is>
          <t>CHECK</t>
        </is>
      </c>
      <c r="J1059" s="18" t="inlineStr">
        <is>
          <t>ABIERTO, CERRADO, EN_CURSO, EN_REVISION, RECHAZADO</t>
        </is>
      </c>
      <c r="K1059" s="18" t="inlineStr"/>
      <c r="L1059" s="18" t="inlineStr">
        <is>
          <t>Sí</t>
        </is>
      </c>
      <c r="M1059" s="18" t="inlineStr">
        <is>
          <t>Sí</t>
        </is>
      </c>
      <c r="N1059" s="18" t="inlineStr">
        <is>
          <t>Vista control_interno.v_auditorias_kanban_completo; Vista control_interno.v_auditorias_por_estado</t>
        </is>
      </c>
      <c r="O1059" s="18" t="inlineStr">
        <is>
          <t>idx_hallazgos_estado</t>
        </is>
      </c>
      <c r="P1059" s="18" t="inlineStr">
        <is>
          <t>Mapeada en legal-management-service/src/entities/hallazgo.entity.ts:59 (Hallazgo.estado)</t>
        </is>
      </c>
      <c r="Q1059" s="18" t="inlineStr">
        <is>
          <t>Regla estructural (redacción revisada)</t>
        </is>
      </c>
      <c r="R1059" s="18" t="inlineStr">
        <is>
          <t>Estado del hallazgo (ABIERTO, CERRADO, EN_CURSO, EN_REVISION o RECHAZADO).</t>
        </is>
      </c>
      <c r="S1059" s="18" t="inlineStr">
        <is>
          <t>Alta</t>
        </is>
      </c>
      <c r="T1059" s="18" t="inlineStr">
        <is>
          <t>Convención de nombre, redactada con el contexto de la tabla y el código.</t>
        </is>
      </c>
      <c r="U1059" s="18" t="inlineStr"/>
      <c r="V1059" s="19" t="inlineStr">
        <is>
          <t>Aprobada</t>
        </is>
      </c>
      <c r="W1059" s="19" t="inlineStr"/>
      <c r="X1059" s="19" t="inlineStr">
        <is>
          <t>Aldair González (aprobación en bloque)</t>
        </is>
      </c>
      <c r="Y1059" s="20" t="n">
        <v>46321</v>
      </c>
      <c r="Z1059" s="19" t="inlineStr">
        <is>
          <t>Nivel 2: regla estructural con redacción revisada.</t>
        </is>
      </c>
      <c r="AA1059" s="18">
        <f>IF(OR(V1059="Aprobada"),R1059,IF(AND(OR(V1059="Aprobada con ajuste",V1059="Rechazada"),W1059&lt;&gt;""),W1059,""))</f>
        <v/>
      </c>
    </row>
    <row r="1060">
      <c r="A1060" s="18" t="inlineStr">
        <is>
          <t>C1059</t>
        </is>
      </c>
      <c r="B1060" s="18" t="inlineStr">
        <is>
          <t>Gestión jurídica</t>
        </is>
      </c>
      <c r="C1060" s="18" t="inlineStr">
        <is>
          <t>legal_management</t>
        </is>
      </c>
      <c r="D1060" s="18" t="inlineStr">
        <is>
          <t>hallazgos</t>
        </is>
      </c>
      <c r="E1060" s="18" t="n">
        <v>0</v>
      </c>
      <c r="F1060" s="18" t="inlineStr">
        <is>
          <t>porcentaje_avance</t>
        </is>
      </c>
      <c r="G1060" s="18" t="inlineStr">
        <is>
          <t>integer</t>
        </is>
      </c>
      <c r="H1060" s="18" t="inlineStr">
        <is>
          <t>Sí</t>
        </is>
      </c>
      <c r="I1060" s="18" t="inlineStr">
        <is>
          <t>CHECK</t>
        </is>
      </c>
      <c r="J1060" s="18" t="inlineStr"/>
      <c r="K1060" s="18" t="inlineStr"/>
      <c r="L1060" s="18" t="inlineStr">
        <is>
          <t>No</t>
        </is>
      </c>
      <c r="M1060" s="18" t="inlineStr">
        <is>
          <t>No</t>
        </is>
      </c>
      <c r="N1060" s="18" t="inlineStr"/>
      <c r="O1060" s="18" t="inlineStr"/>
      <c r="P1060" s="18" t="inlineStr">
        <is>
          <t>Mapeada en legal-management-service/src/entities/hallazgo.entity.ts:62 (Hallazgo.porcentajeAvance)</t>
        </is>
      </c>
      <c r="Q1060" s="18" t="inlineStr">
        <is>
          <t>Código fuente (verificado)</t>
        </is>
      </c>
      <c r="R1060" s="18" t="inlineStr">
        <is>
          <t>Porcentaje de avance de la acción correctiva (0 a 100). Por defecto, 0.</t>
        </is>
      </c>
      <c r="S1060" s="18" t="inlineStr">
        <is>
          <t>Media</t>
        </is>
      </c>
      <c r="T1060" s="18" t="inlineStr">
        <is>
          <t>db/init/007_legal_management_ddl_20260129_215541.sql:943: CHECK 0 a 100 | legal-management-service/src/entities/hallazgo.entity.ts:62: default 0; ningún servicio usa la entidad Hallazgo (el avance calculado del código es de planes_hallazgos)</t>
        </is>
      </c>
      <c r="U1060" s="18" t="inlineStr">
        <is>
          <t>¿Se calcula a partir de los reportes de avance o se registra manualmente?</t>
        </is>
      </c>
      <c r="V1060" s="19" t="inlineStr">
        <is>
          <t>Aprobada</t>
        </is>
      </c>
      <c r="W1060" s="19" t="inlineStr"/>
      <c r="X1060" s="19" t="inlineStr">
        <is>
          <t>Aldair González (validación del responsable de BD)</t>
        </is>
      </c>
      <c r="Y1060" s="20" t="n">
        <v>46321</v>
      </c>
      <c r="Z1060" s="19" t="inlineStr">
        <is>
          <t>Nivel 3: validada por decisión del responsable de la base de datos. Pregunta registrada para desarrollo: ¿Se calcula a partir de los reportes de avance o se registra manualmente?</t>
        </is>
      </c>
      <c r="AA1060" s="18">
        <f>IF(OR(V1060="Aprobada"),R1060,IF(AND(OR(V1060="Aprobada con ajuste",V1060="Rechazada"),W1060&lt;&gt;""),W1060,""))</f>
        <v/>
      </c>
    </row>
    <row r="1061">
      <c r="A1061" s="18" t="inlineStr">
        <is>
          <t>C1060</t>
        </is>
      </c>
      <c r="B1061" s="18" t="inlineStr">
        <is>
          <t>Gestión jurídica</t>
        </is>
      </c>
      <c r="C1061" s="18" t="inlineStr">
        <is>
          <t>legal_management</t>
        </is>
      </c>
      <c r="D1061" s="18" t="inlineStr">
        <is>
          <t>hallazgos</t>
        </is>
      </c>
      <c r="E1061" s="18" t="n">
        <v>0</v>
      </c>
      <c r="F1061" s="18" t="inlineStr">
        <is>
          <t>fecha_ultimo_reporte</t>
        </is>
      </c>
      <c r="G1061" s="18" t="inlineStr">
        <is>
          <t>timestamp without time zone</t>
        </is>
      </c>
      <c r="H1061" s="18" t="inlineStr">
        <is>
          <t>Sí</t>
        </is>
      </c>
      <c r="I1061" s="18" t="inlineStr"/>
      <c r="J1061" s="18" t="inlineStr"/>
      <c r="K1061" s="18" t="inlineStr"/>
      <c r="L1061" s="18" t="inlineStr">
        <is>
          <t>No</t>
        </is>
      </c>
      <c r="M1061" s="18" t="inlineStr">
        <is>
          <t>No</t>
        </is>
      </c>
      <c r="N1061" s="18" t="inlineStr"/>
      <c r="O1061" s="18" t="inlineStr"/>
      <c r="P1061" s="18" t="inlineStr">
        <is>
          <t>Mapeada en legal-management-service/src/entities/hallazgo.entity.ts:65 (Hallazgo.fechaUltimoReporte)</t>
        </is>
      </c>
      <c r="Q1061" s="18" t="inlineStr">
        <is>
          <t>Regla estructural (redacción revisada)</t>
        </is>
      </c>
      <c r="R1061" s="18" t="inlineStr">
        <is>
          <t>Fecha y hora del último reporte del hallazgo.</t>
        </is>
      </c>
      <c r="S1061" s="18" t="inlineStr">
        <is>
          <t>Alta</t>
        </is>
      </c>
      <c r="T1061" s="18" t="inlineStr">
        <is>
          <t>Convención de nombre, redactada con el contexto de la tabla y el código.</t>
        </is>
      </c>
      <c r="U1061" s="18" t="inlineStr"/>
      <c r="V1061" s="19" t="inlineStr">
        <is>
          <t>Aprobada</t>
        </is>
      </c>
      <c r="W1061" s="19" t="inlineStr"/>
      <c r="X1061" s="19" t="inlineStr">
        <is>
          <t>Aldair González (aprobación en bloque)</t>
        </is>
      </c>
      <c r="Y1061" s="20" t="n">
        <v>46321</v>
      </c>
      <c r="Z1061" s="19" t="inlineStr">
        <is>
          <t>Nivel 2: regla estructural con redacción revisada.</t>
        </is>
      </c>
      <c r="AA1061" s="18">
        <f>IF(OR(V1061="Aprobada"),R1061,IF(AND(OR(V1061="Aprobada con ajuste",V1061="Rechazada"),W1061&lt;&gt;""),W1061,""))</f>
        <v/>
      </c>
    </row>
    <row r="1062">
      <c r="A1062" s="18" t="inlineStr">
        <is>
          <t>C1061</t>
        </is>
      </c>
      <c r="B1062" s="18" t="inlineStr">
        <is>
          <t>Gestión jurídica</t>
        </is>
      </c>
      <c r="C1062" s="18" t="inlineStr">
        <is>
          <t>legal_management</t>
        </is>
      </c>
      <c r="D1062" s="18" t="inlineStr">
        <is>
          <t>hallazgos</t>
        </is>
      </c>
      <c r="E1062" s="18" t="n">
        <v>0</v>
      </c>
      <c r="F1062" s="18" t="inlineStr">
        <is>
          <t>fecha_proximo_reporte</t>
        </is>
      </c>
      <c r="G1062" s="18" t="inlineStr">
        <is>
          <t>date</t>
        </is>
      </c>
      <c r="H1062" s="18" t="inlineStr">
        <is>
          <t>Sí</t>
        </is>
      </c>
      <c r="I1062" s="18" t="inlineStr"/>
      <c r="J1062" s="18" t="inlineStr"/>
      <c r="K1062" s="18" t="inlineStr"/>
      <c r="L1062" s="18" t="inlineStr">
        <is>
          <t>No</t>
        </is>
      </c>
      <c r="M1062" s="18" t="inlineStr">
        <is>
          <t>No</t>
        </is>
      </c>
      <c r="N1062" s="18" t="inlineStr"/>
      <c r="O1062" s="18" t="inlineStr"/>
      <c r="P1062" s="18" t="inlineStr">
        <is>
          <t>Mapeada en legal-management-service/src/entities/hallazgo.entity.ts:68 (Hallazgo.fechaProximoReporte)</t>
        </is>
      </c>
      <c r="Q1062" s="18" t="inlineStr">
        <is>
          <t>Regla estructural (redacción revisada)</t>
        </is>
      </c>
      <c r="R1062" s="18" t="inlineStr">
        <is>
          <t>Fecha del próximo reporte del hallazgo.</t>
        </is>
      </c>
      <c r="S1062" s="18" t="inlineStr">
        <is>
          <t>Alta</t>
        </is>
      </c>
      <c r="T1062" s="18" t="inlineStr">
        <is>
          <t>Convención de nombre, redactada con el contexto de la tabla y el código.</t>
        </is>
      </c>
      <c r="U1062" s="18" t="inlineStr"/>
      <c r="V1062" s="19" t="inlineStr">
        <is>
          <t>Aprobada</t>
        </is>
      </c>
      <c r="W1062" s="19" t="inlineStr"/>
      <c r="X1062" s="19" t="inlineStr">
        <is>
          <t>Aldair González (aprobación en bloque)</t>
        </is>
      </c>
      <c r="Y1062" s="20" t="n">
        <v>46321</v>
      </c>
      <c r="Z1062" s="19" t="inlineStr">
        <is>
          <t>Nivel 2: regla estructural con redacción revisada.</t>
        </is>
      </c>
      <c r="AA1062" s="18">
        <f>IF(OR(V1062="Aprobada"),R1062,IF(AND(OR(V1062="Aprobada con ajuste",V1062="Rechazada"),W1062&lt;&gt;""),W1062,""))</f>
        <v/>
      </c>
    </row>
    <row r="1063">
      <c r="A1063" s="18" t="inlineStr">
        <is>
          <t>C1062</t>
        </is>
      </c>
      <c r="B1063" s="18" t="inlineStr">
        <is>
          <t>Gestión jurídica</t>
        </is>
      </c>
      <c r="C1063" s="18" t="inlineStr">
        <is>
          <t>legal_management</t>
        </is>
      </c>
      <c r="D1063" s="18" t="inlineStr">
        <is>
          <t>hallazgos</t>
        </is>
      </c>
      <c r="E1063" s="18" t="n">
        <v>0</v>
      </c>
      <c r="F1063" s="18" t="inlineStr">
        <is>
          <t>periodicidad_reporte</t>
        </is>
      </c>
      <c r="G1063" s="18" t="inlineStr">
        <is>
          <t>character varying(20)</t>
        </is>
      </c>
      <c r="H1063" s="18" t="inlineStr">
        <is>
          <t>Sí</t>
        </is>
      </c>
      <c r="I1063" s="18" t="inlineStr">
        <is>
          <t>CHECK</t>
        </is>
      </c>
      <c r="J1063" s="18" t="inlineStr">
        <is>
          <t>ANUAL, MENSUAL, SEMESTRAL, TRIMESTRAL</t>
        </is>
      </c>
      <c r="K1063" s="18" t="inlineStr"/>
      <c r="L1063" s="18" t="inlineStr">
        <is>
          <t>Sí</t>
        </is>
      </c>
      <c r="M1063" s="18" t="inlineStr">
        <is>
          <t>No</t>
        </is>
      </c>
      <c r="N1063" s="18" t="inlineStr"/>
      <c r="O1063" s="18" t="inlineStr"/>
      <c r="P1063" s="18" t="inlineStr">
        <is>
          <t>Mapeada en legal-management-service/src/entities/hallazgo.entity.ts:71 (Hallazgo.periodicidadReporte)</t>
        </is>
      </c>
      <c r="Q1063" s="18" t="inlineStr">
        <is>
          <t>Propuesta semántica</t>
        </is>
      </c>
      <c r="R1063" s="18" t="inlineStr">
        <is>
          <t>Periodicidad con que se reporta el avance del hallazgo. Valores permitidos: ANUAL, MENSUAL, SEMESTRAL, TRIMESTRAL. Por defecto, TRIMESTRAL.</t>
        </is>
      </c>
      <c r="S1063" s="18" t="inlineStr">
        <is>
          <t>Alta</t>
        </is>
      </c>
      <c r="T1063" s="18" t="inlineStr">
        <is>
          <t>valores permitidos del CHECK</t>
        </is>
      </c>
      <c r="U1063" s="18" t="inlineStr"/>
      <c r="V1063" s="19" t="inlineStr">
        <is>
          <t>Aprobada</t>
        </is>
      </c>
      <c r="W1063" s="19" t="inlineStr"/>
      <c r="X1063" s="19" t="inlineStr">
        <is>
          <t>Aldair González (aprobación en bloque)</t>
        </is>
      </c>
      <c r="Y1063" s="20" t="n">
        <v>46321</v>
      </c>
      <c r="Z1063" s="19" t="inlineStr">
        <is>
          <t>Nivel 1: propuesta del comentario del desarrollador o de confianza alta, o regla de fecha/responsable/motivo.</t>
        </is>
      </c>
      <c r="AA1063" s="18">
        <f>IF(OR(V1063="Aprobada"),R1063,IF(AND(OR(V1063="Aprobada con ajuste",V1063="Rechazada"),W1063&lt;&gt;""),W1063,""))</f>
        <v/>
      </c>
    </row>
    <row r="1064">
      <c r="A1064" s="18" t="inlineStr">
        <is>
          <t>C1063</t>
        </is>
      </c>
      <c r="B1064" s="18" t="inlineStr">
        <is>
          <t>Gestión jurídica</t>
        </is>
      </c>
      <c r="C1064" s="18" t="inlineStr">
        <is>
          <t>legal_management</t>
        </is>
      </c>
      <c r="D1064" s="18" t="inlineStr">
        <is>
          <t>hallazgos</t>
        </is>
      </c>
      <c r="E1064" s="18" t="n">
        <v>0</v>
      </c>
      <c r="F1064" s="18" t="inlineStr">
        <is>
          <t>documento_plan_url</t>
        </is>
      </c>
      <c r="G1064" s="18" t="inlineStr">
        <is>
          <t>text</t>
        </is>
      </c>
      <c r="H1064" s="18" t="inlineStr">
        <is>
          <t>Sí</t>
        </is>
      </c>
      <c r="I1064" s="18" t="inlineStr"/>
      <c r="J1064" s="18" t="inlineStr"/>
      <c r="K1064" s="18" t="inlineStr"/>
      <c r="L1064" s="18" t="inlineStr">
        <is>
          <t>No</t>
        </is>
      </c>
      <c r="M1064" s="18" t="inlineStr">
        <is>
          <t>No</t>
        </is>
      </c>
      <c r="N1064" s="18" t="inlineStr"/>
      <c r="O1064" s="18" t="inlineStr"/>
      <c r="P1064" s="18" t="inlineStr">
        <is>
          <t>Mapeada en legal-management-service/src/entities/hallazgo.entity.ts:74 (Hallazgo.documentoPlanUrl)</t>
        </is>
      </c>
      <c r="Q1064" s="18" t="inlineStr">
        <is>
          <t>Código fuente (verificado)</t>
        </is>
      </c>
      <c r="R1064" s="18" t="inlineStr">
        <is>
          <t>URL del documento del plan de mejoramiento asociado al hallazgo.</t>
        </is>
      </c>
      <c r="S1064" s="18" t="inlineStr">
        <is>
          <t>Media</t>
        </is>
      </c>
      <c r="T1064" s="18" t="inlineStr">
        <is>
          <t>legal-management-service/src/entities/hallazgo.entity.ts:74: text; ningún servicio usa la entidad Hallazgo</t>
        </is>
      </c>
      <c r="U1064" s="18" t="inlineStr">
        <is>
          <t>¿La URL apunta al almacenamiento de la plataforma o a un sistema externo?</t>
        </is>
      </c>
      <c r="V1064" s="19" t="inlineStr">
        <is>
          <t>Aprobada</t>
        </is>
      </c>
      <c r="W1064" s="19" t="inlineStr"/>
      <c r="X1064" s="19" t="inlineStr">
        <is>
          <t>Aldair González (validación del responsable de BD)</t>
        </is>
      </c>
      <c r="Y1064" s="20" t="n">
        <v>46321</v>
      </c>
      <c r="Z1064" s="19" t="inlineStr">
        <is>
          <t>Nivel 3: validada por decisión del responsable de la base de datos. Pregunta registrada para desarrollo: ¿La URL apunta al almacenamiento de la plataforma o a un sistema externo?</t>
        </is>
      </c>
      <c r="AA1064" s="18">
        <f>IF(OR(V1064="Aprobada"),R1064,IF(AND(OR(V1064="Aprobada con ajuste",V1064="Rechazada"),W1064&lt;&gt;""),W1064,""))</f>
        <v/>
      </c>
    </row>
    <row r="1065">
      <c r="A1065" s="18" t="inlineStr">
        <is>
          <t>C1064</t>
        </is>
      </c>
      <c r="B1065" s="18" t="inlineStr">
        <is>
          <t>Gestión jurídica</t>
        </is>
      </c>
      <c r="C1065" s="18" t="inlineStr">
        <is>
          <t>legal_management</t>
        </is>
      </c>
      <c r="D1065" s="18" t="inlineStr">
        <is>
          <t>historial_consultas</t>
        </is>
      </c>
      <c r="E1065" s="18" t="n">
        <v>0</v>
      </c>
      <c r="F1065" s="18" t="inlineStr">
        <is>
          <t>accion</t>
        </is>
      </c>
      <c r="G1065" s="18" t="inlineStr">
        <is>
          <t>character varying(100)</t>
        </is>
      </c>
      <c r="H1065" s="18" t="inlineStr">
        <is>
          <t>No</t>
        </is>
      </c>
      <c r="I1065" s="18" t="inlineStr"/>
      <c r="J1065" s="18" t="inlineStr"/>
      <c r="K1065" s="18" t="inlineStr"/>
      <c r="L1065" s="18" t="inlineStr">
        <is>
          <t>No</t>
        </is>
      </c>
      <c r="M1065" s="18" t="inlineStr">
        <is>
          <t>No</t>
        </is>
      </c>
      <c r="N1065" s="18" t="inlineStr"/>
      <c r="O1065" s="18" t="inlineStr"/>
      <c r="P1065" s="18" t="inlineStr"/>
      <c r="Q1065" s="18" t="inlineStr">
        <is>
          <t>Código fuente (verificado)</t>
        </is>
      </c>
      <c r="R1065" s="18" t="inlineStr">
        <is>
          <t>Acción registrada sobre la consulta.</t>
        </is>
      </c>
      <c r="S1065" s="18" t="inlineStr">
        <is>
          <t>Media</t>
        </is>
      </c>
      <c r="T1065" s="18" t="inlineStr">
        <is>
          <t>db/init/007_legal_management_ddl_20260129_215541.sql:955: varchar(100) NOT NULL; la tabla no tiene entidad ni uso en el código; el historial vigente de consultas está en consulta_juridica_historial</t>
        </is>
      </c>
      <c r="U1065" s="18" t="inlineStr">
        <is>
          <t>¿historial_consultas sigue en uso? Si se usa, ¿qué valores toma la acción?</t>
        </is>
      </c>
      <c r="V1065" s="19" t="inlineStr">
        <is>
          <t>Aprobada</t>
        </is>
      </c>
      <c r="W1065" s="19" t="inlineStr"/>
      <c r="X1065" s="19" t="inlineStr">
        <is>
          <t>Aldair González (validación del responsable de BD)</t>
        </is>
      </c>
      <c r="Y1065" s="20" t="n">
        <v>46321</v>
      </c>
      <c r="Z1065" s="19" t="inlineStr">
        <is>
          <t>Nivel 3: validada por decisión del responsable de la base de datos. Pregunta registrada para desarrollo: ¿historial_consultas sigue en uso? Si se usa, ¿qué valores toma la acción?</t>
        </is>
      </c>
      <c r="AA1065" s="18">
        <f>IF(OR(V1065="Aprobada"),R1065,IF(AND(OR(V1065="Aprobada con ajuste",V1065="Rechazada"),W1065&lt;&gt;""),W1065,""))</f>
        <v/>
      </c>
    </row>
    <row r="1066">
      <c r="A1066" s="18" t="inlineStr">
        <is>
          <t>C1065</t>
        </is>
      </c>
      <c r="B1066" s="18" t="inlineStr">
        <is>
          <t>Gestión jurídica</t>
        </is>
      </c>
      <c r="C1066" s="18" t="inlineStr">
        <is>
          <t>legal_management</t>
        </is>
      </c>
      <c r="D1066" s="18" t="inlineStr">
        <is>
          <t>historial_consultas</t>
        </is>
      </c>
      <c r="E1066" s="18" t="n">
        <v>0</v>
      </c>
      <c r="F1066" s="18" t="inlineStr">
        <is>
          <t>descripcion</t>
        </is>
      </c>
      <c r="G1066" s="18" t="inlineStr">
        <is>
          <t>text</t>
        </is>
      </c>
      <c r="H1066" s="18" t="inlineStr">
        <is>
          <t>Sí</t>
        </is>
      </c>
      <c r="I1066" s="18" t="inlineStr"/>
      <c r="J1066" s="18" t="inlineStr"/>
      <c r="K1066" s="18" t="inlineStr"/>
      <c r="L1066" s="18" t="inlineStr">
        <is>
          <t>No</t>
        </is>
      </c>
      <c r="M1066" s="18" t="inlineStr">
        <is>
          <t>No</t>
        </is>
      </c>
      <c r="N1066" s="18" t="inlineStr"/>
      <c r="O1066" s="18" t="inlineStr"/>
      <c r="P1066" s="18" t="inlineStr"/>
      <c r="Q1066" s="18" t="inlineStr">
        <is>
          <t>Regla estructural (redacción revisada)</t>
        </is>
      </c>
      <c r="R1066" s="18" t="inlineStr">
        <is>
          <t>Descripción de la acción registrada en el historial de la consulta.</t>
        </is>
      </c>
      <c r="S1066" s="18" t="inlineStr">
        <is>
          <t>Alta</t>
        </is>
      </c>
      <c r="T1066" s="18" t="inlineStr">
        <is>
          <t>Convención de nombre, redactada con el contexto de la tabla y el código.</t>
        </is>
      </c>
      <c r="U1066" s="18" t="inlineStr"/>
      <c r="V1066" s="19" t="inlineStr">
        <is>
          <t>Aprobada</t>
        </is>
      </c>
      <c r="W1066" s="19" t="inlineStr"/>
      <c r="X1066" s="19" t="inlineStr">
        <is>
          <t>Aldair González (aprobación en bloque)</t>
        </is>
      </c>
      <c r="Y1066" s="20" t="n">
        <v>46321</v>
      </c>
      <c r="Z1066" s="19" t="inlineStr">
        <is>
          <t>Nivel 2: regla estructural con redacción revisada.</t>
        </is>
      </c>
      <c r="AA1066" s="18">
        <f>IF(OR(V1066="Aprobada"),R1066,IF(AND(OR(V1066="Aprobada con ajuste",V1066="Rechazada"),W1066&lt;&gt;""),W1066,""))</f>
        <v/>
      </c>
    </row>
    <row r="1067">
      <c r="A1067" s="18" t="inlineStr">
        <is>
          <t>C1066</t>
        </is>
      </c>
      <c r="B1067" s="18" t="inlineStr">
        <is>
          <t>Gestión jurídica</t>
        </is>
      </c>
      <c r="C1067" s="18" t="inlineStr">
        <is>
          <t>legal_management</t>
        </is>
      </c>
      <c r="D1067" s="18" t="inlineStr">
        <is>
          <t>historial_consultas</t>
        </is>
      </c>
      <c r="E1067" s="18" t="n">
        <v>0</v>
      </c>
      <c r="F1067" s="18" t="inlineStr">
        <is>
          <t>estado_anterior</t>
        </is>
      </c>
      <c r="G1067" s="18" t="inlineStr">
        <is>
          <t>character varying(30)</t>
        </is>
      </c>
      <c r="H1067" s="18" t="inlineStr">
        <is>
          <t>Sí</t>
        </is>
      </c>
      <c r="I1067" s="18" t="inlineStr"/>
      <c r="J1067" s="18" t="inlineStr"/>
      <c r="K1067" s="18" t="inlineStr"/>
      <c r="L1067" s="18" t="inlineStr">
        <is>
          <t>No</t>
        </is>
      </c>
      <c r="M1067" s="18" t="inlineStr">
        <is>
          <t>No</t>
        </is>
      </c>
      <c r="N1067" s="18" t="inlineStr"/>
      <c r="O1067" s="18" t="inlineStr"/>
      <c r="P1067" s="18" t="inlineStr"/>
      <c r="Q1067" s="18" t="inlineStr">
        <is>
          <t>Propuesta semántica</t>
        </is>
      </c>
      <c r="R1067" s="18" t="inlineStr">
        <is>
          <t>Estado de la consulta antes de la acción.</t>
        </is>
      </c>
      <c r="S1067" s="18" t="inlineStr">
        <is>
          <t>Alta</t>
        </is>
      </c>
      <c r="T1067" s="18" t="inlineStr">
        <is>
          <t>nombre + tipo + columnas vecinas</t>
        </is>
      </c>
      <c r="U1067" s="18" t="inlineStr"/>
      <c r="V1067" s="19" t="inlineStr">
        <is>
          <t>Aprobada</t>
        </is>
      </c>
      <c r="W1067" s="19" t="inlineStr"/>
      <c r="X1067" s="19" t="inlineStr">
        <is>
          <t>Aldair González (aprobación en bloque)</t>
        </is>
      </c>
      <c r="Y1067" s="20" t="n">
        <v>46321</v>
      </c>
      <c r="Z1067" s="19" t="inlineStr">
        <is>
          <t>Nivel 1: propuesta del comentario del desarrollador o de confianza alta, o regla de fecha/responsable/motivo.</t>
        </is>
      </c>
      <c r="AA1067" s="18">
        <f>IF(OR(V1067="Aprobada"),R1067,IF(AND(OR(V1067="Aprobada con ajuste",V1067="Rechazada"),W1067&lt;&gt;""),W1067,""))</f>
        <v/>
      </c>
    </row>
    <row r="1068">
      <c r="A1068" s="18" t="inlineStr">
        <is>
          <t>C1067</t>
        </is>
      </c>
      <c r="B1068" s="18" t="inlineStr">
        <is>
          <t>Gestión jurídica</t>
        </is>
      </c>
      <c r="C1068" s="18" t="inlineStr">
        <is>
          <t>legal_management</t>
        </is>
      </c>
      <c r="D1068" s="18" t="inlineStr">
        <is>
          <t>historial_consultas</t>
        </is>
      </c>
      <c r="E1068" s="18" t="n">
        <v>0</v>
      </c>
      <c r="F1068" s="18" t="inlineStr">
        <is>
          <t>estado_nuevo</t>
        </is>
      </c>
      <c r="G1068" s="18" t="inlineStr">
        <is>
          <t>character varying(30)</t>
        </is>
      </c>
      <c r="H1068" s="18" t="inlineStr">
        <is>
          <t>Sí</t>
        </is>
      </c>
      <c r="I1068" s="18" t="inlineStr"/>
      <c r="J1068" s="18" t="inlineStr"/>
      <c r="K1068" s="18" t="inlineStr"/>
      <c r="L1068" s="18" t="inlineStr">
        <is>
          <t>No</t>
        </is>
      </c>
      <c r="M1068" s="18" t="inlineStr">
        <is>
          <t>No</t>
        </is>
      </c>
      <c r="N1068" s="18" t="inlineStr"/>
      <c r="O1068" s="18" t="inlineStr"/>
      <c r="P1068" s="18" t="inlineStr"/>
      <c r="Q1068" s="18" t="inlineStr">
        <is>
          <t>Propuesta semántica</t>
        </is>
      </c>
      <c r="R1068" s="18" t="inlineStr">
        <is>
          <t>Estado de la consulta después de la acción.</t>
        </is>
      </c>
      <c r="S1068" s="18" t="inlineStr">
        <is>
          <t>Alta</t>
        </is>
      </c>
      <c r="T1068" s="18" t="inlineStr">
        <is>
          <t>nombre + tipo + columnas vecinas</t>
        </is>
      </c>
      <c r="U1068" s="18" t="inlineStr"/>
      <c r="V1068" s="19" t="inlineStr">
        <is>
          <t>Aprobada</t>
        </is>
      </c>
      <c r="W1068" s="19" t="inlineStr"/>
      <c r="X1068" s="19" t="inlineStr">
        <is>
          <t>Aldair González (aprobación en bloque)</t>
        </is>
      </c>
      <c r="Y1068" s="20" t="n">
        <v>46321</v>
      </c>
      <c r="Z1068" s="19" t="inlineStr">
        <is>
          <t>Nivel 1: propuesta del comentario del desarrollador o de confianza alta, o regla de fecha/responsable/motivo.</t>
        </is>
      </c>
      <c r="AA1068" s="18">
        <f>IF(OR(V1068="Aprobada"),R1068,IF(AND(OR(V1068="Aprobada con ajuste",V1068="Rechazada"),W1068&lt;&gt;""),W1068,""))</f>
        <v/>
      </c>
    </row>
    <row r="1069">
      <c r="A1069" s="18" t="inlineStr">
        <is>
          <t>C1068</t>
        </is>
      </c>
      <c r="B1069" s="18" t="inlineStr">
        <is>
          <t>Gestión jurídica</t>
        </is>
      </c>
      <c r="C1069" s="18" t="inlineStr">
        <is>
          <t>legal_management</t>
        </is>
      </c>
      <c r="D1069" s="18" t="inlineStr">
        <is>
          <t>historial_consultas</t>
        </is>
      </c>
      <c r="E1069" s="18" t="n">
        <v>0</v>
      </c>
      <c r="F1069" s="18" t="inlineStr">
        <is>
          <t>usuario_nombre</t>
        </is>
      </c>
      <c r="G1069" s="18" t="inlineStr">
        <is>
          <t>character varying(150)</t>
        </is>
      </c>
      <c r="H1069" s="18" t="inlineStr">
        <is>
          <t>Sí</t>
        </is>
      </c>
      <c r="I1069" s="18" t="inlineStr"/>
      <c r="J1069" s="18" t="inlineStr"/>
      <c r="K1069" s="18" t="inlineStr"/>
      <c r="L1069" s="18" t="inlineStr">
        <is>
          <t>No</t>
        </is>
      </c>
      <c r="M1069" s="18" t="inlineStr">
        <is>
          <t>No</t>
        </is>
      </c>
      <c r="N1069" s="18" t="inlineStr"/>
      <c r="O1069" s="18" t="inlineStr"/>
      <c r="P1069" s="18" t="inlineStr"/>
      <c r="Q1069" s="18" t="inlineStr">
        <is>
          <t>Propuesta semántica</t>
        </is>
      </c>
      <c r="R1069" s="18" t="inlineStr">
        <is>
          <t>Nombre del usuario que realizó la acción.</t>
        </is>
      </c>
      <c r="S1069" s="18" t="inlineStr">
        <is>
          <t>Alta</t>
        </is>
      </c>
      <c r="T1069" s="18" t="inlineStr">
        <is>
          <t>nombre + tipo + columnas vecinas</t>
        </is>
      </c>
      <c r="U1069" s="18" t="inlineStr"/>
      <c r="V1069" s="19" t="inlineStr">
        <is>
          <t>Aprobada</t>
        </is>
      </c>
      <c r="W1069" s="19" t="inlineStr"/>
      <c r="X1069" s="19" t="inlineStr">
        <is>
          <t>Aldair González (aprobación en bloque)</t>
        </is>
      </c>
      <c r="Y1069" s="20" t="n">
        <v>46321</v>
      </c>
      <c r="Z1069" s="19" t="inlineStr">
        <is>
          <t>Nivel 1: propuesta del comentario del desarrollador o de confianza alta, o regla de fecha/responsable/motivo.</t>
        </is>
      </c>
      <c r="AA1069" s="18">
        <f>IF(OR(V1069="Aprobada"),R1069,IF(AND(OR(V1069="Aprobada con ajuste",V1069="Rechazada"),W1069&lt;&gt;""),W1069,""))</f>
        <v/>
      </c>
    </row>
    <row r="1070">
      <c r="A1070" s="18" t="inlineStr">
        <is>
          <t>C1069</t>
        </is>
      </c>
      <c r="B1070" s="18" t="inlineStr">
        <is>
          <t>Gestión jurídica</t>
        </is>
      </c>
      <c r="C1070" s="18" t="inlineStr">
        <is>
          <t>legal_management</t>
        </is>
      </c>
      <c r="D1070" s="18" t="inlineStr">
        <is>
          <t>historial_consultas</t>
        </is>
      </c>
      <c r="E1070" s="18" t="n">
        <v>0</v>
      </c>
      <c r="F1070" s="18" t="inlineStr">
        <is>
          <t>fecha</t>
        </is>
      </c>
      <c r="G1070" s="18" t="inlineStr">
        <is>
          <t>timestamp without time zone</t>
        </is>
      </c>
      <c r="H1070" s="18" t="inlineStr">
        <is>
          <t>Sí</t>
        </is>
      </c>
      <c r="I1070" s="18" t="inlineStr"/>
      <c r="J1070" s="18" t="inlineStr"/>
      <c r="K1070" s="18" t="inlineStr"/>
      <c r="L1070" s="18" t="inlineStr">
        <is>
          <t>No</t>
        </is>
      </c>
      <c r="M1070" s="18" t="inlineStr">
        <is>
          <t>No</t>
        </is>
      </c>
      <c r="N1070" s="18" t="inlineStr"/>
      <c r="O1070" s="18" t="inlineStr"/>
      <c r="P1070" s="18" t="inlineStr"/>
      <c r="Q1070" s="18" t="inlineStr">
        <is>
          <t>Propuesta semántica</t>
        </is>
      </c>
      <c r="R1070" s="18" t="inlineStr">
        <is>
          <t>Fecha y hora en que se registró la acción. Por defecto, la fecha y hora de inserción.</t>
        </is>
      </c>
      <c r="S1070" s="18" t="inlineStr">
        <is>
          <t>Alta</t>
        </is>
      </c>
      <c r="T1070" s="18" t="inlineStr">
        <is>
          <t>nombre + tipo + defecto</t>
        </is>
      </c>
      <c r="U1070" s="18" t="inlineStr"/>
      <c r="V1070" s="19" t="inlineStr">
        <is>
          <t>Aprobada</t>
        </is>
      </c>
      <c r="W1070" s="19" t="inlineStr"/>
      <c r="X1070" s="19" t="inlineStr">
        <is>
          <t>Aldair González (aprobación en bloque)</t>
        </is>
      </c>
      <c r="Y1070" s="20" t="n">
        <v>46321</v>
      </c>
      <c r="Z1070" s="19" t="inlineStr">
        <is>
          <t>Nivel 1: propuesta del comentario del desarrollador o de confianza alta, o regla de fecha/responsable/motivo.</t>
        </is>
      </c>
      <c r="AA1070" s="18">
        <f>IF(OR(V1070="Aprobada"),R1070,IF(AND(OR(V1070="Aprobada con ajuste",V1070="Rechazada"),W1070&lt;&gt;""),W1070,""))</f>
        <v/>
      </c>
    </row>
    <row r="1071">
      <c r="A1071" s="18" t="inlineStr">
        <is>
          <t>C1070</t>
        </is>
      </c>
      <c r="B1071" s="18" t="inlineStr">
        <is>
          <t>Gestión jurídica</t>
        </is>
      </c>
      <c r="C1071" s="18" t="inlineStr">
        <is>
          <t>legal_management</t>
        </is>
      </c>
      <c r="D1071" s="18" t="inlineStr">
        <is>
          <t>notas_expediente</t>
        </is>
      </c>
      <c r="E1071" s="18" t="n">
        <v>3</v>
      </c>
      <c r="F1071" s="18" t="inlineStr">
        <is>
          <t>contenido</t>
        </is>
      </c>
      <c r="G1071" s="18" t="inlineStr">
        <is>
          <t>text</t>
        </is>
      </c>
      <c r="H1071" s="18" t="inlineStr">
        <is>
          <t>No</t>
        </is>
      </c>
      <c r="I1071" s="18" t="inlineStr"/>
      <c r="J1071" s="18" t="inlineStr"/>
      <c r="K1071" s="18" t="inlineStr"/>
      <c r="L1071" s="18" t="inlineStr">
        <is>
          <t>No</t>
        </is>
      </c>
      <c r="M1071" s="18" t="inlineStr">
        <is>
          <t>No</t>
        </is>
      </c>
      <c r="N1071" s="18" t="inlineStr"/>
      <c r="O1071" s="18" t="inlineStr"/>
      <c r="P1071" s="18" t="inlineStr">
        <is>
          <t>db/migrations/old/054_create_tareas_notas_expediente.sql:50: Datos de la nota | Validación: IsNotEmpty, IsString</t>
        </is>
      </c>
      <c r="Q1071" s="18" t="inlineStr">
        <is>
          <t>Código fuente</t>
        </is>
      </c>
      <c r="R1071" s="18" t="inlineStr">
        <is>
          <t>Contenido de la nota del expediente.</t>
        </is>
      </c>
      <c r="S1071" s="18" t="inlineStr">
        <is>
          <t>Alta</t>
        </is>
      </c>
      <c r="T1071" s="18" t="inlineStr">
        <is>
          <t>código: db/migrations/old/054_create_tareas_notas_expediente.sql:50</t>
        </is>
      </c>
      <c r="U1071" s="18" t="inlineStr"/>
      <c r="V1071" s="19" t="inlineStr">
        <is>
          <t>Aprobada</t>
        </is>
      </c>
      <c r="W1071" s="19" t="inlineStr"/>
      <c r="X1071" s="19" t="inlineStr">
        <is>
          <t>Aldair González (aprobación en bloque)</t>
        </is>
      </c>
      <c r="Y1071" s="20" t="n">
        <v>46321</v>
      </c>
      <c r="Z1071" s="19" t="inlineStr">
        <is>
          <t>Nivel 1: propuesta del comentario del desarrollador o de confianza alta, o regla de fecha/responsable/motivo.</t>
        </is>
      </c>
      <c r="AA1071" s="18">
        <f>IF(OR(V1071="Aprobada"),R1071,IF(AND(OR(V1071="Aprobada con ajuste",V1071="Rechazada"),W1071&lt;&gt;""),W1071,""))</f>
        <v/>
      </c>
    </row>
    <row r="1072">
      <c r="A1072" s="18" t="inlineStr">
        <is>
          <t>C1071</t>
        </is>
      </c>
      <c r="B1072" s="18" t="inlineStr">
        <is>
          <t>Gestión jurídica</t>
        </is>
      </c>
      <c r="C1072" s="18" t="inlineStr">
        <is>
          <t>legal_management</t>
        </is>
      </c>
      <c r="D1072" s="18" t="inlineStr">
        <is>
          <t>notas_expediente</t>
        </is>
      </c>
      <c r="E1072" s="18" t="n">
        <v>3</v>
      </c>
      <c r="F1072" s="18" t="inlineStr">
        <is>
          <t>autor_id</t>
        </is>
      </c>
      <c r="G1072" s="18" t="inlineStr">
        <is>
          <t>uuid</t>
        </is>
      </c>
      <c r="H1072" s="18" t="inlineStr">
        <is>
          <t>Sí</t>
        </is>
      </c>
      <c r="I1072" s="18" t="inlineStr"/>
      <c r="J1072" s="18" t="inlineStr"/>
      <c r="K1072" s="18" t="inlineStr"/>
      <c r="L1072" s="18" t="inlineStr">
        <is>
          <t>No</t>
        </is>
      </c>
      <c r="M1072" s="18" t="inlineStr">
        <is>
          <t>No</t>
        </is>
      </c>
      <c r="N1072" s="18" t="inlineStr"/>
      <c r="O1072" s="18" t="inlineStr"/>
      <c r="P1072" s="18" t="inlineStr">
        <is>
          <t>db/migrations/old/054_create_tareas_notas_expediente.sql:54: Autor</t>
        </is>
      </c>
      <c r="Q1072" s="18" t="inlineStr">
        <is>
          <t>Código fuente</t>
        </is>
      </c>
      <c r="R1072" s="18" t="inlineStr">
        <is>
          <t>Identificador del autor de la nota.</t>
        </is>
      </c>
      <c r="S1072" s="18" t="inlineStr">
        <is>
          <t>Alta</t>
        </is>
      </c>
      <c r="T1072" s="18" t="inlineStr">
        <is>
          <t>código: db/migrations/old/054_create_tareas_notas_expediente.sql:54</t>
        </is>
      </c>
      <c r="U1072" s="18" t="inlineStr"/>
      <c r="V1072" s="19" t="inlineStr">
        <is>
          <t>Aprobada</t>
        </is>
      </c>
      <c r="W1072" s="19" t="inlineStr"/>
      <c r="X1072" s="19" t="inlineStr">
        <is>
          <t>Aldair González (aprobación en bloque)</t>
        </is>
      </c>
      <c r="Y1072" s="20" t="n">
        <v>46321</v>
      </c>
      <c r="Z1072" s="19" t="inlineStr">
        <is>
          <t>Nivel 1: propuesta del comentario del desarrollador o de confianza alta, o regla de fecha/responsable/motivo.</t>
        </is>
      </c>
      <c r="AA1072" s="18">
        <f>IF(OR(V1072="Aprobada"),R1072,IF(AND(OR(V1072="Aprobada con ajuste",V1072="Rechazada"),W1072&lt;&gt;""),W1072,""))</f>
        <v/>
      </c>
    </row>
    <row r="1073">
      <c r="A1073" s="18" t="inlineStr">
        <is>
          <t>C1072</t>
        </is>
      </c>
      <c r="B1073" s="18" t="inlineStr">
        <is>
          <t>Gestión jurídica</t>
        </is>
      </c>
      <c r="C1073" s="18" t="inlineStr">
        <is>
          <t>legal_management</t>
        </is>
      </c>
      <c r="D1073" s="18" t="inlineStr">
        <is>
          <t>notas_expediente</t>
        </is>
      </c>
      <c r="E1073" s="18" t="n">
        <v>3</v>
      </c>
      <c r="F1073" s="18" t="inlineStr">
        <is>
          <t>autor_nombre</t>
        </is>
      </c>
      <c r="G1073" s="18" t="inlineStr">
        <is>
          <t>character varying(255)</t>
        </is>
      </c>
      <c r="H1073" s="18" t="inlineStr">
        <is>
          <t>Sí</t>
        </is>
      </c>
      <c r="I1073" s="18" t="inlineStr"/>
      <c r="J1073" s="18" t="inlineStr"/>
      <c r="K1073" s="18" t="inlineStr"/>
      <c r="L1073" s="18" t="inlineStr">
        <is>
          <t>No</t>
        </is>
      </c>
      <c r="M1073" s="18" t="inlineStr">
        <is>
          <t>No</t>
        </is>
      </c>
      <c r="N1073" s="18" t="inlineStr"/>
      <c r="O1073" s="18" t="inlineStr"/>
      <c r="P1073" s="18" t="inlineStr">
        <is>
          <t>db/migrations/old/054_create_tareas_notas_expediente.sql:55: Backup or display name</t>
        </is>
      </c>
      <c r="Q1073" s="18" t="inlineStr">
        <is>
          <t>Código fuente</t>
        </is>
      </c>
      <c r="R1073" s="18" t="inlineStr">
        <is>
          <t>Nombre del autor de la nota, para mostrar o como respaldo.</t>
        </is>
      </c>
      <c r="S1073" s="18" t="inlineStr">
        <is>
          <t>Alta</t>
        </is>
      </c>
      <c r="T1073" s="18" t="inlineStr">
        <is>
          <t>código: db/migrations/old/054_create_tareas_notas_expediente.sql:55</t>
        </is>
      </c>
      <c r="U1073" s="18" t="inlineStr"/>
      <c r="V1073" s="19" t="inlineStr">
        <is>
          <t>Aprobada</t>
        </is>
      </c>
      <c r="W1073" s="19" t="inlineStr"/>
      <c r="X1073" s="19" t="inlineStr">
        <is>
          <t>Aldair González (aprobación en bloque)</t>
        </is>
      </c>
      <c r="Y1073" s="20" t="n">
        <v>46321</v>
      </c>
      <c r="Z1073" s="19" t="inlineStr">
        <is>
          <t>Nivel 1: propuesta del comentario del desarrollador o de confianza alta, o regla de fecha/responsable/motivo.</t>
        </is>
      </c>
      <c r="AA1073" s="18">
        <f>IF(OR(V1073="Aprobada"),R1073,IF(AND(OR(V1073="Aprobada con ajuste",V1073="Rechazada"),W1073&lt;&gt;""),W1073,""))</f>
        <v/>
      </c>
    </row>
    <row r="1074">
      <c r="A1074" s="18" t="inlineStr">
        <is>
          <t>C1073</t>
        </is>
      </c>
      <c r="B1074" s="18" t="inlineStr">
        <is>
          <t>Gestión jurídica</t>
        </is>
      </c>
      <c r="C1074" s="18" t="inlineStr">
        <is>
          <t>legal_management</t>
        </is>
      </c>
      <c r="D1074" s="18" t="inlineStr">
        <is>
          <t>oficios_enviados</t>
        </is>
      </c>
      <c r="E1074" s="18" t="n">
        <v>4</v>
      </c>
      <c r="F1074" s="18" t="inlineStr">
        <is>
          <t>numero</t>
        </is>
      </c>
      <c r="G1074" s="18" t="inlineStr">
        <is>
          <t>character varying(50)</t>
        </is>
      </c>
      <c r="H1074" s="18" t="inlineStr">
        <is>
          <t>No</t>
        </is>
      </c>
      <c r="I1074" s="18" t="inlineStr"/>
      <c r="J1074" s="18" t="inlineStr"/>
      <c r="K1074" s="18" t="inlineStr"/>
      <c r="L1074" s="18" t="inlineStr">
        <is>
          <t>No</t>
        </is>
      </c>
      <c r="M1074" s="18" t="inlineStr">
        <is>
          <t>No</t>
        </is>
      </c>
      <c r="N1074" s="18" t="inlineStr"/>
      <c r="O1074" s="18" t="inlineStr"/>
      <c r="P1074" s="18" t="inlineStr">
        <is>
          <t>Mapeada en legal-management-service/src/entities/oficio-enviado.entity.ts:8 (OficioEnviado.numero)</t>
        </is>
      </c>
      <c r="Q1074" s="18" t="inlineStr">
        <is>
          <t>Regla estructural (redacción revisada)</t>
        </is>
      </c>
      <c r="R1074" s="18" t="inlineStr">
        <is>
          <t>Número del oficio enviado.</t>
        </is>
      </c>
      <c r="S1074" s="18" t="inlineStr">
        <is>
          <t>Alta</t>
        </is>
      </c>
      <c r="T1074" s="18" t="inlineStr">
        <is>
          <t>Convención de nombre, redactada con el contexto de la tabla y el código.</t>
        </is>
      </c>
      <c r="U1074" s="18" t="inlineStr"/>
      <c r="V1074" s="19" t="inlineStr">
        <is>
          <t>Aprobada</t>
        </is>
      </c>
      <c r="W1074" s="19" t="inlineStr"/>
      <c r="X1074" s="19" t="inlineStr">
        <is>
          <t>Aldair González (aprobación en bloque)</t>
        </is>
      </c>
      <c r="Y1074" s="20" t="n">
        <v>46321</v>
      </c>
      <c r="Z1074" s="19" t="inlineStr">
        <is>
          <t>Nivel 2: regla estructural con redacción revisada.</t>
        </is>
      </c>
      <c r="AA1074" s="18">
        <f>IF(OR(V1074="Aprobada"),R1074,IF(AND(OR(V1074="Aprobada con ajuste",V1074="Rechazada"),W1074&lt;&gt;""),W1074,""))</f>
        <v/>
      </c>
    </row>
    <row r="1075">
      <c r="A1075" s="18" t="inlineStr">
        <is>
          <t>C1074</t>
        </is>
      </c>
      <c r="B1075" s="18" t="inlineStr">
        <is>
          <t>Gestión jurídica</t>
        </is>
      </c>
      <c r="C1075" s="18" t="inlineStr">
        <is>
          <t>legal_management</t>
        </is>
      </c>
      <c r="D1075" s="18" t="inlineStr">
        <is>
          <t>oficios_enviados</t>
        </is>
      </c>
      <c r="E1075" s="18" t="n">
        <v>4</v>
      </c>
      <c r="F1075" s="18" t="inlineStr">
        <is>
          <t>expediente_id</t>
        </is>
      </c>
      <c r="G1075" s="18" t="inlineStr">
        <is>
          <t>character varying(100)</t>
        </is>
      </c>
      <c r="H1075" s="18" t="inlineStr">
        <is>
          <t>No</t>
        </is>
      </c>
      <c r="I1075" s="18" t="inlineStr"/>
      <c r="J1075" s="18" t="inlineStr"/>
      <c r="K1075" s="18" t="inlineStr"/>
      <c r="L1075" s="18" t="inlineStr">
        <is>
          <t>No</t>
        </is>
      </c>
      <c r="M1075" s="18" t="inlineStr">
        <is>
          <t>No</t>
        </is>
      </c>
      <c r="N1075" s="18" t="inlineStr"/>
      <c r="O1075" s="18" t="inlineStr">
        <is>
          <t>idx_oficios_expediente</t>
        </is>
      </c>
      <c r="P1075" s="18" t="inlineStr">
        <is>
          <t>Mapeada en legal-management-service/src/entities/oficio-enviado.entity.ts:11 (OficioEnviado.expedienteId)</t>
        </is>
      </c>
      <c r="Q1075" s="18" t="inlineStr">
        <is>
          <t>Código fuente (verificado)</t>
        </is>
      </c>
      <c r="R1075" s="18" t="inlineStr">
        <is>
          <t>Identificador del expediente al que corresponde el oficio, guardado como texto y filtrado junto con modulo.</t>
        </is>
      </c>
      <c r="S1075" s="18" t="inlineStr">
        <is>
          <t>Media</t>
        </is>
      </c>
      <c r="T1075" s="18" t="inlineStr">
        <is>
          <t>legal-management-service/src/controllers/oficios.controller.ts:50: toma body.expedienteId | legal-management-service/src/services/oficios.service.ts:124: busca por expedienteId y modulo | legal-management-service/src/entities/oficio-enviado.entity.ts:11: varchar(100) sin relación</t>
        </is>
      </c>
      <c r="U1075" s="18" t="inlineStr">
        <is>
          <t>¿A qué tabla corresponde expediente_id según el valor de modulo (expedientes, consultas_juridicas u otra)?</t>
        </is>
      </c>
      <c r="V1075" s="19" t="inlineStr">
        <is>
          <t>Aprobada</t>
        </is>
      </c>
      <c r="W1075" s="19" t="inlineStr"/>
      <c r="X1075" s="19" t="inlineStr">
        <is>
          <t>Aldair González (validación del responsable de BD)</t>
        </is>
      </c>
      <c r="Y1075" s="20" t="n">
        <v>46321</v>
      </c>
      <c r="Z1075" s="19" t="inlineStr">
        <is>
          <t>Nivel 3: validada por decisión del responsable de la base de datos. Pregunta registrada para desarrollo: ¿A qué tabla corresponde expediente_id según el valor de modulo (expedientes, consultas_juridicas u otra)?</t>
        </is>
      </c>
      <c r="AA1075" s="18">
        <f>IF(OR(V1075="Aprobada"),R1075,IF(AND(OR(V1075="Aprobada con ajuste",V1075="Rechazada"),W1075&lt;&gt;""),W1075,""))</f>
        <v/>
      </c>
    </row>
    <row r="1076">
      <c r="A1076" s="18" t="inlineStr">
        <is>
          <t>C1075</t>
        </is>
      </c>
      <c r="B1076" s="18" t="inlineStr">
        <is>
          <t>Gestión jurídica</t>
        </is>
      </c>
      <c r="C1076" s="18" t="inlineStr">
        <is>
          <t>legal_management</t>
        </is>
      </c>
      <c r="D1076" s="18" t="inlineStr">
        <is>
          <t>oficios_enviados</t>
        </is>
      </c>
      <c r="E1076" s="18" t="n">
        <v>4</v>
      </c>
      <c r="F1076" s="18" t="inlineStr">
        <is>
          <t>modulo</t>
        </is>
      </c>
      <c r="G1076" s="18" t="inlineStr">
        <is>
          <t>character varying(50)</t>
        </is>
      </c>
      <c r="H1076" s="18" t="inlineStr">
        <is>
          <t>Sí</t>
        </is>
      </c>
      <c r="I1076" s="18" t="inlineStr"/>
      <c r="J1076" s="18" t="inlineStr"/>
      <c r="K1076" s="18" t="inlineStr"/>
      <c r="L1076" s="18" t="inlineStr">
        <is>
          <t>No</t>
        </is>
      </c>
      <c r="M1076" s="18" t="inlineStr">
        <is>
          <t>No</t>
        </is>
      </c>
      <c r="N1076" s="18" t="inlineStr"/>
      <c r="O1076" s="18" t="inlineStr">
        <is>
          <t>idx_oficios_modulo</t>
        </is>
      </c>
      <c r="P1076" s="18" t="inlineStr">
        <is>
          <t>db/migrations/119_create_oficios_enviados.sql:13: 'juzgamiento-disciplinario', 'defensa-judicial', 'procesos-coactivos', etc.</t>
        </is>
      </c>
      <c r="Q1076" s="18" t="inlineStr">
        <is>
          <t>Código fuente</t>
        </is>
      </c>
      <c r="R1076" s="18" t="inlineStr">
        <is>
          <t>Módulo desde el que se envía el oficio (por ejemplo, juzgamiento-disciplinario, defensa-judicial, procesos-coactivos).</t>
        </is>
      </c>
      <c r="S1076" s="18" t="inlineStr">
        <is>
          <t>Alta</t>
        </is>
      </c>
      <c r="T1076" s="18" t="inlineStr">
        <is>
          <t>código: db/migrations/119_create_oficios_enviados.sql:13</t>
        </is>
      </c>
      <c r="U1076" s="18" t="inlineStr"/>
      <c r="V1076" s="19" t="inlineStr">
        <is>
          <t>Aprobada</t>
        </is>
      </c>
      <c r="W1076" s="19" t="inlineStr"/>
      <c r="X1076" s="19" t="inlineStr">
        <is>
          <t>Aldair González (aprobación en bloque)</t>
        </is>
      </c>
      <c r="Y1076" s="20" t="n">
        <v>46321</v>
      </c>
      <c r="Z1076" s="19" t="inlineStr">
        <is>
          <t>Nivel 1: propuesta del comentario del desarrollador o de confianza alta, o regla de fecha/responsable/motivo.</t>
        </is>
      </c>
      <c r="AA1076" s="18">
        <f>IF(OR(V1076="Aprobada"),R1076,IF(AND(OR(V1076="Aprobada con ajuste",V1076="Rechazada"),W1076&lt;&gt;""),W1076,""))</f>
        <v/>
      </c>
    </row>
    <row r="1077">
      <c r="A1077" s="18" t="inlineStr">
        <is>
          <t>C1076</t>
        </is>
      </c>
      <c r="B1077" s="18" t="inlineStr">
        <is>
          <t>Gestión jurídica</t>
        </is>
      </c>
      <c r="C1077" s="18" t="inlineStr">
        <is>
          <t>legal_management</t>
        </is>
      </c>
      <c r="D1077" s="18" t="inlineStr">
        <is>
          <t>oficios_enviados</t>
        </is>
      </c>
      <c r="E1077" s="18" t="n">
        <v>4</v>
      </c>
      <c r="F1077" s="18" t="inlineStr">
        <is>
          <t>asunto</t>
        </is>
      </c>
      <c r="G1077" s="18" t="inlineStr">
        <is>
          <t>character varying(500)</t>
        </is>
      </c>
      <c r="H1077" s="18" t="inlineStr">
        <is>
          <t>No</t>
        </is>
      </c>
      <c r="I1077" s="18" t="inlineStr"/>
      <c r="J1077" s="18" t="inlineStr"/>
      <c r="K1077" s="18" t="inlineStr"/>
      <c r="L1077" s="18" t="inlineStr">
        <is>
          <t>No</t>
        </is>
      </c>
      <c r="M1077" s="18" t="inlineStr">
        <is>
          <t>No</t>
        </is>
      </c>
      <c r="N1077" s="18" t="inlineStr"/>
      <c r="O1077" s="18" t="inlineStr"/>
      <c r="P1077" s="18" t="inlineStr">
        <is>
          <t>Mapeada en legal-management-service/src/entities/oficio-enviado.entity.ts:17 (OficioEnviado.asunto)</t>
        </is>
      </c>
      <c r="Q1077" s="18" t="inlineStr">
        <is>
          <t>Propuesta semántica</t>
        </is>
      </c>
      <c r="R1077" s="18" t="inlineStr">
        <is>
          <t>Asunto del oficio.</t>
        </is>
      </c>
      <c r="S1077" s="18" t="inlineStr">
        <is>
          <t>Alta</t>
        </is>
      </c>
      <c r="T1077" s="18" t="inlineStr">
        <is>
          <t>nombre + tipo</t>
        </is>
      </c>
      <c r="U1077" s="18" t="inlineStr"/>
      <c r="V1077" s="19" t="inlineStr">
        <is>
          <t>Aprobada</t>
        </is>
      </c>
      <c r="W1077" s="19" t="inlineStr"/>
      <c r="X1077" s="19" t="inlineStr">
        <is>
          <t>Aldair González (aprobación en bloque)</t>
        </is>
      </c>
      <c r="Y1077" s="20" t="n">
        <v>46321</v>
      </c>
      <c r="Z1077" s="19" t="inlineStr">
        <is>
          <t>Nivel 1: propuesta del comentario del desarrollador o de confianza alta, o regla de fecha/responsable/motivo.</t>
        </is>
      </c>
      <c r="AA1077" s="18">
        <f>IF(OR(V1077="Aprobada"),R1077,IF(AND(OR(V1077="Aprobada con ajuste",V1077="Rechazada"),W1077&lt;&gt;""),W1077,""))</f>
        <v/>
      </c>
    </row>
    <row r="1078">
      <c r="A1078" s="18" t="inlineStr">
        <is>
          <t>C1077</t>
        </is>
      </c>
      <c r="B1078" s="18" t="inlineStr">
        <is>
          <t>Gestión jurídica</t>
        </is>
      </c>
      <c r="C1078" s="18" t="inlineStr">
        <is>
          <t>legal_management</t>
        </is>
      </c>
      <c r="D1078" s="18" t="inlineStr">
        <is>
          <t>oficios_enviados</t>
        </is>
      </c>
      <c r="E1078" s="18" t="n">
        <v>4</v>
      </c>
      <c r="F1078" s="18" t="inlineStr">
        <is>
          <t>destinatario</t>
        </is>
      </c>
      <c r="G1078" s="18" t="inlineStr">
        <is>
          <t>character varying(300)</t>
        </is>
      </c>
      <c r="H1078" s="18" t="inlineStr">
        <is>
          <t>No</t>
        </is>
      </c>
      <c r="I1078" s="18" t="inlineStr"/>
      <c r="J1078" s="18" t="inlineStr"/>
      <c r="K1078" s="18" t="inlineStr"/>
      <c r="L1078" s="18" t="inlineStr">
        <is>
          <t>No</t>
        </is>
      </c>
      <c r="M1078" s="18" t="inlineStr">
        <is>
          <t>No</t>
        </is>
      </c>
      <c r="N1078" s="18" t="inlineStr"/>
      <c r="O1078" s="18" t="inlineStr"/>
      <c r="P1078" s="18" t="inlineStr">
        <is>
          <t>Mapeada en legal-management-service/src/entities/oficio-enviado.entity.ts:20 (OficioEnviado.destinatario)</t>
        </is>
      </c>
      <c r="Q1078" s="18" t="inlineStr">
        <is>
          <t>Propuesta semántica</t>
        </is>
      </c>
      <c r="R1078" s="18" t="inlineStr">
        <is>
          <t>Nombre del destinatario del oficio.</t>
        </is>
      </c>
      <c r="S1078" s="18" t="inlineStr">
        <is>
          <t>Alta</t>
        </is>
      </c>
      <c r="T1078" s="18" t="inlineStr">
        <is>
          <t>nombre + tipo + columnas vecinas</t>
        </is>
      </c>
      <c r="U1078" s="18" t="inlineStr"/>
      <c r="V1078" s="19" t="inlineStr">
        <is>
          <t>Aprobada</t>
        </is>
      </c>
      <c r="W1078" s="19" t="inlineStr"/>
      <c r="X1078" s="19" t="inlineStr">
        <is>
          <t>Aldair González (aprobación en bloque)</t>
        </is>
      </c>
      <c r="Y1078" s="20" t="n">
        <v>46321</v>
      </c>
      <c r="Z1078" s="19" t="inlineStr">
        <is>
          <t>Nivel 1: propuesta del comentario del desarrollador o de confianza alta, o regla de fecha/responsable/motivo.</t>
        </is>
      </c>
      <c r="AA1078" s="18">
        <f>IF(OR(V1078="Aprobada"),R1078,IF(AND(OR(V1078="Aprobada con ajuste",V1078="Rechazada"),W1078&lt;&gt;""),W1078,""))</f>
        <v/>
      </c>
    </row>
    <row r="1079">
      <c r="A1079" s="18" t="inlineStr">
        <is>
          <t>C1078</t>
        </is>
      </c>
      <c r="B1079" s="18" t="inlineStr">
        <is>
          <t>Gestión jurídica</t>
        </is>
      </c>
      <c r="C1079" s="18" t="inlineStr">
        <is>
          <t>legal_management</t>
        </is>
      </c>
      <c r="D1079" s="18" t="inlineStr">
        <is>
          <t>oficios_enviados</t>
        </is>
      </c>
      <c r="E1079" s="18" t="n">
        <v>4</v>
      </c>
      <c r="F1079" s="18" t="inlineStr">
        <is>
          <t>destinatario_email</t>
        </is>
      </c>
      <c r="G1079" s="18" t="inlineStr">
        <is>
          <t>character varying(200)</t>
        </is>
      </c>
      <c r="H1079" s="18" t="inlineStr">
        <is>
          <t>Sí</t>
        </is>
      </c>
      <c r="I1079" s="18" t="inlineStr"/>
      <c r="J1079" s="18" t="inlineStr"/>
      <c r="K1079" s="18" t="inlineStr"/>
      <c r="L1079" s="18" t="inlineStr">
        <is>
          <t>No</t>
        </is>
      </c>
      <c r="M1079" s="18" t="inlineStr">
        <is>
          <t>No</t>
        </is>
      </c>
      <c r="N1079" s="18" t="inlineStr"/>
      <c r="O1079" s="18" t="inlineStr"/>
      <c r="P1079" s="18" t="inlineStr">
        <is>
          <t>Mapeada en legal-management-service/src/entities/oficio-enviado.entity.ts:23 (OficioEnviado.destinatarioEmail)</t>
        </is>
      </c>
      <c r="Q1079" s="18" t="inlineStr">
        <is>
          <t>Propuesta semántica</t>
        </is>
      </c>
      <c r="R1079" s="18" t="inlineStr">
        <is>
          <t>Correo electrónico del destinatario del oficio.</t>
        </is>
      </c>
      <c r="S1079" s="18" t="inlineStr">
        <is>
          <t>Alta</t>
        </is>
      </c>
      <c r="T1079" s="18" t="inlineStr">
        <is>
          <t>nombre + tipo + columnas vecinas</t>
        </is>
      </c>
      <c r="U1079" s="18" t="inlineStr"/>
      <c r="V1079" s="19" t="inlineStr">
        <is>
          <t>Aprobada</t>
        </is>
      </c>
      <c r="W1079" s="19" t="inlineStr"/>
      <c r="X1079" s="19" t="inlineStr">
        <is>
          <t>Aldair González (aprobación en bloque)</t>
        </is>
      </c>
      <c r="Y1079" s="20" t="n">
        <v>46321</v>
      </c>
      <c r="Z1079" s="19" t="inlineStr">
        <is>
          <t>Nivel 1: propuesta del comentario del desarrollador o de confianza alta, o regla de fecha/responsable/motivo.</t>
        </is>
      </c>
      <c r="AA1079" s="18">
        <f>IF(OR(V1079="Aprobada"),R1079,IF(AND(OR(V1079="Aprobada con ajuste",V1079="Rechazada"),W1079&lt;&gt;""),W1079,""))</f>
        <v/>
      </c>
    </row>
    <row r="1080">
      <c r="A1080" s="18" t="inlineStr">
        <is>
          <t>C1079</t>
        </is>
      </c>
      <c r="B1080" s="18" t="inlineStr">
        <is>
          <t>Gestión jurídica</t>
        </is>
      </c>
      <c r="C1080" s="18" t="inlineStr">
        <is>
          <t>legal_management</t>
        </is>
      </c>
      <c r="D1080" s="18" t="inlineStr">
        <is>
          <t>oficios_enviados</t>
        </is>
      </c>
      <c r="E1080" s="18" t="n">
        <v>4</v>
      </c>
      <c r="F1080" s="18" t="inlineStr">
        <is>
          <t>contenido</t>
        </is>
      </c>
      <c r="G1080" s="18" t="inlineStr">
        <is>
          <t>text</t>
        </is>
      </c>
      <c r="H1080" s="18" t="inlineStr">
        <is>
          <t>No</t>
        </is>
      </c>
      <c r="I1080" s="18" t="inlineStr"/>
      <c r="J1080" s="18" t="inlineStr"/>
      <c r="K1080" s="18" t="inlineStr"/>
      <c r="L1080" s="18" t="inlineStr">
        <is>
          <t>No</t>
        </is>
      </c>
      <c r="M1080" s="18" t="inlineStr">
        <is>
          <t>No</t>
        </is>
      </c>
      <c r="N1080" s="18" t="inlineStr"/>
      <c r="O1080" s="18" t="inlineStr"/>
      <c r="P1080" s="18" t="inlineStr">
        <is>
          <t>Mapeada en legal-management-service/src/entities/oficio-enviado.entity.ts:26 (OficioEnviado.contenido) | Validación: IsNotEmpty, IsString</t>
        </is>
      </c>
      <c r="Q1080" s="18" t="inlineStr">
        <is>
          <t>Propuesta semántica</t>
        </is>
      </c>
      <c r="R1080" s="18" t="inlineStr">
        <is>
          <t>Contenido del oficio en texto. Obligatorio.</t>
        </is>
      </c>
      <c r="S1080" s="18" t="inlineStr">
        <is>
          <t>Alta</t>
        </is>
      </c>
      <c r="T1080" s="18" t="inlineStr">
        <is>
          <t>nombre + tipo + validaciones IsNotEmpty, IsString</t>
        </is>
      </c>
      <c r="U1080" s="18" t="inlineStr"/>
      <c r="V1080" s="19" t="inlineStr">
        <is>
          <t>Aprobada</t>
        </is>
      </c>
      <c r="W1080" s="19" t="inlineStr"/>
      <c r="X1080" s="19" t="inlineStr">
        <is>
          <t>Aldair González (aprobación en bloque)</t>
        </is>
      </c>
      <c r="Y1080" s="20" t="n">
        <v>46321</v>
      </c>
      <c r="Z1080" s="19" t="inlineStr">
        <is>
          <t>Nivel 1: propuesta del comentario del desarrollador o de confianza alta, o regla de fecha/responsable/motivo.</t>
        </is>
      </c>
      <c r="AA1080" s="18">
        <f>IF(OR(V1080="Aprobada"),R1080,IF(AND(OR(V1080="Aprobada con ajuste",V1080="Rechazada"),W1080&lt;&gt;""),W1080,""))</f>
        <v/>
      </c>
    </row>
    <row r="1081">
      <c r="A1081" s="18" t="inlineStr">
        <is>
          <t>C1080</t>
        </is>
      </c>
      <c r="B1081" s="18" t="inlineStr">
        <is>
          <t>Gestión jurídica</t>
        </is>
      </c>
      <c r="C1081" s="18" t="inlineStr">
        <is>
          <t>legal_management</t>
        </is>
      </c>
      <c r="D1081" s="18" t="inlineStr">
        <is>
          <t>oficios_enviados</t>
        </is>
      </c>
      <c r="E1081" s="18" t="n">
        <v>4</v>
      </c>
      <c r="F1081" s="18" t="inlineStr">
        <is>
          <t>contenido_html</t>
        </is>
      </c>
      <c r="G1081" s="18" t="inlineStr">
        <is>
          <t>text</t>
        </is>
      </c>
      <c r="H1081" s="18" t="inlineStr">
        <is>
          <t>Sí</t>
        </is>
      </c>
      <c r="I1081" s="18" t="inlineStr"/>
      <c r="J1081" s="18" t="inlineStr"/>
      <c r="K1081" s="18" t="inlineStr"/>
      <c r="L1081" s="18" t="inlineStr">
        <is>
          <t>No</t>
        </is>
      </c>
      <c r="M1081" s="18" t="inlineStr">
        <is>
          <t>No</t>
        </is>
      </c>
      <c r="N1081" s="18" t="inlineStr"/>
      <c r="O1081" s="18" t="inlineStr"/>
      <c r="P1081" s="18" t="inlineStr">
        <is>
          <t>db/migrations/119_create_oficios_enviados.sql:18: HTML content as sent via email (template rendered)</t>
        </is>
      </c>
      <c r="Q1081" s="18" t="inlineStr">
        <is>
          <t>Código fuente</t>
        </is>
      </c>
      <c r="R1081" s="18" t="inlineStr">
        <is>
          <t>Contenido HTML del oficio tal como se envió por correo, con la plantilla aplicada.</t>
        </is>
      </c>
      <c r="S1081" s="18" t="inlineStr">
        <is>
          <t>Alta</t>
        </is>
      </c>
      <c r="T1081" s="18" t="inlineStr">
        <is>
          <t>código: db/migrations/119_create_oficios_enviados.sql:18</t>
        </is>
      </c>
      <c r="U1081" s="18" t="inlineStr"/>
      <c r="V1081" s="19" t="inlineStr">
        <is>
          <t>Aprobada</t>
        </is>
      </c>
      <c r="W1081" s="19" t="inlineStr"/>
      <c r="X1081" s="19" t="inlineStr">
        <is>
          <t>Aldair González (aprobación en bloque)</t>
        </is>
      </c>
      <c r="Y1081" s="20" t="n">
        <v>46321</v>
      </c>
      <c r="Z1081" s="19" t="inlineStr">
        <is>
          <t>Nivel 1: propuesta del comentario del desarrollador o de confianza alta, o regla de fecha/responsable/motivo.</t>
        </is>
      </c>
      <c r="AA1081" s="18">
        <f>IF(OR(V1081="Aprobada"),R1081,IF(AND(OR(V1081="Aprobada con ajuste",V1081="Rechazada"),W1081&lt;&gt;""),W1081,""))</f>
        <v/>
      </c>
    </row>
    <row r="1082">
      <c r="A1082" s="18" t="inlineStr">
        <is>
          <t>C1081</t>
        </is>
      </c>
      <c r="B1082" s="18" t="inlineStr">
        <is>
          <t>Gestión jurídica</t>
        </is>
      </c>
      <c r="C1082" s="18" t="inlineStr">
        <is>
          <t>legal_management</t>
        </is>
      </c>
      <c r="D1082" s="18" t="inlineStr">
        <is>
          <t>oficios_enviados</t>
        </is>
      </c>
      <c r="E1082" s="18" t="n">
        <v>4</v>
      </c>
      <c r="F1082" s="18" t="inlineStr">
        <is>
          <t>firma</t>
        </is>
      </c>
      <c r="G1082" s="18" t="inlineStr">
        <is>
          <t>character varying(200)</t>
        </is>
      </c>
      <c r="H1082" s="18" t="inlineStr">
        <is>
          <t>Sí</t>
        </is>
      </c>
      <c r="I1082" s="18" t="inlineStr"/>
      <c r="J1082" s="18" t="inlineStr"/>
      <c r="K1082" s="18" t="inlineStr"/>
      <c r="L1082" s="18" t="inlineStr">
        <is>
          <t>No</t>
        </is>
      </c>
      <c r="M1082" s="18" t="inlineStr">
        <is>
          <t>No</t>
        </is>
      </c>
      <c r="N1082" s="18" t="inlineStr"/>
      <c r="O1082" s="18" t="inlineStr"/>
      <c r="P1082" s="18" t="inlineStr">
        <is>
          <t>Mapeada en legal-management-service/src/entities/oficio-enviado.entity.ts:32 (OficioEnviado.firma)</t>
        </is>
      </c>
      <c r="Q1082" s="18" t="inlineStr">
        <is>
          <t>Código fuente (verificado)</t>
        </is>
      </c>
      <c r="R1082" s="18" t="inlineStr">
        <is>
          <t>Firma del oficio, enviada como texto desde el formulario.</t>
        </is>
      </c>
      <c r="S1082" s="18" t="inlineStr">
        <is>
          <t>Media</t>
        </is>
      </c>
      <c r="T1082" s="18" t="inlineStr">
        <is>
          <t>legal-management-service/src/controllers/oficios.controller.ts:57: firma = body.firma | legal-management-service/src/entities/oficio-enviado.entity.ts:32: varchar(200)</t>
        </is>
      </c>
      <c r="U1082" s="18" t="inlineStr">
        <is>
          <t>¿La firma guarda el nombre y cargo del firmante o una referencia a una imagen de firma?</t>
        </is>
      </c>
      <c r="V1082" s="19" t="inlineStr">
        <is>
          <t>Aprobada</t>
        </is>
      </c>
      <c r="W1082" s="19" t="inlineStr"/>
      <c r="X1082" s="19" t="inlineStr">
        <is>
          <t>Aldair González (validación del responsable de BD)</t>
        </is>
      </c>
      <c r="Y1082" s="20" t="n">
        <v>46321</v>
      </c>
      <c r="Z1082" s="19" t="inlineStr">
        <is>
          <t>Nivel 3: validada por decisión del responsable de la base de datos. Pregunta registrada para desarrollo: ¿La firma guarda el nombre y cargo del firmante o una referencia a una imagen de firma?</t>
        </is>
      </c>
      <c r="AA1082" s="18">
        <f>IF(OR(V1082="Aprobada"),R1082,IF(AND(OR(V1082="Aprobada con ajuste",V1082="Rechazada"),W1082&lt;&gt;""),W1082,""))</f>
        <v/>
      </c>
    </row>
    <row r="1083">
      <c r="A1083" s="18" t="inlineStr">
        <is>
          <t>C1082</t>
        </is>
      </c>
      <c r="B1083" s="18" t="inlineStr">
        <is>
          <t>Gestión jurídica</t>
        </is>
      </c>
      <c r="C1083" s="18" t="inlineStr">
        <is>
          <t>legal_management</t>
        </is>
      </c>
      <c r="D1083" s="18" t="inlineStr">
        <is>
          <t>oficios_enviados</t>
        </is>
      </c>
      <c r="E1083" s="18" t="n">
        <v>4</v>
      </c>
      <c r="F1083" s="18" t="inlineStr">
        <is>
          <t>plantilla</t>
        </is>
      </c>
      <c r="G1083" s="18" t="inlineStr">
        <is>
          <t>character varying(50)</t>
        </is>
      </c>
      <c r="H1083" s="18" t="inlineStr">
        <is>
          <t>Sí</t>
        </is>
      </c>
      <c r="I1083" s="18" t="inlineStr"/>
      <c r="J1083" s="18" t="inlineStr"/>
      <c r="K1083" s="18" t="inlineStr"/>
      <c r="L1083" s="18" t="inlineStr">
        <is>
          <t>No</t>
        </is>
      </c>
      <c r="M1083" s="18" t="inlineStr">
        <is>
          <t>No</t>
        </is>
      </c>
      <c r="N1083" s="18" t="inlineStr"/>
      <c r="O1083" s="18" t="inlineStr"/>
      <c r="P1083" s="18" t="inlineStr">
        <is>
          <t>db/migrations/119_create_oficios_enviados.sql:20: 'prorroga', 'remision', 'contestacion', 'solicitudPruebas', 'oficioBlanco'</t>
        </is>
      </c>
      <c r="Q1083" s="18" t="inlineStr">
        <is>
          <t>Código fuente</t>
        </is>
      </c>
      <c r="R1083" s="18" t="inlineStr">
        <is>
          <t>Plantilla usada en el oficio. Valores: prorroga, remision, contestacion, solicitudPruebas, oficioBlanco.</t>
        </is>
      </c>
      <c r="S1083" s="18" t="inlineStr">
        <is>
          <t>Alta</t>
        </is>
      </c>
      <c r="T1083" s="18" t="inlineStr">
        <is>
          <t>código: db/migrations/119_create_oficios_enviados.sql:20</t>
        </is>
      </c>
      <c r="U1083" s="18" t="inlineStr"/>
      <c r="V1083" s="19" t="inlineStr">
        <is>
          <t>Aprobada</t>
        </is>
      </c>
      <c r="W1083" s="19" t="inlineStr"/>
      <c r="X1083" s="19" t="inlineStr">
        <is>
          <t>Aldair González (aprobación en bloque)</t>
        </is>
      </c>
      <c r="Y1083" s="20" t="n">
        <v>46321</v>
      </c>
      <c r="Z1083" s="19" t="inlineStr">
        <is>
          <t>Nivel 1: propuesta del comentario del desarrollador o de confianza alta, o regla de fecha/responsable/motivo.</t>
        </is>
      </c>
      <c r="AA1083" s="18">
        <f>IF(OR(V1083="Aprobada"),R1083,IF(AND(OR(V1083="Aprobada con ajuste",V1083="Rechazada"),W1083&lt;&gt;""),W1083,""))</f>
        <v/>
      </c>
    </row>
    <row r="1084">
      <c r="A1084" s="18" t="inlineStr">
        <is>
          <t>C1083</t>
        </is>
      </c>
      <c r="B1084" s="18" t="inlineStr">
        <is>
          <t>Gestión jurídica</t>
        </is>
      </c>
      <c r="C1084" s="18" t="inlineStr">
        <is>
          <t>legal_management</t>
        </is>
      </c>
      <c r="D1084" s="18" t="inlineStr">
        <is>
          <t>oficios_enviados</t>
        </is>
      </c>
      <c r="E1084" s="18" t="n">
        <v>4</v>
      </c>
      <c r="F1084" s="18" t="inlineStr">
        <is>
          <t>estado</t>
        </is>
      </c>
      <c r="G1084" s="18" t="inlineStr">
        <is>
          <t>character varying(30)</t>
        </is>
      </c>
      <c r="H1084" s="18" t="inlineStr">
        <is>
          <t>Sí</t>
        </is>
      </c>
      <c r="I1084" s="18" t="inlineStr"/>
      <c r="J1084" s="18" t="inlineStr"/>
      <c r="K1084" s="18" t="inlineStr"/>
      <c r="L1084" s="18" t="inlineStr">
        <is>
          <t>No</t>
        </is>
      </c>
      <c r="M1084" s="18" t="inlineStr">
        <is>
          <t>No</t>
        </is>
      </c>
      <c r="N1084" s="18" t="inlineStr"/>
      <c r="O1084" s="18" t="inlineStr"/>
      <c r="P1084" s="18" t="inlineStr">
        <is>
          <t>Mapeada en legal-management-service/src/entities/oficio-enviado.entity.ts:38 (OficioEnviado.estado)</t>
        </is>
      </c>
      <c r="Q1084" s="18" t="inlineStr">
        <is>
          <t>Regla estructural (redacción revisada)</t>
        </is>
      </c>
      <c r="R1084" s="18" t="inlineStr">
        <is>
          <t>Estado del oficio enviado.</t>
        </is>
      </c>
      <c r="S1084" s="18" t="inlineStr">
        <is>
          <t>Alta</t>
        </is>
      </c>
      <c r="T1084" s="18" t="inlineStr">
        <is>
          <t>Convención de nombre, redactada con el contexto de la tabla y el código.</t>
        </is>
      </c>
      <c r="U1084" s="18" t="inlineStr"/>
      <c r="V1084" s="19" t="inlineStr">
        <is>
          <t>Aprobada</t>
        </is>
      </c>
      <c r="W1084" s="19" t="inlineStr"/>
      <c r="X1084" s="19" t="inlineStr">
        <is>
          <t>Aldair González (aprobación en bloque)</t>
        </is>
      </c>
      <c r="Y1084" s="20" t="n">
        <v>46321</v>
      </c>
      <c r="Z1084" s="19" t="inlineStr">
        <is>
          <t>Nivel 2: regla estructural con redacción revisada.</t>
        </is>
      </c>
      <c r="AA1084" s="18">
        <f>IF(OR(V1084="Aprobada"),R1084,IF(AND(OR(V1084="Aprobada con ajuste",V1084="Rechazada"),W1084&lt;&gt;""),W1084,""))</f>
        <v/>
      </c>
    </row>
    <row r="1085">
      <c r="A1085" s="18" t="inlineStr">
        <is>
          <t>C1084</t>
        </is>
      </c>
      <c r="B1085" s="18" t="inlineStr">
        <is>
          <t>Gestión jurídica</t>
        </is>
      </c>
      <c r="C1085" s="18" t="inlineStr">
        <is>
          <t>legal_management</t>
        </is>
      </c>
      <c r="D1085" s="18" t="inlineStr">
        <is>
          <t>oficios_enviados</t>
        </is>
      </c>
      <c r="E1085" s="18" t="n">
        <v>4</v>
      </c>
      <c r="F1085" s="18" t="inlineStr">
        <is>
          <t>fecha_envio</t>
        </is>
      </c>
      <c r="G1085" s="18" t="inlineStr">
        <is>
          <t>timestamp without time zone</t>
        </is>
      </c>
      <c r="H1085" s="18" t="inlineStr">
        <is>
          <t>Sí</t>
        </is>
      </c>
      <c r="I1085" s="18" t="inlineStr"/>
      <c r="J1085" s="18" t="inlineStr"/>
      <c r="K1085" s="18" t="inlineStr"/>
      <c r="L1085" s="18" t="inlineStr">
        <is>
          <t>No</t>
        </is>
      </c>
      <c r="M1085" s="18" t="inlineStr">
        <is>
          <t>No</t>
        </is>
      </c>
      <c r="N1085" s="18" t="inlineStr"/>
      <c r="O1085" s="18" t="inlineStr">
        <is>
          <t>idx_oficios_fecha</t>
        </is>
      </c>
      <c r="P1085" s="18" t="inlineStr">
        <is>
          <t>Mapeada en legal-management-service/src/entities/oficio-enviado.entity.ts:41 (OficioEnviado.fechaEnvio)</t>
        </is>
      </c>
      <c r="Q1085" s="18" t="inlineStr">
        <is>
          <t>Regla estructural (redacción revisada)</t>
        </is>
      </c>
      <c r="R1085" s="18" t="inlineStr">
        <is>
          <t>Fecha y hora de envío del oficio.</t>
        </is>
      </c>
      <c r="S1085" s="18" t="inlineStr">
        <is>
          <t>Alta</t>
        </is>
      </c>
      <c r="T1085" s="18" t="inlineStr">
        <is>
          <t>Convención de nombre, redactada con el contexto de la tabla y el código.</t>
        </is>
      </c>
      <c r="U1085" s="18" t="inlineStr"/>
      <c r="V1085" s="19" t="inlineStr">
        <is>
          <t>Aprobada</t>
        </is>
      </c>
      <c r="W1085" s="19" t="inlineStr"/>
      <c r="X1085" s="19" t="inlineStr">
        <is>
          <t>Aldair González (aprobación en bloque)</t>
        </is>
      </c>
      <c r="Y1085" s="20" t="n">
        <v>46321</v>
      </c>
      <c r="Z1085" s="19" t="inlineStr">
        <is>
          <t>Nivel 2: regla estructural con redacción revisada.</t>
        </is>
      </c>
      <c r="AA1085" s="18">
        <f>IF(OR(V1085="Aprobada"),R1085,IF(AND(OR(V1085="Aprobada con ajuste",V1085="Rechazada"),W1085&lt;&gt;""),W1085,""))</f>
        <v/>
      </c>
    </row>
    <row r="1086">
      <c r="A1086" s="18" t="inlineStr">
        <is>
          <t>C1085</t>
        </is>
      </c>
      <c r="B1086" s="18" t="inlineStr">
        <is>
          <t>Gestión jurídica</t>
        </is>
      </c>
      <c r="C1086" s="18" t="inlineStr">
        <is>
          <t>legal_management</t>
        </is>
      </c>
      <c r="D1086" s="18" t="inlineStr">
        <is>
          <t>oficios_enviados</t>
        </is>
      </c>
      <c r="E1086" s="18" t="n">
        <v>4</v>
      </c>
      <c r="F1086" s="18" t="inlineStr">
        <is>
          <t>archivos_adjuntos</t>
        </is>
      </c>
      <c r="G1086" s="18" t="inlineStr">
        <is>
          <t>jsonb</t>
        </is>
      </c>
      <c r="H1086" s="18" t="inlineStr">
        <is>
          <t>Sí</t>
        </is>
      </c>
      <c r="I1086" s="18" t="inlineStr"/>
      <c r="J1086" s="18" t="inlineStr"/>
      <c r="K1086" s="18" t="inlineStr"/>
      <c r="L1086" s="18" t="inlineStr">
        <is>
          <t>No</t>
        </is>
      </c>
      <c r="M1086" s="18" t="inlineStr">
        <is>
          <t>No</t>
        </is>
      </c>
      <c r="N1086" s="18" t="inlineStr"/>
      <c r="O1086" s="18" t="inlineStr"/>
      <c r="P1086" s="18" t="inlineStr">
        <is>
          <t>db/migrations/119_create_oficios_enviados.sql:23: Array of {nombre, url, tipo, size}</t>
        </is>
      </c>
      <c r="Q1086" s="18" t="inlineStr">
        <is>
          <t>Código fuente</t>
        </is>
      </c>
      <c r="R1086" s="18" t="inlineStr">
        <is>
          <t>Archivos adjuntos del oficio, como arreglo JSON de objetos {nombre, url, tipo, size}.</t>
        </is>
      </c>
      <c r="S1086" s="18" t="inlineStr">
        <is>
          <t>Alta</t>
        </is>
      </c>
      <c r="T1086" s="18" t="inlineStr">
        <is>
          <t>código: db/migrations/119_create_oficios_enviados.sql:23</t>
        </is>
      </c>
      <c r="U1086" s="18" t="inlineStr"/>
      <c r="V1086" s="19" t="inlineStr">
        <is>
          <t>Aprobada</t>
        </is>
      </c>
      <c r="W1086" s="19" t="inlineStr"/>
      <c r="X1086" s="19" t="inlineStr">
        <is>
          <t>Aldair González (aprobación en bloque)</t>
        </is>
      </c>
      <c r="Y1086" s="20" t="n">
        <v>46321</v>
      </c>
      <c r="Z1086" s="19" t="inlineStr">
        <is>
          <t>Nivel 1: propuesta del comentario del desarrollador o de confianza alta, o regla de fecha/responsable/motivo.</t>
        </is>
      </c>
      <c r="AA1086" s="18">
        <f>IF(OR(V1086="Aprobada"),R1086,IF(AND(OR(V1086="Aprobada con ajuste",V1086="Rechazada"),W1086&lt;&gt;""),W1086,""))</f>
        <v/>
      </c>
    </row>
    <row r="1087">
      <c r="A1087" s="18" t="inlineStr">
        <is>
          <t>C1086</t>
        </is>
      </c>
      <c r="B1087" s="18" t="inlineStr">
        <is>
          <t>Gestión jurídica</t>
        </is>
      </c>
      <c r="C1087" s="18" t="inlineStr">
        <is>
          <t>legal_management</t>
        </is>
      </c>
      <c r="D1087" s="18" t="inlineStr">
        <is>
          <t>oficios_enviados</t>
        </is>
      </c>
      <c r="E1087" s="18" t="n">
        <v>4</v>
      </c>
      <c r="F1087" s="18" t="inlineStr">
        <is>
          <t>graph_message_id</t>
        </is>
      </c>
      <c r="G1087" s="18" t="inlineStr">
        <is>
          <t>character varying(200)</t>
        </is>
      </c>
      <c r="H1087" s="18" t="inlineStr">
        <is>
          <t>Sí</t>
        </is>
      </c>
      <c r="I1087" s="18" t="inlineStr"/>
      <c r="J1087" s="18" t="inlineStr"/>
      <c r="K1087" s="18" t="inlineStr"/>
      <c r="L1087" s="18" t="inlineStr">
        <is>
          <t>No</t>
        </is>
      </c>
      <c r="M1087" s="18" t="inlineStr">
        <is>
          <t>No</t>
        </is>
      </c>
      <c r="N1087" s="18" t="inlineStr"/>
      <c r="O1087" s="18" t="inlineStr"/>
      <c r="P1087" s="18" t="inlineStr">
        <is>
          <t>db/migrations/119_create_oficios_enviados.sql:24: Microsoft Graph message ID if sent via email</t>
        </is>
      </c>
      <c r="Q1087" s="18" t="inlineStr">
        <is>
          <t>Código fuente</t>
        </is>
      </c>
      <c r="R1087" s="18" t="inlineStr">
        <is>
          <t>Identificador del mensaje en Microsoft Graph cuando el oficio se envió por correo.</t>
        </is>
      </c>
      <c r="S1087" s="18" t="inlineStr">
        <is>
          <t>Alta</t>
        </is>
      </c>
      <c r="T1087" s="18" t="inlineStr">
        <is>
          <t>código: db/migrations/119_create_oficios_enviados.sql:24</t>
        </is>
      </c>
      <c r="U1087" s="18" t="inlineStr"/>
      <c r="V1087" s="19" t="inlineStr">
        <is>
          <t>Aprobada</t>
        </is>
      </c>
      <c r="W1087" s="19" t="inlineStr"/>
      <c r="X1087" s="19" t="inlineStr">
        <is>
          <t>Aldair González (aprobación en bloque)</t>
        </is>
      </c>
      <c r="Y1087" s="20" t="n">
        <v>46321</v>
      </c>
      <c r="Z1087" s="19" t="inlineStr">
        <is>
          <t>Nivel 1: propuesta del comentario del desarrollador o de confianza alta, o regla de fecha/responsable/motivo.</t>
        </is>
      </c>
      <c r="AA1087" s="18">
        <f>IF(OR(V1087="Aprobada"),R1087,IF(AND(OR(V1087="Aprobada con ajuste",V1087="Rechazada"),W1087&lt;&gt;""),W1087,""))</f>
        <v/>
      </c>
    </row>
    <row r="1088">
      <c r="A1088" s="18" t="inlineStr">
        <is>
          <t>C1087</t>
        </is>
      </c>
      <c r="B1088" s="18" t="inlineStr">
        <is>
          <t>Gestión jurídica</t>
        </is>
      </c>
      <c r="C1088" s="18" t="inlineStr">
        <is>
          <t>legal_management</t>
        </is>
      </c>
      <c r="D1088" s="18" t="inlineStr">
        <is>
          <t>organismos_control</t>
        </is>
      </c>
      <c r="E1088" s="18" t="n">
        <v>9</v>
      </c>
      <c r="F1088" s="18" t="inlineStr">
        <is>
          <t>sigla</t>
        </is>
      </c>
      <c r="G1088" s="18" t="inlineStr">
        <is>
          <t>character varying(20)</t>
        </is>
      </c>
      <c r="H1088" s="18" t="inlineStr">
        <is>
          <t>No</t>
        </is>
      </c>
      <c r="I1088" s="18" t="inlineStr">
        <is>
          <t>Única</t>
        </is>
      </c>
      <c r="J1088" s="18" t="inlineStr"/>
      <c r="K1088" s="18" t="inlineStr"/>
      <c r="L1088" s="18" t="inlineStr">
        <is>
          <t>No</t>
        </is>
      </c>
      <c r="M1088" s="18" t="inlineStr">
        <is>
          <t>No</t>
        </is>
      </c>
      <c r="N1088" s="18" t="inlineStr"/>
      <c r="O1088" s="18" t="inlineStr">
        <is>
          <t>organismos_control_sigla_key</t>
        </is>
      </c>
      <c r="P1088" s="18" t="inlineStr">
        <is>
          <t>Mapeada en legal-management-service/src/entities/organismo-control-legal.entity.ts:8 (OrganismoControlOC.sigla)</t>
        </is>
      </c>
      <c r="Q1088" s="18" t="inlineStr">
        <is>
          <t>Propuesta semántica</t>
        </is>
      </c>
      <c r="R1088" s="18" t="inlineStr">
        <is>
          <t>Sigla única del organismo de control.</t>
        </is>
      </c>
      <c r="S1088" s="18" t="inlineStr">
        <is>
          <t>Alta</t>
        </is>
      </c>
      <c r="T1088" s="18" t="inlineStr">
        <is>
          <t>nombre + tipo + restricción única</t>
        </is>
      </c>
      <c r="U1088" s="18" t="inlineStr"/>
      <c r="V1088" s="19" t="inlineStr">
        <is>
          <t>Aprobada</t>
        </is>
      </c>
      <c r="W1088" s="19" t="inlineStr"/>
      <c r="X1088" s="19" t="inlineStr">
        <is>
          <t>Aldair González (aprobación en bloque)</t>
        </is>
      </c>
      <c r="Y1088" s="20" t="n">
        <v>46321</v>
      </c>
      <c r="Z1088" s="19" t="inlineStr">
        <is>
          <t>Nivel 1: propuesta del comentario del desarrollador o de confianza alta, o regla de fecha/responsable/motivo.</t>
        </is>
      </c>
      <c r="AA1088" s="18">
        <f>IF(OR(V1088="Aprobada"),R1088,IF(AND(OR(V1088="Aprobada con ajuste",V1088="Rechazada"),W1088&lt;&gt;""),W1088,""))</f>
        <v/>
      </c>
    </row>
    <row r="1089">
      <c r="A1089" s="18" t="inlineStr">
        <is>
          <t>C1088</t>
        </is>
      </c>
      <c r="B1089" s="18" t="inlineStr">
        <is>
          <t>Gestión jurídica</t>
        </is>
      </c>
      <c r="C1089" s="18" t="inlineStr">
        <is>
          <t>legal_management</t>
        </is>
      </c>
      <c r="D1089" s="18" t="inlineStr">
        <is>
          <t>organismos_control</t>
        </is>
      </c>
      <c r="E1089" s="18" t="n">
        <v>9</v>
      </c>
      <c r="F1089" s="18" t="inlineStr">
        <is>
          <t>nombre</t>
        </is>
      </c>
      <c r="G1089" s="18" t="inlineStr">
        <is>
          <t>character varying(200)</t>
        </is>
      </c>
      <c r="H1089" s="18" t="inlineStr">
        <is>
          <t>No</t>
        </is>
      </c>
      <c r="I1089" s="18" t="inlineStr"/>
      <c r="J1089" s="18" t="inlineStr"/>
      <c r="K1089" s="18" t="inlineStr"/>
      <c r="L1089" s="18" t="inlineStr">
        <is>
          <t>No</t>
        </is>
      </c>
      <c r="M1089" s="18" t="inlineStr">
        <is>
          <t>No</t>
        </is>
      </c>
      <c r="N1089" s="18" t="inlineStr"/>
      <c r="O1089" s="18" t="inlineStr"/>
      <c r="P1089" s="18" t="inlineStr">
        <is>
          <t>Mapeada en legal-management-service/src/entities/organismo-control-legal.entity.ts:11 (OrganismoControlOC.nombre)</t>
        </is>
      </c>
      <c r="Q1089" s="18" t="inlineStr">
        <is>
          <t>Regla estructural (redacción revisada)</t>
        </is>
      </c>
      <c r="R1089" s="18" t="inlineStr">
        <is>
          <t>Nombre del organismo de control.</t>
        </is>
      </c>
      <c r="S1089" s="18" t="inlineStr">
        <is>
          <t>Alta</t>
        </is>
      </c>
      <c r="T1089" s="18" t="inlineStr">
        <is>
          <t>Convención de nombre, redactada con el contexto de la tabla y el código.</t>
        </is>
      </c>
      <c r="U1089" s="18" t="inlineStr"/>
      <c r="V1089" s="19" t="inlineStr">
        <is>
          <t>Aprobada</t>
        </is>
      </c>
      <c r="W1089" s="19" t="inlineStr"/>
      <c r="X1089" s="19" t="inlineStr">
        <is>
          <t>Aldair González (aprobación en bloque)</t>
        </is>
      </c>
      <c r="Y1089" s="20" t="n">
        <v>46321</v>
      </c>
      <c r="Z1089" s="19" t="inlineStr">
        <is>
          <t>Nivel 2: regla estructural con redacción revisada.</t>
        </is>
      </c>
      <c r="AA1089" s="18">
        <f>IF(OR(V1089="Aprobada"),R1089,IF(AND(OR(V1089="Aprobada con ajuste",V1089="Rechazada"),W1089&lt;&gt;""),W1089,""))</f>
        <v/>
      </c>
    </row>
    <row r="1090">
      <c r="A1090" s="18" t="inlineStr">
        <is>
          <t>C1089</t>
        </is>
      </c>
      <c r="B1090" s="18" t="inlineStr">
        <is>
          <t>Gestión jurídica</t>
        </is>
      </c>
      <c r="C1090" s="18" t="inlineStr">
        <is>
          <t>legal_management</t>
        </is>
      </c>
      <c r="D1090" s="18" t="inlineStr">
        <is>
          <t>organismos_control</t>
        </is>
      </c>
      <c r="E1090" s="18" t="n">
        <v>9</v>
      </c>
      <c r="F1090" s="18" t="inlineStr">
        <is>
          <t>descripcion</t>
        </is>
      </c>
      <c r="G1090" s="18" t="inlineStr">
        <is>
          <t>text</t>
        </is>
      </c>
      <c r="H1090" s="18" t="inlineStr">
        <is>
          <t>Sí</t>
        </is>
      </c>
      <c r="I1090" s="18" t="inlineStr"/>
      <c r="J1090" s="18" t="inlineStr"/>
      <c r="K1090" s="18" t="inlineStr"/>
      <c r="L1090" s="18" t="inlineStr">
        <is>
          <t>No</t>
        </is>
      </c>
      <c r="M1090" s="18" t="inlineStr">
        <is>
          <t>No</t>
        </is>
      </c>
      <c r="N1090" s="18" t="inlineStr"/>
      <c r="O1090" s="18" t="inlineStr"/>
      <c r="P1090" s="18" t="inlineStr">
        <is>
          <t>Mapeada en legal-management-service/src/entities/organismo-control-legal.entity.ts:14 (OrganismoControlOC.descripcion)</t>
        </is>
      </c>
      <c r="Q1090" s="18" t="inlineStr">
        <is>
          <t>Regla estructural (redacción revisada)</t>
        </is>
      </c>
      <c r="R1090" s="18" t="inlineStr">
        <is>
          <t>Descripción del organismo de control.</t>
        </is>
      </c>
      <c r="S1090" s="18" t="inlineStr">
        <is>
          <t>Alta</t>
        </is>
      </c>
      <c r="T1090" s="18" t="inlineStr">
        <is>
          <t>Convención de nombre, redactada con el contexto de la tabla y el código.</t>
        </is>
      </c>
      <c r="U1090" s="18" t="inlineStr"/>
      <c r="V1090" s="19" t="inlineStr">
        <is>
          <t>Aprobada</t>
        </is>
      </c>
      <c r="W1090" s="19" t="inlineStr"/>
      <c r="X1090" s="19" t="inlineStr">
        <is>
          <t>Aldair González (aprobación en bloque)</t>
        </is>
      </c>
      <c r="Y1090" s="20" t="n">
        <v>46321</v>
      </c>
      <c r="Z1090" s="19" t="inlineStr">
        <is>
          <t>Nivel 2: regla estructural con redacción revisada.</t>
        </is>
      </c>
      <c r="AA1090" s="18">
        <f>IF(OR(V1090="Aprobada"),R1090,IF(AND(OR(V1090="Aprobada con ajuste",V1090="Rechazada"),W1090&lt;&gt;""),W1090,""))</f>
        <v/>
      </c>
    </row>
    <row r="1091">
      <c r="A1091" s="18" t="inlineStr">
        <is>
          <t>C1090</t>
        </is>
      </c>
      <c r="B1091" s="18" t="inlineStr">
        <is>
          <t>Gestión jurídica</t>
        </is>
      </c>
      <c r="C1091" s="18" t="inlineStr">
        <is>
          <t>legal_management</t>
        </is>
      </c>
      <c r="D1091" s="18" t="inlineStr">
        <is>
          <t>organismos_control</t>
        </is>
      </c>
      <c r="E1091" s="18" t="n">
        <v>9</v>
      </c>
      <c r="F1091" s="18" t="inlineStr">
        <is>
          <t>activo</t>
        </is>
      </c>
      <c r="G1091" s="18" t="inlineStr">
        <is>
          <t>boolean</t>
        </is>
      </c>
      <c r="H1091" s="18" t="inlineStr">
        <is>
          <t>Sí</t>
        </is>
      </c>
      <c r="I1091" s="18" t="inlineStr"/>
      <c r="J1091" s="18" t="inlineStr"/>
      <c r="K1091" s="18" t="inlineStr"/>
      <c r="L1091" s="18" t="inlineStr">
        <is>
          <t>No</t>
        </is>
      </c>
      <c r="M1091" s="18" t="inlineStr">
        <is>
          <t>No</t>
        </is>
      </c>
      <c r="N1091" s="18" t="inlineStr"/>
      <c r="O1091" s="18" t="inlineStr"/>
      <c r="P1091" s="18" t="inlineStr">
        <is>
          <t>Mapeada en legal-management-service/src/entities/organismo-control-legal.entity.ts:20 (OrganismoControlOC.activo)</t>
        </is>
      </c>
      <c r="Q1091" s="18" t="inlineStr">
        <is>
          <t>Regla estructural (redacción revisada)</t>
        </is>
      </c>
      <c r="R1091" s="18" t="inlineStr">
        <is>
          <t>Indica si el organismo de control está activo.</t>
        </is>
      </c>
      <c r="S1091" s="18" t="inlineStr">
        <is>
          <t>Alta</t>
        </is>
      </c>
      <c r="T1091" s="18" t="inlineStr">
        <is>
          <t>Convención de nombre, redactada con el contexto de la tabla y el código.</t>
        </is>
      </c>
      <c r="U1091" s="18" t="inlineStr"/>
      <c r="V1091" s="19" t="inlineStr">
        <is>
          <t>Aprobada</t>
        </is>
      </c>
      <c r="W1091" s="19" t="inlineStr"/>
      <c r="X1091" s="19" t="inlineStr">
        <is>
          <t>Aldair González (aprobación en bloque)</t>
        </is>
      </c>
      <c r="Y1091" s="20" t="n">
        <v>46321</v>
      </c>
      <c r="Z1091" s="19" t="inlineStr">
        <is>
          <t>Nivel 2: regla estructural con redacción revisada.</t>
        </is>
      </c>
      <c r="AA1091" s="18">
        <f>IF(OR(V1091="Aprobada"),R1091,IF(AND(OR(V1091="Aprobada con ajuste",V1091="Rechazada"),W1091&lt;&gt;""),W1091,""))</f>
        <v/>
      </c>
    </row>
    <row r="1092">
      <c r="A1092" s="18" t="inlineStr">
        <is>
          <t>C1091</t>
        </is>
      </c>
      <c r="B1092" s="18" t="inlineStr">
        <is>
          <t>Gestión jurídica</t>
        </is>
      </c>
      <c r="C1092" s="18" t="inlineStr">
        <is>
          <t>legal_management</t>
        </is>
      </c>
      <c r="D1092" s="18" t="inlineStr">
        <is>
          <t>organismos_control</t>
        </is>
      </c>
      <c r="E1092" s="18" t="n">
        <v>9</v>
      </c>
      <c r="F1092" s="18" t="inlineStr">
        <is>
          <t>correos</t>
        </is>
      </c>
      <c r="G1092" s="18" t="inlineStr">
        <is>
          <t>jsonb</t>
        </is>
      </c>
      <c r="H1092" s="18" t="inlineStr">
        <is>
          <t>No</t>
        </is>
      </c>
      <c r="I1092" s="18" t="inlineStr"/>
      <c r="J1092" s="18" t="inlineStr"/>
      <c r="K1092" s="18" t="inlineStr"/>
      <c r="L1092" s="18" t="inlineStr">
        <is>
          <t>No</t>
        </is>
      </c>
      <c r="M1092" s="18" t="inlineStr">
        <is>
          <t>No</t>
        </is>
      </c>
      <c r="N1092" s="18" t="inlineStr"/>
      <c r="O1092" s="18" t="inlineStr"/>
      <c r="P1092" s="18" t="inlineStr">
        <is>
          <t>Mapeada en legal-management-service/src/entities/organismo-control-legal.entity.ts:17 (OrganismoControlOC.correos)</t>
        </is>
      </c>
      <c r="Q1092" s="18" t="inlineStr">
        <is>
          <t>Propuesta semántica</t>
        </is>
      </c>
      <c r="R1092" s="18" t="inlineStr">
        <is>
          <t>Lista de correos electrónicos del organismo de control, en formato JSON. Por defecto, lista vacía.</t>
        </is>
      </c>
      <c r="S1092" s="18" t="inlineStr">
        <is>
          <t>Alta</t>
        </is>
      </c>
      <c r="T1092" s="18" t="inlineStr">
        <is>
          <t>nombre + tipo + defecto</t>
        </is>
      </c>
      <c r="U1092" s="18" t="inlineStr"/>
      <c r="V1092" s="19" t="inlineStr">
        <is>
          <t>Aprobada</t>
        </is>
      </c>
      <c r="W1092" s="19" t="inlineStr"/>
      <c r="X1092" s="19" t="inlineStr">
        <is>
          <t>Aldair González (aprobación en bloque)</t>
        </is>
      </c>
      <c r="Y1092" s="20" t="n">
        <v>46321</v>
      </c>
      <c r="Z1092" s="19" t="inlineStr">
        <is>
          <t>Nivel 1: propuesta del comentario del desarrollador o de confianza alta, o regla de fecha/responsable/motivo.</t>
        </is>
      </c>
      <c r="AA1092" s="18">
        <f>IF(OR(V1092="Aprobada"),R1092,IF(AND(OR(V1092="Aprobada con ajuste",V1092="Rechazada"),W1092&lt;&gt;""),W1092,""))</f>
        <v/>
      </c>
    </row>
    <row r="1093">
      <c r="A1093" s="18" t="inlineStr">
        <is>
          <t>C1092</t>
        </is>
      </c>
      <c r="B1093" s="18" t="inlineStr">
        <is>
          <t>Gestión jurídica</t>
        </is>
      </c>
      <c r="C1093" s="18" t="inlineStr">
        <is>
          <t>legal_management</t>
        </is>
      </c>
      <c r="D1093" s="18" t="inlineStr">
        <is>
          <t>pagos_coactivos</t>
        </is>
      </c>
      <c r="E1093" s="18" t="n">
        <v>10</v>
      </c>
      <c r="F1093" s="18" t="inlineStr">
        <is>
          <t>valor</t>
        </is>
      </c>
      <c r="G1093" s="18" t="inlineStr">
        <is>
          <t>numeric(15,2)</t>
        </is>
      </c>
      <c r="H1093" s="18" t="inlineStr">
        <is>
          <t>No</t>
        </is>
      </c>
      <c r="I1093" s="18" t="inlineStr"/>
      <c r="J1093" s="18" t="inlineStr"/>
      <c r="K1093" s="18" t="inlineStr"/>
      <c r="L1093" s="18" t="inlineStr">
        <is>
          <t>No</t>
        </is>
      </c>
      <c r="M1093" s="18" t="inlineStr">
        <is>
          <t>No</t>
        </is>
      </c>
      <c r="N1093" s="18" t="inlineStr"/>
      <c r="O1093" s="18" t="inlineStr"/>
      <c r="P1093" s="18" t="inlineStr">
        <is>
          <t>Mapeada en legal-management-service/src/entities/pago-coactivo.entity.ts:16 (PagoCoactivo.valor)</t>
        </is>
      </c>
      <c r="Q1093" s="18" t="inlineStr">
        <is>
          <t>Propuesta semántica</t>
        </is>
      </c>
      <c r="R1093" s="18" t="inlineStr">
        <is>
          <t>Valor total del pago registrado en el proceso coactivo.</t>
        </is>
      </c>
      <c r="S1093" s="18" t="inlineStr">
        <is>
          <t>Alta</t>
        </is>
      </c>
      <c r="T1093" s="18" t="inlineStr">
        <is>
          <t>nombre + tipo + columnas vecinas</t>
        </is>
      </c>
      <c r="U1093" s="18" t="inlineStr"/>
      <c r="V1093" s="19" t="inlineStr">
        <is>
          <t>Aprobada</t>
        </is>
      </c>
      <c r="W1093" s="19" t="inlineStr"/>
      <c r="X1093" s="19" t="inlineStr">
        <is>
          <t>Aldair González (aprobación en bloque)</t>
        </is>
      </c>
      <c r="Y1093" s="20" t="n">
        <v>46321</v>
      </c>
      <c r="Z1093" s="19" t="inlineStr">
        <is>
          <t>Nivel 1: propuesta del comentario del desarrollador o de confianza alta, o regla de fecha/responsable/motivo.</t>
        </is>
      </c>
      <c r="AA1093" s="18">
        <f>IF(OR(V1093="Aprobada"),R1093,IF(AND(OR(V1093="Aprobada con ajuste",V1093="Rechazada"),W1093&lt;&gt;""),W1093,""))</f>
        <v/>
      </c>
    </row>
    <row r="1094">
      <c r="A1094" s="18" t="inlineStr">
        <is>
          <t>C1093</t>
        </is>
      </c>
      <c r="B1094" s="18" t="inlineStr">
        <is>
          <t>Gestión jurídica</t>
        </is>
      </c>
      <c r="C1094" s="18" t="inlineStr">
        <is>
          <t>legal_management</t>
        </is>
      </c>
      <c r="D1094" s="18" t="inlineStr">
        <is>
          <t>pagos_coactivos</t>
        </is>
      </c>
      <c r="E1094" s="18" t="n">
        <v>10</v>
      </c>
      <c r="F1094" s="18" t="inlineStr">
        <is>
          <t>fecha_pago</t>
        </is>
      </c>
      <c r="G1094" s="18" t="inlineStr">
        <is>
          <t>timestamp without time zone</t>
        </is>
      </c>
      <c r="H1094" s="18" t="inlineStr">
        <is>
          <t>No</t>
        </is>
      </c>
      <c r="I1094" s="18" t="inlineStr"/>
      <c r="J1094" s="18" t="inlineStr"/>
      <c r="K1094" s="18" t="inlineStr"/>
      <c r="L1094" s="18" t="inlineStr">
        <is>
          <t>No</t>
        </is>
      </c>
      <c r="M1094" s="18" t="inlineStr">
        <is>
          <t>No</t>
        </is>
      </c>
      <c r="N1094" s="18" t="inlineStr"/>
      <c r="O1094" s="18" t="inlineStr"/>
      <c r="P1094" s="18" t="inlineStr">
        <is>
          <t>Mapeada en legal-management-service/src/entities/pago-coactivo.entity.ts:48 (PagoCoactivo.fechaPago)</t>
        </is>
      </c>
      <c r="Q1094" s="18" t="inlineStr">
        <is>
          <t>Regla estructural (redacción revisada)</t>
        </is>
      </c>
      <c r="R1094" s="18" t="inlineStr">
        <is>
          <t>Fecha y hora del pago del proceso coactivo.</t>
        </is>
      </c>
      <c r="S1094" s="18" t="inlineStr">
        <is>
          <t>Alta</t>
        </is>
      </c>
      <c r="T1094" s="18" t="inlineStr">
        <is>
          <t>Convención de nombre, redactada con el contexto de la tabla y el código.</t>
        </is>
      </c>
      <c r="U1094" s="18" t="inlineStr"/>
      <c r="V1094" s="19" t="inlineStr">
        <is>
          <t>Aprobada</t>
        </is>
      </c>
      <c r="W1094" s="19" t="inlineStr"/>
      <c r="X1094" s="19" t="inlineStr">
        <is>
          <t>Aldair González (aprobación en bloque)</t>
        </is>
      </c>
      <c r="Y1094" s="20" t="n">
        <v>46321</v>
      </c>
      <c r="Z1094" s="19" t="inlineStr">
        <is>
          <t>Nivel 2: regla estructural con redacción revisada.</t>
        </is>
      </c>
      <c r="AA1094" s="18">
        <f>IF(OR(V1094="Aprobada"),R1094,IF(AND(OR(V1094="Aprobada con ajuste",V1094="Rechazada"),W1094&lt;&gt;""),W1094,""))</f>
        <v/>
      </c>
    </row>
    <row r="1095">
      <c r="A1095" s="18" t="inlineStr">
        <is>
          <t>C1094</t>
        </is>
      </c>
      <c r="B1095" s="18" t="inlineStr">
        <is>
          <t>Gestión jurídica</t>
        </is>
      </c>
      <c r="C1095" s="18" t="inlineStr">
        <is>
          <t>legal_management</t>
        </is>
      </c>
      <c r="D1095" s="18" t="inlineStr">
        <is>
          <t>pagos_coactivos</t>
        </is>
      </c>
      <c r="E1095" s="18" t="n">
        <v>10</v>
      </c>
      <c r="F1095" s="18" t="inlineStr">
        <is>
          <t>soporte_url</t>
        </is>
      </c>
      <c r="G1095" s="18" t="inlineStr">
        <is>
          <t>text</t>
        </is>
      </c>
      <c r="H1095" s="18" t="inlineStr">
        <is>
          <t>Sí</t>
        </is>
      </c>
      <c r="I1095" s="18" t="inlineStr"/>
      <c r="J1095" s="18" t="inlineStr"/>
      <c r="K1095" s="18" t="inlineStr"/>
      <c r="L1095" s="18" t="inlineStr">
        <is>
          <t>No</t>
        </is>
      </c>
      <c r="M1095" s="18" t="inlineStr">
        <is>
          <t>No</t>
        </is>
      </c>
      <c r="N1095" s="18" t="inlineStr"/>
      <c r="O1095" s="18" t="inlineStr"/>
      <c r="P1095" s="18" t="inlineStr">
        <is>
          <t>Mapeada en legal-management-service/src/entities/pago-coactivo.entity.ts:51 (PagoCoactivo.soporteUrl)</t>
        </is>
      </c>
      <c r="Q1095" s="18" t="inlineStr">
        <is>
          <t>Propuesta semántica</t>
        </is>
      </c>
      <c r="R1095" s="18" t="inlineStr">
        <is>
          <t>URL del soporte del pago.</t>
        </is>
      </c>
      <c r="S1095" s="18" t="inlineStr">
        <is>
          <t>Alta</t>
        </is>
      </c>
      <c r="T1095" s="18" t="inlineStr">
        <is>
          <t>nombre + tipo</t>
        </is>
      </c>
      <c r="U1095" s="18" t="inlineStr"/>
      <c r="V1095" s="19" t="inlineStr">
        <is>
          <t>Aprobada</t>
        </is>
      </c>
      <c r="W1095" s="19" t="inlineStr"/>
      <c r="X1095" s="19" t="inlineStr">
        <is>
          <t>Aldair González (aprobación en bloque)</t>
        </is>
      </c>
      <c r="Y1095" s="20" t="n">
        <v>46321</v>
      </c>
      <c r="Z1095" s="19" t="inlineStr">
        <is>
          <t>Nivel 1: propuesta del comentario del desarrollador o de confianza alta, o regla de fecha/responsable/motivo.</t>
        </is>
      </c>
      <c r="AA1095" s="18">
        <f>IF(OR(V1095="Aprobada"),R1095,IF(AND(OR(V1095="Aprobada con ajuste",V1095="Rechazada"),W1095&lt;&gt;""),W1095,""))</f>
        <v/>
      </c>
    </row>
    <row r="1096">
      <c r="A1096" s="18" t="inlineStr">
        <is>
          <t>C1095</t>
        </is>
      </c>
      <c r="B1096" s="18" t="inlineStr">
        <is>
          <t>Gestión jurídica</t>
        </is>
      </c>
      <c r="C1096" s="18" t="inlineStr">
        <is>
          <t>legal_management</t>
        </is>
      </c>
      <c r="D1096" s="18" t="inlineStr">
        <is>
          <t>pagos_coactivos</t>
        </is>
      </c>
      <c r="E1096" s="18" t="n">
        <v>10</v>
      </c>
      <c r="F1096" s="18" t="inlineStr">
        <is>
          <t>origen</t>
        </is>
      </c>
      <c r="G1096" s="18" t="inlineStr">
        <is>
          <t>character varying(50)</t>
        </is>
      </c>
      <c r="H1096" s="18" t="inlineStr">
        <is>
          <t>Sí</t>
        </is>
      </c>
      <c r="I1096" s="18" t="inlineStr"/>
      <c r="J1096" s="18" t="inlineStr"/>
      <c r="K1096" s="18" t="inlineStr"/>
      <c r="L1096" s="18" t="inlineStr">
        <is>
          <t>No</t>
        </is>
      </c>
      <c r="M1096" s="18" t="inlineStr">
        <is>
          <t>No</t>
        </is>
      </c>
      <c r="N1096" s="18" t="inlineStr"/>
      <c r="O1096" s="18" t="inlineStr"/>
      <c r="P1096" s="18" t="inlineStr">
        <is>
          <t>legal-management-service/src/entities/pago-coactivo.entity.ts:54: BANCO, MANUAL | db/migrations/old/103_create_pagos_historial_coactivos.sql:13: BANCO, MANUAL, etc.</t>
        </is>
      </c>
      <c r="Q1096" s="18" t="inlineStr">
        <is>
          <t>Código fuente</t>
        </is>
      </c>
      <c r="R1096" s="18" t="inlineStr">
        <is>
          <t>Origen del registro del pago. Valores: BANCO, MANUAL. Por defecto, MANUAL.</t>
        </is>
      </c>
      <c r="S1096" s="18" t="inlineStr">
        <is>
          <t>Alta</t>
        </is>
      </c>
      <c r="T1096" s="18" t="inlineStr">
        <is>
          <t>código: pago-coactivo.entity.ts:54</t>
        </is>
      </c>
      <c r="U1096" s="18" t="inlineStr"/>
      <c r="V1096" s="19" t="inlineStr">
        <is>
          <t>Aprobada</t>
        </is>
      </c>
      <c r="W1096" s="19" t="inlineStr"/>
      <c r="X1096" s="19" t="inlineStr">
        <is>
          <t>Aldair González (aprobación en bloque)</t>
        </is>
      </c>
      <c r="Y1096" s="20" t="n">
        <v>46321</v>
      </c>
      <c r="Z1096" s="19" t="inlineStr">
        <is>
          <t>Nivel 1: propuesta del comentario del desarrollador o de confianza alta, o regla de fecha/responsable/motivo.</t>
        </is>
      </c>
      <c r="AA1096" s="18">
        <f>IF(OR(V1096="Aprobada"),R1096,IF(AND(OR(V1096="Aprobada con ajuste",V1096="Rechazada"),W1096&lt;&gt;""),W1096,""))</f>
        <v/>
      </c>
    </row>
    <row r="1097">
      <c r="A1097" s="18" t="inlineStr">
        <is>
          <t>C1096</t>
        </is>
      </c>
      <c r="B1097" s="18" t="inlineStr">
        <is>
          <t>Gestión jurídica</t>
        </is>
      </c>
      <c r="C1097" s="18" t="inlineStr">
        <is>
          <t>legal_management</t>
        </is>
      </c>
      <c r="D1097" s="18" t="inlineStr">
        <is>
          <t>pagos_coactivos</t>
        </is>
      </c>
      <c r="E1097" s="18" t="n">
        <v>10</v>
      </c>
      <c r="F1097" s="18" t="inlineStr">
        <is>
          <t>observaciones</t>
        </is>
      </c>
      <c r="G1097" s="18" t="inlineStr">
        <is>
          <t>text</t>
        </is>
      </c>
      <c r="H1097" s="18" t="inlineStr">
        <is>
          <t>Sí</t>
        </is>
      </c>
      <c r="I1097" s="18" t="inlineStr"/>
      <c r="J1097" s="18" t="inlineStr"/>
      <c r="K1097" s="18" t="inlineStr"/>
      <c r="L1097" s="18" t="inlineStr">
        <is>
          <t>No</t>
        </is>
      </c>
      <c r="M1097" s="18" t="inlineStr">
        <is>
          <t>No</t>
        </is>
      </c>
      <c r="N1097" s="18" t="inlineStr"/>
      <c r="O1097" s="18" t="inlineStr"/>
      <c r="P1097" s="18" t="inlineStr">
        <is>
          <t>Mapeada en legal-management-service/src/entities/pago-coactivo.entity.ts:57 (PagoCoactivo.observaciones)</t>
        </is>
      </c>
      <c r="Q1097" s="18" t="inlineStr">
        <is>
          <t>Regla estructural (redacción revisada)</t>
        </is>
      </c>
      <c r="R1097" s="18" t="inlineStr">
        <is>
          <t>Observaciones sobre el pago del proceso coactivo.</t>
        </is>
      </c>
      <c r="S1097" s="18" t="inlineStr">
        <is>
          <t>Alta</t>
        </is>
      </c>
      <c r="T1097" s="18" t="inlineStr">
        <is>
          <t>Convención de nombre, redactada con el contexto de la tabla y el código.</t>
        </is>
      </c>
      <c r="U1097" s="18" t="inlineStr"/>
      <c r="V1097" s="19" t="inlineStr">
        <is>
          <t>Aprobada</t>
        </is>
      </c>
      <c r="W1097" s="19" t="inlineStr"/>
      <c r="X1097" s="19" t="inlineStr">
        <is>
          <t>Aldair González (aprobación en bloque)</t>
        </is>
      </c>
      <c r="Y1097" s="20" t="n">
        <v>46321</v>
      </c>
      <c r="Z1097" s="19" t="inlineStr">
        <is>
          <t>Nivel 2: regla estructural con redacción revisada.</t>
        </is>
      </c>
      <c r="AA1097" s="18">
        <f>IF(OR(V1097="Aprobada"),R1097,IF(AND(OR(V1097="Aprobada con ajuste",V1097="Rechazada"),W1097&lt;&gt;""),W1097,""))</f>
        <v/>
      </c>
    </row>
    <row r="1098">
      <c r="A1098" s="18" t="inlineStr">
        <is>
          <t>C1097</t>
        </is>
      </c>
      <c r="B1098" s="18" t="inlineStr">
        <is>
          <t>Gestión jurídica</t>
        </is>
      </c>
      <c r="C1098" s="18" t="inlineStr">
        <is>
          <t>legal_management</t>
        </is>
      </c>
      <c r="D1098" s="18" t="inlineStr">
        <is>
          <t>pagos_coactivos</t>
        </is>
      </c>
      <c r="E1098" s="18" t="n">
        <v>10</v>
      </c>
      <c r="F1098" s="18" t="inlineStr">
        <is>
          <t>abono_capital</t>
        </is>
      </c>
      <c r="G1098" s="18" t="inlineStr">
        <is>
          <t>numeric(15,2)</t>
        </is>
      </c>
      <c r="H1098" s="18" t="inlineStr">
        <is>
          <t>Sí</t>
        </is>
      </c>
      <c r="I1098" s="18" t="inlineStr"/>
      <c r="J1098" s="18" t="inlineStr"/>
      <c r="K1098" s="18" t="inlineStr"/>
      <c r="L1098" s="18" t="inlineStr">
        <is>
          <t>No</t>
        </is>
      </c>
      <c r="M1098" s="18" t="inlineStr">
        <is>
          <t>No</t>
        </is>
      </c>
      <c r="N1098" s="18" t="inlineStr"/>
      <c r="O1098" s="18" t="inlineStr"/>
      <c r="P1098" s="18" t="inlineStr">
        <is>
          <t>Mapeada en legal-management-service/src/entities/pago-coactivo.entity.ts:24 (PagoCoactivo.abonoCapital)</t>
        </is>
      </c>
      <c r="Q1098" s="18" t="inlineStr">
        <is>
          <t>Propuesta semántica</t>
        </is>
      </c>
      <c r="R1098" s="18" t="inlineStr">
        <is>
          <t>Parte del pago abonada al capital de la obligación. Por defecto, 0.</t>
        </is>
      </c>
      <c r="S1098" s="18" t="inlineStr">
        <is>
          <t>Alta</t>
        </is>
      </c>
      <c r="T1098" s="18" t="inlineStr">
        <is>
          <t>nombre + tipo + columnas vecinas</t>
        </is>
      </c>
      <c r="U1098" s="18" t="inlineStr"/>
      <c r="V1098" s="19" t="inlineStr">
        <is>
          <t>Aprobada</t>
        </is>
      </c>
      <c r="W1098" s="19" t="inlineStr"/>
      <c r="X1098" s="19" t="inlineStr">
        <is>
          <t>Aldair González (aprobación en bloque)</t>
        </is>
      </c>
      <c r="Y1098" s="20" t="n">
        <v>46321</v>
      </c>
      <c r="Z1098" s="19" t="inlineStr">
        <is>
          <t>Nivel 1: propuesta del comentario del desarrollador o de confianza alta, o regla de fecha/responsable/motivo.</t>
        </is>
      </c>
      <c r="AA1098" s="18">
        <f>IF(OR(V1098="Aprobada"),R1098,IF(AND(OR(V1098="Aprobada con ajuste",V1098="Rechazada"),W1098&lt;&gt;""),W1098,""))</f>
        <v/>
      </c>
    </row>
    <row r="1099">
      <c r="A1099" s="18" t="inlineStr">
        <is>
          <t>C1098</t>
        </is>
      </c>
      <c r="B1099" s="18" t="inlineStr">
        <is>
          <t>Gestión jurídica</t>
        </is>
      </c>
      <c r="C1099" s="18" t="inlineStr">
        <is>
          <t>legal_management</t>
        </is>
      </c>
      <c r="D1099" s="18" t="inlineStr">
        <is>
          <t>pagos_coactivos</t>
        </is>
      </c>
      <c r="E1099" s="18" t="n">
        <v>10</v>
      </c>
      <c r="F1099" s="18" t="inlineStr">
        <is>
          <t>abono_intereses</t>
        </is>
      </c>
      <c r="G1099" s="18" t="inlineStr">
        <is>
          <t>numeric(15,2)</t>
        </is>
      </c>
      <c r="H1099" s="18" t="inlineStr">
        <is>
          <t>Sí</t>
        </is>
      </c>
      <c r="I1099" s="18" t="inlineStr"/>
      <c r="J1099" s="18" t="inlineStr"/>
      <c r="K1099" s="18" t="inlineStr"/>
      <c r="L1099" s="18" t="inlineStr">
        <is>
          <t>No</t>
        </is>
      </c>
      <c r="M1099" s="18" t="inlineStr">
        <is>
          <t>No</t>
        </is>
      </c>
      <c r="N1099" s="18" t="inlineStr"/>
      <c r="O1099" s="18" t="inlineStr"/>
      <c r="P1099" s="18" t="inlineStr">
        <is>
          <t>Mapeada en legal-management-service/src/entities/pago-coactivo.entity.ts:32 (PagoCoactivo.abonoIntereses)</t>
        </is>
      </c>
      <c r="Q1099" s="18" t="inlineStr">
        <is>
          <t>Propuesta semántica</t>
        </is>
      </c>
      <c r="R1099" s="18" t="inlineStr">
        <is>
          <t>Parte del pago abonada a los intereses de la obligación. Por defecto, 0.</t>
        </is>
      </c>
      <c r="S1099" s="18" t="inlineStr">
        <is>
          <t>Alta</t>
        </is>
      </c>
      <c r="T1099" s="18" t="inlineStr">
        <is>
          <t>nombre + tipo + columnas vecinas</t>
        </is>
      </c>
      <c r="U1099" s="18" t="inlineStr"/>
      <c r="V1099" s="19" t="inlineStr">
        <is>
          <t>Aprobada</t>
        </is>
      </c>
      <c r="W1099" s="19" t="inlineStr"/>
      <c r="X1099" s="19" t="inlineStr">
        <is>
          <t>Aldair González (aprobación en bloque)</t>
        </is>
      </c>
      <c r="Y1099" s="20" t="n">
        <v>46321</v>
      </c>
      <c r="Z1099" s="19" t="inlineStr">
        <is>
          <t>Nivel 1: propuesta del comentario del desarrollador o de confianza alta, o regla de fecha/responsable/motivo.</t>
        </is>
      </c>
      <c r="AA1099" s="18">
        <f>IF(OR(V1099="Aprobada"),R1099,IF(AND(OR(V1099="Aprobada con ajuste",V1099="Rechazada"),W1099&lt;&gt;""),W1099,""))</f>
        <v/>
      </c>
    </row>
    <row r="1100">
      <c r="A1100" s="18" t="inlineStr">
        <is>
          <t>C1099</t>
        </is>
      </c>
      <c r="B1100" s="18" t="inlineStr">
        <is>
          <t>Gestión jurídica</t>
        </is>
      </c>
      <c r="C1100" s="18" t="inlineStr">
        <is>
          <t>legal_management</t>
        </is>
      </c>
      <c r="D1100" s="18" t="inlineStr">
        <is>
          <t>pagos_coactivos</t>
        </is>
      </c>
      <c r="E1100" s="18" t="n">
        <v>10</v>
      </c>
      <c r="F1100" s="18" t="inlineStr">
        <is>
          <t>abono_costas</t>
        </is>
      </c>
      <c r="G1100" s="18" t="inlineStr">
        <is>
          <t>numeric(15,2)</t>
        </is>
      </c>
      <c r="H1100" s="18" t="inlineStr">
        <is>
          <t>Sí</t>
        </is>
      </c>
      <c r="I1100" s="18" t="inlineStr"/>
      <c r="J1100" s="18" t="inlineStr"/>
      <c r="K1100" s="18" t="inlineStr"/>
      <c r="L1100" s="18" t="inlineStr">
        <is>
          <t>No</t>
        </is>
      </c>
      <c r="M1100" s="18" t="inlineStr">
        <is>
          <t>No</t>
        </is>
      </c>
      <c r="N1100" s="18" t="inlineStr"/>
      <c r="O1100" s="18" t="inlineStr"/>
      <c r="P1100" s="18" t="inlineStr">
        <is>
          <t>Mapeada en legal-management-service/src/entities/pago-coactivo.entity.ts:40 (PagoCoactivo.abonoCostas)</t>
        </is>
      </c>
      <c r="Q1100" s="18" t="inlineStr">
        <is>
          <t>Propuesta semántica</t>
        </is>
      </c>
      <c r="R1100" s="18" t="inlineStr">
        <is>
          <t>Parte del pago abonada a las costas del proceso. Por defecto, 0.</t>
        </is>
      </c>
      <c r="S1100" s="18" t="inlineStr">
        <is>
          <t>Alta</t>
        </is>
      </c>
      <c r="T1100" s="18" t="inlineStr">
        <is>
          <t>nombre + tipo + columnas vecinas</t>
        </is>
      </c>
      <c r="U1100" s="18" t="inlineStr"/>
      <c r="V1100" s="19" t="inlineStr">
        <is>
          <t>Aprobada</t>
        </is>
      </c>
      <c r="W1100" s="19" t="inlineStr"/>
      <c r="X1100" s="19" t="inlineStr">
        <is>
          <t>Aldair González (aprobación en bloque)</t>
        </is>
      </c>
      <c r="Y1100" s="20" t="n">
        <v>46321</v>
      </c>
      <c r="Z1100" s="19" t="inlineStr">
        <is>
          <t>Nivel 1: propuesta del comentario del desarrollador o de confianza alta, o regla de fecha/responsable/motivo.</t>
        </is>
      </c>
      <c r="AA1100" s="18">
        <f>IF(OR(V1100="Aprobada"),R1100,IF(AND(OR(V1100="Aprobada con ajuste",V1100="Rechazada"),W1100&lt;&gt;""),W1100,""))</f>
        <v/>
      </c>
    </row>
    <row r="1101">
      <c r="A1101" s="18" t="inlineStr">
        <is>
          <t>C1100</t>
        </is>
      </c>
      <c r="B1101" s="18" t="inlineStr">
        <is>
          <t>Gestión jurídica</t>
        </is>
      </c>
      <c r="C1101" s="18" t="inlineStr">
        <is>
          <t>legal_management</t>
        </is>
      </c>
      <c r="D1101" s="18" t="inlineStr">
        <is>
          <t>pei_indicadores</t>
        </is>
      </c>
      <c r="E1101" s="18" t="n">
        <v>24</v>
      </c>
      <c r="F1101" s="18" t="inlineStr">
        <is>
          <t>nombre</t>
        </is>
      </c>
      <c r="G1101" s="18" t="inlineStr">
        <is>
          <t>character varying(255)</t>
        </is>
      </c>
      <c r="H1101" s="18" t="inlineStr">
        <is>
          <t>No</t>
        </is>
      </c>
      <c r="I1101" s="18" t="inlineStr"/>
      <c r="J1101" s="18" t="inlineStr"/>
      <c r="K1101" s="18" t="inlineStr"/>
      <c r="L1101" s="18" t="inlineStr">
        <is>
          <t>No</t>
        </is>
      </c>
      <c r="M1101" s="18" t="inlineStr">
        <is>
          <t>No</t>
        </is>
      </c>
      <c r="N1101" s="18" t="inlineStr"/>
      <c r="O1101" s="18" t="inlineStr"/>
      <c r="P1101" s="18" t="inlineStr">
        <is>
          <t>db/migrations/old/053_create_pei_module.sql:6: Ej: "Eficiencia en Defensa Judicial"</t>
        </is>
      </c>
      <c r="Q1101" s="18" t="inlineStr">
        <is>
          <t>Código fuente</t>
        </is>
      </c>
      <c r="R1101" s="18" t="inlineStr">
        <is>
          <t>Nombre del indicador del PEI (por ejemplo, «Eficiencia en Defensa Judicial»).</t>
        </is>
      </c>
      <c r="S1101" s="18" t="inlineStr">
        <is>
          <t>Alta</t>
        </is>
      </c>
      <c r="T1101" s="18" t="inlineStr">
        <is>
          <t>código: db/migrations/old/053_create_pei_module.sql:6</t>
        </is>
      </c>
      <c r="U1101" s="18" t="inlineStr"/>
      <c r="V1101" s="19" t="inlineStr">
        <is>
          <t>Aprobada</t>
        </is>
      </c>
      <c r="W1101" s="19" t="inlineStr"/>
      <c r="X1101" s="19" t="inlineStr">
        <is>
          <t>Aldair González (aprobación en bloque)</t>
        </is>
      </c>
      <c r="Y1101" s="20" t="n">
        <v>46321</v>
      </c>
      <c r="Z1101" s="19" t="inlineStr">
        <is>
          <t>Nivel 1: propuesta del comentario del desarrollador o de confianza alta, o regla de fecha/responsable/motivo.</t>
        </is>
      </c>
      <c r="AA1101" s="18">
        <f>IF(OR(V1101="Aprobada"),R1101,IF(AND(OR(V1101="Aprobada con ajuste",V1101="Rechazada"),W1101&lt;&gt;""),W1101,""))</f>
        <v/>
      </c>
    </row>
    <row r="1102">
      <c r="A1102" s="18" t="inlineStr">
        <is>
          <t>C1101</t>
        </is>
      </c>
      <c r="B1102" s="18" t="inlineStr">
        <is>
          <t>Gestión jurídica</t>
        </is>
      </c>
      <c r="C1102" s="18" t="inlineStr">
        <is>
          <t>legal_management</t>
        </is>
      </c>
      <c r="D1102" s="18" t="inlineStr">
        <is>
          <t>pei_indicadores</t>
        </is>
      </c>
      <c r="E1102" s="18" t="n">
        <v>24</v>
      </c>
      <c r="F1102" s="18" t="inlineStr">
        <is>
          <t>descripcion</t>
        </is>
      </c>
      <c r="G1102" s="18" t="inlineStr">
        <is>
          <t>text</t>
        </is>
      </c>
      <c r="H1102" s="18" t="inlineStr">
        <is>
          <t>Sí</t>
        </is>
      </c>
      <c r="I1102" s="18" t="inlineStr"/>
      <c r="J1102" s="18" t="inlineStr"/>
      <c r="K1102" s="18" t="inlineStr"/>
      <c r="L1102" s="18" t="inlineStr">
        <is>
          <t>No</t>
        </is>
      </c>
      <c r="M1102" s="18" t="inlineStr">
        <is>
          <t>No</t>
        </is>
      </c>
      <c r="N1102" s="18" t="inlineStr"/>
      <c r="O1102" s="18" t="inlineStr"/>
      <c r="P1102" s="18" t="inlineStr">
        <is>
          <t>Mapeada en legal-management-service/src/entities/pei-indicador.entity.ts:12 (PeiIndicador.descripcion)</t>
        </is>
      </c>
      <c r="Q1102" s="18" t="inlineStr">
        <is>
          <t>Regla estructural (redacción revisada)</t>
        </is>
      </c>
      <c r="R1102" s="18" t="inlineStr">
        <is>
          <t>Descripción del indicador del plan estratégico institucional (PEI).</t>
        </is>
      </c>
      <c r="S1102" s="18" t="inlineStr">
        <is>
          <t>Alta</t>
        </is>
      </c>
      <c r="T1102" s="18" t="inlineStr">
        <is>
          <t>Convención de nombre, redactada con el contexto de la tabla y el código.</t>
        </is>
      </c>
      <c r="U1102" s="18" t="inlineStr"/>
      <c r="V1102" s="19" t="inlineStr">
        <is>
          <t>Aprobada</t>
        </is>
      </c>
      <c r="W1102" s="19" t="inlineStr"/>
      <c r="X1102" s="19" t="inlineStr">
        <is>
          <t>Aldair González (aprobación en bloque)</t>
        </is>
      </c>
      <c r="Y1102" s="20" t="n">
        <v>46321</v>
      </c>
      <c r="Z1102" s="19" t="inlineStr">
        <is>
          <t>Nivel 2: regla estructural con redacción revisada.</t>
        </is>
      </c>
      <c r="AA1102" s="18">
        <f>IF(OR(V1102="Aprobada"),R1102,IF(AND(OR(V1102="Aprobada con ajuste",V1102="Rechazada"),W1102&lt;&gt;""),W1102,""))</f>
        <v/>
      </c>
    </row>
    <row r="1103">
      <c r="A1103" s="18" t="inlineStr">
        <is>
          <t>C1102</t>
        </is>
      </c>
      <c r="B1103" s="18" t="inlineStr">
        <is>
          <t>Gestión jurídica</t>
        </is>
      </c>
      <c r="C1103" s="18" t="inlineStr">
        <is>
          <t>legal_management</t>
        </is>
      </c>
      <c r="D1103" s="18" t="inlineStr">
        <is>
          <t>pei_indicadores</t>
        </is>
      </c>
      <c r="E1103" s="18" t="n">
        <v>24</v>
      </c>
      <c r="F1103" s="18" t="inlineStr">
        <is>
          <t>eje_estrategico</t>
        </is>
      </c>
      <c r="G1103" s="18" t="inlineStr">
        <is>
          <t>character varying(50)</t>
        </is>
      </c>
      <c r="H1103" s="18" t="inlineStr">
        <is>
          <t>No</t>
        </is>
      </c>
      <c r="I1103" s="18" t="inlineStr"/>
      <c r="J1103" s="18" t="inlineStr"/>
      <c r="K1103" s="18" t="inlineStr"/>
      <c r="L1103" s="18" t="inlineStr">
        <is>
          <t>No</t>
        </is>
      </c>
      <c r="M1103" s="18" t="inlineStr">
        <is>
          <t>No</t>
        </is>
      </c>
      <c r="N1103" s="18" t="inlineStr"/>
      <c r="O1103" s="18" t="inlineStr">
        <is>
          <t>idx_pei_eje</t>
        </is>
      </c>
      <c r="P1103" s="18" t="inlineStr">
        <is>
          <t>legal-management-service/src/entities/pei-indicador.entity.ts:15: 'GESTION', 'TALENTO', 'TRANSPARENCIA', 'TECNOLOGIA' | db/migrations/old/053_create_pei_module.sql:10: Clasificación 'GESTION', 'TALENTO', 'TRANSPARENCIA', 'TECNOLOGIA'</t>
        </is>
      </c>
      <c r="Q1103" s="18" t="inlineStr">
        <is>
          <t>Código fuente</t>
        </is>
      </c>
      <c r="R1103" s="18" t="inlineStr">
        <is>
          <t>Eje estratégico del indicador. Valores: GESTION, TALENTO, TRANSPARENCIA, TECNOLOGIA.</t>
        </is>
      </c>
      <c r="S1103" s="18" t="inlineStr">
        <is>
          <t>Alta</t>
        </is>
      </c>
      <c r="T1103" s="18" t="inlineStr">
        <is>
          <t>código: pei-indicador.entity.ts:15</t>
        </is>
      </c>
      <c r="U1103" s="18" t="inlineStr"/>
      <c r="V1103" s="19" t="inlineStr">
        <is>
          <t>Aprobada</t>
        </is>
      </c>
      <c r="W1103" s="19" t="inlineStr"/>
      <c r="X1103" s="19" t="inlineStr">
        <is>
          <t>Aldair González (aprobación en bloque)</t>
        </is>
      </c>
      <c r="Y1103" s="20" t="n">
        <v>46321</v>
      </c>
      <c r="Z1103" s="19" t="inlineStr">
        <is>
          <t>Nivel 1: propuesta del comentario del desarrollador o de confianza alta, o regla de fecha/responsable/motivo.</t>
        </is>
      </c>
      <c r="AA1103" s="18">
        <f>IF(OR(V1103="Aprobada"),R1103,IF(AND(OR(V1103="Aprobada con ajuste",V1103="Rechazada"),W1103&lt;&gt;""),W1103,""))</f>
        <v/>
      </c>
    </row>
    <row r="1104">
      <c r="A1104" s="18" t="inlineStr">
        <is>
          <t>C1103</t>
        </is>
      </c>
      <c r="B1104" s="18" t="inlineStr">
        <is>
          <t>Gestión jurídica</t>
        </is>
      </c>
      <c r="C1104" s="18" t="inlineStr">
        <is>
          <t>legal_management</t>
        </is>
      </c>
      <c r="D1104" s="18" t="inlineStr">
        <is>
          <t>pei_indicadores</t>
        </is>
      </c>
      <c r="E1104" s="18" t="n">
        <v>24</v>
      </c>
      <c r="F1104" s="18" t="inlineStr">
        <is>
          <t>meta_objetivo</t>
        </is>
      </c>
      <c r="G1104" s="18" t="inlineStr">
        <is>
          <t>numeric(10,2)</t>
        </is>
      </c>
      <c r="H1104" s="18" t="inlineStr">
        <is>
          <t>No</t>
        </is>
      </c>
      <c r="I1104" s="18" t="inlineStr"/>
      <c r="J1104" s="18" t="inlineStr"/>
      <c r="K1104" s="18" t="inlineStr"/>
      <c r="L1104" s="18" t="inlineStr">
        <is>
          <t>No</t>
        </is>
      </c>
      <c r="M1104" s="18" t="inlineStr">
        <is>
          <t>No</t>
        </is>
      </c>
      <c r="N1104" s="18" t="inlineStr"/>
      <c r="O1104" s="18" t="inlineStr"/>
      <c r="P1104" s="18" t="inlineStr">
        <is>
          <t>db/migrations/old/053_create_pei_module.sql:13: Metas Numéricas Ej: 100.00</t>
        </is>
      </c>
      <c r="Q1104" s="18" t="inlineStr">
        <is>
          <t>Código fuente (verificado)</t>
        </is>
      </c>
      <c r="R1104" s="18" t="inlineStr">
        <is>
          <t>Meta numérica del indicador, expresada en la unidad de unidad_medida; el avance se calcula como valor reportado entre meta por 100.</t>
        </is>
      </c>
      <c r="S1104" s="18" t="inlineStr">
        <is>
          <t>Alta</t>
        </is>
      </c>
      <c r="T1104" s="18" t="inlineStr">
        <is>
          <t>legal-management-service/src/services/pei.service.ts:119: porcentaje = valor / meta * 100 | legal-management-service/src/services/pei.service.ts:278: muestra la meta con unidadMedida</t>
        </is>
      </c>
      <c r="U1104" s="18" t="inlineStr"/>
      <c r="V1104" s="19" t="inlineStr">
        <is>
          <t>Aprobada</t>
        </is>
      </c>
      <c r="W1104" s="19" t="inlineStr"/>
      <c r="X1104" s="19" t="inlineStr">
        <is>
          <t>Aldair González (aprobación en bloque)</t>
        </is>
      </c>
      <c r="Y1104" s="20" t="n">
        <v>46321</v>
      </c>
      <c r="Z1104" s="19" t="inlineStr">
        <is>
          <t>Nivel 3: verificada con el código de la aplicación.</t>
        </is>
      </c>
      <c r="AA1104" s="18">
        <f>IF(OR(V1104="Aprobada"),R1104,IF(AND(OR(V1104="Aprobada con ajuste",V1104="Rechazada"),W1104&lt;&gt;""),W1104,""))</f>
        <v/>
      </c>
    </row>
    <row r="1105">
      <c r="A1105" s="18" t="inlineStr">
        <is>
          <t>C1104</t>
        </is>
      </c>
      <c r="B1105" s="18" t="inlineStr">
        <is>
          <t>Gestión jurídica</t>
        </is>
      </c>
      <c r="C1105" s="18" t="inlineStr">
        <is>
          <t>legal_management</t>
        </is>
      </c>
      <c r="D1105" s="18" t="inlineStr">
        <is>
          <t>pei_indicadores</t>
        </is>
      </c>
      <c r="E1105" s="18" t="n">
        <v>24</v>
      </c>
      <c r="F1105" s="18" t="inlineStr">
        <is>
          <t>unidad_medida</t>
        </is>
      </c>
      <c r="G1105" s="18" t="inlineStr">
        <is>
          <t>character varying(20)</t>
        </is>
      </c>
      <c r="H1105" s="18" t="inlineStr">
        <is>
          <t>Sí</t>
        </is>
      </c>
      <c r="I1105" s="18" t="inlineStr"/>
      <c r="J1105" s="18" t="inlineStr"/>
      <c r="K1105" s="18" t="inlineStr"/>
      <c r="L1105" s="18" t="inlineStr">
        <is>
          <t>No</t>
        </is>
      </c>
      <c r="M1105" s="18" t="inlineStr">
        <is>
          <t>No</t>
        </is>
      </c>
      <c r="N1105" s="18" t="inlineStr"/>
      <c r="O1105" s="18" t="inlineStr"/>
      <c r="P1105" s="18" t="inlineStr">
        <is>
          <t>db/migrations/old/053_create_pei_module.sql:14: 'PORCENTAJE', 'NUMERO', 'MONEDA'</t>
        </is>
      </c>
      <c r="Q1105" s="18" t="inlineStr">
        <is>
          <t>Código fuente</t>
        </is>
      </c>
      <c r="R1105" s="18" t="inlineStr">
        <is>
          <t>Unidad de medida de la meta. Valores: PORCENTAJE, NUMERO, MONEDA; valor por defecto PORCENTAJE.</t>
        </is>
      </c>
      <c r="S1105" s="18" t="inlineStr">
        <is>
          <t>Alta</t>
        </is>
      </c>
      <c r="T1105" s="18" t="inlineStr">
        <is>
          <t>código: db/migrations/old/053_create_pei_module.sql:14</t>
        </is>
      </c>
      <c r="U1105" s="18" t="inlineStr"/>
      <c r="V1105" s="19" t="inlineStr">
        <is>
          <t>Aprobada</t>
        </is>
      </c>
      <c r="W1105" s="19" t="inlineStr"/>
      <c r="X1105" s="19" t="inlineStr">
        <is>
          <t>Aldair González (aprobación en bloque)</t>
        </is>
      </c>
      <c r="Y1105" s="20" t="n">
        <v>46321</v>
      </c>
      <c r="Z1105" s="19" t="inlineStr">
        <is>
          <t>Nivel 1: propuesta del comentario del desarrollador o de confianza alta, o regla de fecha/responsable/motivo.</t>
        </is>
      </c>
      <c r="AA1105" s="18">
        <f>IF(OR(V1105="Aprobada"),R1105,IF(AND(OR(V1105="Aprobada con ajuste",V1105="Rechazada"),W1105&lt;&gt;""),W1105,""))</f>
        <v/>
      </c>
    </row>
    <row r="1106">
      <c r="A1106" s="18" t="inlineStr">
        <is>
          <t>C1105</t>
        </is>
      </c>
      <c r="B1106" s="18" t="inlineStr">
        <is>
          <t>Gestión jurídica</t>
        </is>
      </c>
      <c r="C1106" s="18" t="inlineStr">
        <is>
          <t>legal_management</t>
        </is>
      </c>
      <c r="D1106" s="18" t="inlineStr">
        <is>
          <t>pei_indicadores</t>
        </is>
      </c>
      <c r="E1106" s="18" t="n">
        <v>24</v>
      </c>
      <c r="F1106" s="18" t="inlineStr">
        <is>
          <t>fecha_inicio</t>
        </is>
      </c>
      <c r="G1106" s="18" t="inlineStr">
        <is>
          <t>date</t>
        </is>
      </c>
      <c r="H1106" s="18" t="inlineStr">
        <is>
          <t>No</t>
        </is>
      </c>
      <c r="I1106" s="18" t="inlineStr"/>
      <c r="J1106" s="18" t="inlineStr"/>
      <c r="K1106" s="18" t="inlineStr"/>
      <c r="L1106" s="18" t="inlineStr">
        <is>
          <t>No</t>
        </is>
      </c>
      <c r="M1106" s="18" t="inlineStr">
        <is>
          <t>No</t>
        </is>
      </c>
      <c r="N1106" s="18" t="inlineStr"/>
      <c r="O1106" s="18" t="inlineStr"/>
      <c r="P1106" s="18" t="inlineStr">
        <is>
          <t>legal-management-service/src/entities/pei-indicador.entity.ts:24: TypeORM maps date types to string by default or Date | db/migrations/old/053_create_pei_module.sql:17: Plazos</t>
        </is>
      </c>
      <c r="Q1106" s="18" t="inlineStr">
        <is>
          <t>Código fuente</t>
        </is>
      </c>
      <c r="R1106" s="18" t="inlineStr">
        <is>
          <t>Fecha de inicio del plazo del indicador.</t>
        </is>
      </c>
      <c r="S1106" s="18" t="inlineStr">
        <is>
          <t>Alta</t>
        </is>
      </c>
      <c r="T1106" s="18" t="inlineStr">
        <is>
          <t>código: db/migrations/old/053_create_pei_module.sql:17</t>
        </is>
      </c>
      <c r="U1106" s="18" t="inlineStr"/>
      <c r="V1106" s="19" t="inlineStr">
        <is>
          <t>Aprobada</t>
        </is>
      </c>
      <c r="W1106" s="19" t="inlineStr"/>
      <c r="X1106" s="19" t="inlineStr">
        <is>
          <t>Aldair González (aprobación en bloque)</t>
        </is>
      </c>
      <c r="Y1106" s="20" t="n">
        <v>46321</v>
      </c>
      <c r="Z1106" s="19" t="inlineStr">
        <is>
          <t>Nivel 1: propuesta del comentario del desarrollador o de confianza alta, o regla de fecha/responsable/motivo.</t>
        </is>
      </c>
      <c r="AA1106" s="18">
        <f>IF(OR(V1106="Aprobada"),R1106,IF(AND(OR(V1106="Aprobada con ajuste",V1106="Rechazada"),W1106&lt;&gt;""),W1106,""))</f>
        <v/>
      </c>
    </row>
    <row r="1107">
      <c r="A1107" s="18" t="inlineStr">
        <is>
          <t>C1106</t>
        </is>
      </c>
      <c r="B1107" s="18" t="inlineStr">
        <is>
          <t>Gestión jurídica</t>
        </is>
      </c>
      <c r="C1107" s="18" t="inlineStr">
        <is>
          <t>legal_management</t>
        </is>
      </c>
      <c r="D1107" s="18" t="inlineStr">
        <is>
          <t>pei_indicadores</t>
        </is>
      </c>
      <c r="E1107" s="18" t="n">
        <v>24</v>
      </c>
      <c r="F1107" s="18" t="inlineStr">
        <is>
          <t>fecha_fin</t>
        </is>
      </c>
      <c r="G1107" s="18" t="inlineStr">
        <is>
          <t>date</t>
        </is>
      </c>
      <c r="H1107" s="18" t="inlineStr">
        <is>
          <t>No</t>
        </is>
      </c>
      <c r="I1107" s="18" t="inlineStr"/>
      <c r="J1107" s="18" t="inlineStr"/>
      <c r="K1107" s="18" t="inlineStr"/>
      <c r="L1107" s="18" t="inlineStr">
        <is>
          <t>No</t>
        </is>
      </c>
      <c r="M1107" s="18" t="inlineStr">
        <is>
          <t>No</t>
        </is>
      </c>
      <c r="N1107" s="18" t="inlineStr"/>
      <c r="O1107" s="18" t="inlineStr"/>
      <c r="P1107" s="18" t="inlineStr">
        <is>
          <t>Mapeada en legal-management-service/src/entities/pei-indicador.entity.ts:27 (PeiIndicador.fechaFin)</t>
        </is>
      </c>
      <c r="Q1107" s="18" t="inlineStr">
        <is>
          <t>Regla estructural (redacción revisada)</t>
        </is>
      </c>
      <c r="R1107" s="18" t="inlineStr">
        <is>
          <t>Fecha de finalización del indicador del plan estratégico institucional (PEI).</t>
        </is>
      </c>
      <c r="S1107" s="18" t="inlineStr">
        <is>
          <t>Alta</t>
        </is>
      </c>
      <c r="T1107" s="18" t="inlineStr">
        <is>
          <t>Convención de nombre, redactada con el contexto de la tabla y el código.</t>
        </is>
      </c>
      <c r="U1107" s="18" t="inlineStr"/>
      <c r="V1107" s="19" t="inlineStr">
        <is>
          <t>Aprobada</t>
        </is>
      </c>
      <c r="W1107" s="19" t="inlineStr"/>
      <c r="X1107" s="19" t="inlineStr">
        <is>
          <t>Aldair González (aprobación en bloque)</t>
        </is>
      </c>
      <c r="Y1107" s="20" t="n">
        <v>46321</v>
      </c>
      <c r="Z1107" s="19" t="inlineStr">
        <is>
          <t>Nivel 2: regla estructural con redacción revisada.</t>
        </is>
      </c>
      <c r="AA1107" s="18">
        <f>IF(OR(V1107="Aprobada"),R1107,IF(AND(OR(V1107="Aprobada con ajuste",V1107="Rechazada"),W1107&lt;&gt;""),W1107,""))</f>
        <v/>
      </c>
    </row>
    <row r="1108">
      <c r="A1108" s="18" t="inlineStr">
        <is>
          <t>C1107</t>
        </is>
      </c>
      <c r="B1108" s="18" t="inlineStr">
        <is>
          <t>Gestión jurídica</t>
        </is>
      </c>
      <c r="C1108" s="18" t="inlineStr">
        <is>
          <t>legal_management</t>
        </is>
      </c>
      <c r="D1108" s="18" t="inlineStr">
        <is>
          <t>pei_indicadores</t>
        </is>
      </c>
      <c r="E1108" s="18" t="n">
        <v>24</v>
      </c>
      <c r="F1108" s="18" t="inlineStr">
        <is>
          <t>frecuencia_medicion</t>
        </is>
      </c>
      <c r="G1108" s="18" t="inlineStr">
        <is>
          <t>character varying(20)</t>
        </is>
      </c>
      <c r="H1108" s="18" t="inlineStr">
        <is>
          <t>Sí</t>
        </is>
      </c>
      <c r="I1108" s="18" t="inlineStr"/>
      <c r="J1108" s="18" t="inlineStr"/>
      <c r="K1108" s="18" t="inlineStr"/>
      <c r="L1108" s="18" t="inlineStr">
        <is>
          <t>No</t>
        </is>
      </c>
      <c r="M1108" s="18" t="inlineStr">
        <is>
          <t>No</t>
        </is>
      </c>
      <c r="N1108" s="18" t="inlineStr"/>
      <c r="O1108" s="18" t="inlineStr"/>
      <c r="P1108" s="18" t="inlineStr">
        <is>
          <t>Mapeada en legal-management-service/src/entities/pei-indicador.entity.ts:30 (PeiIndicador.frecuenciaMedicion)</t>
        </is>
      </c>
      <c r="Q1108" s="18" t="inlineStr">
        <is>
          <t>Código fuente (verificado)</t>
        </is>
      </c>
      <c r="R1108" s="18" t="inlineStr">
        <is>
          <t>Frecuencia de medición del indicador. Por defecto, MENSUAL.</t>
        </is>
      </c>
      <c r="S1108" s="18" t="inlineStr">
        <is>
          <t>Media</t>
        </is>
      </c>
      <c r="T1108" s="18" t="inlineStr">
        <is>
          <t>legal-management-service/src/entities/pei-indicador.entity.ts:30: default MENSUAL, sin lista de valores</t>
        </is>
      </c>
      <c r="U1108" s="18" t="inlineStr">
        <is>
          <t>¿Qué valores admite la frecuencia además de MENSUAL?</t>
        </is>
      </c>
      <c r="V1108" s="19" t="inlineStr">
        <is>
          <t>Aprobada</t>
        </is>
      </c>
      <c r="W1108" s="19" t="inlineStr"/>
      <c r="X1108" s="19" t="inlineStr">
        <is>
          <t>Aldair González (validación del responsable de BD)</t>
        </is>
      </c>
      <c r="Y1108" s="20" t="n">
        <v>46321</v>
      </c>
      <c r="Z1108" s="19" t="inlineStr">
        <is>
          <t>Nivel 3: validada por decisión del responsable de la base de datos. Pregunta registrada para desarrollo: ¿Qué valores admite la frecuencia además de MENSUAL?</t>
        </is>
      </c>
      <c r="AA1108" s="18">
        <f>IF(OR(V1108="Aprobada"),R1108,IF(AND(OR(V1108="Aprobada con ajuste",V1108="Rechazada"),W1108&lt;&gt;""),W1108,""))</f>
        <v/>
      </c>
    </row>
    <row r="1109">
      <c r="A1109" s="18" t="inlineStr">
        <is>
          <t>C1108</t>
        </is>
      </c>
      <c r="B1109" s="18" t="inlineStr">
        <is>
          <t>Gestión jurídica</t>
        </is>
      </c>
      <c r="C1109" s="18" t="inlineStr">
        <is>
          <t>legal_management</t>
        </is>
      </c>
      <c r="D1109" s="18" t="inlineStr">
        <is>
          <t>pei_indicadores</t>
        </is>
      </c>
      <c r="E1109" s="18" t="n">
        <v>24</v>
      </c>
      <c r="F1109" s="18" t="inlineStr">
        <is>
          <t>responsable_id</t>
        </is>
      </c>
      <c r="G1109" s="18" t="inlineStr">
        <is>
          <t>uuid</t>
        </is>
      </c>
      <c r="H1109" s="18" t="inlineStr">
        <is>
          <t>Sí</t>
        </is>
      </c>
      <c r="I1109" s="18" t="inlineStr"/>
      <c r="J1109" s="18" t="inlineStr"/>
      <c r="K1109" s="18" t="inlineStr"/>
      <c r="L1109" s="18" t="inlineStr">
        <is>
          <t>No</t>
        </is>
      </c>
      <c r="M1109" s="18" t="inlineStr">
        <is>
          <t>No</t>
        </is>
      </c>
      <c r="N1109" s="18" t="inlineStr"/>
      <c r="O1109" s="18" t="inlineStr"/>
      <c r="P1109" s="18" t="inlineStr">
        <is>
          <t>db/migrations/old/053_create_pei_module.sql:22: Responsable Changed to UUID to match existing user system if applicable, or keep INT if external. Using UUID for consistency with 'users' usually.</t>
        </is>
      </c>
      <c r="Q1109" s="18" t="inlineStr">
        <is>
          <t>Código fuente (verificado)</t>
        </is>
      </c>
      <c r="R1109" s="18" t="inlineStr">
        <is>
          <t>Identificador (UUID) del usuario responsable del indicador: id_user de auth."user", el mismo que trae el token del usuario autenticado. El nombre se guarda en responsable_nombre.</t>
        </is>
      </c>
      <c r="S1109" s="18" t="inlineStr">
        <is>
          <t>Alta</t>
        </is>
      </c>
      <c r="T1109" s="18" t="inlineStr">
        <is>
          <t>legal-management-service/src/services/pei.service.ts:31: compara responsableId con las llaves del usuario autenticado | auth-service/src/auth/auth.service.ts:403: sub del token = id_user | legal-management-service/src/auth/legal-access.ts:31: userId = sub o id_user</t>
        </is>
      </c>
      <c r="U1109" s="18" t="inlineStr"/>
      <c r="V1109" s="19" t="inlineStr">
        <is>
          <t>Aprobada</t>
        </is>
      </c>
      <c r="W1109" s="19" t="inlineStr"/>
      <c r="X1109" s="19" t="inlineStr">
        <is>
          <t>Aldair González (aprobación en bloque)</t>
        </is>
      </c>
      <c r="Y1109" s="20" t="n">
        <v>46321</v>
      </c>
      <c r="Z1109" s="19" t="inlineStr">
        <is>
          <t>Nivel 3: verificada con el código de la aplicación.</t>
        </is>
      </c>
      <c r="AA1109" s="18">
        <f>IF(OR(V1109="Aprobada"),R1109,IF(AND(OR(V1109="Aprobada con ajuste",V1109="Rechazada"),W1109&lt;&gt;""),W1109,""))</f>
        <v/>
      </c>
    </row>
    <row r="1110">
      <c r="A1110" s="18" t="inlineStr">
        <is>
          <t>C1109</t>
        </is>
      </c>
      <c r="B1110" s="18" t="inlineStr">
        <is>
          <t>Gestión jurídica</t>
        </is>
      </c>
      <c r="C1110" s="18" t="inlineStr">
        <is>
          <t>legal_management</t>
        </is>
      </c>
      <c r="D1110" s="18" t="inlineStr">
        <is>
          <t>pei_indicadores</t>
        </is>
      </c>
      <c r="E1110" s="18" t="n">
        <v>24</v>
      </c>
      <c r="F1110" s="18" t="inlineStr">
        <is>
          <t>responsable_nombre</t>
        </is>
      </c>
      <c r="G1110" s="18" t="inlineStr">
        <is>
          <t>character varying(200)</t>
        </is>
      </c>
      <c r="H1110" s="18" t="inlineStr">
        <is>
          <t>Sí</t>
        </is>
      </c>
      <c r="I1110" s="18" t="inlineStr"/>
      <c r="J1110" s="18" t="inlineStr"/>
      <c r="K1110" s="18" t="inlineStr"/>
      <c r="L1110" s="18" t="inlineStr">
        <is>
          <t>No</t>
        </is>
      </c>
      <c r="M1110" s="18" t="inlineStr">
        <is>
          <t>No</t>
        </is>
      </c>
      <c r="N1110" s="18" t="inlineStr"/>
      <c r="O1110" s="18" t="inlineStr"/>
      <c r="P1110" s="18" t="inlineStr">
        <is>
          <t>db/migrations/old/053_create_pei_module.sql:23: Snapshot for display</t>
        </is>
      </c>
      <c r="Q1110" s="18" t="inlineStr">
        <is>
          <t>Código fuente</t>
        </is>
      </c>
      <c r="R1110" s="18" t="inlineStr">
        <is>
          <t>Nombre del responsable del indicador, copiado para mostrar.</t>
        </is>
      </c>
      <c r="S1110" s="18" t="inlineStr">
        <is>
          <t>Alta</t>
        </is>
      </c>
      <c r="T1110" s="18" t="inlineStr">
        <is>
          <t>código: db/migrations/old/053_create_pei_module.sql:23</t>
        </is>
      </c>
      <c r="U1110" s="18" t="inlineStr"/>
      <c r="V1110" s="19" t="inlineStr">
        <is>
          <t>Aprobada</t>
        </is>
      </c>
      <c r="W1110" s="19" t="inlineStr"/>
      <c r="X1110" s="19" t="inlineStr">
        <is>
          <t>Aldair González (aprobación en bloque)</t>
        </is>
      </c>
      <c r="Y1110" s="20" t="n">
        <v>46321</v>
      </c>
      <c r="Z1110" s="19" t="inlineStr">
        <is>
          <t>Nivel 1: propuesta del comentario del desarrollador o de confianza alta, o regla de fecha/responsable/motivo.</t>
        </is>
      </c>
      <c r="AA1110" s="18">
        <f>IF(OR(V1110="Aprobada"),R1110,IF(AND(OR(V1110="Aprobada con ajuste",V1110="Rechazada"),W1110&lt;&gt;""),W1110,""))</f>
        <v/>
      </c>
    </row>
    <row r="1111">
      <c r="A1111" s="18" t="inlineStr">
        <is>
          <t>C1110</t>
        </is>
      </c>
      <c r="B1111" s="18" t="inlineStr">
        <is>
          <t>Gestión jurídica</t>
        </is>
      </c>
      <c r="C1111" s="18" t="inlineStr">
        <is>
          <t>legal_management</t>
        </is>
      </c>
      <c r="D1111" s="18" t="inlineStr">
        <is>
          <t>pei_indicadores</t>
        </is>
      </c>
      <c r="E1111" s="18" t="n">
        <v>24</v>
      </c>
      <c r="F1111" s="18" t="inlineStr">
        <is>
          <t>estado</t>
        </is>
      </c>
      <c r="G1111" s="18" t="inlineStr">
        <is>
          <t>character varying(20)</t>
        </is>
      </c>
      <c r="H1111" s="18" t="inlineStr">
        <is>
          <t>Sí</t>
        </is>
      </c>
      <c r="I1111" s="18" t="inlineStr"/>
      <c r="J1111" s="18" t="inlineStr"/>
      <c r="K1111" s="18" t="inlineStr"/>
      <c r="L1111" s="18" t="inlineStr">
        <is>
          <t>No</t>
        </is>
      </c>
      <c r="M1111" s="18" t="inlineStr">
        <is>
          <t>No</t>
        </is>
      </c>
      <c r="N1111" s="18" t="inlineStr"/>
      <c r="O1111" s="18" t="inlineStr">
        <is>
          <t>idx_pei_estado</t>
        </is>
      </c>
      <c r="P1111" s="18" t="inlineStr">
        <is>
          <t>db/migrations/old/053_create_pei_module.sql:26: Estado del Indicador 'ACTIVO', 'INACTIVO', 'ARCHIVADO'</t>
        </is>
      </c>
      <c r="Q1111" s="18" t="inlineStr">
        <is>
          <t>Código fuente</t>
        </is>
      </c>
      <c r="R1111" s="18" t="inlineStr">
        <is>
          <t>Estado del indicador. Valores: ACTIVO, INACTIVO, ARCHIVADO; valor por defecto ACTIVO.</t>
        </is>
      </c>
      <c r="S1111" s="18" t="inlineStr">
        <is>
          <t>Alta</t>
        </is>
      </c>
      <c r="T1111" s="18" t="inlineStr">
        <is>
          <t>código: db/migrations/old/053_create_pei_module.sql:26</t>
        </is>
      </c>
      <c r="U1111" s="18" t="inlineStr"/>
      <c r="V1111" s="19" t="inlineStr">
        <is>
          <t>Aprobada</t>
        </is>
      </c>
      <c r="W1111" s="19" t="inlineStr"/>
      <c r="X1111" s="19" t="inlineStr">
        <is>
          <t>Aldair González (aprobación en bloque)</t>
        </is>
      </c>
      <c r="Y1111" s="20" t="n">
        <v>46321</v>
      </c>
      <c r="Z1111" s="19" t="inlineStr">
        <is>
          <t>Nivel 1: propuesta del comentario del desarrollador o de confianza alta, o regla de fecha/responsable/motivo.</t>
        </is>
      </c>
      <c r="AA1111" s="18">
        <f>IF(OR(V1111="Aprobada"),R1111,IF(AND(OR(V1111="Aprobada con ajuste",V1111="Rechazada"),W1111&lt;&gt;""),W1111,""))</f>
        <v/>
      </c>
    </row>
    <row r="1112">
      <c r="A1112" s="18" t="inlineStr">
        <is>
          <t>C1111</t>
        </is>
      </c>
      <c r="B1112" s="18" t="inlineStr">
        <is>
          <t>Gestión jurídica</t>
        </is>
      </c>
      <c r="C1112" s="18" t="inlineStr">
        <is>
          <t>legal_management</t>
        </is>
      </c>
      <c r="D1112" s="18" t="inlineStr">
        <is>
          <t>pei_indicadores</t>
        </is>
      </c>
      <c r="E1112" s="18" t="n">
        <v>24</v>
      </c>
      <c r="F1112" s="18" t="inlineStr">
        <is>
          <t>prioridad</t>
        </is>
      </c>
      <c r="G1112" s="18" t="inlineStr">
        <is>
          <t>character varying(20)</t>
        </is>
      </c>
      <c r="H1112" s="18" t="inlineStr">
        <is>
          <t>Sí</t>
        </is>
      </c>
      <c r="I1112" s="18" t="inlineStr"/>
      <c r="J1112" s="18" t="inlineStr"/>
      <c r="K1112" s="18" t="inlineStr"/>
      <c r="L1112" s="18" t="inlineStr">
        <is>
          <t>No</t>
        </is>
      </c>
      <c r="M1112" s="18" t="inlineStr">
        <is>
          <t>No</t>
        </is>
      </c>
      <c r="N1112" s="18" t="inlineStr"/>
      <c r="O1112" s="18" t="inlineStr"/>
      <c r="P1112" s="18" t="inlineStr">
        <is>
          <t>Mapeada en legal-management-service/src/entities/pei-indicador.entity.ts:42 (PeiIndicador.prioridad)</t>
        </is>
      </c>
      <c r="Q1112" s="18" t="inlineStr">
        <is>
          <t>Código fuente (verificado)</t>
        </is>
      </c>
      <c r="R1112" s="18" t="inlineStr">
        <is>
          <t>Prioridad del indicador. Por defecto, MEDIA.</t>
        </is>
      </c>
      <c r="S1112" s="18" t="inlineStr">
        <is>
          <t>Media</t>
        </is>
      </c>
      <c r="T1112" s="18" t="inlineStr">
        <is>
          <t>legal-management-service/src/entities/pei-indicador.entity.ts:42: default MEDIA, sin lista de valores</t>
        </is>
      </c>
      <c r="U1112" s="18" t="inlineStr">
        <is>
          <t>¿Qué valores admite la prioridad además de MEDIA?</t>
        </is>
      </c>
      <c r="V1112" s="19" t="inlineStr">
        <is>
          <t>Aprobada</t>
        </is>
      </c>
      <c r="W1112" s="19" t="inlineStr"/>
      <c r="X1112" s="19" t="inlineStr">
        <is>
          <t>Aldair González (validación del responsable de BD)</t>
        </is>
      </c>
      <c r="Y1112" s="20" t="n">
        <v>46321</v>
      </c>
      <c r="Z1112" s="19" t="inlineStr">
        <is>
          <t>Nivel 3: validada por decisión del responsable de la base de datos. Pregunta registrada para desarrollo: ¿Qué valores admite la prioridad además de MEDIA?</t>
        </is>
      </c>
      <c r="AA1112" s="18">
        <f>IF(OR(V1112="Aprobada"),R1112,IF(AND(OR(V1112="Aprobada con ajuste",V1112="Rechazada"),W1112&lt;&gt;""),W1112,""))</f>
        <v/>
      </c>
    </row>
    <row r="1113">
      <c r="A1113" s="18" t="inlineStr">
        <is>
          <t>C1112</t>
        </is>
      </c>
      <c r="B1113" s="18" t="inlineStr">
        <is>
          <t>Gestión jurídica</t>
        </is>
      </c>
      <c r="C1113" s="18" t="inlineStr">
        <is>
          <t>legal_management</t>
        </is>
      </c>
      <c r="D1113" s="18" t="inlineStr">
        <is>
          <t>pei_indicadores</t>
        </is>
      </c>
      <c r="E1113" s="18" t="n">
        <v>24</v>
      </c>
      <c r="F1113" s="18" t="inlineStr">
        <is>
          <t>tipo_indicador</t>
        </is>
      </c>
      <c r="G1113" s="18" t="inlineStr">
        <is>
          <t>character varying(50)</t>
        </is>
      </c>
      <c r="H1113" s="18" t="inlineStr">
        <is>
          <t>Sí</t>
        </is>
      </c>
      <c r="I1113" s="18" t="inlineStr"/>
      <c r="J1113" s="18" t="inlineStr"/>
      <c r="K1113" s="18" t="inlineStr"/>
      <c r="L1113" s="18" t="inlineStr">
        <is>
          <t>No</t>
        </is>
      </c>
      <c r="M1113" s="18" t="inlineStr">
        <is>
          <t>No</t>
        </is>
      </c>
      <c r="N1113" s="18" t="inlineStr"/>
      <c r="O1113" s="18" t="inlineStr"/>
      <c r="P1113" s="18" t="inlineStr">
        <is>
          <t>Mapeada en legal-management-service/src/entities/pei-indicador.entity.ts:45 (PeiIndicador.tipoIndicador)</t>
        </is>
      </c>
      <c r="Q1113" s="18" t="inlineStr">
        <is>
          <t>Código fuente (verificado)</t>
        </is>
      </c>
      <c r="R1113" s="18" t="inlineStr">
        <is>
          <t>Tipo de indicador del plan estratégico institucional. Por defecto, GESTION.</t>
        </is>
      </c>
      <c r="S1113" s="18" t="inlineStr">
        <is>
          <t>Media</t>
        </is>
      </c>
      <c r="T1113" s="18" t="inlineStr">
        <is>
          <t>legal-management-service/src/entities/pei-indicador.entity.ts:45: default GESTION, sin lista de valores</t>
        </is>
      </c>
      <c r="U1113" s="18" t="inlineStr">
        <is>
          <t>¿Qué otros tipos de indicador existen además de GESTION?</t>
        </is>
      </c>
      <c r="V1113" s="19" t="inlineStr">
        <is>
          <t>Aprobada</t>
        </is>
      </c>
      <c r="W1113" s="19" t="inlineStr"/>
      <c r="X1113" s="19" t="inlineStr">
        <is>
          <t>Aldair González (validación del responsable de BD)</t>
        </is>
      </c>
      <c r="Y1113" s="20" t="n">
        <v>46321</v>
      </c>
      <c r="Z1113" s="19" t="inlineStr">
        <is>
          <t>Nivel 3: validada por decisión del responsable de la base de datos. Pregunta registrada para desarrollo: ¿Qué otros tipos de indicador existen además de GESTION?</t>
        </is>
      </c>
      <c r="AA1113" s="18">
        <f>IF(OR(V1113="Aprobada"),R1113,IF(AND(OR(V1113="Aprobada con ajuste",V1113="Rechazada"),W1113&lt;&gt;""),W1113,""))</f>
        <v/>
      </c>
    </row>
    <row r="1114">
      <c r="A1114" s="18" t="inlineStr">
        <is>
          <t>C1113</t>
        </is>
      </c>
      <c r="B1114" s="18" t="inlineStr">
        <is>
          <t>Gestión jurídica</t>
        </is>
      </c>
      <c r="C1114" s="18" t="inlineStr">
        <is>
          <t>legal_management</t>
        </is>
      </c>
      <c r="D1114" s="18" t="inlineStr">
        <is>
          <t>pei_indicadores</t>
        </is>
      </c>
      <c r="E1114" s="18" t="n">
        <v>24</v>
      </c>
      <c r="F1114" s="18" t="inlineStr">
        <is>
          <t>archived_at</t>
        </is>
      </c>
      <c r="G1114" s="18" t="inlineStr">
        <is>
          <t>timestamp with time zone</t>
        </is>
      </c>
      <c r="H1114" s="18" t="inlineStr">
        <is>
          <t>Sí</t>
        </is>
      </c>
      <c r="I1114" s="18" t="inlineStr"/>
      <c r="J1114" s="18" t="inlineStr"/>
      <c r="K1114" s="18" t="inlineStr"/>
      <c r="L1114" s="18" t="inlineStr">
        <is>
          <t>No</t>
        </is>
      </c>
      <c r="M1114" s="18" t="inlineStr">
        <is>
          <t>No</t>
        </is>
      </c>
      <c r="N1114" s="18" t="inlineStr"/>
      <c r="O1114" s="18" t="inlineStr">
        <is>
          <t>idx_pei_archived_at</t>
        </is>
      </c>
      <c r="P1114" s="18" t="inlineStr">
        <is>
          <t>Mapeada en legal-management-service/src/entities/pei-indicador.entity.ts:48 (PeiIndicador.archivedAt)</t>
        </is>
      </c>
      <c r="Q1114" s="18" t="inlineStr">
        <is>
          <t>Propuesta semántica</t>
        </is>
      </c>
      <c r="R1114" s="18" t="inlineStr">
        <is>
          <t>Fecha y hora en que se archivó el indicador; vacío si está activo.</t>
        </is>
      </c>
      <c r="S1114" s="18" t="inlineStr">
        <is>
          <t>Alta</t>
        </is>
      </c>
      <c r="T1114" s="18" t="inlineStr">
        <is>
          <t>nombre + tipo + columnas vecinas</t>
        </is>
      </c>
      <c r="U1114" s="18" t="inlineStr"/>
      <c r="V1114" s="19" t="inlineStr">
        <is>
          <t>Aprobada</t>
        </is>
      </c>
      <c r="W1114" s="19" t="inlineStr"/>
      <c r="X1114" s="19" t="inlineStr">
        <is>
          <t>Aldair González (aprobación en bloque)</t>
        </is>
      </c>
      <c r="Y1114" s="20" t="n">
        <v>46321</v>
      </c>
      <c r="Z1114" s="19" t="inlineStr">
        <is>
          <t>Nivel 1: propuesta del comentario del desarrollador o de confianza alta, o regla de fecha/responsable/motivo.</t>
        </is>
      </c>
      <c r="AA1114" s="18">
        <f>IF(OR(V1114="Aprobada"),R1114,IF(AND(OR(V1114="Aprobada con ajuste",V1114="Rechazada"),W1114&lt;&gt;""),W1114,""))</f>
        <v/>
      </c>
    </row>
    <row r="1115">
      <c r="A1115" s="18" t="inlineStr">
        <is>
          <t>C1114</t>
        </is>
      </c>
      <c r="B1115" s="18" t="inlineStr">
        <is>
          <t>Gestión jurídica</t>
        </is>
      </c>
      <c r="C1115" s="18" t="inlineStr">
        <is>
          <t>legal_management</t>
        </is>
      </c>
      <c r="D1115" s="18" t="inlineStr">
        <is>
          <t>pei_indicadores</t>
        </is>
      </c>
      <c r="E1115" s="18" t="n">
        <v>24</v>
      </c>
      <c r="F1115" s="18" t="inlineStr">
        <is>
          <t>archived_by</t>
        </is>
      </c>
      <c r="G1115" s="18" t="inlineStr">
        <is>
          <t>character varying(255)</t>
        </is>
      </c>
      <c r="H1115" s="18" t="inlineStr">
        <is>
          <t>Sí</t>
        </is>
      </c>
      <c r="I1115" s="18" t="inlineStr"/>
      <c r="J1115" s="18" t="inlineStr"/>
      <c r="K1115" s="18" t="inlineStr"/>
      <c r="L1115" s="18" t="inlineStr">
        <is>
          <t>No</t>
        </is>
      </c>
      <c r="M1115" s="18" t="inlineStr">
        <is>
          <t>No</t>
        </is>
      </c>
      <c r="N1115" s="18" t="inlineStr"/>
      <c r="O1115" s="18" t="inlineStr"/>
      <c r="P1115" s="18" t="inlineStr">
        <is>
          <t>Mapeada en legal-management-service/src/entities/pei-indicador.entity.ts:51 (PeiIndicador.archivedBy)</t>
        </is>
      </c>
      <c r="Q1115" s="18" t="inlineStr">
        <is>
          <t>Código fuente (verificado)</t>
        </is>
      </c>
      <c r="R1115" s="18" t="inlineStr">
        <is>
          <t>Usuario que archivó el indicador. El código guarda el valor fijo System al archivar y lo deja vacío al restaurar.</t>
        </is>
      </c>
      <c r="S1115" s="18" t="inlineStr">
        <is>
          <t>Alta</t>
        </is>
      </c>
      <c r="T1115" s="18" t="inlineStr">
        <is>
          <t>legal-management-service/src/services/pei.service.ts:179: archivedBy = System | legal-management-service/src/services/pei.service.ts:193: null al restaurar</t>
        </is>
      </c>
      <c r="U1115" s="18" t="inlineStr"/>
      <c r="V1115" s="19" t="inlineStr">
        <is>
          <t>Aprobada</t>
        </is>
      </c>
      <c r="W1115" s="19" t="inlineStr"/>
      <c r="X1115" s="19" t="inlineStr">
        <is>
          <t>Aldair González (aprobación en bloque)</t>
        </is>
      </c>
      <c r="Y1115" s="20" t="n">
        <v>46321</v>
      </c>
      <c r="Z1115" s="19" t="inlineStr">
        <is>
          <t>Nivel 3: verificada con el código de la aplicación.</t>
        </is>
      </c>
      <c r="AA1115" s="18">
        <f>IF(OR(V1115="Aprobada"),R1115,IF(AND(OR(V1115="Aprobada con ajuste",V1115="Rechazada"),W1115&lt;&gt;""),W1115,""))</f>
        <v/>
      </c>
    </row>
    <row r="1116">
      <c r="A1116" s="18" t="inlineStr">
        <is>
          <t>C1115</t>
        </is>
      </c>
      <c r="B1116" s="18" t="inlineStr">
        <is>
          <t>Gestión jurídica</t>
        </is>
      </c>
      <c r="C1116" s="18" t="inlineStr">
        <is>
          <t>legal_management</t>
        </is>
      </c>
      <c r="D1116" s="18" t="inlineStr">
        <is>
          <t>pei_indicadores</t>
        </is>
      </c>
      <c r="E1116" s="18" t="n">
        <v>24</v>
      </c>
      <c r="F1116" s="18" t="inlineStr">
        <is>
          <t>archive_reason</t>
        </is>
      </c>
      <c r="G1116" s="18" t="inlineStr">
        <is>
          <t>text</t>
        </is>
      </c>
      <c r="H1116" s="18" t="inlineStr">
        <is>
          <t>Sí</t>
        </is>
      </c>
      <c r="I1116" s="18" t="inlineStr"/>
      <c r="J1116" s="18" t="inlineStr"/>
      <c r="K1116" s="18" t="inlineStr"/>
      <c r="L1116" s="18" t="inlineStr">
        <is>
          <t>No</t>
        </is>
      </c>
      <c r="M1116" s="18" t="inlineStr">
        <is>
          <t>No</t>
        </is>
      </c>
      <c r="N1116" s="18" t="inlineStr"/>
      <c r="O1116" s="18" t="inlineStr"/>
      <c r="P1116" s="18" t="inlineStr">
        <is>
          <t>Mapeada en legal-management-service/src/entities/pei-indicador.entity.ts:54 (PeiIndicador.archiveReason)</t>
        </is>
      </c>
      <c r="Q1116" s="18" t="inlineStr">
        <is>
          <t>Propuesta semántica</t>
        </is>
      </c>
      <c r="R1116" s="18" t="inlineStr">
        <is>
          <t>Motivo por el que se archivó el indicador.</t>
        </is>
      </c>
      <c r="S1116" s="18" t="inlineStr">
        <is>
          <t>Alta</t>
        </is>
      </c>
      <c r="T1116" s="18" t="inlineStr">
        <is>
          <t>nombre + tipo + columnas vecinas</t>
        </is>
      </c>
      <c r="U1116" s="18" t="inlineStr"/>
      <c r="V1116" s="19" t="inlineStr">
        <is>
          <t>Aprobada</t>
        </is>
      </c>
      <c r="W1116" s="19" t="inlineStr"/>
      <c r="X1116" s="19" t="inlineStr">
        <is>
          <t>Aldair González (aprobación en bloque)</t>
        </is>
      </c>
      <c r="Y1116" s="20" t="n">
        <v>46321</v>
      </c>
      <c r="Z1116" s="19" t="inlineStr">
        <is>
          <t>Nivel 1: propuesta del comentario del desarrollador o de confianza alta, o regla de fecha/responsable/motivo.</t>
        </is>
      </c>
      <c r="AA1116" s="18">
        <f>IF(OR(V1116="Aprobada"),R1116,IF(AND(OR(V1116="Aprobada con ajuste",V1116="Rechazada"),W1116&lt;&gt;""),W1116,""))</f>
        <v/>
      </c>
    </row>
    <row r="1117">
      <c r="A1117" s="18" t="inlineStr">
        <is>
          <t>C1116</t>
        </is>
      </c>
      <c r="B1117" s="18" t="inlineStr">
        <is>
          <t>Gestión jurídica</t>
        </is>
      </c>
      <c r="C1117" s="18" t="inlineStr">
        <is>
          <t>legal_management</t>
        </is>
      </c>
      <c r="D1117" s="18" t="inlineStr">
        <is>
          <t>pei_registros_avance</t>
        </is>
      </c>
      <c r="E1117" s="18" t="n">
        <v>24</v>
      </c>
      <c r="F1117" s="18" t="inlineStr">
        <is>
          <t>valor_reportado</t>
        </is>
      </c>
      <c r="G1117" s="18" t="inlineStr">
        <is>
          <t>numeric(10,2)</t>
        </is>
      </c>
      <c r="H1117" s="18" t="inlineStr">
        <is>
          <t>No</t>
        </is>
      </c>
      <c r="I1117" s="18" t="inlineStr"/>
      <c r="J1117" s="18" t="inlineStr"/>
      <c r="K1117" s="18" t="inlineStr"/>
      <c r="L1117" s="18" t="inlineStr">
        <is>
          <t>No</t>
        </is>
      </c>
      <c r="M1117" s="18" t="inlineStr">
        <is>
          <t>No</t>
        </is>
      </c>
      <c r="N1117" s="18" t="inlineStr"/>
      <c r="O1117" s="18" t="inlineStr"/>
      <c r="P1117" s="18" t="inlineStr">
        <is>
          <t>db/migrations/old/053_create_pei_module.sql:37: El valor real en este momento</t>
        </is>
      </c>
      <c r="Q1117" s="18" t="inlineStr">
        <is>
          <t>Código fuente</t>
        </is>
      </c>
      <c r="R1117" s="18" t="inlineStr">
        <is>
          <t>Valor real del indicador reportado en el registro de avance.</t>
        </is>
      </c>
      <c r="S1117" s="18" t="inlineStr">
        <is>
          <t>Alta</t>
        </is>
      </c>
      <c r="T1117" s="18" t="inlineStr">
        <is>
          <t>código: db/migrations/old/053_create_pei_module.sql:37</t>
        </is>
      </c>
      <c r="U1117" s="18" t="inlineStr"/>
      <c r="V1117" s="19" t="inlineStr">
        <is>
          <t>Aprobada</t>
        </is>
      </c>
      <c r="W1117" s="19" t="inlineStr"/>
      <c r="X1117" s="19" t="inlineStr">
        <is>
          <t>Aldair González (aprobación en bloque)</t>
        </is>
      </c>
      <c r="Y1117" s="20" t="n">
        <v>46321</v>
      </c>
      <c r="Z1117" s="19" t="inlineStr">
        <is>
          <t>Nivel 1: propuesta del comentario del desarrollador o de confianza alta, o regla de fecha/responsable/motivo.</t>
        </is>
      </c>
      <c r="AA1117" s="18">
        <f>IF(OR(V1117="Aprobada"),R1117,IF(AND(OR(V1117="Aprobada con ajuste",V1117="Rechazada"),W1117&lt;&gt;""),W1117,""))</f>
        <v/>
      </c>
    </row>
    <row r="1118">
      <c r="A1118" s="18" t="inlineStr">
        <is>
          <t>C1117</t>
        </is>
      </c>
      <c r="B1118" s="18" t="inlineStr">
        <is>
          <t>Gestión jurídica</t>
        </is>
      </c>
      <c r="C1118" s="18" t="inlineStr">
        <is>
          <t>legal_management</t>
        </is>
      </c>
      <c r="D1118" s="18" t="inlineStr">
        <is>
          <t>pei_registros_avance</t>
        </is>
      </c>
      <c r="E1118" s="18" t="n">
        <v>24</v>
      </c>
      <c r="F1118" s="18" t="inlineStr">
        <is>
          <t>porcentaje_avance</t>
        </is>
      </c>
      <c r="G1118" s="18" t="inlineStr">
        <is>
          <t>numeric(5,2)</t>
        </is>
      </c>
      <c r="H1118" s="18" t="inlineStr">
        <is>
          <t>Sí</t>
        </is>
      </c>
      <c r="I1118" s="18" t="inlineStr"/>
      <c r="J1118" s="18" t="inlineStr"/>
      <c r="K1118" s="18" t="inlineStr"/>
      <c r="L1118" s="18" t="inlineStr">
        <is>
          <t>No</t>
        </is>
      </c>
      <c r="M1118" s="18" t="inlineStr">
        <is>
          <t>No</t>
        </is>
      </c>
      <c r="N1118" s="18" t="inlineStr"/>
      <c r="O1118" s="18" t="inlineStr"/>
      <c r="P1118" s="18" t="inlineStr">
        <is>
          <t>db/migrations/old/053_create_pei_module.sql:38: Calculado: (valor_reportado / meta) * 100</t>
        </is>
      </c>
      <c r="Q1118" s="18" t="inlineStr">
        <is>
          <t>Código fuente</t>
        </is>
      </c>
      <c r="R1118" s="18" t="inlineStr">
        <is>
          <t>Porcentaje de avance, calculado como (valor_reportado / meta) × 100.</t>
        </is>
      </c>
      <c r="S1118" s="18" t="inlineStr">
        <is>
          <t>Alta</t>
        </is>
      </c>
      <c r="T1118" s="18" t="inlineStr">
        <is>
          <t>código: db/migrations/old/053_create_pei_module.sql:38</t>
        </is>
      </c>
      <c r="U1118" s="18" t="inlineStr"/>
      <c r="V1118" s="19" t="inlineStr">
        <is>
          <t>Aprobada</t>
        </is>
      </c>
      <c r="W1118" s="19" t="inlineStr"/>
      <c r="X1118" s="19" t="inlineStr">
        <is>
          <t>Aldair González (aprobación en bloque)</t>
        </is>
      </c>
      <c r="Y1118" s="20" t="n">
        <v>46321</v>
      </c>
      <c r="Z1118" s="19" t="inlineStr">
        <is>
          <t>Nivel 1: propuesta del comentario del desarrollador o de confianza alta, o regla de fecha/responsable/motivo.</t>
        </is>
      </c>
      <c r="AA1118" s="18">
        <f>IF(OR(V1118="Aprobada"),R1118,IF(AND(OR(V1118="Aprobada con ajuste",V1118="Rechazada"),W1118&lt;&gt;""),W1118,""))</f>
        <v/>
      </c>
    </row>
    <row r="1119">
      <c r="A1119" s="18" t="inlineStr">
        <is>
          <t>C1118</t>
        </is>
      </c>
      <c r="B1119" s="18" t="inlineStr">
        <is>
          <t>Gestión jurídica</t>
        </is>
      </c>
      <c r="C1119" s="18" t="inlineStr">
        <is>
          <t>legal_management</t>
        </is>
      </c>
      <c r="D1119" s="18" t="inlineStr">
        <is>
          <t>pei_registros_avance</t>
        </is>
      </c>
      <c r="E1119" s="18" t="n">
        <v>24</v>
      </c>
      <c r="F1119" s="18" t="inlineStr">
        <is>
          <t>observaciones</t>
        </is>
      </c>
      <c r="G1119" s="18" t="inlineStr">
        <is>
          <t>text</t>
        </is>
      </c>
      <c r="H1119" s="18" t="inlineStr">
        <is>
          <t>Sí</t>
        </is>
      </c>
      <c r="I1119" s="18" t="inlineStr"/>
      <c r="J1119" s="18" t="inlineStr"/>
      <c r="K1119" s="18" t="inlineStr"/>
      <c r="L1119" s="18" t="inlineStr">
        <is>
          <t>No</t>
        </is>
      </c>
      <c r="M1119" s="18" t="inlineStr">
        <is>
          <t>No</t>
        </is>
      </c>
      <c r="N1119" s="18" t="inlineStr"/>
      <c r="O1119" s="18" t="inlineStr"/>
      <c r="P1119" s="18" t="inlineStr">
        <is>
          <t>db/migrations/old/053_create_pei_module.sql:40: Justificación del avance</t>
        </is>
      </c>
      <c r="Q1119" s="18" t="inlineStr">
        <is>
          <t>Código fuente</t>
        </is>
      </c>
      <c r="R1119" s="18" t="inlineStr">
        <is>
          <t>Justificación del avance reportado.</t>
        </is>
      </c>
      <c r="S1119" s="18" t="inlineStr">
        <is>
          <t>Alta</t>
        </is>
      </c>
      <c r="T1119" s="18" t="inlineStr">
        <is>
          <t>código: db/migrations/old/053_create_pei_module.sql:40</t>
        </is>
      </c>
      <c r="U1119" s="18" t="inlineStr"/>
      <c r="V1119" s="19" t="inlineStr">
        <is>
          <t>Aprobada</t>
        </is>
      </c>
      <c r="W1119" s="19" t="inlineStr"/>
      <c r="X1119" s="19" t="inlineStr">
        <is>
          <t>Aldair González (aprobación en bloque)</t>
        </is>
      </c>
      <c r="Y1119" s="20" t="n">
        <v>46321</v>
      </c>
      <c r="Z1119" s="19" t="inlineStr">
        <is>
          <t>Nivel 1: propuesta del comentario del desarrollador o de confianza alta, o regla de fecha/responsable/motivo.</t>
        </is>
      </c>
      <c r="AA1119" s="18">
        <f>IF(OR(V1119="Aprobada"),R1119,IF(AND(OR(V1119="Aprobada con ajuste",V1119="Rechazada"),W1119&lt;&gt;""),W1119,""))</f>
        <v/>
      </c>
    </row>
    <row r="1120">
      <c r="A1120" s="18" t="inlineStr">
        <is>
          <t>C1119</t>
        </is>
      </c>
      <c r="B1120" s="18" t="inlineStr">
        <is>
          <t>Gestión jurídica</t>
        </is>
      </c>
      <c r="C1120" s="18" t="inlineStr">
        <is>
          <t>legal_management</t>
        </is>
      </c>
      <c r="D1120" s="18" t="inlineStr">
        <is>
          <t>pei_registros_avance</t>
        </is>
      </c>
      <c r="E1120" s="18" t="n">
        <v>24</v>
      </c>
      <c r="F1120" s="18" t="inlineStr">
        <is>
          <t>evidencia_url</t>
        </is>
      </c>
      <c r="G1120" s="18" t="inlineStr">
        <is>
          <t>text</t>
        </is>
      </c>
      <c r="H1120" s="18" t="inlineStr">
        <is>
          <t>Sí</t>
        </is>
      </c>
      <c r="I1120" s="18" t="inlineStr"/>
      <c r="J1120" s="18" t="inlineStr"/>
      <c r="K1120" s="18" t="inlineStr"/>
      <c r="L1120" s="18" t="inlineStr">
        <is>
          <t>No</t>
        </is>
      </c>
      <c r="M1120" s="18" t="inlineStr">
        <is>
          <t>No</t>
        </is>
      </c>
      <c r="N1120" s="18" t="inlineStr"/>
      <c r="O1120" s="18" t="inlineStr"/>
      <c r="P1120" s="18" t="inlineStr">
        <is>
          <t>db/migrations/old/053_create_pei_module.sql:41: Link a documento soporte (opcional)</t>
        </is>
      </c>
      <c r="Q1120" s="18" t="inlineStr">
        <is>
          <t>Código fuente</t>
        </is>
      </c>
      <c r="R1120" s="18" t="inlineStr">
        <is>
          <t>Enlace al documento soporte del avance; opcional.</t>
        </is>
      </c>
      <c r="S1120" s="18" t="inlineStr">
        <is>
          <t>Alta</t>
        </is>
      </c>
      <c r="T1120" s="18" t="inlineStr">
        <is>
          <t>código: db/migrations/old/053_create_pei_module.sql:41</t>
        </is>
      </c>
      <c r="U1120" s="18" t="inlineStr"/>
      <c r="V1120" s="19" t="inlineStr">
        <is>
          <t>Aprobada</t>
        </is>
      </c>
      <c r="W1120" s="19" t="inlineStr"/>
      <c r="X1120" s="19" t="inlineStr">
        <is>
          <t>Aldair González (aprobación en bloque)</t>
        </is>
      </c>
      <c r="Y1120" s="20" t="n">
        <v>46321</v>
      </c>
      <c r="Z1120" s="19" t="inlineStr">
        <is>
          <t>Nivel 1: propuesta del comentario del desarrollador o de confianza alta, o regla de fecha/responsable/motivo.</t>
        </is>
      </c>
      <c r="AA1120" s="18">
        <f>IF(OR(V1120="Aprobada"),R1120,IF(AND(OR(V1120="Aprobada con ajuste",V1120="Rechazada"),W1120&lt;&gt;""),W1120,""))</f>
        <v/>
      </c>
    </row>
    <row r="1121">
      <c r="A1121" s="18" t="inlineStr">
        <is>
          <t>C1120</t>
        </is>
      </c>
      <c r="B1121" s="18" t="inlineStr">
        <is>
          <t>Gestión jurídica</t>
        </is>
      </c>
      <c r="C1121" s="18" t="inlineStr">
        <is>
          <t>legal_management</t>
        </is>
      </c>
      <c r="D1121" s="18" t="inlineStr">
        <is>
          <t>pei_registros_avance</t>
        </is>
      </c>
      <c r="E1121" s="18" t="n">
        <v>24</v>
      </c>
      <c r="F1121" s="18" t="inlineStr">
        <is>
          <t>usuario_registra_id</t>
        </is>
      </c>
      <c r="G1121" s="18" t="inlineStr">
        <is>
          <t>uuid</t>
        </is>
      </c>
      <c r="H1121" s="18" t="inlineStr">
        <is>
          <t>Sí</t>
        </is>
      </c>
      <c r="I1121" s="18" t="inlineStr"/>
      <c r="J1121" s="18" t="inlineStr"/>
      <c r="K1121" s="18" t="inlineStr"/>
      <c r="L1121" s="18" t="inlineStr">
        <is>
          <t>No</t>
        </is>
      </c>
      <c r="M1121" s="18" t="inlineStr">
        <is>
          <t>No</t>
        </is>
      </c>
      <c r="N1121" s="18" t="inlineStr"/>
      <c r="O1121" s="18" t="inlineStr"/>
      <c r="P1121" s="18" t="inlineStr">
        <is>
          <t>db/migrations/old/053_create_pei_module.sql:44: Quién hizo la actualización</t>
        </is>
      </c>
      <c r="Q1121" s="18" t="inlineStr">
        <is>
          <t>Código fuente</t>
        </is>
      </c>
      <c r="R1121" s="18" t="inlineStr">
        <is>
          <t>Identificador del usuario que registró el avance.</t>
        </is>
      </c>
      <c r="S1121" s="18" t="inlineStr">
        <is>
          <t>Alta</t>
        </is>
      </c>
      <c r="T1121" s="18" t="inlineStr">
        <is>
          <t>código: db/migrations/old/053_create_pei_module.sql:44</t>
        </is>
      </c>
      <c r="U1121" s="18" t="inlineStr"/>
      <c r="V1121" s="19" t="inlineStr">
        <is>
          <t>Aprobada</t>
        </is>
      </c>
      <c r="W1121" s="19" t="inlineStr"/>
      <c r="X1121" s="19" t="inlineStr">
        <is>
          <t>Aldair González (aprobación en bloque)</t>
        </is>
      </c>
      <c r="Y1121" s="20" t="n">
        <v>46321</v>
      </c>
      <c r="Z1121" s="19" t="inlineStr">
        <is>
          <t>Nivel 1: propuesta del comentario del desarrollador o de confianza alta, o regla de fecha/responsable/motivo.</t>
        </is>
      </c>
      <c r="AA1121" s="18">
        <f>IF(OR(V1121="Aprobada"),R1121,IF(AND(OR(V1121="Aprobada con ajuste",V1121="Rechazada"),W1121&lt;&gt;""),W1121,""))</f>
        <v/>
      </c>
    </row>
    <row r="1122">
      <c r="A1122" s="18" t="inlineStr">
        <is>
          <t>C1121</t>
        </is>
      </c>
      <c r="B1122" s="18" t="inlineStr">
        <is>
          <t>Gestión jurídica</t>
        </is>
      </c>
      <c r="C1122" s="18" t="inlineStr">
        <is>
          <t>legal_management</t>
        </is>
      </c>
      <c r="D1122" s="18" t="inlineStr">
        <is>
          <t>planes_comentarios</t>
        </is>
      </c>
      <c r="E1122" s="18" t="n">
        <v>0</v>
      </c>
      <c r="F1122" s="18" t="inlineStr">
        <is>
          <t>mensaje</t>
        </is>
      </c>
      <c r="G1122" s="18" t="inlineStr">
        <is>
          <t>text</t>
        </is>
      </c>
      <c r="H1122" s="18" t="inlineStr">
        <is>
          <t>No</t>
        </is>
      </c>
      <c r="I1122" s="18" t="inlineStr"/>
      <c r="J1122" s="18" t="inlineStr"/>
      <c r="K1122" s="18" t="inlineStr"/>
      <c r="L1122" s="18" t="inlineStr">
        <is>
          <t>No</t>
        </is>
      </c>
      <c r="M1122" s="18" t="inlineStr">
        <is>
          <t>No</t>
        </is>
      </c>
      <c r="N1122" s="18" t="inlineStr"/>
      <c r="O1122" s="18" t="inlineStr"/>
      <c r="P1122" s="18" t="inlineStr">
        <is>
          <t>Mapeada en legal-management-service/src/entities/planes-mejoramiento.entity.ts:161 (PlanComentario.mensaje)</t>
        </is>
      </c>
      <c r="Q1122" s="18" t="inlineStr">
        <is>
          <t>Propuesta semántica</t>
        </is>
      </c>
      <c r="R1122" s="18" t="inlineStr">
        <is>
          <t>Texto del comentario sobre el plan de mejoramiento.</t>
        </is>
      </c>
      <c r="S1122" s="18" t="inlineStr">
        <is>
          <t>Alta</t>
        </is>
      </c>
      <c r="T1122" s="18" t="inlineStr">
        <is>
          <t>nombre + tipo + columnas vecinas</t>
        </is>
      </c>
      <c r="U1122" s="18" t="inlineStr"/>
      <c r="V1122" s="19" t="inlineStr">
        <is>
          <t>Aprobada</t>
        </is>
      </c>
      <c r="W1122" s="19" t="inlineStr"/>
      <c r="X1122" s="19" t="inlineStr">
        <is>
          <t>Aldair González (aprobación en bloque)</t>
        </is>
      </c>
      <c r="Y1122" s="20" t="n">
        <v>46321</v>
      </c>
      <c r="Z1122" s="19" t="inlineStr">
        <is>
          <t>Nivel 1: propuesta del comentario del desarrollador o de confianza alta, o regla de fecha/responsable/motivo.</t>
        </is>
      </c>
      <c r="AA1122" s="18">
        <f>IF(OR(V1122="Aprobada"),R1122,IF(AND(OR(V1122="Aprobada con ajuste",V1122="Rechazada"),W1122&lt;&gt;""),W1122,""))</f>
        <v/>
      </c>
    </row>
    <row r="1123">
      <c r="A1123" s="18" t="inlineStr">
        <is>
          <t>C1122</t>
        </is>
      </c>
      <c r="B1123" s="18" t="inlineStr">
        <is>
          <t>Gestión jurídica</t>
        </is>
      </c>
      <c r="C1123" s="18" t="inlineStr">
        <is>
          <t>legal_management</t>
        </is>
      </c>
      <c r="D1123" s="18" t="inlineStr">
        <is>
          <t>planes_comentarios</t>
        </is>
      </c>
      <c r="E1123" s="18" t="n">
        <v>0</v>
      </c>
      <c r="F1123" s="18" t="inlineStr">
        <is>
          <t>usuario_id</t>
        </is>
      </c>
      <c r="G1123" s="18" t="inlineStr">
        <is>
          <t>uuid</t>
        </is>
      </c>
      <c r="H1123" s="18" t="inlineStr">
        <is>
          <t>Sí</t>
        </is>
      </c>
      <c r="I1123" s="18" t="inlineStr"/>
      <c r="J1123" s="18" t="inlineStr"/>
      <c r="K1123" s="18" t="inlineStr"/>
      <c r="L1123" s="18" t="inlineStr">
        <is>
          <t>No</t>
        </is>
      </c>
      <c r="M1123" s="18" t="inlineStr">
        <is>
          <t>No</t>
        </is>
      </c>
      <c r="N1123" s="18" t="inlineStr"/>
      <c r="O1123" s="18" t="inlineStr"/>
      <c r="P1123" s="18" t="inlineStr">
        <is>
          <t>Mapeada en legal-management-service/src/entities/planes-mejoramiento.entity.ts:164 (PlanComentario.usuarioId) | Validación: IsOptional, IsString</t>
        </is>
      </c>
      <c r="Q1123" s="18" t="inlineStr">
        <is>
          <t>Código fuente (verificado)</t>
        </is>
      </c>
      <c r="R1123" s="18" t="inlineStr">
        <is>
          <t>Identificador del usuario que escribió el comentario, enviado por el cliente.</t>
        </is>
      </c>
      <c r="S1123" s="18" t="inlineStr">
        <is>
          <t>Media</t>
        </is>
      </c>
      <c r="T1123" s="18" t="inlineStr">
        <is>
          <t>legal-management-service/src/controllers/planes-mejoramiento.controller.ts:98: guarda el cuerpo de la petición | legal-management-service/src/services/planes-mejoramiento.service.ts:323: usuarioId tal como llega</t>
        </is>
      </c>
      <c r="U1123" s="18" t="inlineStr">
        <is>
          <t>¿Qué identificador envía el frontend: id_user de auth."user" o id_person de auth.personas?</t>
        </is>
      </c>
      <c r="V1123" s="19" t="inlineStr">
        <is>
          <t>Aprobada</t>
        </is>
      </c>
      <c r="W1123" s="19" t="inlineStr"/>
      <c r="X1123" s="19" t="inlineStr">
        <is>
          <t>Aldair González (validación del responsable de BD)</t>
        </is>
      </c>
      <c r="Y1123" s="20" t="n">
        <v>46321</v>
      </c>
      <c r="Z1123" s="19" t="inlineStr">
        <is>
          <t>Nivel 3: validada por decisión del responsable de la base de datos. Pregunta registrada para desarrollo: ¿Qué identificador envía el frontend: id_user de auth."user" o id_person de auth.personas?</t>
        </is>
      </c>
      <c r="AA1123" s="18">
        <f>IF(OR(V1123="Aprobada"),R1123,IF(AND(OR(V1123="Aprobada con ajuste",V1123="Rechazada"),W1123&lt;&gt;""),W1123,""))</f>
        <v/>
      </c>
    </row>
    <row r="1124">
      <c r="A1124" s="18" t="inlineStr">
        <is>
          <t>C1123</t>
        </is>
      </c>
      <c r="B1124" s="18" t="inlineStr">
        <is>
          <t>Gestión jurídica</t>
        </is>
      </c>
      <c r="C1124" s="18" t="inlineStr">
        <is>
          <t>legal_management</t>
        </is>
      </c>
      <c r="D1124" s="18" t="inlineStr">
        <is>
          <t>planes_evidencias</t>
        </is>
      </c>
      <c r="E1124" s="18" t="n">
        <v>14</v>
      </c>
      <c r="F1124" s="18" t="inlineStr">
        <is>
          <t>titulo</t>
        </is>
      </c>
      <c r="G1124" s="18" t="inlineStr">
        <is>
          <t>character varying(150)</t>
        </is>
      </c>
      <c r="H1124" s="18" t="inlineStr">
        <is>
          <t>No</t>
        </is>
      </c>
      <c r="I1124" s="18" t="inlineStr"/>
      <c r="J1124" s="18" t="inlineStr"/>
      <c r="K1124" s="18" t="inlineStr"/>
      <c r="L1124" s="18" t="inlineStr">
        <is>
          <t>No</t>
        </is>
      </c>
      <c r="M1124" s="18" t="inlineStr">
        <is>
          <t>No</t>
        </is>
      </c>
      <c r="N1124" s="18" t="inlineStr"/>
      <c r="O1124" s="18" t="inlineStr"/>
      <c r="P1124" s="18" t="inlineStr">
        <is>
          <t>Mapeada en legal-management-service/src/entities/planes-mejoramiento.entity.ts:106 (PlanEvidencia.titulo)</t>
        </is>
      </c>
      <c r="Q1124" s="18" t="inlineStr">
        <is>
          <t>Propuesta semántica</t>
        </is>
      </c>
      <c r="R1124" s="18" t="inlineStr">
        <is>
          <t>Título de la evidencia cargada al plan de mejoramiento.</t>
        </is>
      </c>
      <c r="S1124" s="18" t="inlineStr">
        <is>
          <t>Alta</t>
        </is>
      </c>
      <c r="T1124" s="18" t="inlineStr">
        <is>
          <t>nombre + tipo + columnas vecinas</t>
        </is>
      </c>
      <c r="U1124" s="18" t="inlineStr"/>
      <c r="V1124" s="19" t="inlineStr">
        <is>
          <t>Aprobada</t>
        </is>
      </c>
      <c r="W1124" s="19" t="inlineStr"/>
      <c r="X1124" s="19" t="inlineStr">
        <is>
          <t>Aldair González (aprobación en bloque)</t>
        </is>
      </c>
      <c r="Y1124" s="20" t="n">
        <v>46321</v>
      </c>
      <c r="Z1124" s="19" t="inlineStr">
        <is>
          <t>Nivel 1: propuesta del comentario del desarrollador o de confianza alta, o regla de fecha/responsable/motivo.</t>
        </is>
      </c>
      <c r="AA1124" s="18">
        <f>IF(OR(V1124="Aprobada"),R1124,IF(AND(OR(V1124="Aprobada con ajuste",V1124="Rechazada"),W1124&lt;&gt;""),W1124,""))</f>
        <v/>
      </c>
    </row>
    <row r="1125">
      <c r="A1125" s="18" t="inlineStr">
        <is>
          <t>C1124</t>
        </is>
      </c>
      <c r="B1125" s="18" t="inlineStr">
        <is>
          <t>Gestión jurídica</t>
        </is>
      </c>
      <c r="C1125" s="18" t="inlineStr">
        <is>
          <t>legal_management</t>
        </is>
      </c>
      <c r="D1125" s="18" t="inlineStr">
        <is>
          <t>planes_evidencias</t>
        </is>
      </c>
      <c r="E1125" s="18" t="n">
        <v>14</v>
      </c>
      <c r="F1125" s="18" t="inlineStr">
        <is>
          <t>url_archivo</t>
        </is>
      </c>
      <c r="G1125" s="18" t="inlineStr">
        <is>
          <t>text</t>
        </is>
      </c>
      <c r="H1125" s="18" t="inlineStr">
        <is>
          <t>No</t>
        </is>
      </c>
      <c r="I1125" s="18" t="inlineStr"/>
      <c r="J1125" s="18" t="inlineStr"/>
      <c r="K1125" s="18" t="inlineStr"/>
      <c r="L1125" s="18" t="inlineStr">
        <is>
          <t>No</t>
        </is>
      </c>
      <c r="M1125" s="18" t="inlineStr">
        <is>
          <t>No</t>
        </is>
      </c>
      <c r="N1125" s="18" t="inlineStr"/>
      <c r="O1125" s="18" t="inlineStr"/>
      <c r="P1125" s="18" t="inlineStr">
        <is>
          <t>Mapeada en legal-management-service/src/entities/planes-mejoramiento.entity.ts:109 (PlanEvidencia.urlArchivo)</t>
        </is>
      </c>
      <c r="Q1125" s="18" t="inlineStr">
        <is>
          <t>Propuesta semántica</t>
        </is>
      </c>
      <c r="R1125" s="18" t="inlineStr">
        <is>
          <t>URL del archivo de la evidencia.</t>
        </is>
      </c>
      <c r="S1125" s="18" t="inlineStr">
        <is>
          <t>Alta</t>
        </is>
      </c>
      <c r="T1125" s="18" t="inlineStr">
        <is>
          <t>nombre + tipo</t>
        </is>
      </c>
      <c r="U1125" s="18" t="inlineStr"/>
      <c r="V1125" s="19" t="inlineStr">
        <is>
          <t>Aprobada</t>
        </is>
      </c>
      <c r="W1125" s="19" t="inlineStr"/>
      <c r="X1125" s="19" t="inlineStr">
        <is>
          <t>Aldair González (aprobación en bloque)</t>
        </is>
      </c>
      <c r="Y1125" s="20" t="n">
        <v>46321</v>
      </c>
      <c r="Z1125" s="19" t="inlineStr">
        <is>
          <t>Nivel 1: propuesta del comentario del desarrollador o de confianza alta, o regla de fecha/responsable/motivo.</t>
        </is>
      </c>
      <c r="AA1125" s="18">
        <f>IF(OR(V1125="Aprobada"),R1125,IF(AND(OR(V1125="Aprobada con ajuste",V1125="Rechazada"),W1125&lt;&gt;""),W1125,""))</f>
        <v/>
      </c>
    </row>
    <row r="1126">
      <c r="A1126" s="18" t="inlineStr">
        <is>
          <t>C1125</t>
        </is>
      </c>
      <c r="B1126" s="18" t="inlineStr">
        <is>
          <t>Gestión jurídica</t>
        </is>
      </c>
      <c r="C1126" s="18" t="inlineStr">
        <is>
          <t>legal_management</t>
        </is>
      </c>
      <c r="D1126" s="18" t="inlineStr">
        <is>
          <t>planes_evidencias</t>
        </is>
      </c>
      <c r="E1126" s="18" t="n">
        <v>14</v>
      </c>
      <c r="F1126" s="18" t="inlineStr">
        <is>
          <t>tipo_archivo</t>
        </is>
      </c>
      <c r="G1126" s="18" t="inlineStr">
        <is>
          <t>character varying(255)</t>
        </is>
      </c>
      <c r="H1126" s="18" t="inlineStr">
        <is>
          <t>Sí</t>
        </is>
      </c>
      <c r="I1126" s="18" t="inlineStr"/>
      <c r="J1126" s="18" t="inlineStr"/>
      <c r="K1126" s="18" t="inlineStr"/>
      <c r="L1126" s="18" t="inlineStr">
        <is>
          <t>No</t>
        </is>
      </c>
      <c r="M1126" s="18" t="inlineStr">
        <is>
          <t>No</t>
        </is>
      </c>
      <c r="N1126" s="18" t="inlineStr"/>
      <c r="O1126" s="18" t="inlineStr"/>
      <c r="P1126" s="18" t="inlineStr">
        <is>
          <t>Mapeada en legal-management-service/src/entities/planes-mejoramiento.entity.ts:112 (PlanEvidencia.tipoArchivo)</t>
        </is>
      </c>
      <c r="Q1126" s="18" t="inlineStr">
        <is>
          <t>Código fuente (verificado)</t>
        </is>
      </c>
      <c r="R1126" s="18" t="inlineStr">
        <is>
          <t>Tipo MIME del archivo de la evidencia, tomado del archivo cargado.</t>
        </is>
      </c>
      <c r="S1126" s="18" t="inlineStr">
        <is>
          <t>Alta</t>
        </is>
      </c>
      <c r="T1126" s="18" t="inlineStr">
        <is>
          <t>backend/legal-management-service/src/services/planes-mejoramiento.service.ts:251 tipoArchivo = file.mimetype al cargar documento | backend/legal-management-service/src/services/planes-mejoramiento.service.ts:281 mismo valor al cargar soporte de un seguimiento</t>
        </is>
      </c>
      <c r="U1126" s="18" t="inlineStr"/>
      <c r="V1126" s="19" t="inlineStr">
        <is>
          <t>Aprobada</t>
        </is>
      </c>
      <c r="W1126" s="19" t="inlineStr"/>
      <c r="X1126" s="19" t="inlineStr">
        <is>
          <t>Aldair González (aprobación en bloque)</t>
        </is>
      </c>
      <c r="Y1126" s="20" t="n">
        <v>46321</v>
      </c>
      <c r="Z1126" s="19" t="inlineStr">
        <is>
          <t>Nivel 3: verificada con el código de la aplicación.</t>
        </is>
      </c>
      <c r="AA1126" s="18">
        <f>IF(OR(V1126="Aprobada"),R1126,IF(AND(OR(V1126="Aprobada con ajuste",V1126="Rechazada"),W1126&lt;&gt;""),W1126,""))</f>
        <v/>
      </c>
    </row>
    <row r="1127">
      <c r="A1127" s="18" t="inlineStr">
        <is>
          <t>C1126</t>
        </is>
      </c>
      <c r="B1127" s="18" t="inlineStr">
        <is>
          <t>Gestión jurídica</t>
        </is>
      </c>
      <c r="C1127" s="18" t="inlineStr">
        <is>
          <t>legal_management</t>
        </is>
      </c>
      <c r="D1127" s="18" t="inlineStr">
        <is>
          <t>planes_evidencias</t>
        </is>
      </c>
      <c r="E1127" s="18" t="n">
        <v>14</v>
      </c>
      <c r="F1127" s="18" t="inlineStr">
        <is>
          <t>uploaded_by</t>
        </is>
      </c>
      <c r="G1127" s="18" t="inlineStr">
        <is>
          <t>character varying(255)</t>
        </is>
      </c>
      <c r="H1127" s="18" t="inlineStr">
        <is>
          <t>Sí</t>
        </is>
      </c>
      <c r="I1127" s="18" t="inlineStr"/>
      <c r="J1127" s="18" t="inlineStr"/>
      <c r="K1127" s="18" t="inlineStr"/>
      <c r="L1127" s="18" t="inlineStr">
        <is>
          <t>No</t>
        </is>
      </c>
      <c r="M1127" s="18" t="inlineStr">
        <is>
          <t>No</t>
        </is>
      </c>
      <c r="N1127" s="18" t="inlineStr"/>
      <c r="O1127" s="18" t="inlineStr"/>
      <c r="P1127" s="18" t="inlineStr">
        <is>
          <t>Mapeada en legal-management-service/src/entities/planes-mejoramiento.entity.ts:115 (PlanEvidencia.uploadedBy)</t>
        </is>
      </c>
      <c r="Q1127" s="18" t="inlineStr">
        <is>
          <t>Código fuente (verificado)</t>
        </is>
      </c>
      <c r="R1127" s="18" t="inlineStr">
        <is>
          <t>Usuario que cargó la evidencia. Si no se informa, se registra «Sistema».</t>
        </is>
      </c>
      <c r="S1127" s="18" t="inlineStr">
        <is>
          <t>Media</t>
        </is>
      </c>
      <c r="T1127" s="18" t="inlineStr">
        <is>
          <t>backend/legal-management-service/src/services/planes-mejoramiento.service.ts:252 uploadedBy = valor enviado o «Sistema» | backend/legal-management-service/src/services/planes-mejoramiento.service.ts:282 uploadedBy = uploadedBy, usuarioId o «Sistema» | backend/legal-management-service/src/controllers/planes-mejoramiento.controller.ts:59 toma body.uploadedBy sin validar formato</t>
        </is>
      </c>
      <c r="U1127" s="18" t="inlineStr">
        <is>
          <t>¿Qué envía el frontend en uploadedBy: nombre, correo o identificador del usuario? Cuando falta, se usa usuarioId (identificador), así que el campo puede mezclar formatos.</t>
        </is>
      </c>
      <c r="V1127" s="19" t="inlineStr">
        <is>
          <t>Aprobada</t>
        </is>
      </c>
      <c r="W1127" s="19" t="inlineStr"/>
      <c r="X1127" s="19" t="inlineStr">
        <is>
          <t>Aldair González (validación del responsable de BD)</t>
        </is>
      </c>
      <c r="Y1127" s="20" t="n">
        <v>46321</v>
      </c>
      <c r="Z1127" s="19" t="inlineStr">
        <is>
          <t>Nivel 3: validada por decisión del responsable de la base de datos. Pregunta registrada para desarrollo: ¿Qué envía el frontend en uploadedBy: nombre, correo o identificador del usuario? Cuando falta, se usa usuarioId (identificador), así que el campo puede mezclar formatos.</t>
        </is>
      </c>
      <c r="AA1127" s="18">
        <f>IF(OR(V1127="Aprobada"),R1127,IF(AND(OR(V1127="Aprobada con ajuste",V1127="Rechazada"),W1127&lt;&gt;""),W1127,""))</f>
        <v/>
      </c>
    </row>
    <row r="1128">
      <c r="A1128" s="18" t="inlineStr">
        <is>
          <t>C1127</t>
        </is>
      </c>
      <c r="B1128" s="18" t="inlineStr">
        <is>
          <t>Gestión jurídica</t>
        </is>
      </c>
      <c r="C1128" s="18" t="inlineStr">
        <is>
          <t>legal_management</t>
        </is>
      </c>
      <c r="D1128" s="18" t="inlineStr">
        <is>
          <t>planes_hallazgos</t>
        </is>
      </c>
      <c r="E1128" s="18" t="n">
        <v>4</v>
      </c>
      <c r="F1128" s="18" t="inlineStr">
        <is>
          <t>nombre</t>
        </is>
      </c>
      <c r="G1128" s="18" t="inlineStr">
        <is>
          <t>character varying(255)</t>
        </is>
      </c>
      <c r="H1128" s="18" t="inlineStr">
        <is>
          <t>No</t>
        </is>
      </c>
      <c r="I1128" s="18" t="inlineStr"/>
      <c r="J1128" s="18" t="inlineStr"/>
      <c r="K1128" s="18" t="inlineStr"/>
      <c r="L1128" s="18" t="inlineStr">
        <is>
          <t>No</t>
        </is>
      </c>
      <c r="M1128" s="18" t="inlineStr">
        <is>
          <t>No</t>
        </is>
      </c>
      <c r="N1128" s="18" t="inlineStr"/>
      <c r="O1128" s="18" t="inlineStr"/>
      <c r="P1128" s="18" t="inlineStr">
        <is>
          <t>Mapeada en legal-management-service/src/entities/plan-hallazgo.entity.ts:22 (PlanHallazgo.nombre)</t>
        </is>
      </c>
      <c r="Q1128" s="18" t="inlineStr">
        <is>
          <t>Regla estructural (redacción revisada)</t>
        </is>
      </c>
      <c r="R1128" s="18" t="inlineStr">
        <is>
          <t>Nombre del hallazgo asociado al plan.</t>
        </is>
      </c>
      <c r="S1128" s="18" t="inlineStr">
        <is>
          <t>Alta</t>
        </is>
      </c>
      <c r="T1128" s="18" t="inlineStr">
        <is>
          <t>Convención de nombre, redactada con el contexto de la tabla y el código.</t>
        </is>
      </c>
      <c r="U1128" s="18" t="inlineStr"/>
      <c r="V1128" s="19" t="inlineStr">
        <is>
          <t>Aprobada</t>
        </is>
      </c>
      <c r="W1128" s="19" t="inlineStr"/>
      <c r="X1128" s="19" t="inlineStr">
        <is>
          <t>Aldair González (aprobación en bloque)</t>
        </is>
      </c>
      <c r="Y1128" s="20" t="n">
        <v>46321</v>
      </c>
      <c r="Z1128" s="19" t="inlineStr">
        <is>
          <t>Nivel 2: regla estructural con redacción revisada.</t>
        </is>
      </c>
      <c r="AA1128" s="18">
        <f>IF(OR(V1128="Aprobada"),R1128,IF(AND(OR(V1128="Aprobada con ajuste",V1128="Rechazada"),W1128&lt;&gt;""),W1128,""))</f>
        <v/>
      </c>
    </row>
    <row r="1129">
      <c r="A1129" s="18" t="inlineStr">
        <is>
          <t>C1128</t>
        </is>
      </c>
      <c r="B1129" s="18" t="inlineStr">
        <is>
          <t>Gestión jurídica</t>
        </is>
      </c>
      <c r="C1129" s="18" t="inlineStr">
        <is>
          <t>legal_management</t>
        </is>
      </c>
      <c r="D1129" s="18" t="inlineStr">
        <is>
          <t>planes_hallazgos</t>
        </is>
      </c>
      <c r="E1129" s="18" t="n">
        <v>4</v>
      </c>
      <c r="F1129" s="18" t="inlineStr">
        <is>
          <t>descripcion</t>
        </is>
      </c>
      <c r="G1129" s="18" t="inlineStr">
        <is>
          <t>text</t>
        </is>
      </c>
      <c r="H1129" s="18" t="inlineStr">
        <is>
          <t>Sí</t>
        </is>
      </c>
      <c r="I1129" s="18" t="inlineStr"/>
      <c r="J1129" s="18" t="inlineStr"/>
      <c r="K1129" s="18" t="inlineStr"/>
      <c r="L1129" s="18" t="inlineStr">
        <is>
          <t>No</t>
        </is>
      </c>
      <c r="M1129" s="18" t="inlineStr">
        <is>
          <t>No</t>
        </is>
      </c>
      <c r="N1129" s="18" t="inlineStr"/>
      <c r="O1129" s="18" t="inlineStr"/>
      <c r="P1129" s="18" t="inlineStr">
        <is>
          <t>Mapeada en legal-management-service/src/entities/plan-hallazgo.entity.ts:25 (PlanHallazgo.descripcion)</t>
        </is>
      </c>
      <c r="Q1129" s="18" t="inlineStr">
        <is>
          <t>Regla estructural (redacción revisada)</t>
        </is>
      </c>
      <c r="R1129" s="18" t="inlineStr">
        <is>
          <t>Descripción del hallazgo asociado al plan.</t>
        </is>
      </c>
      <c r="S1129" s="18" t="inlineStr">
        <is>
          <t>Alta</t>
        </is>
      </c>
      <c r="T1129" s="18" t="inlineStr">
        <is>
          <t>Convención de nombre, redactada con el contexto de la tabla y el código.</t>
        </is>
      </c>
      <c r="U1129" s="18" t="inlineStr"/>
      <c r="V1129" s="19" t="inlineStr">
        <is>
          <t>Aprobada</t>
        </is>
      </c>
      <c r="W1129" s="19" t="inlineStr"/>
      <c r="X1129" s="19" t="inlineStr">
        <is>
          <t>Aldair González (aprobación en bloque)</t>
        </is>
      </c>
      <c r="Y1129" s="20" t="n">
        <v>46321</v>
      </c>
      <c r="Z1129" s="19" t="inlineStr">
        <is>
          <t>Nivel 2: regla estructural con redacción revisada.</t>
        </is>
      </c>
      <c r="AA1129" s="18">
        <f>IF(OR(V1129="Aprobada"),R1129,IF(AND(OR(V1129="Aprobada con ajuste",V1129="Rechazada"),W1129&lt;&gt;""),W1129,""))</f>
        <v/>
      </c>
    </row>
    <row r="1130">
      <c r="A1130" s="18" t="inlineStr">
        <is>
          <t>C1129</t>
        </is>
      </c>
      <c r="B1130" s="18" t="inlineStr">
        <is>
          <t>Gestión jurídica</t>
        </is>
      </c>
      <c r="C1130" s="18" t="inlineStr">
        <is>
          <t>legal_management</t>
        </is>
      </c>
      <c r="D1130" s="18" t="inlineStr">
        <is>
          <t>planes_hallazgos</t>
        </is>
      </c>
      <c r="E1130" s="18" t="n">
        <v>4</v>
      </c>
      <c r="F1130" s="18" t="inlineStr">
        <is>
          <t>porcentaje_avance</t>
        </is>
      </c>
      <c r="G1130" s="18" t="inlineStr">
        <is>
          <t>integer</t>
        </is>
      </c>
      <c r="H1130" s="18" t="inlineStr">
        <is>
          <t>No</t>
        </is>
      </c>
      <c r="I1130" s="18" t="inlineStr">
        <is>
          <t>CHECK</t>
        </is>
      </c>
      <c r="J1130" s="18" t="inlineStr"/>
      <c r="K1130" s="18" t="inlineStr"/>
      <c r="L1130" s="18" t="inlineStr">
        <is>
          <t>No</t>
        </is>
      </c>
      <c r="M1130" s="18" t="inlineStr">
        <is>
          <t>No</t>
        </is>
      </c>
      <c r="N1130" s="18" t="inlineStr"/>
      <c r="O1130" s="18" t="inlineStr"/>
      <c r="P1130" s="18" t="inlineStr">
        <is>
          <t>Mapeada en legal-management-service/src/entities/plan-hallazgo.entity.ts:28 (PlanHallazgo.porcentajeAvance)</t>
        </is>
      </c>
      <c r="Q1130" s="18" t="inlineStr">
        <is>
          <t>Propuesta semántica</t>
        </is>
      </c>
      <c r="R1130" s="18" t="inlineStr">
        <is>
          <t>Porcentaje de avance del hallazgo o acción de mejora (0 a 100). El avance global del plan es el promedio de los avances de sus hallazgos. Por defecto, 0.</t>
        </is>
      </c>
      <c r="S1130" s="18" t="inlineStr">
        <is>
          <t>Alta</t>
        </is>
      </c>
      <c r="T1130" s="18" t="inlineStr">
        <is>
          <t>documentación de la entidad en el código</t>
        </is>
      </c>
      <c r="U1130" s="18" t="inlineStr"/>
      <c r="V1130" s="19" t="inlineStr">
        <is>
          <t>Aprobada</t>
        </is>
      </c>
      <c r="W1130" s="19" t="inlineStr"/>
      <c r="X1130" s="19" t="inlineStr">
        <is>
          <t>Aldair González (aprobación en bloque)</t>
        </is>
      </c>
      <c r="Y1130" s="20" t="n">
        <v>46321</v>
      </c>
      <c r="Z1130" s="19" t="inlineStr">
        <is>
          <t>Nivel 1: propuesta del comentario del desarrollador o de confianza alta, o regla de fecha/responsable/motivo.</t>
        </is>
      </c>
      <c r="AA1130" s="18">
        <f>IF(OR(V1130="Aprobada"),R1130,IF(AND(OR(V1130="Aprobada con ajuste",V1130="Rechazada"),W1130&lt;&gt;""),W1130,""))</f>
        <v/>
      </c>
    </row>
    <row r="1131">
      <c r="A1131" s="18" t="inlineStr">
        <is>
          <t>C1130</t>
        </is>
      </c>
      <c r="B1131" s="18" t="inlineStr">
        <is>
          <t>Gestión jurídica</t>
        </is>
      </c>
      <c r="C1131" s="18" t="inlineStr">
        <is>
          <t>legal_management</t>
        </is>
      </c>
      <c r="D1131" s="18" t="inlineStr">
        <is>
          <t>planes_hallazgos</t>
        </is>
      </c>
      <c r="E1131" s="18" t="n">
        <v>4</v>
      </c>
      <c r="F1131" s="18" t="inlineStr">
        <is>
          <t>archivo_url</t>
        </is>
      </c>
      <c r="G1131" s="18" t="inlineStr">
        <is>
          <t>text</t>
        </is>
      </c>
      <c r="H1131" s="18" t="inlineStr">
        <is>
          <t>Sí</t>
        </is>
      </c>
      <c r="I1131" s="18" t="inlineStr"/>
      <c r="J1131" s="18" t="inlineStr"/>
      <c r="K1131" s="18" t="inlineStr"/>
      <c r="L1131" s="18" t="inlineStr">
        <is>
          <t>No</t>
        </is>
      </c>
      <c r="M1131" s="18" t="inlineStr">
        <is>
          <t>No</t>
        </is>
      </c>
      <c r="N1131" s="18" t="inlineStr"/>
      <c r="O1131" s="18" t="inlineStr"/>
      <c r="P1131" s="18" t="inlineStr">
        <is>
          <t>Mapeada en legal-management-service/src/entities/plan-hallazgo.entity.ts:31 (PlanHallazgo.archivoUrl)</t>
        </is>
      </c>
      <c r="Q1131" s="18" t="inlineStr">
        <is>
          <t>Propuesta semántica</t>
        </is>
      </c>
      <c r="R1131" s="18" t="inlineStr">
        <is>
          <t>URL del archivo de soporte del hallazgo.</t>
        </is>
      </c>
      <c r="S1131" s="18" t="inlineStr">
        <is>
          <t>Alta</t>
        </is>
      </c>
      <c r="T1131" s="18" t="inlineStr">
        <is>
          <t>nombre + tipo + columnas vecinas</t>
        </is>
      </c>
      <c r="U1131" s="18" t="inlineStr"/>
      <c r="V1131" s="19" t="inlineStr">
        <is>
          <t>Aprobada</t>
        </is>
      </c>
      <c r="W1131" s="19" t="inlineStr"/>
      <c r="X1131" s="19" t="inlineStr">
        <is>
          <t>Aldair González (aprobación en bloque)</t>
        </is>
      </c>
      <c r="Y1131" s="20" t="n">
        <v>46321</v>
      </c>
      <c r="Z1131" s="19" t="inlineStr">
        <is>
          <t>Nivel 1: propuesta del comentario del desarrollador o de confianza alta, o regla de fecha/responsable/motivo.</t>
        </is>
      </c>
      <c r="AA1131" s="18">
        <f>IF(OR(V1131="Aprobada"),R1131,IF(AND(OR(V1131="Aprobada con ajuste",V1131="Rechazada"),W1131&lt;&gt;""),W1131,""))</f>
        <v/>
      </c>
    </row>
    <row r="1132">
      <c r="A1132" s="18" t="inlineStr">
        <is>
          <t>C1131</t>
        </is>
      </c>
      <c r="B1132" s="18" t="inlineStr">
        <is>
          <t>Gestión jurídica</t>
        </is>
      </c>
      <c r="C1132" s="18" t="inlineStr">
        <is>
          <t>legal_management</t>
        </is>
      </c>
      <c r="D1132" s="18" t="inlineStr">
        <is>
          <t>planes_hallazgos</t>
        </is>
      </c>
      <c r="E1132" s="18" t="n">
        <v>4</v>
      </c>
      <c r="F1132" s="18" t="inlineStr">
        <is>
          <t>archivo_nombre</t>
        </is>
      </c>
      <c r="G1132" s="18" t="inlineStr">
        <is>
          <t>character varying(255)</t>
        </is>
      </c>
      <c r="H1132" s="18" t="inlineStr">
        <is>
          <t>Sí</t>
        </is>
      </c>
      <c r="I1132" s="18" t="inlineStr"/>
      <c r="J1132" s="18" t="inlineStr"/>
      <c r="K1132" s="18" t="inlineStr"/>
      <c r="L1132" s="18" t="inlineStr">
        <is>
          <t>No</t>
        </is>
      </c>
      <c r="M1132" s="18" t="inlineStr">
        <is>
          <t>No</t>
        </is>
      </c>
      <c r="N1132" s="18" t="inlineStr"/>
      <c r="O1132" s="18" t="inlineStr"/>
      <c r="P1132" s="18" t="inlineStr">
        <is>
          <t>Mapeada en legal-management-service/src/entities/plan-hallazgo.entity.ts:34 (PlanHallazgo.archivoNombre)</t>
        </is>
      </c>
      <c r="Q1132" s="18" t="inlineStr">
        <is>
          <t>Propuesta semántica</t>
        </is>
      </c>
      <c r="R1132" s="18" t="inlineStr">
        <is>
          <t>Nombre del archivo de soporte del hallazgo.</t>
        </is>
      </c>
      <c r="S1132" s="18" t="inlineStr">
        <is>
          <t>Alta</t>
        </is>
      </c>
      <c r="T1132" s="18" t="inlineStr">
        <is>
          <t>nombre + tipo + columnas vecinas</t>
        </is>
      </c>
      <c r="U1132" s="18" t="inlineStr"/>
      <c r="V1132" s="19" t="inlineStr">
        <is>
          <t>Aprobada</t>
        </is>
      </c>
      <c r="W1132" s="19" t="inlineStr"/>
      <c r="X1132" s="19" t="inlineStr">
        <is>
          <t>Aldair González (aprobación en bloque)</t>
        </is>
      </c>
      <c r="Y1132" s="20" t="n">
        <v>46321</v>
      </c>
      <c r="Z1132" s="19" t="inlineStr">
        <is>
          <t>Nivel 1: propuesta del comentario del desarrollador o de confianza alta, o regla de fecha/responsable/motivo.</t>
        </is>
      </c>
      <c r="AA1132" s="18">
        <f>IF(OR(V1132="Aprobada"),R1132,IF(AND(OR(V1132="Aprobada con ajuste",V1132="Rechazada"),W1132&lt;&gt;""),W1132,""))</f>
        <v/>
      </c>
    </row>
    <row r="1133">
      <c r="A1133" s="18" t="inlineStr">
        <is>
          <t>C1132</t>
        </is>
      </c>
      <c r="B1133" s="18" t="inlineStr">
        <is>
          <t>Gestión jurídica</t>
        </is>
      </c>
      <c r="C1133" s="18" t="inlineStr">
        <is>
          <t>legal_management</t>
        </is>
      </c>
      <c r="D1133" s="18" t="inlineStr">
        <is>
          <t>planes_hallazgos</t>
        </is>
      </c>
      <c r="E1133" s="18" t="n">
        <v>4</v>
      </c>
      <c r="F1133" s="18" t="inlineStr">
        <is>
          <t>archivo_mime</t>
        </is>
      </c>
      <c r="G1133" s="18" t="inlineStr">
        <is>
          <t>character varying(100)</t>
        </is>
      </c>
      <c r="H1133" s="18" t="inlineStr">
        <is>
          <t>Sí</t>
        </is>
      </c>
      <c r="I1133" s="18" t="inlineStr"/>
      <c r="J1133" s="18" t="inlineStr"/>
      <c r="K1133" s="18" t="inlineStr"/>
      <c r="L1133" s="18" t="inlineStr">
        <is>
          <t>No</t>
        </is>
      </c>
      <c r="M1133" s="18" t="inlineStr">
        <is>
          <t>No</t>
        </is>
      </c>
      <c r="N1133" s="18" t="inlineStr"/>
      <c r="O1133" s="18" t="inlineStr"/>
      <c r="P1133" s="18" t="inlineStr">
        <is>
          <t>Mapeada en legal-management-service/src/entities/plan-hallazgo.entity.ts:37 (PlanHallazgo.archivoMime)</t>
        </is>
      </c>
      <c r="Q1133" s="18" t="inlineStr">
        <is>
          <t>Propuesta semántica</t>
        </is>
      </c>
      <c r="R1133" s="18" t="inlineStr">
        <is>
          <t>Tipo MIME del archivo de soporte del hallazgo.</t>
        </is>
      </c>
      <c r="S1133" s="18" t="inlineStr">
        <is>
          <t>Alta</t>
        </is>
      </c>
      <c r="T1133" s="18" t="inlineStr">
        <is>
          <t>nombre + tipo + columnas vecinas</t>
        </is>
      </c>
      <c r="U1133" s="18" t="inlineStr"/>
      <c r="V1133" s="19" t="inlineStr">
        <is>
          <t>Aprobada</t>
        </is>
      </c>
      <c r="W1133" s="19" t="inlineStr"/>
      <c r="X1133" s="19" t="inlineStr">
        <is>
          <t>Aldair González (aprobación en bloque)</t>
        </is>
      </c>
      <c r="Y1133" s="20" t="n">
        <v>46321</v>
      </c>
      <c r="Z1133" s="19" t="inlineStr">
        <is>
          <t>Nivel 1: propuesta del comentario del desarrollador o de confianza alta, o regla de fecha/responsable/motivo.</t>
        </is>
      </c>
      <c r="AA1133" s="18">
        <f>IF(OR(V1133="Aprobada"),R1133,IF(AND(OR(V1133="Aprobada con ajuste",V1133="Rechazada"),W1133&lt;&gt;""),W1133,""))</f>
        <v/>
      </c>
    </row>
    <row r="1134">
      <c r="A1134" s="18" t="inlineStr">
        <is>
          <t>C1133</t>
        </is>
      </c>
      <c r="B1134" s="18" t="inlineStr">
        <is>
          <t>Gestión jurídica</t>
        </is>
      </c>
      <c r="C1134" s="18" t="inlineStr">
        <is>
          <t>legal_management</t>
        </is>
      </c>
      <c r="D1134" s="18" t="inlineStr">
        <is>
          <t>planes_mejoramiento</t>
        </is>
      </c>
      <c r="E1134" s="18" t="n">
        <v>22</v>
      </c>
      <c r="F1134" s="18" t="inlineStr">
        <is>
          <t>codigo</t>
        </is>
      </c>
      <c r="G1134" s="18" t="inlineStr">
        <is>
          <t>character varying(50)</t>
        </is>
      </c>
      <c r="H1134" s="18" t="inlineStr">
        <is>
          <t>No</t>
        </is>
      </c>
      <c r="I1134" s="18" t="inlineStr">
        <is>
          <t>Única</t>
        </is>
      </c>
      <c r="J1134" s="18" t="inlineStr"/>
      <c r="K1134" s="18" t="inlineStr"/>
      <c r="L1134" s="18" t="inlineStr">
        <is>
          <t>No</t>
        </is>
      </c>
      <c r="M1134" s="18" t="inlineStr">
        <is>
          <t>No</t>
        </is>
      </c>
      <c r="N1134" s="18" t="inlineStr"/>
      <c r="O1134" s="18" t="inlineStr">
        <is>
          <t>planes_mejoramiento_codigo_key</t>
        </is>
      </c>
      <c r="P1134" s="18" t="inlineStr">
        <is>
          <t>Mapeada en legal-management-service/src/entities/planes-mejoramiento.entity.ts:10 (PlanMejoramiento.codigo)</t>
        </is>
      </c>
      <c r="Q1134" s="18" t="inlineStr">
        <is>
          <t>Regla estructural (redacción revisada)</t>
        </is>
      </c>
      <c r="R1134" s="18" t="inlineStr">
        <is>
          <t>Código del plan de mejoramiento, único en la tabla.</t>
        </is>
      </c>
      <c r="S1134" s="18" t="inlineStr">
        <is>
          <t>Alta</t>
        </is>
      </c>
      <c r="T1134" s="18" t="inlineStr">
        <is>
          <t>Convención de nombre, redactada con el contexto de la tabla y el código.</t>
        </is>
      </c>
      <c r="U1134" s="18" t="inlineStr"/>
      <c r="V1134" s="19" t="inlineStr">
        <is>
          <t>Aprobada</t>
        </is>
      </c>
      <c r="W1134" s="19" t="inlineStr"/>
      <c r="X1134" s="19" t="inlineStr">
        <is>
          <t>Aldair González (aprobación en bloque)</t>
        </is>
      </c>
      <c r="Y1134" s="20" t="n">
        <v>46321</v>
      </c>
      <c r="Z1134" s="19" t="inlineStr">
        <is>
          <t>Nivel 2: regla estructural con redacción revisada.</t>
        </is>
      </c>
      <c r="AA1134" s="18">
        <f>IF(OR(V1134="Aprobada"),R1134,IF(AND(OR(V1134="Aprobada con ajuste",V1134="Rechazada"),W1134&lt;&gt;""),W1134,""))</f>
        <v/>
      </c>
    </row>
    <row r="1135">
      <c r="A1135" s="18" t="inlineStr">
        <is>
          <t>C1134</t>
        </is>
      </c>
      <c r="B1135" s="18" t="inlineStr">
        <is>
          <t>Gestión jurídica</t>
        </is>
      </c>
      <c r="C1135" s="18" t="inlineStr">
        <is>
          <t>legal_management</t>
        </is>
      </c>
      <c r="D1135" s="18" t="inlineStr">
        <is>
          <t>planes_mejoramiento</t>
        </is>
      </c>
      <c r="E1135" s="18" t="n">
        <v>22</v>
      </c>
      <c r="F1135" s="18" t="inlineStr">
        <is>
          <t>titulo</t>
        </is>
      </c>
      <c r="G1135" s="18" t="inlineStr">
        <is>
          <t>character varying(255)</t>
        </is>
      </c>
      <c r="H1135" s="18" t="inlineStr">
        <is>
          <t>No</t>
        </is>
      </c>
      <c r="I1135" s="18" t="inlineStr"/>
      <c r="J1135" s="18" t="inlineStr"/>
      <c r="K1135" s="18" t="inlineStr"/>
      <c r="L1135" s="18" t="inlineStr">
        <is>
          <t>No</t>
        </is>
      </c>
      <c r="M1135" s="18" t="inlineStr">
        <is>
          <t>No</t>
        </is>
      </c>
      <c r="N1135" s="18" t="inlineStr"/>
      <c r="O1135" s="18" t="inlineStr"/>
      <c r="P1135" s="18" t="inlineStr">
        <is>
          <t>Mapeada en legal-management-service/src/entities/planes-mejoramiento.entity.ts:13 (PlanMejoramiento.titulo)</t>
        </is>
      </c>
      <c r="Q1135" s="18" t="inlineStr">
        <is>
          <t>Propuesta semántica</t>
        </is>
      </c>
      <c r="R1135" s="18" t="inlineStr">
        <is>
          <t>Título del plan de mejoramiento.</t>
        </is>
      </c>
      <c r="S1135" s="18" t="inlineStr">
        <is>
          <t>Alta</t>
        </is>
      </c>
      <c r="T1135" s="18" t="inlineStr">
        <is>
          <t>nombre + tipo</t>
        </is>
      </c>
      <c r="U1135" s="18" t="inlineStr"/>
      <c r="V1135" s="19" t="inlineStr">
        <is>
          <t>Aprobada</t>
        </is>
      </c>
      <c r="W1135" s="19" t="inlineStr"/>
      <c r="X1135" s="19" t="inlineStr">
        <is>
          <t>Aldair González (aprobación en bloque)</t>
        </is>
      </c>
      <c r="Y1135" s="20" t="n">
        <v>46321</v>
      </c>
      <c r="Z1135" s="19" t="inlineStr">
        <is>
          <t>Nivel 1: propuesta del comentario del desarrollador o de confianza alta, o regla de fecha/responsable/motivo.</t>
        </is>
      </c>
      <c r="AA1135" s="18">
        <f>IF(OR(V1135="Aprobada"),R1135,IF(AND(OR(V1135="Aprobada con ajuste",V1135="Rechazada"),W1135&lt;&gt;""),W1135,""))</f>
        <v/>
      </c>
    </row>
    <row r="1136">
      <c r="A1136" s="18" t="inlineStr">
        <is>
          <t>C1135</t>
        </is>
      </c>
      <c r="B1136" s="18" t="inlineStr">
        <is>
          <t>Gestión jurídica</t>
        </is>
      </c>
      <c r="C1136" s="18" t="inlineStr">
        <is>
          <t>legal_management</t>
        </is>
      </c>
      <c r="D1136" s="18" t="inlineStr">
        <is>
          <t>planes_mejoramiento</t>
        </is>
      </c>
      <c r="E1136" s="18" t="n">
        <v>22</v>
      </c>
      <c r="F1136" s="18" t="inlineStr">
        <is>
          <t>descripcion</t>
        </is>
      </c>
      <c r="G1136" s="18" t="inlineStr">
        <is>
          <t>text</t>
        </is>
      </c>
      <c r="H1136" s="18" t="inlineStr">
        <is>
          <t>Sí</t>
        </is>
      </c>
      <c r="I1136" s="18" t="inlineStr"/>
      <c r="J1136" s="18" t="inlineStr"/>
      <c r="K1136" s="18" t="inlineStr"/>
      <c r="L1136" s="18" t="inlineStr">
        <is>
          <t>No</t>
        </is>
      </c>
      <c r="M1136" s="18" t="inlineStr">
        <is>
          <t>No</t>
        </is>
      </c>
      <c r="N1136" s="18" t="inlineStr"/>
      <c r="O1136" s="18" t="inlineStr"/>
      <c r="P1136" s="18" t="inlineStr">
        <is>
          <t>Mapeada en legal-management-service/src/entities/planes-mejoramiento.entity.ts:16 (PlanMejoramiento.descripcion)</t>
        </is>
      </c>
      <c r="Q1136" s="18" t="inlineStr">
        <is>
          <t>Regla estructural (redacción revisada)</t>
        </is>
      </c>
      <c r="R1136" s="18" t="inlineStr">
        <is>
          <t>Descripción del plan de mejoramiento.</t>
        </is>
      </c>
      <c r="S1136" s="18" t="inlineStr">
        <is>
          <t>Alta</t>
        </is>
      </c>
      <c r="T1136" s="18" t="inlineStr">
        <is>
          <t>Convención de nombre, redactada con el contexto de la tabla y el código.</t>
        </is>
      </c>
      <c r="U1136" s="18" t="inlineStr"/>
      <c r="V1136" s="19" t="inlineStr">
        <is>
          <t>Aprobada</t>
        </is>
      </c>
      <c r="W1136" s="19" t="inlineStr"/>
      <c r="X1136" s="19" t="inlineStr">
        <is>
          <t>Aldair González (aprobación en bloque)</t>
        </is>
      </c>
      <c r="Y1136" s="20" t="n">
        <v>46321</v>
      </c>
      <c r="Z1136" s="19" t="inlineStr">
        <is>
          <t>Nivel 2: regla estructural con redacción revisada.</t>
        </is>
      </c>
      <c r="AA1136" s="18">
        <f>IF(OR(V1136="Aprobada"),R1136,IF(AND(OR(V1136="Aprobada con ajuste",V1136="Rechazada"),W1136&lt;&gt;""),W1136,""))</f>
        <v/>
      </c>
    </row>
    <row r="1137">
      <c r="A1137" s="18" t="inlineStr">
        <is>
          <t>C1136</t>
        </is>
      </c>
      <c r="B1137" s="18" t="inlineStr">
        <is>
          <t>Gestión jurídica</t>
        </is>
      </c>
      <c r="C1137" s="18" t="inlineStr">
        <is>
          <t>legal_management</t>
        </is>
      </c>
      <c r="D1137" s="18" t="inlineStr">
        <is>
          <t>planes_mejoramiento</t>
        </is>
      </c>
      <c r="E1137" s="18" t="n">
        <v>22</v>
      </c>
      <c r="F1137" s="18" t="inlineStr">
        <is>
          <t>origen</t>
        </is>
      </c>
      <c r="G1137" s="18" t="inlineStr">
        <is>
          <t>character varying(50)</t>
        </is>
      </c>
      <c r="H1137" s="18" t="inlineStr">
        <is>
          <t>No</t>
        </is>
      </c>
      <c r="I1137" s="18" t="inlineStr">
        <is>
          <t>CHECK</t>
        </is>
      </c>
      <c r="J1137" s="18" t="inlineStr">
        <is>
          <t>AUDITORIA_EXTERNA, AUTOEVALUACION, CONTRALORIA, HALLAZGO_AUDITORIA, OCI, OTRO, PROCURADURIA, RIESGO</t>
        </is>
      </c>
      <c r="K1137" s="18" t="inlineStr"/>
      <c r="L1137" s="18" t="inlineStr">
        <is>
          <t>Sí</t>
        </is>
      </c>
      <c r="M1137" s="18" t="inlineStr">
        <is>
          <t>No</t>
        </is>
      </c>
      <c r="N1137" s="18" t="inlineStr"/>
      <c r="O1137" s="18" t="inlineStr"/>
      <c r="P1137" s="18" t="inlineStr">
        <is>
          <t>legal-management-service/src/entities/planes-mejoramiento.entity.ts:19: 'RIESGO', 'HALLAZGO_AUDITORIA', 'AUTOEVALUACION'</t>
        </is>
      </c>
      <c r="Q1137" s="18" t="inlineStr">
        <is>
          <t>Código fuente</t>
        </is>
      </c>
      <c r="R1137" s="18" t="inlineStr">
        <is>
          <t>Origen del plan de mejoramiento. Valores permitidos: AUDITORIA_EXTERNA, AUTOEVALUACION, CONTRALORIA, HALLAZGO_AUDITORIA, OCI, OTRO, PROCURADURIA, RIESGO.</t>
        </is>
      </c>
      <c r="S1137" s="18" t="inlineStr">
        <is>
          <t>Alta</t>
        </is>
      </c>
      <c r="T1137" s="18" t="inlineStr">
        <is>
          <t>valores permitidos del CHECK</t>
        </is>
      </c>
      <c r="U1137" s="18" t="inlineStr"/>
      <c r="V1137" s="19" t="inlineStr">
        <is>
          <t>Aprobada</t>
        </is>
      </c>
      <c r="W1137" s="19" t="inlineStr"/>
      <c r="X1137" s="19" t="inlineStr">
        <is>
          <t>Aldair González (aprobación en bloque)</t>
        </is>
      </c>
      <c r="Y1137" s="20" t="n">
        <v>46321</v>
      </c>
      <c r="Z1137" s="19" t="inlineStr">
        <is>
          <t>Nivel 1: propuesta del comentario del desarrollador o de confianza alta, o regla de fecha/responsable/motivo.</t>
        </is>
      </c>
      <c r="AA1137" s="18">
        <f>IF(OR(V1137="Aprobada"),R1137,IF(AND(OR(V1137="Aprobada con ajuste",V1137="Rechazada"),W1137&lt;&gt;""),W1137,""))</f>
        <v/>
      </c>
    </row>
    <row r="1138">
      <c r="A1138" s="18" t="inlineStr">
        <is>
          <t>C1137</t>
        </is>
      </c>
      <c r="B1138" s="18" t="inlineStr">
        <is>
          <t>Gestión jurídica</t>
        </is>
      </c>
      <c r="C1138" s="18" t="inlineStr">
        <is>
          <t>legal_management</t>
        </is>
      </c>
      <c r="D1138" s="18" t="inlineStr">
        <is>
          <t>planes_mejoramiento</t>
        </is>
      </c>
      <c r="E1138" s="18" t="n">
        <v>22</v>
      </c>
      <c r="F1138" s="18" t="inlineStr">
        <is>
          <t>origen_id</t>
        </is>
      </c>
      <c r="G1138" s="18" t="inlineStr">
        <is>
          <t>uuid</t>
        </is>
      </c>
      <c r="H1138" s="18" t="inlineStr">
        <is>
          <t>Sí</t>
        </is>
      </c>
      <c r="I1138" s="18" t="inlineStr"/>
      <c r="J1138" s="18" t="inlineStr"/>
      <c r="K1138" s="18" t="inlineStr"/>
      <c r="L1138" s="18" t="inlineStr">
        <is>
          <t>No</t>
        </is>
      </c>
      <c r="M1138" s="18" t="inlineStr">
        <is>
          <t>No</t>
        </is>
      </c>
      <c r="N1138" s="18" t="inlineStr"/>
      <c r="O1138" s="18" t="inlineStr">
        <is>
          <t>idx_planes_origen_id</t>
        </is>
      </c>
      <c r="P1138" s="18" t="inlineStr">
        <is>
          <t>Mapeada en legal-management-service/src/entities/planes-mejoramiento.entity.ts:22 (PlanMejoramiento.origenId)</t>
        </is>
      </c>
      <c r="Q1138" s="18" t="inlineStr">
        <is>
          <t>Código fuente (verificado)</t>
        </is>
      </c>
      <c r="R1138" s="18" t="inlineStr">
        <is>
          <t>Identificador del registro que dio origen al plan. Cuando origen es RIESGO, corresponde a legal_management.riesgos.id; no tiene clave foránea.</t>
        </is>
      </c>
      <c r="S1138" s="18" t="inlineStr">
        <is>
          <t>Media</t>
        </is>
      </c>
      <c r="T1138" s="18" t="inlineStr">
        <is>
          <t>backend/legal-management-service/src/entities/planes-mejoramiento.entity.ts:20 origen: RIESGO, HALLAZGO_AUDITORIA, AUTOEVALUACION | backend/legal-management-service/src/services/planes-mejoramiento.service.ts:117 relación lógica, sin propiedad de relación | backend/legal-management-service/src/services/planes-mejoramiento.service.ts:160 si origen = RIESGO valida que exista en Riesgo</t>
        </is>
      </c>
      <c r="U1138" s="18" t="inlineStr">
        <is>
          <t>¿A qué tabla apunta origen_id cuando origen es HALLAZGO_AUDITORIA o AUTOEVALUACION?</t>
        </is>
      </c>
      <c r="V1138" s="19" t="inlineStr">
        <is>
          <t>Aprobada</t>
        </is>
      </c>
      <c r="W1138" s="19" t="inlineStr"/>
      <c r="X1138" s="19" t="inlineStr">
        <is>
          <t>Aldair González (validación del responsable de BD)</t>
        </is>
      </c>
      <c r="Y1138" s="20" t="n">
        <v>46321</v>
      </c>
      <c r="Z1138" s="19" t="inlineStr">
        <is>
          <t>Nivel 3: validada por decisión del responsable de la base de datos. Pregunta registrada para desarrollo: ¿A qué tabla apunta origen_id cuando origen es HALLAZGO_AUDITORIA o AUTOEVALUACION?</t>
        </is>
      </c>
      <c r="AA1138" s="18">
        <f>IF(OR(V1138="Aprobada"),R1138,IF(AND(OR(V1138="Aprobada con ajuste",V1138="Rechazada"),W1138&lt;&gt;""),W1138,""))</f>
        <v/>
      </c>
    </row>
    <row r="1139">
      <c r="A1139" s="18" t="inlineStr">
        <is>
          <t>C1138</t>
        </is>
      </c>
      <c r="B1139" s="18" t="inlineStr">
        <is>
          <t>Gestión jurídica</t>
        </is>
      </c>
      <c r="C1139" s="18" t="inlineStr">
        <is>
          <t>legal_management</t>
        </is>
      </c>
      <c r="D1139" s="18" t="inlineStr">
        <is>
          <t>planes_mejoramiento</t>
        </is>
      </c>
      <c r="E1139" s="18" t="n">
        <v>22</v>
      </c>
      <c r="F1139" s="18" t="inlineStr">
        <is>
          <t>responsable_id</t>
        </is>
      </c>
      <c r="G1139" s="18" t="inlineStr">
        <is>
          <t>uuid</t>
        </is>
      </c>
      <c r="H1139" s="18" t="inlineStr">
        <is>
          <t>Sí</t>
        </is>
      </c>
      <c r="I1139" s="18" t="inlineStr"/>
      <c r="J1139" s="18" t="inlineStr"/>
      <c r="K1139" s="18" t="inlineStr"/>
      <c r="L1139" s="18" t="inlineStr">
        <is>
          <t>No</t>
        </is>
      </c>
      <c r="M1139" s="18" t="inlineStr">
        <is>
          <t>No</t>
        </is>
      </c>
      <c r="N1139" s="18" t="inlineStr"/>
      <c r="O1139" s="18" t="inlineStr"/>
      <c r="P1139" s="18" t="inlineStr">
        <is>
          <t>legal-management-service/src/entities/planes-mejoramiento.entity.ts:25: FK to auth users</t>
        </is>
      </c>
      <c r="Q1139" s="18" t="inlineStr">
        <is>
          <t>Código fuente</t>
        </is>
      </c>
      <c r="R1139" s="18" t="inlineStr">
        <is>
          <t>Identificador del usuario responsable del plan (auth."user").</t>
        </is>
      </c>
      <c r="S1139" s="18" t="inlineStr">
        <is>
          <t>Alta</t>
        </is>
      </c>
      <c r="T1139" s="18" t="inlineStr">
        <is>
          <t>código: planes-mejoramiento.entity.ts:25</t>
        </is>
      </c>
      <c r="U1139" s="18" t="inlineStr"/>
      <c r="V1139" s="19" t="inlineStr">
        <is>
          <t>Aprobada</t>
        </is>
      </c>
      <c r="W1139" s="19" t="inlineStr"/>
      <c r="X1139" s="19" t="inlineStr">
        <is>
          <t>Aldair González (aprobación en bloque)</t>
        </is>
      </c>
      <c r="Y1139" s="20" t="n">
        <v>46321</v>
      </c>
      <c r="Z1139" s="19" t="inlineStr">
        <is>
          <t>Nivel 1: propuesta del comentario del desarrollador o de confianza alta, o regla de fecha/responsable/motivo.</t>
        </is>
      </c>
      <c r="AA1139" s="18">
        <f>IF(OR(V1139="Aprobada"),R1139,IF(AND(OR(V1139="Aprobada con ajuste",V1139="Rechazada"),W1139&lt;&gt;""),W1139,""))</f>
        <v/>
      </c>
    </row>
    <row r="1140">
      <c r="A1140" s="18" t="inlineStr">
        <is>
          <t>C1139</t>
        </is>
      </c>
      <c r="B1140" s="18" t="inlineStr">
        <is>
          <t>Gestión jurídica</t>
        </is>
      </c>
      <c r="C1140" s="18" t="inlineStr">
        <is>
          <t>legal_management</t>
        </is>
      </c>
      <c r="D1140" s="18" t="inlineStr">
        <is>
          <t>planes_mejoramiento</t>
        </is>
      </c>
      <c r="E1140" s="18" t="n">
        <v>22</v>
      </c>
      <c r="F1140" s="18" t="inlineStr">
        <is>
          <t>fecha_inicio</t>
        </is>
      </c>
      <c r="G1140" s="18" t="inlineStr">
        <is>
          <t>date</t>
        </is>
      </c>
      <c r="H1140" s="18" t="inlineStr">
        <is>
          <t>No</t>
        </is>
      </c>
      <c r="I1140" s="18" t="inlineStr"/>
      <c r="J1140" s="18" t="inlineStr"/>
      <c r="K1140" s="18" t="inlineStr"/>
      <c r="L1140" s="18" t="inlineStr">
        <is>
          <t>No</t>
        </is>
      </c>
      <c r="M1140" s="18" t="inlineStr">
        <is>
          <t>No</t>
        </is>
      </c>
      <c r="N1140" s="18" t="inlineStr"/>
      <c r="O1140" s="18" t="inlineStr"/>
      <c r="P1140" s="18" t="inlineStr">
        <is>
          <t>legal-management-service/src/entities/planes-mejoramiento.entity.ts:31: Keep as Date object for TypeORM</t>
        </is>
      </c>
      <c r="Q1140" s="18" t="inlineStr">
        <is>
          <t>Código fuente</t>
        </is>
      </c>
      <c r="R1140" s="18" t="inlineStr">
        <is>
          <t>Fecha de inicio del plan de mejoramiento.</t>
        </is>
      </c>
      <c r="S1140" s="18" t="inlineStr">
        <is>
          <t>Alta</t>
        </is>
      </c>
      <c r="T1140" s="18" t="inlineStr">
        <is>
          <t>propuesta por regla + nombre + tabla</t>
        </is>
      </c>
      <c r="U1140" s="18" t="inlineStr"/>
      <c r="V1140" s="19" t="inlineStr">
        <is>
          <t>Aprobada</t>
        </is>
      </c>
      <c r="W1140" s="19" t="inlineStr"/>
      <c r="X1140" s="19" t="inlineStr">
        <is>
          <t>Aldair González (aprobación en bloque)</t>
        </is>
      </c>
      <c r="Y1140" s="20" t="n">
        <v>46321</v>
      </c>
      <c r="Z1140" s="19" t="inlineStr">
        <is>
          <t>Nivel 1: propuesta del comentario del desarrollador o de confianza alta, o regla de fecha/responsable/motivo.</t>
        </is>
      </c>
      <c r="AA1140" s="18">
        <f>IF(OR(V1140="Aprobada"),R1140,IF(AND(OR(V1140="Aprobada con ajuste",V1140="Rechazada"),W1140&lt;&gt;""),W1140,""))</f>
        <v/>
      </c>
    </row>
    <row r="1141">
      <c r="A1141" s="18" t="inlineStr">
        <is>
          <t>C1140</t>
        </is>
      </c>
      <c r="B1141" s="18" t="inlineStr">
        <is>
          <t>Gestión jurídica</t>
        </is>
      </c>
      <c r="C1141" s="18" t="inlineStr">
        <is>
          <t>legal_management</t>
        </is>
      </c>
      <c r="D1141" s="18" t="inlineStr">
        <is>
          <t>planes_mejoramiento</t>
        </is>
      </c>
      <c r="E1141" s="18" t="n">
        <v>22</v>
      </c>
      <c r="F1141" s="18" t="inlineStr">
        <is>
          <t>fecha_fin_estimada</t>
        </is>
      </c>
      <c r="G1141" s="18" t="inlineStr">
        <is>
          <t>date</t>
        </is>
      </c>
      <c r="H1141" s="18" t="inlineStr">
        <is>
          <t>No</t>
        </is>
      </c>
      <c r="I1141" s="18" t="inlineStr"/>
      <c r="J1141" s="18" t="inlineStr"/>
      <c r="K1141" s="18" t="inlineStr"/>
      <c r="L1141" s="18" t="inlineStr">
        <is>
          <t>No</t>
        </is>
      </c>
      <c r="M1141" s="18" t="inlineStr">
        <is>
          <t>No</t>
        </is>
      </c>
      <c r="N1141" s="18" t="inlineStr"/>
      <c r="O1141" s="18" t="inlineStr"/>
      <c r="P1141" s="18" t="inlineStr">
        <is>
          <t>Mapeada en legal-management-service/src/entities/planes-mejoramiento.entity.ts:34 (PlanMejoramiento.fechaFinEstimada)</t>
        </is>
      </c>
      <c r="Q1141" s="18" t="inlineStr">
        <is>
          <t>Regla estructural (redacción revisada)</t>
        </is>
      </c>
      <c r="R1141" s="18" t="inlineStr">
        <is>
          <t>Fecha estimada de finalización del plan de mejoramiento.</t>
        </is>
      </c>
      <c r="S1141" s="18" t="inlineStr">
        <is>
          <t>Alta</t>
        </is>
      </c>
      <c r="T1141" s="18" t="inlineStr">
        <is>
          <t>Convención de nombre, redactada con el contexto de la tabla y el código.</t>
        </is>
      </c>
      <c r="U1141" s="18" t="inlineStr"/>
      <c r="V1141" s="19" t="inlineStr">
        <is>
          <t>Aprobada</t>
        </is>
      </c>
      <c r="W1141" s="19" t="inlineStr"/>
      <c r="X1141" s="19" t="inlineStr">
        <is>
          <t>Aldair González (aprobación en bloque)</t>
        </is>
      </c>
      <c r="Y1141" s="20" t="n">
        <v>46321</v>
      </c>
      <c r="Z1141" s="19" t="inlineStr">
        <is>
          <t>Nivel 2: regla estructural con redacción revisada.</t>
        </is>
      </c>
      <c r="AA1141" s="18">
        <f>IF(OR(V1141="Aprobada"),R1141,IF(AND(OR(V1141="Aprobada con ajuste",V1141="Rechazada"),W1141&lt;&gt;""),W1141,""))</f>
        <v/>
      </c>
    </row>
    <row r="1142">
      <c r="A1142" s="18" t="inlineStr">
        <is>
          <t>C1141</t>
        </is>
      </c>
      <c r="B1142" s="18" t="inlineStr">
        <is>
          <t>Gestión jurídica</t>
        </is>
      </c>
      <c r="C1142" s="18" t="inlineStr">
        <is>
          <t>legal_management</t>
        </is>
      </c>
      <c r="D1142" s="18" t="inlineStr">
        <is>
          <t>planes_mejoramiento</t>
        </is>
      </c>
      <c r="E1142" s="18" t="n">
        <v>22</v>
      </c>
      <c r="F1142" s="18" t="inlineStr">
        <is>
          <t>fecha_cierre_real</t>
        </is>
      </c>
      <c r="G1142" s="18" t="inlineStr">
        <is>
          <t>date</t>
        </is>
      </c>
      <c r="H1142" s="18" t="inlineStr">
        <is>
          <t>Sí</t>
        </is>
      </c>
      <c r="I1142" s="18" t="inlineStr"/>
      <c r="J1142" s="18" t="inlineStr"/>
      <c r="K1142" s="18" t="inlineStr"/>
      <c r="L1142" s="18" t="inlineStr">
        <is>
          <t>No</t>
        </is>
      </c>
      <c r="M1142" s="18" t="inlineStr">
        <is>
          <t>No</t>
        </is>
      </c>
      <c r="N1142" s="18" t="inlineStr"/>
      <c r="O1142" s="18" t="inlineStr"/>
      <c r="P1142" s="18" t="inlineStr">
        <is>
          <t>Mapeada en legal-management-service/src/entities/planes-mejoramiento.entity.ts:37 (PlanMejoramiento.fechaCierreReal)</t>
        </is>
      </c>
      <c r="Q1142" s="18" t="inlineStr">
        <is>
          <t>Regla estructural (redacción revisada)</t>
        </is>
      </c>
      <c r="R1142" s="18" t="inlineStr">
        <is>
          <t>Fecha real de cierre del plan de mejoramiento.</t>
        </is>
      </c>
      <c r="S1142" s="18" t="inlineStr">
        <is>
          <t>Alta</t>
        </is>
      </c>
      <c r="T1142" s="18" t="inlineStr">
        <is>
          <t>Convención de nombre, redactada con el contexto de la tabla y el código.</t>
        </is>
      </c>
      <c r="U1142" s="18" t="inlineStr"/>
      <c r="V1142" s="19" t="inlineStr">
        <is>
          <t>Aprobada</t>
        </is>
      </c>
      <c r="W1142" s="19" t="inlineStr"/>
      <c r="X1142" s="19" t="inlineStr">
        <is>
          <t>Aldair González (aprobación en bloque)</t>
        </is>
      </c>
      <c r="Y1142" s="20" t="n">
        <v>46321</v>
      </c>
      <c r="Z1142" s="19" t="inlineStr">
        <is>
          <t>Nivel 2: regla estructural con redacción revisada.</t>
        </is>
      </c>
      <c r="AA1142" s="18">
        <f>IF(OR(V1142="Aprobada"),R1142,IF(AND(OR(V1142="Aprobada con ajuste",V1142="Rechazada"),W1142&lt;&gt;""),W1142,""))</f>
        <v/>
      </c>
    </row>
    <row r="1143">
      <c r="A1143" s="18" t="inlineStr">
        <is>
          <t>C1142</t>
        </is>
      </c>
      <c r="B1143" s="18" t="inlineStr">
        <is>
          <t>Gestión jurídica</t>
        </is>
      </c>
      <c r="C1143" s="18" t="inlineStr">
        <is>
          <t>legal_management</t>
        </is>
      </c>
      <c r="D1143" s="18" t="inlineStr">
        <is>
          <t>planes_mejoramiento</t>
        </is>
      </c>
      <c r="E1143" s="18" t="n">
        <v>22</v>
      </c>
      <c r="F1143" s="18" t="inlineStr">
        <is>
          <t>avance_porcentaje</t>
        </is>
      </c>
      <c r="G1143" s="18" t="inlineStr">
        <is>
          <t>numeric(5,2)</t>
        </is>
      </c>
      <c r="H1143" s="18" t="inlineStr">
        <is>
          <t>Sí</t>
        </is>
      </c>
      <c r="I1143" s="18" t="inlineStr">
        <is>
          <t>CHECK</t>
        </is>
      </c>
      <c r="J1143" s="18" t="inlineStr"/>
      <c r="K1143" s="18" t="inlineStr"/>
      <c r="L1143" s="18" t="inlineStr">
        <is>
          <t>No</t>
        </is>
      </c>
      <c r="M1143" s="18" t="inlineStr">
        <is>
          <t>No</t>
        </is>
      </c>
      <c r="N1143" s="18" t="inlineStr"/>
      <c r="O1143" s="18" t="inlineStr"/>
      <c r="P1143" s="18" t="inlineStr">
        <is>
          <t>Mapeada en legal-management-service/src/entities/planes-mejoramiento.entity.ts:40 (PlanMejoramiento.avancePorcentaje)</t>
        </is>
      </c>
      <c r="Q1143" s="18" t="inlineStr">
        <is>
          <t>Código fuente (verificado)</t>
        </is>
      </c>
      <c r="R1143" s="18" t="inlineStr">
        <is>
          <t>Porcentaje de avance global del plan de mejoramiento. Se actualiza con el porcentaje reportado en cada seguimiento y, si el plan tiene hallazgos, se recalcula como el promedio redondeado del avance de sus hallazgos. Por defecto, 0.</t>
        </is>
      </c>
      <c r="S1143" s="18" t="inlineStr">
        <is>
          <t>Alta</t>
        </is>
      </c>
      <c r="T1143" s="18" t="inlineStr">
        <is>
          <t>backend/legal-management-service/src/services/planes-mejoramiento.service.ts:27 recalcularAvancePlanDesdeHallazgos: promedio del avance de planes_hallazgos, solo si hay hallazgos | backend/legal-management-service/src/services/planes-mejoramiento.service.ts:302 y :317 addSeguimiento asigna porcentajeReportado al plan</t>
        </is>
      </c>
      <c r="U1143" s="18" t="inlineStr"/>
      <c r="V1143" s="19" t="inlineStr">
        <is>
          <t>Aprobada</t>
        </is>
      </c>
      <c r="W1143" s="19" t="inlineStr"/>
      <c r="X1143" s="19" t="inlineStr">
        <is>
          <t>Aldair González (aprobación en bloque)</t>
        </is>
      </c>
      <c r="Y1143" s="20" t="n">
        <v>46321</v>
      </c>
      <c r="Z1143" s="19" t="inlineStr">
        <is>
          <t>Nivel 3: verificada con el código de la aplicación.</t>
        </is>
      </c>
      <c r="AA1143" s="18">
        <f>IF(OR(V1143="Aprobada"),R1143,IF(AND(OR(V1143="Aprobada con ajuste",V1143="Rechazada"),W1143&lt;&gt;""),W1143,""))</f>
        <v/>
      </c>
    </row>
    <row r="1144">
      <c r="A1144" s="18" t="inlineStr">
        <is>
          <t>C1143</t>
        </is>
      </c>
      <c r="B1144" s="18" t="inlineStr">
        <is>
          <t>Gestión jurídica</t>
        </is>
      </c>
      <c r="C1144" s="18" t="inlineStr">
        <is>
          <t>legal_management</t>
        </is>
      </c>
      <c r="D1144" s="18" t="inlineStr">
        <is>
          <t>planes_mejoramiento</t>
        </is>
      </c>
      <c r="E1144" s="18" t="n">
        <v>22</v>
      </c>
      <c r="F1144" s="18" t="inlineStr">
        <is>
          <t>presupuesto</t>
        </is>
      </c>
      <c r="G1144" s="18" t="inlineStr">
        <is>
          <t>numeric(15,2)</t>
        </is>
      </c>
      <c r="H1144" s="18" t="inlineStr">
        <is>
          <t>Sí</t>
        </is>
      </c>
      <c r="I1144" s="18" t="inlineStr"/>
      <c r="J1144" s="18" t="inlineStr"/>
      <c r="K1144" s="18" t="inlineStr"/>
      <c r="L1144" s="18" t="inlineStr">
        <is>
          <t>No</t>
        </is>
      </c>
      <c r="M1144" s="18" t="inlineStr">
        <is>
          <t>No</t>
        </is>
      </c>
      <c r="N1144" s="18" t="inlineStr"/>
      <c r="O1144" s="18" t="inlineStr"/>
      <c r="P1144" s="18" t="inlineStr">
        <is>
          <t>Mapeada en legal-management-service/src/entities/planes-mejoramiento.entity.ts:43 (PlanMejoramiento.presupuesto)</t>
        </is>
      </c>
      <c r="Q1144" s="18" t="inlineStr">
        <is>
          <t>Código fuente (verificado)</t>
        </is>
      </c>
      <c r="R1144" s="18" t="inlineStr">
        <is>
          <t>Presupuesto asignado al plan de mejoramiento. Por defecto, 0.</t>
        </is>
      </c>
      <c r="S1144" s="18" t="inlineStr">
        <is>
          <t>Media</t>
        </is>
      </c>
      <c r="T1144" s="18" t="inlineStr">
        <is>
          <t>backend/legal-management-service/src/entities/planes-mejoramiento.entity.ts:43 decimal(15,2) default 0; el backend no lo usa en cálculos ni indica moneda</t>
        </is>
      </c>
      <c r="U1144" s="18" t="inlineStr">
        <is>
          <t>¿En qué moneda se registra el presupuesto?</t>
        </is>
      </c>
      <c r="V1144" s="19" t="inlineStr">
        <is>
          <t>Aprobada</t>
        </is>
      </c>
      <c r="W1144" s="19" t="inlineStr"/>
      <c r="X1144" s="19" t="inlineStr">
        <is>
          <t>Aldair González (validación del responsable de BD)</t>
        </is>
      </c>
      <c r="Y1144" s="20" t="n">
        <v>46321</v>
      </c>
      <c r="Z1144" s="19" t="inlineStr">
        <is>
          <t>Nivel 3: validada por decisión del responsable de la base de datos. Pregunta registrada para desarrollo: ¿En qué moneda se registra el presupuesto?</t>
        </is>
      </c>
      <c r="AA1144" s="18">
        <f>IF(OR(V1144="Aprobada"),R1144,IF(AND(OR(V1144="Aprobada con ajuste",V1144="Rechazada"),W1144&lt;&gt;""),W1144,""))</f>
        <v/>
      </c>
    </row>
    <row r="1145">
      <c r="A1145" s="18" t="inlineStr">
        <is>
          <t>C1144</t>
        </is>
      </c>
      <c r="B1145" s="18" t="inlineStr">
        <is>
          <t>Gestión jurídica</t>
        </is>
      </c>
      <c r="C1145" s="18" t="inlineStr">
        <is>
          <t>legal_management</t>
        </is>
      </c>
      <c r="D1145" s="18" t="inlineStr">
        <is>
          <t>planes_mejoramiento</t>
        </is>
      </c>
      <c r="E1145" s="18" t="n">
        <v>22</v>
      </c>
      <c r="F1145" s="18" t="inlineStr">
        <is>
          <t>estado</t>
        </is>
      </c>
      <c r="G1145" s="18" t="inlineStr">
        <is>
          <t>character varying(20)</t>
        </is>
      </c>
      <c r="H1145" s="18" t="inlineStr">
        <is>
          <t>Sí</t>
        </is>
      </c>
      <c r="I1145" s="18" t="inlineStr">
        <is>
          <t>CHECK</t>
        </is>
      </c>
      <c r="J1145" s="18" t="inlineStr">
        <is>
          <t>ABIERTO, CERRADO, EN_EJECUCION, VENCIDO</t>
        </is>
      </c>
      <c r="K1145" s="18" t="inlineStr"/>
      <c r="L1145" s="18" t="inlineStr">
        <is>
          <t>Sí</t>
        </is>
      </c>
      <c r="M1145" s="18" t="inlineStr">
        <is>
          <t>No</t>
        </is>
      </c>
      <c r="N1145" s="18" t="inlineStr"/>
      <c r="O1145" s="18" t="inlineStr">
        <is>
          <t>idx_planes_estado</t>
        </is>
      </c>
      <c r="P1145" s="18" t="inlineStr">
        <is>
          <t>legal-management-service/src/entities/planes-mejoramiento.entity.ts:46: 'ABIERTO', 'EN_EJECUCION', 'VENCIDO', 'CERRADO'</t>
        </is>
      </c>
      <c r="Q1145" s="18" t="inlineStr">
        <is>
          <t>Código fuente</t>
        </is>
      </c>
      <c r="R1145" s="18" t="inlineStr">
        <is>
          <t>Estado del plan de mejoramiento. Valores permitidos: ABIERTO, EN_EJECUCION, VENCIDO, CERRADO. Por defecto, ABIERTO.</t>
        </is>
      </c>
      <c r="S1145" s="18" t="inlineStr">
        <is>
          <t>Alta</t>
        </is>
      </c>
      <c r="T1145" s="18" t="inlineStr">
        <is>
          <t>valores permitidos del CHECK + código: planes-mejoramiento.entity.ts:46</t>
        </is>
      </c>
      <c r="U1145" s="18" t="inlineStr"/>
      <c r="V1145" s="19" t="inlineStr">
        <is>
          <t>Aprobada</t>
        </is>
      </c>
      <c r="W1145" s="19" t="inlineStr"/>
      <c r="X1145" s="19" t="inlineStr">
        <is>
          <t>Aldair González (aprobación en bloque)</t>
        </is>
      </c>
      <c r="Y1145" s="20" t="n">
        <v>46321</v>
      </c>
      <c r="Z1145" s="19" t="inlineStr">
        <is>
          <t>Nivel 1: propuesta del comentario del desarrollador o de confianza alta, o regla de fecha/responsable/motivo.</t>
        </is>
      </c>
      <c r="AA1145" s="18">
        <f>IF(OR(V1145="Aprobada"),R1145,IF(AND(OR(V1145="Aprobada con ajuste",V1145="Rechazada"),W1145&lt;&gt;""),W1145,""))</f>
        <v/>
      </c>
    </row>
    <row r="1146">
      <c r="A1146" s="18" t="inlineStr">
        <is>
          <t>C1145</t>
        </is>
      </c>
      <c r="B1146" s="18" t="inlineStr">
        <is>
          <t>Gestión jurídica</t>
        </is>
      </c>
      <c r="C1146" s="18" t="inlineStr">
        <is>
          <t>legal_management</t>
        </is>
      </c>
      <c r="D1146" s="18" t="inlineStr">
        <is>
          <t>planes_mejoramiento</t>
        </is>
      </c>
      <c r="E1146" s="18" t="n">
        <v>22</v>
      </c>
      <c r="F1146" s="18" t="inlineStr">
        <is>
          <t>fecha_recepcion</t>
        </is>
      </c>
      <c r="G1146" s="18" t="inlineStr">
        <is>
          <t>date</t>
        </is>
      </c>
      <c r="H1146" s="18" t="inlineStr">
        <is>
          <t>Sí</t>
        </is>
      </c>
      <c r="I1146" s="18" t="inlineStr"/>
      <c r="J1146" s="18" t="inlineStr"/>
      <c r="K1146" s="18" t="inlineStr"/>
      <c r="L1146" s="18" t="inlineStr">
        <is>
          <t>No</t>
        </is>
      </c>
      <c r="M1146" s="18" t="inlineStr">
        <is>
          <t>No</t>
        </is>
      </c>
      <c r="N1146" s="18" t="inlineStr"/>
      <c r="O1146" s="18" t="inlineStr"/>
      <c r="P1146" s="18" t="inlineStr">
        <is>
          <t>Mapeada en legal-management-service/src/entities/planes-mejoramiento.entity.ts:55 (PlanMejoramiento.fechaRecepcion)</t>
        </is>
      </c>
      <c r="Q1146" s="18" t="inlineStr">
        <is>
          <t>Regla estructural (redacción revisada)</t>
        </is>
      </c>
      <c r="R1146" s="18" t="inlineStr">
        <is>
          <t>Fecha de recepción del plan de mejoramiento.</t>
        </is>
      </c>
      <c r="S1146" s="18" t="inlineStr">
        <is>
          <t>Alta</t>
        </is>
      </c>
      <c r="T1146" s="18" t="inlineStr">
        <is>
          <t>Convención de nombre, redactada con el contexto de la tabla y el código.</t>
        </is>
      </c>
      <c r="U1146" s="18" t="inlineStr"/>
      <c r="V1146" s="19" t="inlineStr">
        <is>
          <t>Aprobada</t>
        </is>
      </c>
      <c r="W1146" s="19" t="inlineStr"/>
      <c r="X1146" s="19" t="inlineStr">
        <is>
          <t>Aldair González (aprobación en bloque)</t>
        </is>
      </c>
      <c r="Y1146" s="20" t="n">
        <v>46321</v>
      </c>
      <c r="Z1146" s="19" t="inlineStr">
        <is>
          <t>Nivel 2: regla estructural con redacción revisada.</t>
        </is>
      </c>
      <c r="AA1146" s="18">
        <f>IF(OR(V1146="Aprobada"),R1146,IF(AND(OR(V1146="Aprobada con ajuste",V1146="Rechazada"),W1146&lt;&gt;""),W1146,""))</f>
        <v/>
      </c>
    </row>
    <row r="1147">
      <c r="A1147" s="18" t="inlineStr">
        <is>
          <t>C1146</t>
        </is>
      </c>
      <c r="B1147" s="18" t="inlineStr">
        <is>
          <t>Gestión jurídica</t>
        </is>
      </c>
      <c r="C1147" s="18" t="inlineStr">
        <is>
          <t>legal_management</t>
        </is>
      </c>
      <c r="D1147" s="18" t="inlineStr">
        <is>
          <t>planes_mejoramiento</t>
        </is>
      </c>
      <c r="E1147" s="18" t="n">
        <v>22</v>
      </c>
      <c r="F1147" s="18" t="inlineStr">
        <is>
          <t>fecha_respuesta</t>
        </is>
      </c>
      <c r="G1147" s="18" t="inlineStr">
        <is>
          <t>date</t>
        </is>
      </c>
      <c r="H1147" s="18" t="inlineStr">
        <is>
          <t>Sí</t>
        </is>
      </c>
      <c r="I1147" s="18" t="inlineStr"/>
      <c r="J1147" s="18" t="inlineStr"/>
      <c r="K1147" s="18" t="inlineStr"/>
      <c r="L1147" s="18" t="inlineStr">
        <is>
          <t>No</t>
        </is>
      </c>
      <c r="M1147" s="18" t="inlineStr">
        <is>
          <t>No</t>
        </is>
      </c>
      <c r="N1147" s="18" t="inlineStr"/>
      <c r="O1147" s="18" t="inlineStr"/>
      <c r="P1147" s="18" t="inlineStr">
        <is>
          <t>Mapeada en legal-management-service/src/entities/planes-mejoramiento.entity.ts:58 (PlanMejoramiento.fechaRespuesta)</t>
        </is>
      </c>
      <c r="Q1147" s="18" t="inlineStr">
        <is>
          <t>Regla estructural (redacción revisada)</t>
        </is>
      </c>
      <c r="R1147" s="18" t="inlineStr">
        <is>
          <t>Fecha de respuesta del plan de mejoramiento.</t>
        </is>
      </c>
      <c r="S1147" s="18" t="inlineStr">
        <is>
          <t>Alta</t>
        </is>
      </c>
      <c r="T1147" s="18" t="inlineStr">
        <is>
          <t>Convención de nombre, redactada con el contexto de la tabla y el código.</t>
        </is>
      </c>
      <c r="U1147" s="18" t="inlineStr"/>
      <c r="V1147" s="19" t="inlineStr">
        <is>
          <t>Aprobada</t>
        </is>
      </c>
      <c r="W1147" s="19" t="inlineStr"/>
      <c r="X1147" s="19" t="inlineStr">
        <is>
          <t>Aldair González (aprobación en bloque)</t>
        </is>
      </c>
      <c r="Y1147" s="20" t="n">
        <v>46321</v>
      </c>
      <c r="Z1147" s="19" t="inlineStr">
        <is>
          <t>Nivel 2: regla estructural con redacción revisada.</t>
        </is>
      </c>
      <c r="AA1147" s="18">
        <f>IF(OR(V1147="Aprobada"),R1147,IF(AND(OR(V1147="Aprobada con ajuste",V1147="Rechazada"),W1147&lt;&gt;""),W1147,""))</f>
        <v/>
      </c>
    </row>
    <row r="1148">
      <c r="A1148" s="18" t="inlineStr">
        <is>
          <t>C1147</t>
        </is>
      </c>
      <c r="B1148" s="18" t="inlineStr">
        <is>
          <t>Gestión jurídica</t>
        </is>
      </c>
      <c r="C1148" s="18" t="inlineStr">
        <is>
          <t>legal_management</t>
        </is>
      </c>
      <c r="D1148" s="18" t="inlineStr">
        <is>
          <t>planes_mejoramiento</t>
        </is>
      </c>
      <c r="E1148" s="18" t="n">
        <v>22</v>
      </c>
      <c r="F1148" s="18" t="inlineStr">
        <is>
          <t>archived_at</t>
        </is>
      </c>
      <c r="G1148" s="18" t="inlineStr">
        <is>
          <t>timestamp with time zone</t>
        </is>
      </c>
      <c r="H1148" s="18" t="inlineStr">
        <is>
          <t>Sí</t>
        </is>
      </c>
      <c r="I1148" s="18" t="inlineStr"/>
      <c r="J1148" s="18" t="inlineStr"/>
      <c r="K1148" s="18" t="inlineStr"/>
      <c r="L1148" s="18" t="inlineStr">
        <is>
          <t>No</t>
        </is>
      </c>
      <c r="M1148" s="18" t="inlineStr">
        <is>
          <t>No</t>
        </is>
      </c>
      <c r="N1148" s="18" t="inlineStr"/>
      <c r="O1148" s="18" t="inlineStr">
        <is>
          <t>idx_planes_archived_at</t>
        </is>
      </c>
      <c r="P1148" s="18" t="inlineStr">
        <is>
          <t>Mapeada en legal-management-service/src/entities/planes-mejoramiento.entity.ts:64 (PlanMejoramiento.archivedAt)</t>
        </is>
      </c>
      <c r="Q1148" s="18" t="inlineStr">
        <is>
          <t>Propuesta semántica</t>
        </is>
      </c>
      <c r="R1148" s="18" t="inlineStr">
        <is>
          <t>Fecha y hora en que se archivó el plan.</t>
        </is>
      </c>
      <c r="S1148" s="18" t="inlineStr">
        <is>
          <t>Alta</t>
        </is>
      </c>
      <c r="T1148" s="18" t="inlineStr">
        <is>
          <t>nombre + columnas vecinas (archived_by, archive_reason)</t>
        </is>
      </c>
      <c r="U1148" s="18" t="inlineStr"/>
      <c r="V1148" s="19" t="inlineStr">
        <is>
          <t>Aprobada</t>
        </is>
      </c>
      <c r="W1148" s="19" t="inlineStr"/>
      <c r="X1148" s="19" t="inlineStr">
        <is>
          <t>Aldair González (aprobación en bloque)</t>
        </is>
      </c>
      <c r="Y1148" s="20" t="n">
        <v>46321</v>
      </c>
      <c r="Z1148" s="19" t="inlineStr">
        <is>
          <t>Nivel 1: propuesta del comentario del desarrollador o de confianza alta, o regla de fecha/responsable/motivo.</t>
        </is>
      </c>
      <c r="AA1148" s="18">
        <f>IF(OR(V1148="Aprobada"),R1148,IF(AND(OR(V1148="Aprobada con ajuste",V1148="Rechazada"),W1148&lt;&gt;""),W1148,""))</f>
        <v/>
      </c>
    </row>
    <row r="1149">
      <c r="A1149" s="18" t="inlineStr">
        <is>
          <t>C1148</t>
        </is>
      </c>
      <c r="B1149" s="18" t="inlineStr">
        <is>
          <t>Gestión jurídica</t>
        </is>
      </c>
      <c r="C1149" s="18" t="inlineStr">
        <is>
          <t>legal_management</t>
        </is>
      </c>
      <c r="D1149" s="18" t="inlineStr">
        <is>
          <t>planes_mejoramiento</t>
        </is>
      </c>
      <c r="E1149" s="18" t="n">
        <v>22</v>
      </c>
      <c r="F1149" s="18" t="inlineStr">
        <is>
          <t>archived_by</t>
        </is>
      </c>
      <c r="G1149" s="18" t="inlineStr">
        <is>
          <t>character varying(255)</t>
        </is>
      </c>
      <c r="H1149" s="18" t="inlineStr">
        <is>
          <t>Sí</t>
        </is>
      </c>
      <c r="I1149" s="18" t="inlineStr"/>
      <c r="J1149" s="18" t="inlineStr"/>
      <c r="K1149" s="18" t="inlineStr"/>
      <c r="L1149" s="18" t="inlineStr">
        <is>
          <t>No</t>
        </is>
      </c>
      <c r="M1149" s="18" t="inlineStr">
        <is>
          <t>No</t>
        </is>
      </c>
      <c r="N1149" s="18" t="inlineStr"/>
      <c r="O1149" s="18" t="inlineStr"/>
      <c r="P1149" s="18" t="inlineStr">
        <is>
          <t>Mapeada en legal-management-service/src/entities/planes-mejoramiento.entity.ts:67 (PlanMejoramiento.archivedBy)</t>
        </is>
      </c>
      <c r="Q1149" s="18" t="inlineStr">
        <is>
          <t>Código fuente (verificado)</t>
        </is>
      </c>
      <c r="R1149" s="18" t="inlineStr">
        <is>
          <t>Usuario que archivó el plan de mejoramiento. El backend registra el texto fijo «System» al archivar y lo deja vacío al restaurar.</t>
        </is>
      </c>
      <c r="S1149" s="18" t="inlineStr">
        <is>
          <t>Alta</t>
        </is>
      </c>
      <c r="T1149" s="18" t="inlineStr">
        <is>
          <t>backend/legal-management-service/src/services/planes-mejoramiento.service.ts:358 archivar: archivedBy = 'System' | backend/legal-management-service/src/services/planes-mejoramiento.service.ts:369 restaurar: archivedBy = null</t>
        </is>
      </c>
      <c r="U1149" s="18" t="inlineStr"/>
      <c r="V1149" s="19" t="inlineStr">
        <is>
          <t>Aprobada</t>
        </is>
      </c>
      <c r="W1149" s="19" t="inlineStr"/>
      <c r="X1149" s="19" t="inlineStr">
        <is>
          <t>Aldair González (aprobación en bloque)</t>
        </is>
      </c>
      <c r="Y1149" s="20" t="n">
        <v>46321</v>
      </c>
      <c r="Z1149" s="19" t="inlineStr">
        <is>
          <t>Nivel 3: verificada con el código de la aplicación.</t>
        </is>
      </c>
      <c r="AA1149" s="18">
        <f>IF(OR(V1149="Aprobada"),R1149,IF(AND(OR(V1149="Aprobada con ajuste",V1149="Rechazada"),W1149&lt;&gt;""),W1149,""))</f>
        <v/>
      </c>
    </row>
    <row r="1150">
      <c r="A1150" s="18" t="inlineStr">
        <is>
          <t>C1149</t>
        </is>
      </c>
      <c r="B1150" s="18" t="inlineStr">
        <is>
          <t>Gestión jurídica</t>
        </is>
      </c>
      <c r="C1150" s="18" t="inlineStr">
        <is>
          <t>legal_management</t>
        </is>
      </c>
      <c r="D1150" s="18" t="inlineStr">
        <is>
          <t>planes_mejoramiento</t>
        </is>
      </c>
      <c r="E1150" s="18" t="n">
        <v>22</v>
      </c>
      <c r="F1150" s="18" t="inlineStr">
        <is>
          <t>archive_reason</t>
        </is>
      </c>
      <c r="G1150" s="18" t="inlineStr">
        <is>
          <t>text</t>
        </is>
      </c>
      <c r="H1150" s="18" t="inlineStr">
        <is>
          <t>Sí</t>
        </is>
      </c>
      <c r="I1150" s="18" t="inlineStr"/>
      <c r="J1150" s="18" t="inlineStr"/>
      <c r="K1150" s="18" t="inlineStr"/>
      <c r="L1150" s="18" t="inlineStr">
        <is>
          <t>No</t>
        </is>
      </c>
      <c r="M1150" s="18" t="inlineStr">
        <is>
          <t>No</t>
        </is>
      </c>
      <c r="N1150" s="18" t="inlineStr"/>
      <c r="O1150" s="18" t="inlineStr"/>
      <c r="P1150" s="18" t="inlineStr">
        <is>
          <t>Mapeada en legal-management-service/src/entities/planes-mejoramiento.entity.ts:70 (PlanMejoramiento.archiveReason)</t>
        </is>
      </c>
      <c r="Q1150" s="18" t="inlineStr">
        <is>
          <t>Propuesta semántica</t>
        </is>
      </c>
      <c r="R1150" s="18" t="inlineStr">
        <is>
          <t>Motivo por el que se archivó el plan de mejoramiento.</t>
        </is>
      </c>
      <c r="S1150" s="18" t="inlineStr">
        <is>
          <t>Alta</t>
        </is>
      </c>
      <c r="T1150" s="18" t="inlineStr">
        <is>
          <t>nombre + tipo + columnas vecinas</t>
        </is>
      </c>
      <c r="U1150" s="18" t="inlineStr"/>
      <c r="V1150" s="19" t="inlineStr">
        <is>
          <t>Aprobada</t>
        </is>
      </c>
      <c r="W1150" s="19" t="inlineStr"/>
      <c r="X1150" s="19" t="inlineStr">
        <is>
          <t>Aldair González (aprobación en bloque)</t>
        </is>
      </c>
      <c r="Y1150" s="20" t="n">
        <v>46321</v>
      </c>
      <c r="Z1150" s="19" t="inlineStr">
        <is>
          <t>Nivel 1: propuesta del comentario del desarrollador o de confianza alta, o regla de fecha/responsable/motivo.</t>
        </is>
      </c>
      <c r="AA1150" s="18">
        <f>IF(OR(V1150="Aprobada"),R1150,IF(AND(OR(V1150="Aprobada con ajuste",V1150="Rechazada"),W1150&lt;&gt;""),W1150,""))</f>
        <v/>
      </c>
    </row>
    <row r="1151">
      <c r="A1151" s="18" t="inlineStr">
        <is>
          <t>C1150</t>
        </is>
      </c>
      <c r="B1151" s="18" t="inlineStr">
        <is>
          <t>Gestión jurídica</t>
        </is>
      </c>
      <c r="C1151" s="18" t="inlineStr">
        <is>
          <t>legal_management</t>
        </is>
      </c>
      <c r="D1151" s="18" t="inlineStr">
        <is>
          <t>planes_seguimientos</t>
        </is>
      </c>
      <c r="E1151" s="18" t="n">
        <v>22</v>
      </c>
      <c r="F1151" s="18" t="inlineStr">
        <is>
          <t>descripcion_avance</t>
        </is>
      </c>
      <c r="G1151" s="18" t="inlineStr">
        <is>
          <t>text</t>
        </is>
      </c>
      <c r="H1151" s="18" t="inlineStr">
        <is>
          <t>No</t>
        </is>
      </c>
      <c r="I1151" s="18" t="inlineStr"/>
      <c r="J1151" s="18" t="inlineStr"/>
      <c r="K1151" s="18" t="inlineStr"/>
      <c r="L1151" s="18" t="inlineStr">
        <is>
          <t>No</t>
        </is>
      </c>
      <c r="M1151" s="18" t="inlineStr">
        <is>
          <t>No</t>
        </is>
      </c>
      <c r="N1151" s="18" t="inlineStr"/>
      <c r="O1151" s="18" t="inlineStr"/>
      <c r="P1151" s="18" t="inlineStr">
        <is>
          <t>Mapeada en legal-management-service/src/entities/planes-mejoramiento.entity.ts:135 (PlanSeguimiento.descripcionAvance)</t>
        </is>
      </c>
      <c r="Q1151" s="18" t="inlineStr">
        <is>
          <t>Propuesta semántica</t>
        </is>
      </c>
      <c r="R1151" s="18" t="inlineStr">
        <is>
          <t>Descripción del avance reportado en el seguimiento del plan.</t>
        </is>
      </c>
      <c r="S1151" s="18" t="inlineStr">
        <is>
          <t>Alta</t>
        </is>
      </c>
      <c r="T1151" s="18" t="inlineStr">
        <is>
          <t>nombre + tipo + columnas vecinas</t>
        </is>
      </c>
      <c r="U1151" s="18" t="inlineStr"/>
      <c r="V1151" s="19" t="inlineStr">
        <is>
          <t>Aprobada</t>
        </is>
      </c>
      <c r="W1151" s="19" t="inlineStr"/>
      <c r="X1151" s="19" t="inlineStr">
        <is>
          <t>Aldair González (aprobación en bloque)</t>
        </is>
      </c>
      <c r="Y1151" s="20" t="n">
        <v>46321</v>
      </c>
      <c r="Z1151" s="19" t="inlineStr">
        <is>
          <t>Nivel 1: propuesta del comentario del desarrollador o de confianza alta, o regla de fecha/responsable/motivo.</t>
        </is>
      </c>
      <c r="AA1151" s="18">
        <f>IF(OR(V1151="Aprobada"),R1151,IF(AND(OR(V1151="Aprobada con ajuste",V1151="Rechazada"),W1151&lt;&gt;""),W1151,""))</f>
        <v/>
      </c>
    </row>
    <row r="1152">
      <c r="A1152" s="18" t="inlineStr">
        <is>
          <t>C1151</t>
        </is>
      </c>
      <c r="B1152" s="18" t="inlineStr">
        <is>
          <t>Gestión jurídica</t>
        </is>
      </c>
      <c r="C1152" s="18" t="inlineStr">
        <is>
          <t>legal_management</t>
        </is>
      </c>
      <c r="D1152" s="18" t="inlineStr">
        <is>
          <t>planes_seguimientos</t>
        </is>
      </c>
      <c r="E1152" s="18" t="n">
        <v>22</v>
      </c>
      <c r="F1152" s="18" t="inlineStr">
        <is>
          <t>porcentaje_reportado</t>
        </is>
      </c>
      <c r="G1152" s="18" t="inlineStr">
        <is>
          <t>numeric(5,2)</t>
        </is>
      </c>
      <c r="H1152" s="18" t="inlineStr">
        <is>
          <t>Sí</t>
        </is>
      </c>
      <c r="I1152" s="18" t="inlineStr"/>
      <c r="J1152" s="18" t="inlineStr"/>
      <c r="K1152" s="18" t="inlineStr"/>
      <c r="L1152" s="18" t="inlineStr">
        <is>
          <t>No</t>
        </is>
      </c>
      <c r="M1152" s="18" t="inlineStr">
        <is>
          <t>No</t>
        </is>
      </c>
      <c r="N1152" s="18" t="inlineStr"/>
      <c r="O1152" s="18" t="inlineStr"/>
      <c r="P1152" s="18" t="inlineStr">
        <is>
          <t>Mapeada en legal-management-service/src/entities/planes-mejoramiento.entity.ts:138 (PlanSeguimiento.porcentajeReportado)</t>
        </is>
      </c>
      <c r="Q1152" s="18" t="inlineStr">
        <is>
          <t>Código fuente (verificado)</t>
        </is>
      </c>
      <c r="R1152" s="18" t="inlineStr">
        <is>
          <t>Porcentaje de avance total reportado en el seguimiento. Al registrarlo, reemplaza el avance_porcentaje del plan.</t>
        </is>
      </c>
      <c r="S1152" s="18" t="inlineStr">
        <is>
          <t>Alta</t>
        </is>
      </c>
      <c r="T1152" s="18" t="inlineStr">
        <is>
          <t>backend/legal-management-service/src/services/planes-mejoramiento.service.ts:300 se asume que es el nuevo porcentaje total | backend/legal-management-service/src/services/planes-mejoramiento.service.ts:302 y :317 plan.avancePorcentaje = porcentajeReportado</t>
        </is>
      </c>
      <c r="U1152" s="18" t="inlineStr"/>
      <c r="V1152" s="19" t="inlineStr">
        <is>
          <t>Aprobada</t>
        </is>
      </c>
      <c r="W1152" s="19" t="inlineStr"/>
      <c r="X1152" s="19" t="inlineStr">
        <is>
          <t>Aldair González (aprobación en bloque)</t>
        </is>
      </c>
      <c r="Y1152" s="20" t="n">
        <v>46321</v>
      </c>
      <c r="Z1152" s="19" t="inlineStr">
        <is>
          <t>Nivel 3: verificada con el código de la aplicación.</t>
        </is>
      </c>
      <c r="AA1152" s="18">
        <f>IF(OR(V1152="Aprobada"),R1152,IF(AND(OR(V1152="Aprobada con ajuste",V1152="Rechazada"),W1152&lt;&gt;""),W1152,""))</f>
        <v/>
      </c>
    </row>
    <row r="1153">
      <c r="A1153" s="18" t="inlineStr">
        <is>
          <t>C1152</t>
        </is>
      </c>
      <c r="B1153" s="18" t="inlineStr">
        <is>
          <t>Gestión jurídica</t>
        </is>
      </c>
      <c r="C1153" s="18" t="inlineStr">
        <is>
          <t>legal_management</t>
        </is>
      </c>
      <c r="D1153" s="18" t="inlineStr">
        <is>
          <t>planes_seguimientos</t>
        </is>
      </c>
      <c r="E1153" s="18" t="n">
        <v>22</v>
      </c>
      <c r="F1153" s="18" t="inlineStr">
        <is>
          <t>fecha_reporte</t>
        </is>
      </c>
      <c r="G1153" s="18" t="inlineStr">
        <is>
          <t>timestamp without time zone</t>
        </is>
      </c>
      <c r="H1153" s="18" t="inlineStr">
        <is>
          <t>Sí</t>
        </is>
      </c>
      <c r="I1153" s="18" t="inlineStr"/>
      <c r="J1153" s="18" t="inlineStr"/>
      <c r="K1153" s="18" t="inlineStr"/>
      <c r="L1153" s="18" t="inlineStr">
        <is>
          <t>No</t>
        </is>
      </c>
      <c r="M1153" s="18" t="inlineStr">
        <is>
          <t>No</t>
        </is>
      </c>
      <c r="N1153" s="18" t="inlineStr"/>
      <c r="O1153" s="18" t="inlineStr"/>
      <c r="P1153" s="18" t="inlineStr">
        <is>
          <t>Mapeada en legal-management-service/src/entities/planes-mejoramiento.entity.ts:141 (PlanSeguimiento.fechaReporte)</t>
        </is>
      </c>
      <c r="Q1153" s="18" t="inlineStr">
        <is>
          <t>Regla estructural (redacción revisada)</t>
        </is>
      </c>
      <c r="R1153" s="18" t="inlineStr">
        <is>
          <t>Fecha y hora del reporte de avance del plan.</t>
        </is>
      </c>
      <c r="S1153" s="18" t="inlineStr">
        <is>
          <t>Alta</t>
        </is>
      </c>
      <c r="T1153" s="18" t="inlineStr">
        <is>
          <t>Convención de nombre, redactada con el contexto de la tabla y el código.</t>
        </is>
      </c>
      <c r="U1153" s="18" t="inlineStr"/>
      <c r="V1153" s="19" t="inlineStr">
        <is>
          <t>Aprobada</t>
        </is>
      </c>
      <c r="W1153" s="19" t="inlineStr"/>
      <c r="X1153" s="19" t="inlineStr">
        <is>
          <t>Aldair González (aprobación en bloque)</t>
        </is>
      </c>
      <c r="Y1153" s="20" t="n">
        <v>46321</v>
      </c>
      <c r="Z1153" s="19" t="inlineStr">
        <is>
          <t>Nivel 2: regla estructural con redacción revisada.</t>
        </is>
      </c>
      <c r="AA1153" s="18">
        <f>IF(OR(V1153="Aprobada"),R1153,IF(AND(OR(V1153="Aprobada con ajuste",V1153="Rechazada"),W1153&lt;&gt;""),W1153,""))</f>
        <v/>
      </c>
    </row>
    <row r="1154">
      <c r="A1154" s="18" t="inlineStr">
        <is>
          <t>C1153</t>
        </is>
      </c>
      <c r="B1154" s="18" t="inlineStr">
        <is>
          <t>Gestión jurídica</t>
        </is>
      </c>
      <c r="C1154" s="18" t="inlineStr">
        <is>
          <t>legal_management</t>
        </is>
      </c>
      <c r="D1154" s="18" t="inlineStr">
        <is>
          <t>planes_seguimientos</t>
        </is>
      </c>
      <c r="E1154" s="18" t="n">
        <v>22</v>
      </c>
      <c r="F1154" s="18" t="inlineStr">
        <is>
          <t>usuario_id</t>
        </is>
      </c>
      <c r="G1154" s="18" t="inlineStr">
        <is>
          <t>uuid</t>
        </is>
      </c>
      <c r="H1154" s="18" t="inlineStr">
        <is>
          <t>Sí</t>
        </is>
      </c>
      <c r="I1154" s="18" t="inlineStr"/>
      <c r="J1154" s="18" t="inlineStr"/>
      <c r="K1154" s="18" t="inlineStr"/>
      <c r="L1154" s="18" t="inlineStr">
        <is>
          <t>No</t>
        </is>
      </c>
      <c r="M1154" s="18" t="inlineStr">
        <is>
          <t>No</t>
        </is>
      </c>
      <c r="N1154" s="18" t="inlineStr"/>
      <c r="O1154" s="18" t="inlineStr"/>
      <c r="P1154" s="18" t="inlineStr">
        <is>
          <t>Mapeada en legal-management-service/src/entities/planes-mejoramiento.entity.ts:144 (PlanSeguimiento.usuarioId) | Validación: IsOptional, IsString</t>
        </is>
      </c>
      <c r="Q1154" s="18" t="inlineStr">
        <is>
          <t>Código fuente (verificado)</t>
        </is>
      </c>
      <c r="R1154" s="18" t="inlineStr">
        <is>
          <t>Identificador del usuario que registró el seguimiento.</t>
        </is>
      </c>
      <c r="S1154" s="18" t="inlineStr">
        <is>
          <t>Media</t>
        </is>
      </c>
      <c r="T1154" s="18" t="inlineStr">
        <is>
          <t>backend/legal-management-service/src/services/planes-mejoramiento.service.ts:291 usuarioId = valor enviado por el cliente | backend/legal-management-service/src/controllers/planes-mejoramiento.controller.ts:90 toma body.usuarioId sin validar</t>
        </is>
      </c>
      <c r="U1154" s="18" t="inlineStr">
        <is>
          <t>¿El identificador corresponde a auth."user".id_user u otra tabla? El backend no lo valida.</t>
        </is>
      </c>
      <c r="V1154" s="19" t="inlineStr">
        <is>
          <t>Aprobada</t>
        </is>
      </c>
      <c r="W1154" s="19" t="inlineStr"/>
      <c r="X1154" s="19" t="inlineStr">
        <is>
          <t>Aldair González (validación del responsable de BD)</t>
        </is>
      </c>
      <c r="Y1154" s="20" t="n">
        <v>46321</v>
      </c>
      <c r="Z1154" s="19" t="inlineStr">
        <is>
          <t>Nivel 3: validada por decisión del responsable de la base de datos. Pregunta registrada para desarrollo: ¿El identificador corresponde a auth."user".id_user u otra tabla? El backend no lo valida.</t>
        </is>
      </c>
      <c r="AA1154" s="18">
        <f>IF(OR(V1154="Aprobada"),R1154,IF(AND(OR(V1154="Aprobada con ajuste",V1154="Rechazada"),W1154&lt;&gt;""),W1154,""))</f>
        <v/>
      </c>
    </row>
    <row r="1155">
      <c r="A1155" s="18" t="inlineStr">
        <is>
          <t>C1154</t>
        </is>
      </c>
      <c r="B1155" s="18" t="inlineStr">
        <is>
          <t>Gestión jurídica</t>
        </is>
      </c>
      <c r="C1155" s="18" t="inlineStr">
        <is>
          <t>legal_management</t>
        </is>
      </c>
      <c r="D1155" s="18" t="inlineStr">
        <is>
          <t>plantillas_documentos</t>
        </is>
      </c>
      <c r="E1155" s="18" t="n">
        <v>5</v>
      </c>
      <c r="F1155" s="18" t="inlineStr">
        <is>
          <t>nombre</t>
        </is>
      </c>
      <c r="G1155" s="18" t="inlineStr">
        <is>
          <t>character varying(500)</t>
        </is>
      </c>
      <c r="H1155" s="18" t="inlineStr">
        <is>
          <t>No</t>
        </is>
      </c>
      <c r="I1155" s="18" t="inlineStr"/>
      <c r="J1155" s="18" t="inlineStr"/>
      <c r="K1155" s="18" t="inlineStr"/>
      <c r="L1155" s="18" t="inlineStr">
        <is>
          <t>No</t>
        </is>
      </c>
      <c r="M1155" s="18" t="inlineStr">
        <is>
          <t>No</t>
        </is>
      </c>
      <c r="N1155" s="18" t="inlineStr"/>
      <c r="O1155" s="18" t="inlineStr"/>
      <c r="P1155" s="18" t="inlineStr">
        <is>
          <t>Mapeada en legal-management-service/src/entities/plantilla-documento.entity.ts:17 (PlantillaDocumento.nombre)</t>
        </is>
      </c>
      <c r="Q1155" s="18" t="inlineStr">
        <is>
          <t>Regla estructural (redacción revisada)</t>
        </is>
      </c>
      <c r="R1155" s="18" t="inlineStr">
        <is>
          <t>Nombre de la plantilla de documento.</t>
        </is>
      </c>
      <c r="S1155" s="18" t="inlineStr">
        <is>
          <t>Alta</t>
        </is>
      </c>
      <c r="T1155" s="18" t="inlineStr">
        <is>
          <t>Convención de nombre, redactada con el contexto de la tabla y el código.</t>
        </is>
      </c>
      <c r="U1155" s="18" t="inlineStr"/>
      <c r="V1155" s="19" t="inlineStr">
        <is>
          <t>Aprobada</t>
        </is>
      </c>
      <c r="W1155" s="19" t="inlineStr"/>
      <c r="X1155" s="19" t="inlineStr">
        <is>
          <t>Aldair González (aprobación en bloque)</t>
        </is>
      </c>
      <c r="Y1155" s="20" t="n">
        <v>46321</v>
      </c>
      <c r="Z1155" s="19" t="inlineStr">
        <is>
          <t>Nivel 2: regla estructural con redacción revisada.</t>
        </is>
      </c>
      <c r="AA1155" s="18">
        <f>IF(OR(V1155="Aprobada"),R1155,IF(AND(OR(V1155="Aprobada con ajuste",V1155="Rechazada"),W1155&lt;&gt;""),W1155,""))</f>
        <v/>
      </c>
    </row>
    <row r="1156">
      <c r="A1156" s="18" t="inlineStr">
        <is>
          <t>C1155</t>
        </is>
      </c>
      <c r="B1156" s="18" t="inlineStr">
        <is>
          <t>Gestión jurídica</t>
        </is>
      </c>
      <c r="C1156" s="18" t="inlineStr">
        <is>
          <t>legal_management</t>
        </is>
      </c>
      <c r="D1156" s="18" t="inlineStr">
        <is>
          <t>plantillas_documentos</t>
        </is>
      </c>
      <c r="E1156" s="18" t="n">
        <v>5</v>
      </c>
      <c r="F1156" s="18" t="inlineStr">
        <is>
          <t>categoria</t>
        </is>
      </c>
      <c r="G1156" s="18" t="inlineStr">
        <is>
          <t>character varying(100)</t>
        </is>
      </c>
      <c r="H1156" s="18" t="inlineStr">
        <is>
          <t>No</t>
        </is>
      </c>
      <c r="I1156" s="18" t="inlineStr"/>
      <c r="J1156" s="18" t="inlineStr"/>
      <c r="K1156" s="18" t="inlineStr"/>
      <c r="L1156" s="18" t="inlineStr">
        <is>
          <t>No</t>
        </is>
      </c>
      <c r="M1156" s="18" t="inlineStr">
        <is>
          <t>No</t>
        </is>
      </c>
      <c r="N1156" s="18" t="inlineStr"/>
      <c r="O1156" s="18" t="inlineStr">
        <is>
          <t>idx_plantillas_documentos_categoria</t>
        </is>
      </c>
      <c r="P1156" s="18" t="inlineStr">
        <is>
          <t>legal-management-service/src/entities/plantilla-documento.entity.ts:20: actas | evidencias | oficios | pruebas | comunicaciones | notificaciones | documentos-generales</t>
        </is>
      </c>
      <c r="Q1156" s="18" t="inlineStr">
        <is>
          <t>Código fuente</t>
        </is>
      </c>
      <c r="R1156" s="18" t="inlineStr">
        <is>
          <t>Categoría de la plantilla. Valores: actas, evidencias, oficios, pruebas, comunicaciones, notificaciones, documentos-generales.</t>
        </is>
      </c>
      <c r="S1156" s="18" t="inlineStr">
        <is>
          <t>Alta</t>
        </is>
      </c>
      <c r="T1156" s="18" t="inlineStr">
        <is>
          <t>código: plantilla-documento.entity.ts:20</t>
        </is>
      </c>
      <c r="U1156" s="18" t="inlineStr"/>
      <c r="V1156" s="19" t="inlineStr">
        <is>
          <t>Aprobada</t>
        </is>
      </c>
      <c r="W1156" s="19" t="inlineStr"/>
      <c r="X1156" s="19" t="inlineStr">
        <is>
          <t>Aldair González (aprobación en bloque)</t>
        </is>
      </c>
      <c r="Y1156" s="20" t="n">
        <v>46321</v>
      </c>
      <c r="Z1156" s="19" t="inlineStr">
        <is>
          <t>Nivel 1: propuesta del comentario del desarrollador o de confianza alta, o regla de fecha/responsable/motivo.</t>
        </is>
      </c>
      <c r="AA1156" s="18">
        <f>IF(OR(V1156="Aprobada"),R1156,IF(AND(OR(V1156="Aprobada con ajuste",V1156="Rechazada"),W1156&lt;&gt;""),W1156,""))</f>
        <v/>
      </c>
    </row>
    <row r="1157">
      <c r="A1157" s="18" t="inlineStr">
        <is>
          <t>C1156</t>
        </is>
      </c>
      <c r="B1157" s="18" t="inlineStr">
        <is>
          <t>Gestión jurídica</t>
        </is>
      </c>
      <c r="C1157" s="18" t="inlineStr">
        <is>
          <t>legal_management</t>
        </is>
      </c>
      <c r="D1157" s="18" t="inlineStr">
        <is>
          <t>plantillas_documentos</t>
        </is>
      </c>
      <c r="E1157" s="18" t="n">
        <v>5</v>
      </c>
      <c r="F1157" s="18" t="inlineStr">
        <is>
          <t>nombre_original</t>
        </is>
      </c>
      <c r="G1157" s="18" t="inlineStr">
        <is>
          <t>character varying(500)</t>
        </is>
      </c>
      <c r="H1157" s="18" t="inlineStr">
        <is>
          <t>No</t>
        </is>
      </c>
      <c r="I1157" s="18" t="inlineStr"/>
      <c r="J1157" s="18" t="inlineStr"/>
      <c r="K1157" s="18" t="inlineStr"/>
      <c r="L1157" s="18" t="inlineStr">
        <is>
          <t>No</t>
        </is>
      </c>
      <c r="M1157" s="18" t="inlineStr">
        <is>
          <t>No</t>
        </is>
      </c>
      <c r="N1157" s="18" t="inlineStr"/>
      <c r="O1157" s="18" t="inlineStr"/>
      <c r="P1157" s="18" t="inlineStr">
        <is>
          <t>Mapeada en legal-management-service/src/entities/plantilla-documento.entity.ts:23 (PlantillaDocumento.nombreOriginal)</t>
        </is>
      </c>
      <c r="Q1157" s="18" t="inlineStr">
        <is>
          <t>Propuesta semántica</t>
        </is>
      </c>
      <c r="R1157" s="18" t="inlineStr">
        <is>
          <t>Nombre original del archivo de la plantilla cargada.</t>
        </is>
      </c>
      <c r="S1157" s="18" t="inlineStr">
        <is>
          <t>Alta</t>
        </is>
      </c>
      <c r="T1157" s="18" t="inlineStr">
        <is>
          <t>nombre + columnas vecinas (mime_type, tamano)</t>
        </is>
      </c>
      <c r="U1157" s="18" t="inlineStr"/>
      <c r="V1157" s="19" t="inlineStr">
        <is>
          <t>Aprobada</t>
        </is>
      </c>
      <c r="W1157" s="19" t="inlineStr"/>
      <c r="X1157" s="19" t="inlineStr">
        <is>
          <t>Aldair González (aprobación en bloque)</t>
        </is>
      </c>
      <c r="Y1157" s="20" t="n">
        <v>46321</v>
      </c>
      <c r="Z1157" s="19" t="inlineStr">
        <is>
          <t>Nivel 1: propuesta del comentario del desarrollador o de confianza alta, o regla de fecha/responsable/motivo.</t>
        </is>
      </c>
      <c r="AA1157" s="18">
        <f>IF(OR(V1157="Aprobada"),R1157,IF(AND(OR(V1157="Aprobada con ajuste",V1157="Rechazada"),W1157&lt;&gt;""),W1157,""))</f>
        <v/>
      </c>
    </row>
    <row r="1158">
      <c r="A1158" s="18" t="inlineStr">
        <is>
          <t>C1157</t>
        </is>
      </c>
      <c r="B1158" s="18" t="inlineStr">
        <is>
          <t>Gestión jurídica</t>
        </is>
      </c>
      <c r="C1158" s="18" t="inlineStr">
        <is>
          <t>legal_management</t>
        </is>
      </c>
      <c r="D1158" s="18" t="inlineStr">
        <is>
          <t>plantillas_documentos</t>
        </is>
      </c>
      <c r="E1158" s="18" t="n">
        <v>5</v>
      </c>
      <c r="F1158" s="18" t="inlineStr">
        <is>
          <t>mime_type</t>
        </is>
      </c>
      <c r="G1158" s="18" t="inlineStr">
        <is>
          <t>character varying(100)</t>
        </is>
      </c>
      <c r="H1158" s="18" t="inlineStr">
        <is>
          <t>No</t>
        </is>
      </c>
      <c r="I1158" s="18" t="inlineStr"/>
      <c r="J1158" s="18" t="inlineStr"/>
      <c r="K1158" s="18" t="inlineStr"/>
      <c r="L1158" s="18" t="inlineStr">
        <is>
          <t>No</t>
        </is>
      </c>
      <c r="M1158" s="18" t="inlineStr">
        <is>
          <t>No</t>
        </is>
      </c>
      <c r="N1158" s="18" t="inlineStr"/>
      <c r="O1158" s="18" t="inlineStr"/>
      <c r="P1158" s="18" t="inlineStr">
        <is>
          <t>Mapeada en legal-management-service/src/entities/plantilla-documento.entity.ts:26 (PlantillaDocumento.mimeType)</t>
        </is>
      </c>
      <c r="Q1158" s="18" t="inlineStr">
        <is>
          <t>Regla estructural (redacción revisada)</t>
        </is>
      </c>
      <c r="R1158" s="18" t="inlineStr">
        <is>
          <t>Tipo MIME del archivo de la plantilla de documento.</t>
        </is>
      </c>
      <c r="S1158" s="18" t="inlineStr">
        <is>
          <t>Alta</t>
        </is>
      </c>
      <c r="T1158" s="18" t="inlineStr">
        <is>
          <t>Convención de nombre, redactada con el contexto de la tabla y el código.</t>
        </is>
      </c>
      <c r="U1158" s="18" t="inlineStr"/>
      <c r="V1158" s="19" t="inlineStr">
        <is>
          <t>Aprobada</t>
        </is>
      </c>
      <c r="W1158" s="19" t="inlineStr"/>
      <c r="X1158" s="19" t="inlineStr">
        <is>
          <t>Aldair González (aprobación en bloque)</t>
        </is>
      </c>
      <c r="Y1158" s="20" t="n">
        <v>46321</v>
      </c>
      <c r="Z1158" s="19" t="inlineStr">
        <is>
          <t>Nivel 2: regla estructural con redacción revisada.</t>
        </is>
      </c>
      <c r="AA1158" s="18">
        <f>IF(OR(V1158="Aprobada"),R1158,IF(AND(OR(V1158="Aprobada con ajuste",V1158="Rechazada"),W1158&lt;&gt;""),W1158,""))</f>
        <v/>
      </c>
    </row>
    <row r="1159">
      <c r="A1159" s="18" t="inlineStr">
        <is>
          <t>C1158</t>
        </is>
      </c>
      <c r="B1159" s="18" t="inlineStr">
        <is>
          <t>Gestión jurídica</t>
        </is>
      </c>
      <c r="C1159" s="18" t="inlineStr">
        <is>
          <t>legal_management</t>
        </is>
      </c>
      <c r="D1159" s="18" t="inlineStr">
        <is>
          <t>plantillas_documentos</t>
        </is>
      </c>
      <c r="E1159" s="18" t="n">
        <v>5</v>
      </c>
      <c r="F1159" s="18" t="inlineStr">
        <is>
          <t>tamano</t>
        </is>
      </c>
      <c r="G1159" s="18" t="inlineStr">
        <is>
          <t>integer</t>
        </is>
      </c>
      <c r="H1159" s="18" t="inlineStr">
        <is>
          <t>No</t>
        </is>
      </c>
      <c r="I1159" s="18" t="inlineStr"/>
      <c r="J1159" s="18" t="inlineStr"/>
      <c r="K1159" s="18" t="inlineStr"/>
      <c r="L1159" s="18" t="inlineStr">
        <is>
          <t>No</t>
        </is>
      </c>
      <c r="M1159" s="18" t="inlineStr">
        <is>
          <t>No</t>
        </is>
      </c>
      <c r="N1159" s="18" t="inlineStr"/>
      <c r="O1159" s="18" t="inlineStr"/>
      <c r="P1159" s="18" t="inlineStr">
        <is>
          <t>Mapeada en legal-management-service/src/entities/plantilla-documento.entity.ts:29 (PlantillaDocumento.tamano)</t>
        </is>
      </c>
      <c r="Q1159" s="18" t="inlineStr">
        <is>
          <t>Código fuente (verificado)</t>
        </is>
      </c>
      <c r="R1159" s="18" t="inlineStr">
        <is>
          <t>Tamaño del archivo de la plantilla, en bytes.</t>
        </is>
      </c>
      <c r="S1159" s="18" t="inlineStr">
        <is>
          <t>Alta</t>
        </is>
      </c>
      <c r="T1159" s="18" t="inlineStr">
        <is>
          <t>backend/legal-management-service/src/controllers/plantillas.controller.ts:61 tamano = file.size (tamaño en bytes que entrega Multer)</t>
        </is>
      </c>
      <c r="U1159" s="18" t="inlineStr"/>
      <c r="V1159" s="19" t="inlineStr">
        <is>
          <t>Aprobada</t>
        </is>
      </c>
      <c r="W1159" s="19" t="inlineStr"/>
      <c r="X1159" s="19" t="inlineStr">
        <is>
          <t>Aldair González (aprobación en bloque)</t>
        </is>
      </c>
      <c r="Y1159" s="20" t="n">
        <v>46321</v>
      </c>
      <c r="Z1159" s="19" t="inlineStr">
        <is>
          <t>Nivel 3: verificada con el código de la aplicación.</t>
        </is>
      </c>
      <c r="AA1159" s="18">
        <f>IF(OR(V1159="Aprobada"),R1159,IF(AND(OR(V1159="Aprobada con ajuste",V1159="Rechazada"),W1159&lt;&gt;""),W1159,""))</f>
        <v/>
      </c>
    </row>
    <row r="1160">
      <c r="A1160" s="18" t="inlineStr">
        <is>
          <t>C1159</t>
        </is>
      </c>
      <c r="B1160" s="18" t="inlineStr">
        <is>
          <t>Gestión jurídica</t>
        </is>
      </c>
      <c r="C1160" s="18" t="inlineStr">
        <is>
          <t>legal_management</t>
        </is>
      </c>
      <c r="D1160" s="18" t="inlineStr">
        <is>
          <t>plantillas_documentos</t>
        </is>
      </c>
      <c r="E1160" s="18" t="n">
        <v>5</v>
      </c>
      <c r="F1160" s="18" t="inlineStr">
        <is>
          <t>contenido_base64</t>
        </is>
      </c>
      <c r="G1160" s="18" t="inlineStr">
        <is>
          <t>text</t>
        </is>
      </c>
      <c r="H1160" s="18" t="inlineStr">
        <is>
          <t>No</t>
        </is>
      </c>
      <c r="I1160" s="18" t="inlineStr"/>
      <c r="J1160" s="18" t="inlineStr"/>
      <c r="K1160" s="18" t="inlineStr"/>
      <c r="L1160" s="18" t="inlineStr">
        <is>
          <t>No</t>
        </is>
      </c>
      <c r="M1160" s="18" t="inlineStr">
        <is>
          <t>No</t>
        </is>
      </c>
      <c r="N1160" s="18" t="inlineStr"/>
      <c r="O1160" s="18" t="inlineStr"/>
      <c r="P1160" s="18" t="inlineStr">
        <is>
          <t>Mapeada en legal-management-service/src/entities/plantilla-documento.entity.ts:32 (PlantillaDocumento.contenidoBase64)</t>
        </is>
      </c>
      <c r="Q1160" s="18" t="inlineStr">
        <is>
          <t>Propuesta semántica</t>
        </is>
      </c>
      <c r="R1160" s="18" t="inlineStr">
        <is>
          <t>Contenido del archivo de la plantilla codificado en Base64.</t>
        </is>
      </c>
      <c r="S1160" s="18" t="inlineStr">
        <is>
          <t>Alta</t>
        </is>
      </c>
      <c r="T1160" s="18" t="inlineStr">
        <is>
          <t>nombre + tipo</t>
        </is>
      </c>
      <c r="U1160" s="18" t="inlineStr"/>
      <c r="V1160" s="19" t="inlineStr">
        <is>
          <t>Aprobada</t>
        </is>
      </c>
      <c r="W1160" s="19" t="inlineStr"/>
      <c r="X1160" s="19" t="inlineStr">
        <is>
          <t>Aldair González (aprobación en bloque)</t>
        </is>
      </c>
      <c r="Y1160" s="20" t="n">
        <v>46321</v>
      </c>
      <c r="Z1160" s="19" t="inlineStr">
        <is>
          <t>Nivel 1: propuesta del comentario del desarrollador o de confianza alta, o regla de fecha/responsable/motivo.</t>
        </is>
      </c>
      <c r="AA1160" s="18">
        <f>IF(OR(V1160="Aprobada"),R1160,IF(AND(OR(V1160="Aprobada con ajuste",V1160="Rechazada"),W1160&lt;&gt;""),W1160,""))</f>
        <v/>
      </c>
    </row>
    <row r="1161">
      <c r="A1161" s="18" t="inlineStr">
        <is>
          <t>C1160</t>
        </is>
      </c>
      <c r="B1161" s="18" t="inlineStr">
        <is>
          <t>Gestión jurídica</t>
        </is>
      </c>
      <c r="C1161" s="18" t="inlineStr">
        <is>
          <t>legal_management</t>
        </is>
      </c>
      <c r="D1161" s="18" t="inlineStr">
        <is>
          <t>plantillas_documentos</t>
        </is>
      </c>
      <c r="E1161" s="18" t="n">
        <v>5</v>
      </c>
      <c r="F1161" s="18" t="inlineStr">
        <is>
          <t>subido_por</t>
        </is>
      </c>
      <c r="G1161" s="18" t="inlineStr">
        <is>
          <t>character varying(255)</t>
        </is>
      </c>
      <c r="H1161" s="18" t="inlineStr">
        <is>
          <t>Sí</t>
        </is>
      </c>
      <c r="I1161" s="18" t="inlineStr"/>
      <c r="J1161" s="18" t="inlineStr"/>
      <c r="K1161" s="18" t="inlineStr"/>
      <c r="L1161" s="18" t="inlineStr">
        <is>
          <t>No</t>
        </is>
      </c>
      <c r="M1161" s="18" t="inlineStr">
        <is>
          <t>No</t>
        </is>
      </c>
      <c r="N1161" s="18" t="inlineStr"/>
      <c r="O1161" s="18" t="inlineStr"/>
      <c r="P1161" s="18" t="inlineStr">
        <is>
          <t>Mapeada en legal-management-service/src/entities/plantilla-documento.entity.ts:35 (PlantillaDocumento.subidoPor)</t>
        </is>
      </c>
      <c r="Q1161" s="18" t="inlineStr">
        <is>
          <t>Regla estructural</t>
        </is>
      </c>
      <c r="R1161" s="18" t="inlineStr">
        <is>
          <t>Usuario que realizó la carga.</t>
        </is>
      </c>
      <c r="S1161" s="18" t="inlineStr">
        <is>
          <t>Media</t>
        </is>
      </c>
      <c r="T1161" s="18" t="inlineStr">
        <is>
          <t>Convención de nombre de la columna.</t>
        </is>
      </c>
      <c r="U1161" s="18" t="inlineStr"/>
      <c r="V1161" s="19" t="inlineStr">
        <is>
          <t>Aprobada</t>
        </is>
      </c>
      <c r="W1161" s="19" t="inlineStr"/>
      <c r="X1161" s="19" t="inlineStr">
        <is>
          <t>Aldair González (aprobación en bloque)</t>
        </is>
      </c>
      <c r="Y1161" s="20" t="n">
        <v>46321</v>
      </c>
      <c r="Z1161" s="19" t="inlineStr">
        <is>
          <t>Nivel 1: propuesta del comentario del desarrollador o de confianza alta, o regla de fecha/responsable/motivo.</t>
        </is>
      </c>
      <c r="AA1161" s="18">
        <f>IF(OR(V1161="Aprobada"),R1161,IF(AND(OR(V1161="Aprobada con ajuste",V1161="Rechazada"),W1161&lt;&gt;""),W1161,""))</f>
        <v/>
      </c>
    </row>
    <row r="1162">
      <c r="A1162" s="18" t="inlineStr">
        <is>
          <t>C1161</t>
        </is>
      </c>
      <c r="B1162" s="18" t="inlineStr">
        <is>
          <t>Gestión jurídica</t>
        </is>
      </c>
      <c r="C1162" s="18" t="inlineStr">
        <is>
          <t>legal_management</t>
        </is>
      </c>
      <c r="D1162" s="18" t="inlineStr">
        <is>
          <t>procesos_coactivos</t>
        </is>
      </c>
      <c r="E1162" s="18" t="n">
        <v>7</v>
      </c>
      <c r="F1162" s="18" t="inlineStr">
        <is>
          <t>radicado</t>
        </is>
      </c>
      <c r="G1162" s="18" t="inlineStr">
        <is>
          <t>character varying(50)</t>
        </is>
      </c>
      <c r="H1162" s="18" t="inlineStr">
        <is>
          <t>No</t>
        </is>
      </c>
      <c r="I1162" s="18" t="inlineStr">
        <is>
          <t>Única</t>
        </is>
      </c>
      <c r="J1162" s="18" t="inlineStr"/>
      <c r="K1162" s="18" t="inlineStr"/>
      <c r="L1162" s="18" t="inlineStr">
        <is>
          <t>No</t>
        </is>
      </c>
      <c r="M1162" s="18" t="inlineStr">
        <is>
          <t>No</t>
        </is>
      </c>
      <c r="N1162" s="18" t="inlineStr"/>
      <c r="O1162" s="18" t="inlineStr">
        <is>
          <t>idx_procesos_coactivos_radicado, procesos_coactivos_radicado_key</t>
        </is>
      </c>
      <c r="P1162" s="18" t="inlineStr">
        <is>
          <t>Mapeada en legal-management-service/src/entities/proceso-coactivo.entity.ts:26 (ProcesoCoactivo.radicado) | Validación: IsString, Length(23, 23, { message: 'El radicado debe tener 23 dígitos.' })</t>
        </is>
      </c>
      <c r="Q1162" s="18" t="inlineStr">
        <is>
          <t>Propuesta semántica</t>
        </is>
      </c>
      <c r="R1162" s="18" t="inlineStr">
        <is>
          <t>Número de radicado único del proceso de cobro coactivo, de 23 dígitos.</t>
        </is>
      </c>
      <c r="S1162" s="18" t="inlineStr">
        <is>
          <t>Alta</t>
        </is>
      </c>
      <c r="T1162" s="18" t="inlineStr">
        <is>
          <t>validación Length(23, 23) + restricción única</t>
        </is>
      </c>
      <c r="U1162" s="18" t="inlineStr"/>
      <c r="V1162" s="19" t="inlineStr">
        <is>
          <t>Aprobada</t>
        </is>
      </c>
      <c r="W1162" s="19" t="inlineStr"/>
      <c r="X1162" s="19" t="inlineStr">
        <is>
          <t>Aldair González (aprobación en bloque)</t>
        </is>
      </c>
      <c r="Y1162" s="20" t="n">
        <v>46321</v>
      </c>
      <c r="Z1162" s="19" t="inlineStr">
        <is>
          <t>Nivel 1: propuesta del comentario del desarrollador o de confianza alta, o regla de fecha/responsable/motivo.</t>
        </is>
      </c>
      <c r="AA1162" s="18">
        <f>IF(OR(V1162="Aprobada"),R1162,IF(AND(OR(V1162="Aprobada con ajuste",V1162="Rechazada"),W1162&lt;&gt;""),W1162,""))</f>
        <v/>
      </c>
    </row>
    <row r="1163">
      <c r="A1163" s="18" t="inlineStr">
        <is>
          <t>C1162</t>
        </is>
      </c>
      <c r="B1163" s="18" t="inlineStr">
        <is>
          <t>Gestión jurídica</t>
        </is>
      </c>
      <c r="C1163" s="18" t="inlineStr">
        <is>
          <t>legal_management</t>
        </is>
      </c>
      <c r="D1163" s="18" t="inlineStr">
        <is>
          <t>procesos_coactivos</t>
        </is>
      </c>
      <c r="E1163" s="18" t="n">
        <v>7</v>
      </c>
      <c r="F1163" s="18" t="inlineStr">
        <is>
          <t>estado</t>
        </is>
      </c>
      <c r="G1163" s="18" t="inlineStr">
        <is>
          <t>legal_management.estado_proceso_coactivo</t>
        </is>
      </c>
      <c r="H1163" s="18" t="inlineStr">
        <is>
          <t>Sí</t>
        </is>
      </c>
      <c r="I1163" s="18" t="inlineStr">
        <is>
          <t>Enumerado</t>
        </is>
      </c>
      <c r="J1163" s="18" t="inlineStr">
        <is>
          <t>PERSUASIVA, COACTIVA, MEDIDAS_CAUTELARES, EXCEPCIONES, LIQUIDACION</t>
        </is>
      </c>
      <c r="K1163" s="18" t="inlineStr"/>
      <c r="L1163" s="18" t="inlineStr">
        <is>
          <t>Sí</t>
        </is>
      </c>
      <c r="M1163" s="18" t="inlineStr">
        <is>
          <t>No</t>
        </is>
      </c>
      <c r="N1163" s="18" t="inlineStr"/>
      <c r="O1163" s="18" t="inlineStr">
        <is>
          <t>idx_procesos_coactivos_estado</t>
        </is>
      </c>
      <c r="P1163" s="18" t="inlineStr">
        <is>
          <t>Mapeada en legal-management-service/src/entities/proceso-coactivo.entity.ts:35 (ProcesoCoactivo.estado) | Enum: PERSUASIVA, COACTIVA, MEDIDAS_CAUTELARES, EXCEPCIONES, LIQUIDACION</t>
        </is>
      </c>
      <c r="Q1163" s="18" t="inlineStr">
        <is>
          <t>Regla estructural (redacción revisada)</t>
        </is>
      </c>
      <c r="R1163" s="18" t="inlineStr">
        <is>
          <t>Estado del proceso de cobro coactivo (PERSUASIVA, COACTIVA, MEDIDAS_CAUTELARES, EXCEPCIONES o LIQUIDACION).</t>
        </is>
      </c>
      <c r="S1163" s="18" t="inlineStr">
        <is>
          <t>Alta</t>
        </is>
      </c>
      <c r="T1163" s="18" t="inlineStr">
        <is>
          <t>Convención de nombre, redactada con el contexto de la tabla y el código.</t>
        </is>
      </c>
      <c r="U1163" s="18" t="inlineStr"/>
      <c r="V1163" s="19" t="inlineStr">
        <is>
          <t>Aprobada</t>
        </is>
      </c>
      <c r="W1163" s="19" t="inlineStr"/>
      <c r="X1163" s="19" t="inlineStr">
        <is>
          <t>Aldair González (aprobación en bloque)</t>
        </is>
      </c>
      <c r="Y1163" s="20" t="n">
        <v>46321</v>
      </c>
      <c r="Z1163" s="19" t="inlineStr">
        <is>
          <t>Nivel 2: regla estructural con redacción revisada.</t>
        </is>
      </c>
      <c r="AA1163" s="18">
        <f>IF(OR(V1163="Aprobada"),R1163,IF(AND(OR(V1163="Aprobada con ajuste",V1163="Rechazada"),W1163&lt;&gt;""),W1163,""))</f>
        <v/>
      </c>
    </row>
    <row r="1164">
      <c r="A1164" s="18" t="inlineStr">
        <is>
          <t>C1163</t>
        </is>
      </c>
      <c r="B1164" s="18" t="inlineStr">
        <is>
          <t>Gestión jurídica</t>
        </is>
      </c>
      <c r="C1164" s="18" t="inlineStr">
        <is>
          <t>legal_management</t>
        </is>
      </c>
      <c r="D1164" s="18" t="inlineStr">
        <is>
          <t>procesos_coactivos</t>
        </is>
      </c>
      <c r="E1164" s="18" t="n">
        <v>7</v>
      </c>
      <c r="F1164" s="18" t="inlineStr">
        <is>
          <t>responsable</t>
        </is>
      </c>
      <c r="G1164" s="18" t="inlineStr">
        <is>
          <t>character varying(255)</t>
        </is>
      </c>
      <c r="H1164" s="18" t="inlineStr">
        <is>
          <t>Sí</t>
        </is>
      </c>
      <c r="I1164" s="18" t="inlineStr"/>
      <c r="J1164" s="18" t="inlineStr"/>
      <c r="K1164" s="18" t="inlineStr"/>
      <c r="L1164" s="18" t="inlineStr">
        <is>
          <t>No</t>
        </is>
      </c>
      <c r="M1164" s="18" t="inlineStr">
        <is>
          <t>No</t>
        </is>
      </c>
      <c r="N1164" s="18" t="inlineStr"/>
      <c r="O1164" s="18" t="inlineStr"/>
      <c r="P1164" s="18" t="inlineStr">
        <is>
          <t>Mapeada en legal-management-service/src/entities/proceso-coactivo.entity.ts:43 (ProcesoCoactivo.responsable)</t>
        </is>
      </c>
      <c r="Q1164" s="18" t="inlineStr">
        <is>
          <t>Código fuente (verificado)</t>
        </is>
      </c>
      <c r="R1164" s="18" t="inlineStr">
        <is>
          <t>Responsable del proceso coactivo, registrado como texto. Por defecto, «Sin asignar».</t>
        </is>
      </c>
      <c r="S1164" s="18" t="inlineStr">
        <is>
          <t>Media</t>
        </is>
      </c>
      <c r="T1164" s="18" t="inlineStr">
        <is>
          <t>backend/legal-management-service/src/services/proceso-coactivo.service.ts:189 responsable = dto.responsable o 'Sin asignar' | backend/legal-management-service/src/services/proceso-coactivo.service.ts:81 el filtro lo compara con auth."user".public_id o con auth.personas.nom_largo</t>
        </is>
      </c>
      <c r="U1164" s="18" t="inlineStr">
        <is>
          <t>¿Qué guarda el frontend en responsable: el public_id del usuario o su nombre? El filtro admite los dos.</t>
        </is>
      </c>
      <c r="V1164" s="19" t="inlineStr">
        <is>
          <t>Aprobada</t>
        </is>
      </c>
      <c r="W1164" s="19" t="inlineStr"/>
      <c r="X1164" s="19" t="inlineStr">
        <is>
          <t>Aldair González (validación del responsable de BD)</t>
        </is>
      </c>
      <c r="Y1164" s="20" t="n">
        <v>46321</v>
      </c>
      <c r="Z1164" s="19" t="inlineStr">
        <is>
          <t>Nivel 3: validada por decisión del responsable de la base de datos. Pregunta registrada para desarrollo: ¿Qué guarda el frontend en responsable: el public_id del usuario o su nombre? El filtro admite los dos.</t>
        </is>
      </c>
      <c r="AA1164" s="18">
        <f>IF(OR(V1164="Aprobada"),R1164,IF(AND(OR(V1164="Aprobada con ajuste",V1164="Rechazada"),W1164&lt;&gt;""),W1164,""))</f>
        <v/>
      </c>
    </row>
    <row r="1165">
      <c r="A1165" s="18" t="inlineStr">
        <is>
          <t>C1164</t>
        </is>
      </c>
      <c r="B1165" s="18" t="inlineStr">
        <is>
          <t>Gestión jurídica</t>
        </is>
      </c>
      <c r="C1165" s="18" t="inlineStr">
        <is>
          <t>legal_management</t>
        </is>
      </c>
      <c r="D1165" s="18" t="inlineStr">
        <is>
          <t>procesos_coactivos</t>
        </is>
      </c>
      <c r="E1165" s="18" t="n">
        <v>7</v>
      </c>
      <c r="F1165" s="18" t="inlineStr">
        <is>
          <t>documentos_adjuntos</t>
        </is>
      </c>
      <c r="G1165" s="18" t="inlineStr">
        <is>
          <t>integer</t>
        </is>
      </c>
      <c r="H1165" s="18" t="inlineStr">
        <is>
          <t>Sí</t>
        </is>
      </c>
      <c r="I1165" s="18" t="inlineStr"/>
      <c r="J1165" s="18" t="inlineStr"/>
      <c r="K1165" s="18" t="inlineStr"/>
      <c r="L1165" s="18" t="inlineStr">
        <is>
          <t>No</t>
        </is>
      </c>
      <c r="M1165" s="18" t="inlineStr">
        <is>
          <t>No</t>
        </is>
      </c>
      <c r="N1165" s="18" t="inlineStr"/>
      <c r="O1165" s="18" t="inlineStr"/>
      <c r="P1165" s="18" t="inlineStr">
        <is>
          <t>Mapeada en legal-management-service/src/entities/proceso-coactivo.entity.ts:46 (ProcesoCoactivo.documentosAdjuntos)</t>
        </is>
      </c>
      <c r="Q1165" s="18" t="inlineStr">
        <is>
          <t>Código fuente (verificado)</t>
        </is>
      </c>
      <c r="R1165" s="18" t="inlineStr">
        <is>
          <t>Cantidad de archivos adjuntos del proceso. Se recalcula contando procesos_coactivos_adjuntos al agregar o eliminar un adjunto o un pago. Por defecto, 0.</t>
        </is>
      </c>
      <c r="S1165" s="18" t="inlineStr">
        <is>
          <t>Alta</t>
        </is>
      </c>
      <c r="T1165" s="18" t="inlineStr">
        <is>
          <t>backend/legal-management-service/src/services/proceso-coactivo.service.ts:641 addAdjunto: documentosAdjuntos = count de adjuntos | backend/legal-management-service/src/services/proceso-coactivo.service.ts:577 y :689 recálculo al eliminar | backend/legal-management-service/src/services/proceso-coactivo.service.ts:248 también admite valor enviado en la actualización</t>
        </is>
      </c>
      <c r="U1165" s="18" t="inlineStr"/>
      <c r="V1165" s="19" t="inlineStr">
        <is>
          <t>Aprobada</t>
        </is>
      </c>
      <c r="W1165" s="19" t="inlineStr"/>
      <c r="X1165" s="19" t="inlineStr">
        <is>
          <t>Aldair González (aprobación en bloque)</t>
        </is>
      </c>
      <c r="Y1165" s="20" t="n">
        <v>46321</v>
      </c>
      <c r="Z1165" s="19" t="inlineStr">
        <is>
          <t>Nivel 3: verificada con el código de la aplicación.</t>
        </is>
      </c>
      <c r="AA1165" s="18">
        <f>IF(OR(V1165="Aprobada"),R1165,IF(AND(OR(V1165="Aprobada con ajuste",V1165="Rechazada"),W1165&lt;&gt;""),W1165,""))</f>
        <v/>
      </c>
    </row>
    <row r="1166">
      <c r="A1166" s="18" t="inlineStr">
        <is>
          <t>C1165</t>
        </is>
      </c>
      <c r="B1166" s="18" t="inlineStr">
        <is>
          <t>Gestión jurídica</t>
        </is>
      </c>
      <c r="C1166" s="18" t="inlineStr">
        <is>
          <t>legal_management</t>
        </is>
      </c>
      <c r="D1166" s="18" t="inlineStr">
        <is>
          <t>procesos_coactivos</t>
        </is>
      </c>
      <c r="E1166" s="18" t="n">
        <v>7</v>
      </c>
      <c r="F1166" s="18" t="inlineStr">
        <is>
          <t>notificaciones_enviadas</t>
        </is>
      </c>
      <c r="G1166" s="18" t="inlineStr">
        <is>
          <t>integer</t>
        </is>
      </c>
      <c r="H1166" s="18" t="inlineStr">
        <is>
          <t>Sí</t>
        </is>
      </c>
      <c r="I1166" s="18" t="inlineStr"/>
      <c r="J1166" s="18" t="inlineStr"/>
      <c r="K1166" s="18" t="inlineStr"/>
      <c r="L1166" s="18" t="inlineStr">
        <is>
          <t>No</t>
        </is>
      </c>
      <c r="M1166" s="18" t="inlineStr">
        <is>
          <t>No</t>
        </is>
      </c>
      <c r="N1166" s="18" t="inlineStr"/>
      <c r="O1166" s="18" t="inlineStr"/>
      <c r="P1166" s="18" t="inlineStr">
        <is>
          <t>Mapeada en legal-management-service/src/entities/proceso-coactivo.entity.ts:91 (ProcesoCoactivo.notificacionesEnviadas)</t>
        </is>
      </c>
      <c r="Q1166" s="18" t="inlineStr">
        <is>
          <t>Código fuente (verificado)</t>
        </is>
      </c>
      <c r="R1166" s="18" t="inlineStr">
        <is>
          <t>Cantidad de notificaciones enviadas en el proceso. Por defecto, 0.</t>
        </is>
      </c>
      <c r="S1166" s="18" t="inlineStr">
        <is>
          <t>Media</t>
        </is>
      </c>
      <c r="T1166" s="18" t="inlineStr">
        <is>
          <t>backend/legal-management-service/src/services/proceso-coactivo.service.ts:193 se crea en 0 | backend/legal-management-service/src/services/proceso-coactivo.service.ts:249 solo cambia con el valor que envía el cliente en la actualización; ningún evento del backend lo incrementa</t>
        </is>
      </c>
      <c r="U1166" s="18" t="inlineStr">
        <is>
          <t>¿Qué evento o pantalla envía el valor de notificaciones_enviadas?</t>
        </is>
      </c>
      <c r="V1166" s="19" t="inlineStr">
        <is>
          <t>Aprobada</t>
        </is>
      </c>
      <c r="W1166" s="19" t="inlineStr"/>
      <c r="X1166" s="19" t="inlineStr">
        <is>
          <t>Aldair González (validación del responsable de BD)</t>
        </is>
      </c>
      <c r="Y1166" s="20" t="n">
        <v>46321</v>
      </c>
      <c r="Z1166" s="19" t="inlineStr">
        <is>
          <t>Nivel 3: validada por decisión del responsable de la base de datos. Pregunta registrada para desarrollo: ¿Qué evento o pantalla envía el valor de notificaciones_enviadas?</t>
        </is>
      </c>
      <c r="AA1166" s="18">
        <f>IF(OR(V1166="Aprobada"),R1166,IF(AND(OR(V1166="Aprobada con ajuste",V1166="Rechazada"),W1166&lt;&gt;""),W1166,""))</f>
        <v/>
      </c>
    </row>
    <row r="1167">
      <c r="A1167" s="18" t="inlineStr">
        <is>
          <t>C1166</t>
        </is>
      </c>
      <c r="B1167" s="18" t="inlineStr">
        <is>
          <t>Gestión jurídica</t>
        </is>
      </c>
      <c r="C1167" s="18" t="inlineStr">
        <is>
          <t>legal_management</t>
        </is>
      </c>
      <c r="D1167" s="18" t="inlineStr">
        <is>
          <t>procesos_coactivos</t>
        </is>
      </c>
      <c r="E1167" s="18" t="n">
        <v>7</v>
      </c>
      <c r="F1167" s="18" t="inlineStr">
        <is>
          <t>observaciones</t>
        </is>
      </c>
      <c r="G1167" s="18" t="inlineStr">
        <is>
          <t>text</t>
        </is>
      </c>
      <c r="H1167" s="18" t="inlineStr">
        <is>
          <t>Sí</t>
        </is>
      </c>
      <c r="I1167" s="18" t="inlineStr"/>
      <c r="J1167" s="18" t="inlineStr"/>
      <c r="K1167" s="18" t="inlineStr"/>
      <c r="L1167" s="18" t="inlineStr">
        <is>
          <t>No</t>
        </is>
      </c>
      <c r="M1167" s="18" t="inlineStr">
        <is>
          <t>No</t>
        </is>
      </c>
      <c r="N1167" s="18" t="inlineStr"/>
      <c r="O1167" s="18" t="inlineStr"/>
      <c r="P1167" s="18" t="inlineStr">
        <is>
          <t>Mapeada en legal-management-service/src/entities/proceso-coactivo.entity.ts:94 (ProcesoCoactivo.observaciones)</t>
        </is>
      </c>
      <c r="Q1167" s="18" t="inlineStr">
        <is>
          <t>Regla estructural (redacción revisada)</t>
        </is>
      </c>
      <c r="R1167" s="18" t="inlineStr">
        <is>
          <t>Observaciones sobre el proceso de cobro coactivo.</t>
        </is>
      </c>
      <c r="S1167" s="18" t="inlineStr">
        <is>
          <t>Alta</t>
        </is>
      </c>
      <c r="T1167" s="18" t="inlineStr">
        <is>
          <t>Convención de nombre, redactada con el contexto de la tabla y el código.</t>
        </is>
      </c>
      <c r="U1167" s="18" t="inlineStr"/>
      <c r="V1167" s="19" t="inlineStr">
        <is>
          <t>Aprobada</t>
        </is>
      </c>
      <c r="W1167" s="19" t="inlineStr"/>
      <c r="X1167" s="19" t="inlineStr">
        <is>
          <t>Aldair González (aprobación en bloque)</t>
        </is>
      </c>
      <c r="Y1167" s="20" t="n">
        <v>46321</v>
      </c>
      <c r="Z1167" s="19" t="inlineStr">
        <is>
          <t>Nivel 2: regla estructural con redacción revisada.</t>
        </is>
      </c>
      <c r="AA1167" s="18">
        <f>IF(OR(V1167="Aprobada"),R1167,IF(AND(OR(V1167="Aprobada con ajuste",V1167="Rechazada"),W1167&lt;&gt;""),W1167,""))</f>
        <v/>
      </c>
    </row>
    <row r="1168">
      <c r="A1168" s="18" t="inlineStr">
        <is>
          <t>C1167</t>
        </is>
      </c>
      <c r="B1168" s="18" t="inlineStr">
        <is>
          <t>Gestión jurídica</t>
        </is>
      </c>
      <c r="C1168" s="18" t="inlineStr">
        <is>
          <t>legal_management</t>
        </is>
      </c>
      <c r="D1168" s="18" t="inlineStr">
        <is>
          <t>procesos_coactivos</t>
        </is>
      </c>
      <c r="E1168" s="18" t="n">
        <v>7</v>
      </c>
      <c r="F1168" s="18" t="inlineStr">
        <is>
          <t>ultima_actuacion</t>
        </is>
      </c>
      <c r="G1168" s="18" t="inlineStr">
        <is>
          <t>timestamp without time zone</t>
        </is>
      </c>
      <c r="H1168" s="18" t="inlineStr">
        <is>
          <t>Sí</t>
        </is>
      </c>
      <c r="I1168" s="18" t="inlineStr"/>
      <c r="J1168" s="18" t="inlineStr"/>
      <c r="K1168" s="18" t="inlineStr"/>
      <c r="L1168" s="18" t="inlineStr">
        <is>
          <t>No</t>
        </is>
      </c>
      <c r="M1168" s="18" t="inlineStr">
        <is>
          <t>No</t>
        </is>
      </c>
      <c r="N1168" s="18" t="inlineStr"/>
      <c r="O1168" s="18" t="inlineStr"/>
      <c r="P1168" s="18" t="inlineStr">
        <is>
          <t>Mapeada en legal-management-service/src/entities/proceso-coactivo.entity.ts:97 (ProcesoCoactivo.ultimaActuacion)</t>
        </is>
      </c>
      <c r="Q1168" s="18" t="inlineStr">
        <is>
          <t>Código fuente (verificado)</t>
        </is>
      </c>
      <c r="R1168" s="18" t="inlineStr">
        <is>
          <t>Fecha y hora de la última actuación del proceso. El backend la actualiza al crear o actualizar el proceso y al registrar o eliminar un pago.</t>
        </is>
      </c>
      <c r="S1168" s="18" t="inlineStr">
        <is>
          <t>Alta</t>
        </is>
      </c>
      <c r="T1168" s="18" t="inlineStr">
        <is>
          <t>backend/legal-management-service/src/services/proceso-coactivo.service.ts:191 creación | backend/legal-management-service/src/services/proceso-coactivo.service.ts:251 actualización | backend/legal-management-service/src/services/proceso-coactivo.service.ts:506 registrar pago | backend/legal-management-service/src/services/proceso-coactivo.service.ts:551 eliminar pago</t>
        </is>
      </c>
      <c r="U1168" s="18" t="inlineStr"/>
      <c r="V1168" s="19" t="inlineStr">
        <is>
          <t>Aprobada</t>
        </is>
      </c>
      <c r="W1168" s="19" t="inlineStr"/>
      <c r="X1168" s="19" t="inlineStr">
        <is>
          <t>Aldair González (aprobación en bloque)</t>
        </is>
      </c>
      <c r="Y1168" s="20" t="n">
        <v>46321</v>
      </c>
      <c r="Z1168" s="19" t="inlineStr">
        <is>
          <t>Nivel 3: verificada con el código de la aplicación.</t>
        </is>
      </c>
      <c r="AA1168" s="18">
        <f>IF(OR(V1168="Aprobada"),R1168,IF(AND(OR(V1168="Aprobada con ajuste",V1168="Rechazada"),W1168&lt;&gt;""),W1168,""))</f>
        <v/>
      </c>
    </row>
    <row r="1169">
      <c r="A1169" s="18" t="inlineStr">
        <is>
          <t>C1168</t>
        </is>
      </c>
      <c r="B1169" s="18" t="inlineStr">
        <is>
          <t>Gestión jurídica</t>
        </is>
      </c>
      <c r="C1169" s="18" t="inlineStr">
        <is>
          <t>legal_management</t>
        </is>
      </c>
      <c r="D1169" s="18" t="inlineStr">
        <is>
          <t>procesos_coactivos</t>
        </is>
      </c>
      <c r="E1169" s="18" t="n">
        <v>7</v>
      </c>
      <c r="F1169" s="18" t="inlineStr">
        <is>
          <t>valor_pagado</t>
        </is>
      </c>
      <c r="G1169" s="18" t="inlineStr">
        <is>
          <t>numeric(15,2)</t>
        </is>
      </c>
      <c r="H1169" s="18" t="inlineStr">
        <is>
          <t>Sí</t>
        </is>
      </c>
      <c r="I1169" s="18" t="inlineStr"/>
      <c r="J1169" s="18" t="inlineStr"/>
      <c r="K1169" s="18" t="inlineStr"/>
      <c r="L1169" s="18" t="inlineStr">
        <is>
          <t>No</t>
        </is>
      </c>
      <c r="M1169" s="18" t="inlineStr">
        <is>
          <t>No</t>
        </is>
      </c>
      <c r="N1169" s="18" t="inlineStr"/>
      <c r="O1169" s="18" t="inlineStr"/>
      <c r="P1169" s="18" t="inlineStr">
        <is>
          <t>Mapeada en legal-management-service/src/entities/proceso-coactivo.entity.ts:54 (ProcesoCoactivo.valorPagado)</t>
        </is>
      </c>
      <c r="Q1169" s="18" t="inlineStr">
        <is>
          <t>Código fuente (verificado)</t>
        </is>
      </c>
      <c r="R1169" s="18" t="inlineStr">
        <is>
          <t>Valor total pagado en el proceso: suma acumulada de los pagos registrados en pagos_coactivos. Por defecto, 0.</t>
        </is>
      </c>
      <c r="S1169" s="18" t="inlineStr">
        <is>
          <t>Alta</t>
        </is>
      </c>
      <c r="T1169" s="18" t="inlineStr">
        <is>
          <t>backend/legal-management-service/src/services/proceso-coactivo.service.ts:501 totalPagado = valorPagado + valor del pago | backend/legal-management-service/src/services/proceso-coactivo.service.ts:546 al eliminar un pago se resta su valor</t>
        </is>
      </c>
      <c r="U1169" s="18" t="inlineStr"/>
      <c r="V1169" s="19" t="inlineStr">
        <is>
          <t>Aprobada</t>
        </is>
      </c>
      <c r="W1169" s="19" t="inlineStr"/>
      <c r="X1169" s="19" t="inlineStr">
        <is>
          <t>Aldair González (aprobación en bloque)</t>
        </is>
      </c>
      <c r="Y1169" s="20" t="n">
        <v>46321</v>
      </c>
      <c r="Z1169" s="19" t="inlineStr">
        <is>
          <t>Nivel 3: verificada con el código de la aplicación.</t>
        </is>
      </c>
      <c r="AA1169" s="18">
        <f>IF(OR(V1169="Aprobada"),R1169,IF(AND(OR(V1169="Aprobada con ajuste",V1169="Rechazada"),W1169&lt;&gt;""),W1169,""))</f>
        <v/>
      </c>
    </row>
    <row r="1170">
      <c r="A1170" s="18" t="inlineStr">
        <is>
          <t>C1169</t>
        </is>
      </c>
      <c r="B1170" s="18" t="inlineStr">
        <is>
          <t>Gestión jurídica</t>
        </is>
      </c>
      <c r="C1170" s="18" t="inlineStr">
        <is>
          <t>legal_management</t>
        </is>
      </c>
      <c r="D1170" s="18" t="inlineStr">
        <is>
          <t>procesos_coactivos</t>
        </is>
      </c>
      <c r="E1170" s="18" t="n">
        <v>7</v>
      </c>
      <c r="F1170" s="18" t="inlineStr">
        <is>
          <t>saldo_pendiente</t>
        </is>
      </c>
      <c r="G1170" s="18" t="inlineStr">
        <is>
          <t>numeric(15,2)</t>
        </is>
      </c>
      <c r="H1170" s="18" t="inlineStr">
        <is>
          <t>Sí</t>
        </is>
      </c>
      <c r="I1170" s="18" t="inlineStr"/>
      <c r="J1170" s="18" t="inlineStr"/>
      <c r="K1170" s="18" t="inlineStr"/>
      <c r="L1170" s="18" t="inlineStr">
        <is>
          <t>No</t>
        </is>
      </c>
      <c r="M1170" s="18" t="inlineStr">
        <is>
          <t>No</t>
        </is>
      </c>
      <c r="N1170" s="18" t="inlineStr"/>
      <c r="O1170" s="18" t="inlineStr"/>
      <c r="P1170" s="18" t="inlineStr">
        <is>
          <t>Mapeada en legal-management-service/src/entities/proceso-coactivo.entity.ts:62 (ProcesoCoactivo.saldoPendiente)</t>
        </is>
      </c>
      <c r="Q1170" s="18" t="inlineStr">
        <is>
          <t>Código fuente (verificado)</t>
        </is>
      </c>
      <c r="R1170" s="18" t="inlineStr">
        <is>
          <t>Saldo pendiente de la obligación. Al crear el proceso es el valor de la obligación; al registrar un pago se recalcula con la liquidación, que suma capital, intereses moratorios y costas pendientes. Por defecto, 0.</t>
        </is>
      </c>
      <c r="S1170" s="18" t="inlineStr">
        <is>
          <t>Alta</t>
        </is>
      </c>
      <c r="T1170" s="18" t="inlineStr">
        <is>
          <t>backend/legal-management-service/src/services/proceso-coactivo.service.ts:195 creación: valor de la obligación | backend/legal-management-service/src/services/proceso-coactivo.service.ts:232 cambio de obligación: valor - valor pagado | backend/legal-management-service/src/services/proceso-coactivo.service.ts:451 saldosPendientes.total = capital + intereses + costas | backend/legal-management-service/src/services/proceso-coactivo.service.ts:502 nuevoSaldo = total pendiente - pago</t>
        </is>
      </c>
      <c r="U1170" s="18" t="inlineStr"/>
      <c r="V1170" s="19" t="inlineStr">
        <is>
          <t>Aprobada</t>
        </is>
      </c>
      <c r="W1170" s="19" t="inlineStr"/>
      <c r="X1170" s="19" t="inlineStr">
        <is>
          <t>Aldair González (aprobación en bloque)</t>
        </is>
      </c>
      <c r="Y1170" s="20" t="n">
        <v>46321</v>
      </c>
      <c r="Z1170" s="19" t="inlineStr">
        <is>
          <t>Nivel 3: verificada con el código de la aplicación.</t>
        </is>
      </c>
      <c r="AA1170" s="18">
        <f>IF(OR(V1170="Aprobada"),R1170,IF(AND(OR(V1170="Aprobada con ajuste",V1170="Rechazada"),W1170&lt;&gt;""),W1170,""))</f>
        <v/>
      </c>
    </row>
    <row r="1171">
      <c r="A1171" s="18" t="inlineStr">
        <is>
          <t>C1170</t>
        </is>
      </c>
      <c r="B1171" s="18" t="inlineStr">
        <is>
          <t>Gestión jurídica</t>
        </is>
      </c>
      <c r="C1171" s="18" t="inlineStr">
        <is>
          <t>legal_management</t>
        </is>
      </c>
      <c r="D1171" s="18" t="inlineStr">
        <is>
          <t>procesos_coactivos</t>
        </is>
      </c>
      <c r="E1171" s="18" t="n">
        <v>7</v>
      </c>
      <c r="F1171" s="18" t="inlineStr">
        <is>
          <t>estado_archivo</t>
        </is>
      </c>
      <c r="G1171" s="18" t="inlineStr">
        <is>
          <t>character varying(20)</t>
        </is>
      </c>
      <c r="H1171" s="18" t="inlineStr">
        <is>
          <t>Sí</t>
        </is>
      </c>
      <c r="I1171" s="18" t="inlineStr"/>
      <c r="J1171" s="18" t="inlineStr"/>
      <c r="K1171" s="18" t="inlineStr"/>
      <c r="L1171" s="18" t="inlineStr">
        <is>
          <t>No</t>
        </is>
      </c>
      <c r="M1171" s="18" t="inlineStr">
        <is>
          <t>No</t>
        </is>
      </c>
      <c r="N1171" s="18" t="inlineStr"/>
      <c r="O1171" s="18" t="inlineStr"/>
      <c r="P1171" s="18" t="inlineStr">
        <is>
          <t>Mapeada en legal-management-service/src/entities/proceso-coactivo.entity.ts:103 (ProcesoCoactivo.estadoArchivo)</t>
        </is>
      </c>
      <c r="Q1171" s="18" t="inlineStr">
        <is>
          <t>Código fuente (verificado)</t>
        </is>
      </c>
      <c r="R1171" s="18" t="inlineStr">
        <is>
          <t>Estado de archivo del proceso: ACTIVO, ARCHIVADO o ELIMINADO (papelera). Por defecto, ACTIVO.</t>
        </is>
      </c>
      <c r="S1171" s="18" t="inlineStr">
        <is>
          <t>Alta</t>
        </is>
      </c>
      <c r="T1171" s="18" t="inlineStr">
        <is>
          <t>backend/legal-management-service/src/entities/proceso-coactivo.entity.ts:104 tipo 'ACTIVO' | 'ARCHIVADO' | 'ELIMINADO' | backend/legal-management-service/src/services/proceso-coactivo.service.ts:267 archivar | backend/legal-management-service/src/services/proceso-coactivo.service.ts:302 eliminar a papelera</t>
        </is>
      </c>
      <c r="U1171" s="18" t="inlineStr"/>
      <c r="V1171" s="19" t="inlineStr">
        <is>
          <t>Aprobada</t>
        </is>
      </c>
      <c r="W1171" s="19" t="inlineStr"/>
      <c r="X1171" s="19" t="inlineStr">
        <is>
          <t>Aldair González (aprobación en bloque)</t>
        </is>
      </c>
      <c r="Y1171" s="20" t="n">
        <v>46321</v>
      </c>
      <c r="Z1171" s="19" t="inlineStr">
        <is>
          <t>Nivel 3: verificada con el código de la aplicación.</t>
        </is>
      </c>
      <c r="AA1171" s="18">
        <f>IF(OR(V1171="Aprobada"),R1171,IF(AND(OR(V1171="Aprobada con ajuste",V1171="Rechazada"),W1171&lt;&gt;""),W1171,""))</f>
        <v/>
      </c>
    </row>
    <row r="1172">
      <c r="A1172" s="18" t="inlineStr">
        <is>
          <t>C1171</t>
        </is>
      </c>
      <c r="B1172" s="18" t="inlineStr">
        <is>
          <t>Gestión jurídica</t>
        </is>
      </c>
      <c r="C1172" s="18" t="inlineStr">
        <is>
          <t>legal_management</t>
        </is>
      </c>
      <c r="D1172" s="18" t="inlineStr">
        <is>
          <t>procesos_coactivos</t>
        </is>
      </c>
      <c r="E1172" s="18" t="n">
        <v>7</v>
      </c>
      <c r="F1172" s="18" t="inlineStr">
        <is>
          <t>fecha_archivo</t>
        </is>
      </c>
      <c r="G1172" s="18" t="inlineStr">
        <is>
          <t>timestamp without time zone</t>
        </is>
      </c>
      <c r="H1172" s="18" t="inlineStr">
        <is>
          <t>Sí</t>
        </is>
      </c>
      <c r="I1172" s="18" t="inlineStr"/>
      <c r="J1172" s="18" t="inlineStr"/>
      <c r="K1172" s="18" t="inlineStr"/>
      <c r="L1172" s="18" t="inlineStr">
        <is>
          <t>No</t>
        </is>
      </c>
      <c r="M1172" s="18" t="inlineStr">
        <is>
          <t>No</t>
        </is>
      </c>
      <c r="N1172" s="18" t="inlineStr"/>
      <c r="O1172" s="18" t="inlineStr"/>
      <c r="P1172" s="18" t="inlineStr">
        <is>
          <t>Mapeada en legal-management-service/src/entities/proceso-coactivo.entity.ts:106 (ProcesoCoactivo.fechaArchivo)</t>
        </is>
      </c>
      <c r="Q1172" s="18" t="inlineStr">
        <is>
          <t>Regla estructural (redacción revisada)</t>
        </is>
      </c>
      <c r="R1172" s="18" t="inlineStr">
        <is>
          <t>Fecha y hora de archivo del proceso de cobro coactivo.</t>
        </is>
      </c>
      <c r="S1172" s="18" t="inlineStr">
        <is>
          <t>Alta</t>
        </is>
      </c>
      <c r="T1172" s="18" t="inlineStr">
        <is>
          <t>Convención de nombre, redactada con el contexto de la tabla y el código.</t>
        </is>
      </c>
      <c r="U1172" s="18" t="inlineStr"/>
      <c r="V1172" s="19" t="inlineStr">
        <is>
          <t>Aprobada</t>
        </is>
      </c>
      <c r="W1172" s="19" t="inlineStr"/>
      <c r="X1172" s="19" t="inlineStr">
        <is>
          <t>Aldair González (aprobación en bloque)</t>
        </is>
      </c>
      <c r="Y1172" s="20" t="n">
        <v>46321</v>
      </c>
      <c r="Z1172" s="19" t="inlineStr">
        <is>
          <t>Nivel 2: regla estructural con redacción revisada.</t>
        </is>
      </c>
      <c r="AA1172" s="18">
        <f>IF(OR(V1172="Aprobada"),R1172,IF(AND(OR(V1172="Aprobada con ajuste",V1172="Rechazada"),W1172&lt;&gt;""),W1172,""))</f>
        <v/>
      </c>
    </row>
    <row r="1173">
      <c r="A1173" s="18" t="inlineStr">
        <is>
          <t>C1172</t>
        </is>
      </c>
      <c r="B1173" s="18" t="inlineStr">
        <is>
          <t>Gestión jurídica</t>
        </is>
      </c>
      <c r="C1173" s="18" t="inlineStr">
        <is>
          <t>legal_management</t>
        </is>
      </c>
      <c r="D1173" s="18" t="inlineStr">
        <is>
          <t>procesos_coactivos</t>
        </is>
      </c>
      <c r="E1173" s="18" t="n">
        <v>7</v>
      </c>
      <c r="F1173" s="18" t="inlineStr">
        <is>
          <t>usuario_archivo</t>
        </is>
      </c>
      <c r="G1173" s="18" t="inlineStr">
        <is>
          <t>character varying(150)</t>
        </is>
      </c>
      <c r="H1173" s="18" t="inlineStr">
        <is>
          <t>Sí</t>
        </is>
      </c>
      <c r="I1173" s="18" t="inlineStr"/>
      <c r="J1173" s="18" t="inlineStr"/>
      <c r="K1173" s="18" t="inlineStr"/>
      <c r="L1173" s="18" t="inlineStr">
        <is>
          <t>No</t>
        </is>
      </c>
      <c r="M1173" s="18" t="inlineStr">
        <is>
          <t>No</t>
        </is>
      </c>
      <c r="N1173" s="18" t="inlineStr"/>
      <c r="O1173" s="18" t="inlineStr"/>
      <c r="P1173" s="18" t="inlineStr">
        <is>
          <t>Mapeada en legal-management-service/src/entities/proceso-coactivo.entity.ts:109 (ProcesoCoactivo.usuarioArchivo)</t>
        </is>
      </c>
      <c r="Q1173" s="18" t="inlineStr">
        <is>
          <t>Código fuente (verificado)</t>
        </is>
      </c>
      <c r="R1173" s="18" t="inlineStr">
        <is>
          <t>Usuario que archivó o eliminó el proceso.</t>
        </is>
      </c>
      <c r="S1173" s="18" t="inlineStr">
        <is>
          <t>Media</t>
        </is>
      </c>
      <c r="T1173" s="18" t="inlineStr">
        <is>
          <t>backend/legal-management-service/src/services/proceso-coactivo.service.ts:269 y :304 usuarioArchivo = usuario | backend/legal-management-service/src/controllers/proceso-coactivo.controller.ts:54 toma body.usuario sin validar formato</t>
        </is>
      </c>
      <c r="U1173" s="18" t="inlineStr">
        <is>
          <t>¿Qué envía el frontend en usuario: nombre, correo o identificador?</t>
        </is>
      </c>
      <c r="V1173" s="19" t="inlineStr">
        <is>
          <t>Aprobada</t>
        </is>
      </c>
      <c r="W1173" s="19" t="inlineStr"/>
      <c r="X1173" s="19" t="inlineStr">
        <is>
          <t>Aldair González (validación del responsable de BD)</t>
        </is>
      </c>
      <c r="Y1173" s="20" t="n">
        <v>46321</v>
      </c>
      <c r="Z1173" s="19" t="inlineStr">
        <is>
          <t>Nivel 3: validada por decisión del responsable de la base de datos. Pregunta registrada para desarrollo: ¿Qué envía el frontend en usuario: nombre, correo o identificador?</t>
        </is>
      </c>
      <c r="AA1173" s="18">
        <f>IF(OR(V1173="Aprobada"),R1173,IF(AND(OR(V1173="Aprobada con ajuste",V1173="Rechazada"),W1173&lt;&gt;""),W1173,""))</f>
        <v/>
      </c>
    </row>
    <row r="1174">
      <c r="A1174" s="18" t="inlineStr">
        <is>
          <t>C1173</t>
        </is>
      </c>
      <c r="B1174" s="18" t="inlineStr">
        <is>
          <t>Gestión jurídica</t>
        </is>
      </c>
      <c r="C1174" s="18" t="inlineStr">
        <is>
          <t>legal_management</t>
        </is>
      </c>
      <c r="D1174" s="18" t="inlineStr">
        <is>
          <t>procesos_coactivos</t>
        </is>
      </c>
      <c r="E1174" s="18" t="n">
        <v>7</v>
      </c>
      <c r="F1174" s="18" t="inlineStr">
        <is>
          <t>motivo_archivo</t>
        </is>
      </c>
      <c r="G1174" s="18" t="inlineStr">
        <is>
          <t>text</t>
        </is>
      </c>
      <c r="H1174" s="18" t="inlineStr">
        <is>
          <t>Sí</t>
        </is>
      </c>
      <c r="I1174" s="18" t="inlineStr"/>
      <c r="J1174" s="18" t="inlineStr"/>
      <c r="K1174" s="18" t="inlineStr"/>
      <c r="L1174" s="18" t="inlineStr">
        <is>
          <t>No</t>
        </is>
      </c>
      <c r="M1174" s="18" t="inlineStr">
        <is>
          <t>No</t>
        </is>
      </c>
      <c r="N1174" s="18" t="inlineStr"/>
      <c r="O1174" s="18" t="inlineStr"/>
      <c r="P1174" s="18" t="inlineStr">
        <is>
          <t>Mapeada en legal-management-service/src/entities/proceso-coactivo.entity.ts:112 (ProcesoCoactivo.motivoArchivo)</t>
        </is>
      </c>
      <c r="Q1174" s="18" t="inlineStr">
        <is>
          <t>Regla estructural</t>
        </is>
      </c>
      <c r="R1174" s="18" t="inlineStr">
        <is>
          <t>Motivo del archivo.</t>
        </is>
      </c>
      <c r="S1174" s="18" t="inlineStr">
        <is>
          <t>Media</t>
        </is>
      </c>
      <c r="T1174" s="18" t="inlineStr">
        <is>
          <t>Convención de nombre de la columna.</t>
        </is>
      </c>
      <c r="U1174" s="18" t="inlineStr"/>
      <c r="V1174" s="19" t="inlineStr">
        <is>
          <t>Aprobada</t>
        </is>
      </c>
      <c r="W1174" s="19" t="inlineStr"/>
      <c r="X1174" s="19" t="inlineStr">
        <is>
          <t>Aldair González (aprobación en bloque)</t>
        </is>
      </c>
      <c r="Y1174" s="20" t="n">
        <v>46321</v>
      </c>
      <c r="Z1174" s="19" t="inlineStr">
        <is>
          <t>Nivel 1: propuesta del comentario del desarrollador o de confianza alta, o regla de fecha/responsable/motivo.</t>
        </is>
      </c>
      <c r="AA1174" s="18">
        <f>IF(OR(V1174="Aprobada"),R1174,IF(AND(OR(V1174="Aprobada con ajuste",V1174="Rechazada"),W1174&lt;&gt;""),W1174,""))</f>
        <v/>
      </c>
    </row>
    <row r="1175">
      <c r="A1175" s="18" t="inlineStr">
        <is>
          <t>C1174</t>
        </is>
      </c>
      <c r="B1175" s="18" t="inlineStr">
        <is>
          <t>Gestión jurídica</t>
        </is>
      </c>
      <c r="C1175" s="18" t="inlineStr">
        <is>
          <t>legal_management</t>
        </is>
      </c>
      <c r="D1175" s="18" t="inlineStr">
        <is>
          <t>procesos_coactivos</t>
        </is>
      </c>
      <c r="E1175" s="18" t="n">
        <v>7</v>
      </c>
      <c r="F1175" s="18" t="inlineStr">
        <is>
          <t>fecha_ejecutoria</t>
        </is>
      </c>
      <c r="G1175" s="18" t="inlineStr">
        <is>
          <t>timestamp without time zone</t>
        </is>
      </c>
      <c r="H1175" s="18" t="inlineStr">
        <is>
          <t>Sí</t>
        </is>
      </c>
      <c r="I1175" s="18" t="inlineStr"/>
      <c r="J1175" s="18" t="inlineStr"/>
      <c r="K1175" s="18" t="inlineStr"/>
      <c r="L1175" s="18" t="inlineStr">
        <is>
          <t>No</t>
        </is>
      </c>
      <c r="M1175" s="18" t="inlineStr">
        <is>
          <t>No</t>
        </is>
      </c>
      <c r="N1175" s="18" t="inlineStr"/>
      <c r="O1175" s="18" t="inlineStr"/>
      <c r="P1175" s="18" t="inlineStr">
        <is>
          <t>legal-management-service/src/entities/proceso-coactivo.entity.ts:71: Campos añadidos para Resolución 492 / Manual de Cartera</t>
        </is>
      </c>
      <c r="Q1175" s="18" t="inlineStr">
        <is>
          <t>Código fuente (verificado)</t>
        </is>
      </c>
      <c r="R1175" s="18" t="inlineStr">
        <is>
          <t>Fecha de ejecutoria en el proceso de cobro coactivo, agregada para la Resolución 492 / Manual de Cartera. Es la fecha desde la que se liquidan los intereses moratorios y se cuenta la prescripción de cinco años.</t>
        </is>
      </c>
      <c r="S1175" s="18" t="inlineStr">
        <is>
          <t>Media</t>
        </is>
      </c>
      <c r="T1175" s="18" t="inlineStr">
        <is>
          <t>backend/legal-management-service/src/entities/proceso-coactivo.entity.ts:70 campos para Resolución 492 / Manual de Cartera | backend/legal-management-service/src/services/proceso-coactivo.service.ts:334 prescripción a 5 años desde fechaEjecutoria | backend/legal-management-service/src/services/proceso-coactivo.service.ts:382 inicio del cálculo de intereses</t>
        </is>
      </c>
      <c r="U1175" s="18" t="inlineStr">
        <is>
          <t>¿De qué acto es la fecha de ejecutoria (título ejecutivo, mandamiento de pago u otro)?</t>
        </is>
      </c>
      <c r="V1175" s="19" t="inlineStr">
        <is>
          <t>Aprobada</t>
        </is>
      </c>
      <c r="W1175" s="19" t="inlineStr"/>
      <c r="X1175" s="19" t="inlineStr">
        <is>
          <t>Aldair González (validación del responsable de BD)</t>
        </is>
      </c>
      <c r="Y1175" s="20" t="n">
        <v>46321</v>
      </c>
      <c r="Z1175" s="19" t="inlineStr">
        <is>
          <t>Nivel 3: validada por decisión del responsable de la base de datos. Pregunta registrada para desarrollo: ¿De qué acto es la fecha de ejecutoria (título ejecutivo, mandamiento de pago u otro)?</t>
        </is>
      </c>
      <c r="AA1175" s="18">
        <f>IF(OR(V1175="Aprobada"),R1175,IF(AND(OR(V1175="Aprobada con ajuste",V1175="Rechazada"),W1175&lt;&gt;""),W1175,""))</f>
        <v/>
      </c>
    </row>
    <row r="1176">
      <c r="A1176" s="18" t="inlineStr">
        <is>
          <t>C1175</t>
        </is>
      </c>
      <c r="B1176" s="18" t="inlineStr">
        <is>
          <t>Gestión jurídica</t>
        </is>
      </c>
      <c r="C1176" s="18" t="inlineStr">
        <is>
          <t>legal_management</t>
        </is>
      </c>
      <c r="D1176" s="18" t="inlineStr">
        <is>
          <t>procesos_coactivos</t>
        </is>
      </c>
      <c r="E1176" s="18" t="n">
        <v>7</v>
      </c>
      <c r="F1176" s="18" t="inlineStr">
        <is>
          <t>tipo_interes_aplicable</t>
        </is>
      </c>
      <c r="G1176" s="18" t="inlineStr">
        <is>
          <t>character varying(20)</t>
        </is>
      </c>
      <c r="H1176" s="18" t="inlineStr">
        <is>
          <t>Sí</t>
        </is>
      </c>
      <c r="I1176" s="18" t="inlineStr"/>
      <c r="J1176" s="18" t="inlineStr"/>
      <c r="K1176" s="18" t="inlineStr"/>
      <c r="L1176" s="18" t="inlineStr">
        <is>
          <t>No</t>
        </is>
      </c>
      <c r="M1176" s="18" t="inlineStr">
        <is>
          <t>No</t>
        </is>
      </c>
      <c r="N1176" s="18" t="inlineStr"/>
      <c r="O1176" s="18" t="inlineStr"/>
      <c r="P1176" s="18" t="inlineStr">
        <is>
          <t>Mapeada en legal-management-service/src/entities/proceso-coactivo.entity.ts:74 (ProcesoCoactivo.tipoInteresAplicable)</t>
        </is>
      </c>
      <c r="Q1176" s="18" t="inlineStr">
        <is>
          <t>Código fuente (verificado)</t>
        </is>
      </c>
      <c r="R1176" s="18" t="inlineStr">
        <is>
          <t>Tipo de tasa de interés con que se liquidan los intereses moratorios: DIAN o USURA. Por defecto, DIAN.</t>
        </is>
      </c>
      <c r="S1176" s="18" t="inlineStr">
        <is>
          <t>Alta</t>
        </is>
      </c>
      <c r="T1176" s="18" t="inlineStr">
        <is>
          <t>backend/legal-management-service/src/entities/tasa-referencia.entity.ts:3 enum TipoTasaReferencia: USURA, DIAN | backend/legal-management-service/src/entities/proceso-coactivo.entity.ts:74 default DIAN | backend/legal-management-service/src/services/proceso-coactivo.service.ts:385 selecciona las tasas de tasas_referencia de ese tipo</t>
        </is>
      </c>
      <c r="U1176" s="18" t="inlineStr"/>
      <c r="V1176" s="19" t="inlineStr">
        <is>
          <t>Aprobada</t>
        </is>
      </c>
      <c r="W1176" s="19" t="inlineStr"/>
      <c r="X1176" s="19" t="inlineStr">
        <is>
          <t>Aldair González (aprobación en bloque)</t>
        </is>
      </c>
      <c r="Y1176" s="20" t="n">
        <v>46321</v>
      </c>
      <c r="Z1176" s="19" t="inlineStr">
        <is>
          <t>Nivel 3: verificada con el código de la aplicación.</t>
        </is>
      </c>
      <c r="AA1176" s="18">
        <f>IF(OR(V1176="Aprobada"),R1176,IF(AND(OR(V1176="Aprobada con ajuste",V1176="Rechazada"),W1176&lt;&gt;""),W1176,""))</f>
        <v/>
      </c>
    </row>
    <row r="1177">
      <c r="A1177" s="18" t="inlineStr">
        <is>
          <t>C1176</t>
        </is>
      </c>
      <c r="B1177" s="18" t="inlineStr">
        <is>
          <t>Gestión jurídica</t>
        </is>
      </c>
      <c r="C1177" s="18" t="inlineStr">
        <is>
          <t>legal_management</t>
        </is>
      </c>
      <c r="D1177" s="18" t="inlineStr">
        <is>
          <t>procesos_coactivos</t>
        </is>
      </c>
      <c r="E1177" s="18" t="n">
        <v>7</v>
      </c>
      <c r="F1177" s="18" t="inlineStr">
        <is>
          <t>valor_costas</t>
        </is>
      </c>
      <c r="G1177" s="18" t="inlineStr">
        <is>
          <t>numeric(15,2)</t>
        </is>
      </c>
      <c r="H1177" s="18" t="inlineStr">
        <is>
          <t>Sí</t>
        </is>
      </c>
      <c r="I1177" s="18" t="inlineStr"/>
      <c r="J1177" s="18" t="inlineStr"/>
      <c r="K1177" s="18" t="inlineStr"/>
      <c r="L1177" s="18" t="inlineStr">
        <is>
          <t>No</t>
        </is>
      </c>
      <c r="M1177" s="18" t="inlineStr">
        <is>
          <t>No</t>
        </is>
      </c>
      <c r="N1177" s="18" t="inlineStr"/>
      <c r="O1177" s="18" t="inlineStr"/>
      <c r="P1177" s="18" t="inlineStr">
        <is>
          <t>Mapeada en legal-management-service/src/entities/proceso-coactivo.entity.ts:83 (ProcesoCoactivo.valorCostas)</t>
        </is>
      </c>
      <c r="Q1177" s="18" t="inlineStr">
        <is>
          <t>Propuesta semántica</t>
        </is>
      </c>
      <c r="R1177" s="18" t="inlineStr">
        <is>
          <t>Valor de las costas del proceso. Por defecto, 0.</t>
        </is>
      </c>
      <c r="S1177" s="18" t="inlineStr">
        <is>
          <t>Alta</t>
        </is>
      </c>
      <c r="T1177" s="18" t="inlineStr">
        <is>
          <t>nombre + tipo + columnas vecinas</t>
        </is>
      </c>
      <c r="U1177" s="18" t="inlineStr"/>
      <c r="V1177" s="19" t="inlineStr">
        <is>
          <t>Aprobada</t>
        </is>
      </c>
      <c r="W1177" s="19" t="inlineStr"/>
      <c r="X1177" s="19" t="inlineStr">
        <is>
          <t>Aldair González (aprobación en bloque)</t>
        </is>
      </c>
      <c r="Y1177" s="20" t="n">
        <v>46321</v>
      </c>
      <c r="Z1177" s="19" t="inlineStr">
        <is>
          <t>Nivel 1: propuesta del comentario del desarrollador o de confianza alta, o regla de fecha/responsable/motivo.</t>
        </is>
      </c>
      <c r="AA1177" s="18">
        <f>IF(OR(V1177="Aprobada"),R1177,IF(AND(OR(V1177="Aprobada con ajuste",V1177="Rechazada"),W1177&lt;&gt;""),W1177,""))</f>
        <v/>
      </c>
    </row>
    <row r="1178">
      <c r="A1178" s="18" t="inlineStr">
        <is>
          <t>C1177</t>
        </is>
      </c>
      <c r="B1178" s="18" t="inlineStr">
        <is>
          <t>Gestión jurídica</t>
        </is>
      </c>
      <c r="C1178" s="18" t="inlineStr">
        <is>
          <t>legal_management</t>
        </is>
      </c>
      <c r="D1178" s="18" t="inlineStr">
        <is>
          <t>procesos_coactivos_adjuntos</t>
        </is>
      </c>
      <c r="E1178" s="18" t="n">
        <v>13</v>
      </c>
      <c r="F1178" s="18" t="inlineStr">
        <is>
          <t>nombre_original</t>
        </is>
      </c>
      <c r="G1178" s="18" t="inlineStr">
        <is>
          <t>character varying</t>
        </is>
      </c>
      <c r="H1178" s="18" t="inlineStr">
        <is>
          <t>No</t>
        </is>
      </c>
      <c r="I1178" s="18" t="inlineStr"/>
      <c r="J1178" s="18" t="inlineStr"/>
      <c r="K1178" s="18" t="inlineStr"/>
      <c r="L1178" s="18" t="inlineStr">
        <is>
          <t>No</t>
        </is>
      </c>
      <c r="M1178" s="18" t="inlineStr">
        <is>
          <t>No</t>
        </is>
      </c>
      <c r="N1178" s="18" t="inlineStr"/>
      <c r="O1178" s="18" t="inlineStr"/>
      <c r="P1178" s="18" t="inlineStr">
        <is>
          <t>Mapeada en legal-management-service/src/entities/proceso-coactivo-adjunto.entity.ts:16 (ProcesoCoactivoAdjunto.nombreOriginal)</t>
        </is>
      </c>
      <c r="Q1178" s="18" t="inlineStr">
        <is>
          <t>Propuesta semántica</t>
        </is>
      </c>
      <c r="R1178" s="18" t="inlineStr">
        <is>
          <t>Nombre original del archivo adjunto, tal como se cargó.</t>
        </is>
      </c>
      <c r="S1178" s="18" t="inlineStr">
        <is>
          <t>Alta</t>
        </is>
      </c>
      <c r="T1178" s="18" t="inlineStr">
        <is>
          <t>nombre + tipo + columnas vecinas</t>
        </is>
      </c>
      <c r="U1178" s="18" t="inlineStr"/>
      <c r="V1178" s="19" t="inlineStr">
        <is>
          <t>Aprobada</t>
        </is>
      </c>
      <c r="W1178" s="19" t="inlineStr"/>
      <c r="X1178" s="19" t="inlineStr">
        <is>
          <t>Aldair González (aprobación en bloque)</t>
        </is>
      </c>
      <c r="Y1178" s="20" t="n">
        <v>46321</v>
      </c>
      <c r="Z1178" s="19" t="inlineStr">
        <is>
          <t>Nivel 1: propuesta del comentario del desarrollador o de confianza alta, o regla de fecha/responsable/motivo.</t>
        </is>
      </c>
      <c r="AA1178" s="18">
        <f>IF(OR(V1178="Aprobada"),R1178,IF(AND(OR(V1178="Aprobada con ajuste",V1178="Rechazada"),W1178&lt;&gt;""),W1178,""))</f>
        <v/>
      </c>
    </row>
    <row r="1179">
      <c r="A1179" s="18" t="inlineStr">
        <is>
          <t>C1178</t>
        </is>
      </c>
      <c r="B1179" s="18" t="inlineStr">
        <is>
          <t>Gestión jurídica</t>
        </is>
      </c>
      <c r="C1179" s="18" t="inlineStr">
        <is>
          <t>legal_management</t>
        </is>
      </c>
      <c r="D1179" s="18" t="inlineStr">
        <is>
          <t>procesos_coactivos_adjuntos</t>
        </is>
      </c>
      <c r="E1179" s="18" t="n">
        <v>13</v>
      </c>
      <c r="F1179" s="18" t="inlineStr">
        <is>
          <t>nombre_archivo</t>
        </is>
      </c>
      <c r="G1179" s="18" t="inlineStr">
        <is>
          <t>character varying</t>
        </is>
      </c>
      <c r="H1179" s="18" t="inlineStr">
        <is>
          <t>No</t>
        </is>
      </c>
      <c r="I1179" s="18" t="inlineStr"/>
      <c r="J1179" s="18" t="inlineStr"/>
      <c r="K1179" s="18" t="inlineStr"/>
      <c r="L1179" s="18" t="inlineStr">
        <is>
          <t>No</t>
        </is>
      </c>
      <c r="M1179" s="18" t="inlineStr">
        <is>
          <t>No</t>
        </is>
      </c>
      <c r="N1179" s="18" t="inlineStr"/>
      <c r="O1179" s="18" t="inlineStr"/>
      <c r="P1179" s="18" t="inlineStr">
        <is>
          <t>Mapeada en legal-management-service/src/entities/proceso-coactivo-adjunto.entity.ts:19 (ProcesoCoactivoAdjunto.nombreArchivo)</t>
        </is>
      </c>
      <c r="Q1179" s="18" t="inlineStr">
        <is>
          <t>Código fuente (verificado)</t>
        </is>
      </c>
      <c r="R1179" s="18" t="inlineStr">
        <is>
          <t>Nombre con el que el sistema almacenó el archivo adjunto: 32 caracteres hexadecimales aleatorios más la extensión original.</t>
        </is>
      </c>
      <c r="S1179" s="18" t="inlineStr">
        <is>
          <t>Alta</t>
        </is>
      </c>
      <c r="T1179" s="18" t="inlineStr">
        <is>
          <t>backend/legal-management-service/src/controllers/proceso-coactivo.controller.ts:199 filename aleatorio + extname | backend/legal-management-service/src/services/proceso-coactivo.service.ts:629 nombreArchivo = file.filename | backend/legal-management-service/src/services/proceso-coactivo.service.ts:675 se usa para ubicar el archivo en uploads</t>
        </is>
      </c>
      <c r="U1179" s="18" t="inlineStr"/>
      <c r="V1179" s="19" t="inlineStr">
        <is>
          <t>Aprobada</t>
        </is>
      </c>
      <c r="W1179" s="19" t="inlineStr"/>
      <c r="X1179" s="19" t="inlineStr">
        <is>
          <t>Aldair González (aprobación en bloque)</t>
        </is>
      </c>
      <c r="Y1179" s="20" t="n">
        <v>46321</v>
      </c>
      <c r="Z1179" s="19" t="inlineStr">
        <is>
          <t>Nivel 3: verificada con el código de la aplicación.</t>
        </is>
      </c>
      <c r="AA1179" s="18">
        <f>IF(OR(V1179="Aprobada"),R1179,IF(AND(OR(V1179="Aprobada con ajuste",V1179="Rechazada"),W1179&lt;&gt;""),W1179,""))</f>
        <v/>
      </c>
    </row>
    <row r="1180">
      <c r="A1180" s="18" t="inlineStr">
        <is>
          <t>C1179</t>
        </is>
      </c>
      <c r="B1180" s="18" t="inlineStr">
        <is>
          <t>Gestión jurídica</t>
        </is>
      </c>
      <c r="C1180" s="18" t="inlineStr">
        <is>
          <t>legal_management</t>
        </is>
      </c>
      <c r="D1180" s="18" t="inlineStr">
        <is>
          <t>procesos_coactivos_adjuntos</t>
        </is>
      </c>
      <c r="E1180" s="18" t="n">
        <v>13</v>
      </c>
      <c r="F1180" s="18" t="inlineStr">
        <is>
          <t>mime_type</t>
        </is>
      </c>
      <c r="G1180" s="18" t="inlineStr">
        <is>
          <t>character varying</t>
        </is>
      </c>
      <c r="H1180" s="18" t="inlineStr">
        <is>
          <t>No</t>
        </is>
      </c>
      <c r="I1180" s="18" t="inlineStr"/>
      <c r="J1180" s="18" t="inlineStr"/>
      <c r="K1180" s="18" t="inlineStr"/>
      <c r="L1180" s="18" t="inlineStr">
        <is>
          <t>No</t>
        </is>
      </c>
      <c r="M1180" s="18" t="inlineStr">
        <is>
          <t>No</t>
        </is>
      </c>
      <c r="N1180" s="18" t="inlineStr"/>
      <c r="O1180" s="18" t="inlineStr"/>
      <c r="P1180" s="18" t="inlineStr">
        <is>
          <t>Mapeada en legal-management-service/src/entities/proceso-coactivo-adjunto.entity.ts:22 (ProcesoCoactivoAdjunto.mimeType)</t>
        </is>
      </c>
      <c r="Q1180" s="18" t="inlineStr">
        <is>
          <t>Regla estructural (redacción revisada)</t>
        </is>
      </c>
      <c r="R1180" s="18" t="inlineStr">
        <is>
          <t>Tipo MIME del archivo adjunto al proceso coactivo.</t>
        </is>
      </c>
      <c r="S1180" s="18" t="inlineStr">
        <is>
          <t>Alta</t>
        </is>
      </c>
      <c r="T1180" s="18" t="inlineStr">
        <is>
          <t>Convención de nombre, redactada con el contexto de la tabla y el código.</t>
        </is>
      </c>
      <c r="U1180" s="18" t="inlineStr"/>
      <c r="V1180" s="19" t="inlineStr">
        <is>
          <t>Aprobada</t>
        </is>
      </c>
      <c r="W1180" s="19" t="inlineStr"/>
      <c r="X1180" s="19" t="inlineStr">
        <is>
          <t>Aldair González (aprobación en bloque)</t>
        </is>
      </c>
      <c r="Y1180" s="20" t="n">
        <v>46321</v>
      </c>
      <c r="Z1180" s="19" t="inlineStr">
        <is>
          <t>Nivel 2: regla estructural con redacción revisada.</t>
        </is>
      </c>
      <c r="AA1180" s="18">
        <f>IF(OR(V1180="Aprobada"),R1180,IF(AND(OR(V1180="Aprobada con ajuste",V1180="Rechazada"),W1180&lt;&gt;""),W1180,""))</f>
        <v/>
      </c>
    </row>
    <row r="1181">
      <c r="A1181" s="18" t="inlineStr">
        <is>
          <t>C1180</t>
        </is>
      </c>
      <c r="B1181" s="18" t="inlineStr">
        <is>
          <t>Gestión jurídica</t>
        </is>
      </c>
      <c r="C1181" s="18" t="inlineStr">
        <is>
          <t>legal_management</t>
        </is>
      </c>
      <c r="D1181" s="18" t="inlineStr">
        <is>
          <t>procesos_coactivos_adjuntos</t>
        </is>
      </c>
      <c r="E1181" s="18" t="n">
        <v>13</v>
      </c>
      <c r="F1181" s="18" t="inlineStr">
        <is>
          <t>tamano</t>
        </is>
      </c>
      <c r="G1181" s="18" t="inlineStr">
        <is>
          <t>integer</t>
        </is>
      </c>
      <c r="H1181" s="18" t="inlineStr">
        <is>
          <t>No</t>
        </is>
      </c>
      <c r="I1181" s="18" t="inlineStr"/>
      <c r="J1181" s="18" t="inlineStr"/>
      <c r="K1181" s="18" t="inlineStr"/>
      <c r="L1181" s="18" t="inlineStr">
        <is>
          <t>No</t>
        </is>
      </c>
      <c r="M1181" s="18" t="inlineStr">
        <is>
          <t>No</t>
        </is>
      </c>
      <c r="N1181" s="18" t="inlineStr"/>
      <c r="O1181" s="18" t="inlineStr"/>
      <c r="P1181" s="18" t="inlineStr">
        <is>
          <t>Mapeada en legal-management-service/src/entities/proceso-coactivo-adjunto.entity.ts:25 (ProcesoCoactivoAdjunto.tamano)</t>
        </is>
      </c>
      <c r="Q1181" s="18" t="inlineStr">
        <is>
          <t>Código fuente (verificado)</t>
        </is>
      </c>
      <c r="R1181" s="18" t="inlineStr">
        <is>
          <t>Tamaño del archivo adjunto, en bytes.</t>
        </is>
      </c>
      <c r="S1181" s="18" t="inlineStr">
        <is>
          <t>Alta</t>
        </is>
      </c>
      <c r="T1181" s="18" t="inlineStr">
        <is>
          <t>backend/legal-management-service/src/services/proceso-coactivo.service.ts:631 tamano = file.size (tamaño en bytes que entrega Multer)</t>
        </is>
      </c>
      <c r="U1181" s="18" t="inlineStr"/>
      <c r="V1181" s="19" t="inlineStr">
        <is>
          <t>Aprobada</t>
        </is>
      </c>
      <c r="W1181" s="19" t="inlineStr"/>
      <c r="X1181" s="19" t="inlineStr">
        <is>
          <t>Aldair González (aprobación en bloque)</t>
        </is>
      </c>
      <c r="Y1181" s="20" t="n">
        <v>46321</v>
      </c>
      <c r="Z1181" s="19" t="inlineStr">
        <is>
          <t>Nivel 3: verificada con el código de la aplicación.</t>
        </is>
      </c>
      <c r="AA1181" s="18">
        <f>IF(OR(V1181="Aprobada"),R1181,IF(AND(OR(V1181="Aprobada con ajuste",V1181="Rechazada"),W1181&lt;&gt;""),W1181,""))</f>
        <v/>
      </c>
    </row>
    <row r="1182">
      <c r="A1182" s="18" t="inlineStr">
        <is>
          <t>C1181</t>
        </is>
      </c>
      <c r="B1182" s="18" t="inlineStr">
        <is>
          <t>Gestión jurídica</t>
        </is>
      </c>
      <c r="C1182" s="18" t="inlineStr">
        <is>
          <t>legal_management</t>
        </is>
      </c>
      <c r="D1182" s="18" t="inlineStr">
        <is>
          <t>procesos_coactivos_adjuntos</t>
        </is>
      </c>
      <c r="E1182" s="18" t="n">
        <v>13</v>
      </c>
      <c r="F1182" s="18" t="inlineStr">
        <is>
          <t>tipo</t>
        </is>
      </c>
      <c r="G1182" s="18" t="inlineStr">
        <is>
          <t>character varying(100)</t>
        </is>
      </c>
      <c r="H1182" s="18" t="inlineStr">
        <is>
          <t>Sí</t>
        </is>
      </c>
      <c r="I1182" s="18" t="inlineStr"/>
      <c r="J1182" s="18" t="inlineStr"/>
      <c r="K1182" s="18" t="inlineStr"/>
      <c r="L1182" s="18" t="inlineStr">
        <is>
          <t>No</t>
        </is>
      </c>
      <c r="M1182" s="18" t="inlineStr">
        <is>
          <t>No</t>
        </is>
      </c>
      <c r="N1182" s="18" t="inlineStr"/>
      <c r="O1182" s="18" t="inlineStr"/>
      <c r="P1182" s="18" t="inlineStr">
        <is>
          <t>Mapeada en legal-management-service/src/entities/proceso-coactivo-adjunto.entity.ts:28 (ProcesoCoactivoAdjunto.tipo)</t>
        </is>
      </c>
      <c r="Q1182" s="18" t="inlineStr">
        <is>
          <t>Regla estructural (redacción revisada)</t>
        </is>
      </c>
      <c r="R1182" s="18" t="inlineStr">
        <is>
          <t>Tipo de adjunto del proceso coactivo.</t>
        </is>
      </c>
      <c r="S1182" s="18" t="inlineStr">
        <is>
          <t>Alta</t>
        </is>
      </c>
      <c r="T1182" s="18" t="inlineStr">
        <is>
          <t>Convención de nombre, redactada con el contexto de la tabla y el código.</t>
        </is>
      </c>
      <c r="U1182" s="18" t="inlineStr"/>
      <c r="V1182" s="19" t="inlineStr">
        <is>
          <t>Aprobada</t>
        </is>
      </c>
      <c r="W1182" s="19" t="inlineStr"/>
      <c r="X1182" s="19" t="inlineStr">
        <is>
          <t>Aldair González (aprobación en bloque)</t>
        </is>
      </c>
      <c r="Y1182" s="20" t="n">
        <v>46321</v>
      </c>
      <c r="Z1182" s="19" t="inlineStr">
        <is>
          <t>Nivel 2: regla estructural con redacción revisada.</t>
        </is>
      </c>
      <c r="AA1182" s="18">
        <f>IF(OR(V1182="Aprobada"),R1182,IF(AND(OR(V1182="Aprobada con ajuste",V1182="Rechazada"),W1182&lt;&gt;""),W1182,""))</f>
        <v/>
      </c>
    </row>
    <row r="1183">
      <c r="A1183" s="18" t="inlineStr">
        <is>
          <t>C1182</t>
        </is>
      </c>
      <c r="B1183" s="18" t="inlineStr">
        <is>
          <t>Gestión jurídica</t>
        </is>
      </c>
      <c r="C1183" s="18" t="inlineStr">
        <is>
          <t>legal_management</t>
        </is>
      </c>
      <c r="D1183" s="18" t="inlineStr">
        <is>
          <t>procesos_coactivos_adjuntos</t>
        </is>
      </c>
      <c r="E1183" s="18" t="n">
        <v>13</v>
      </c>
      <c r="F1183" s="18" t="inlineStr">
        <is>
          <t>archivo_url</t>
        </is>
      </c>
      <c r="G1183" s="18" t="inlineStr">
        <is>
          <t>character varying(500)</t>
        </is>
      </c>
      <c r="H1183" s="18" t="inlineStr">
        <is>
          <t>Sí</t>
        </is>
      </c>
      <c r="I1183" s="18" t="inlineStr"/>
      <c r="J1183" s="18" t="inlineStr"/>
      <c r="K1183" s="18" t="inlineStr"/>
      <c r="L1183" s="18" t="inlineStr">
        <is>
          <t>No</t>
        </is>
      </c>
      <c r="M1183" s="18" t="inlineStr">
        <is>
          <t>No</t>
        </is>
      </c>
      <c r="N1183" s="18" t="inlineStr"/>
      <c r="O1183" s="18" t="inlineStr"/>
      <c r="P1183" s="18" t="inlineStr">
        <is>
          <t>Mapeada en legal-management-service/src/entities/proceso-coactivo-adjunto.entity.ts:34 (ProcesoCoactivoAdjunto.archivoUrl)</t>
        </is>
      </c>
      <c r="Q1183" s="18" t="inlineStr">
        <is>
          <t>Propuesta semántica</t>
        </is>
      </c>
      <c r="R1183" s="18" t="inlineStr">
        <is>
          <t>URL del archivo adjunto.</t>
        </is>
      </c>
      <c r="S1183" s="18" t="inlineStr">
        <is>
          <t>Alta</t>
        </is>
      </c>
      <c r="T1183" s="18" t="inlineStr">
        <is>
          <t>nombre + tipo</t>
        </is>
      </c>
      <c r="U1183" s="18" t="inlineStr"/>
      <c r="V1183" s="19" t="inlineStr">
        <is>
          <t>Aprobada</t>
        </is>
      </c>
      <c r="W1183" s="19" t="inlineStr"/>
      <c r="X1183" s="19" t="inlineStr">
        <is>
          <t>Aldair González (aprobación en bloque)</t>
        </is>
      </c>
      <c r="Y1183" s="20" t="n">
        <v>46321</v>
      </c>
      <c r="Z1183" s="19" t="inlineStr">
        <is>
          <t>Nivel 1: propuesta del comentario del desarrollador o de confianza alta, o regla de fecha/responsable/motivo.</t>
        </is>
      </c>
      <c r="AA1183" s="18">
        <f>IF(OR(V1183="Aprobada"),R1183,IF(AND(OR(V1183="Aprobada con ajuste",V1183="Rechazada"),W1183&lt;&gt;""),W1183,""))</f>
        <v/>
      </c>
    </row>
    <row r="1184">
      <c r="A1184" s="18" t="inlineStr">
        <is>
          <t>C1183</t>
        </is>
      </c>
      <c r="B1184" s="18" t="inlineStr">
        <is>
          <t>Gestión jurídica</t>
        </is>
      </c>
      <c r="C1184" s="18" t="inlineStr">
        <is>
          <t>legal_management</t>
        </is>
      </c>
      <c r="D1184" s="18" t="inlineStr">
        <is>
          <t>procesos_coactivos_adjuntos</t>
        </is>
      </c>
      <c r="E1184" s="18" t="n">
        <v>13</v>
      </c>
      <c r="F1184" s="18" t="inlineStr">
        <is>
          <t>es_titulo_ejecutivo</t>
        </is>
      </c>
      <c r="G1184" s="18" t="inlineStr">
        <is>
          <t>boolean</t>
        </is>
      </c>
      <c r="H1184" s="18" t="inlineStr">
        <is>
          <t>Sí</t>
        </is>
      </c>
      <c r="I1184" s="18" t="inlineStr"/>
      <c r="J1184" s="18" t="inlineStr"/>
      <c r="K1184" s="18" t="inlineStr"/>
      <c r="L1184" s="18" t="inlineStr">
        <is>
          <t>No</t>
        </is>
      </c>
      <c r="M1184" s="18" t="inlineStr">
        <is>
          <t>No</t>
        </is>
      </c>
      <c r="N1184" s="18" t="inlineStr"/>
      <c r="O1184" s="18" t="inlineStr"/>
      <c r="P1184" s="18" t="inlineStr">
        <is>
          <t>Mapeada en legal-management-service/src/entities/proceso-coactivo-adjunto.entity.ts:31 (ProcesoCoactivoAdjunto.esTituloEjecutivo)</t>
        </is>
      </c>
      <c r="Q1184" s="18" t="inlineStr">
        <is>
          <t>Regla estructural (redacción revisada)</t>
        </is>
      </c>
      <c r="R1184" s="18" t="inlineStr">
        <is>
          <t>Indica si el adjunto corresponde al título ejecutivo del proceso coactivo.</t>
        </is>
      </c>
      <c r="S1184" s="18" t="inlineStr">
        <is>
          <t>Alta</t>
        </is>
      </c>
      <c r="T1184" s="18" t="inlineStr">
        <is>
          <t>Convención de nombre, redactada con el contexto de la tabla y el código.</t>
        </is>
      </c>
      <c r="U1184" s="18" t="inlineStr"/>
      <c r="V1184" s="19" t="inlineStr">
        <is>
          <t>Aprobada</t>
        </is>
      </c>
      <c r="W1184" s="19" t="inlineStr"/>
      <c r="X1184" s="19" t="inlineStr">
        <is>
          <t>Aldair González (aprobación en bloque)</t>
        </is>
      </c>
      <c r="Y1184" s="20" t="n">
        <v>46321</v>
      </c>
      <c r="Z1184" s="19" t="inlineStr">
        <is>
          <t>Nivel 2: regla estructural con redacción revisada.</t>
        </is>
      </c>
      <c r="AA1184" s="18">
        <f>IF(OR(V1184="Aprobada"),R1184,IF(AND(OR(V1184="Aprobada con ajuste",V1184="Rechazada"),W1184&lt;&gt;""),W1184,""))</f>
        <v/>
      </c>
    </row>
    <row r="1185">
      <c r="A1185" s="18" t="inlineStr">
        <is>
          <t>C1184</t>
        </is>
      </c>
      <c r="B1185" s="18" t="inlineStr">
        <is>
          <t>Gestión jurídica</t>
        </is>
      </c>
      <c r="C1185" s="18" t="inlineStr">
        <is>
          <t>legal_management</t>
        </is>
      </c>
      <c r="D1185" s="18" t="inlineStr">
        <is>
          <t>requerimientos_oc</t>
        </is>
      </c>
      <c r="E1185" s="18" t="n">
        <v>14</v>
      </c>
      <c r="F1185" s="18" t="inlineStr">
        <is>
          <t>radicado_externo</t>
        </is>
      </c>
      <c r="G1185" s="18" t="inlineStr">
        <is>
          <t>character varying(100)</t>
        </is>
      </c>
      <c r="H1185" s="18" t="inlineStr">
        <is>
          <t>No</t>
        </is>
      </c>
      <c r="I1185" s="18" t="inlineStr"/>
      <c r="J1185" s="18" t="inlineStr"/>
      <c r="K1185" s="18" t="inlineStr"/>
      <c r="L1185" s="18" t="inlineStr">
        <is>
          <t>No</t>
        </is>
      </c>
      <c r="M1185" s="18" t="inlineStr">
        <is>
          <t>No</t>
        </is>
      </c>
      <c r="N1185" s="18" t="inlineStr"/>
      <c r="O1185" s="18" t="inlineStr"/>
      <c r="P1185" s="18" t="inlineStr">
        <is>
          <t>Mapeada en legal-management-service/src/entities/requerimiento-oc.entity.ts:15 (RequerimientoOC.radicadoExterno)</t>
        </is>
      </c>
      <c r="Q1185" s="18" t="inlineStr">
        <is>
          <t>Propuesta semántica</t>
        </is>
      </c>
      <c r="R1185" s="18" t="inlineStr">
        <is>
          <t>Número de radicado asignado por el organismo de control al requerimiento.</t>
        </is>
      </c>
      <c r="S1185" s="18" t="inlineStr">
        <is>
          <t>Alta</t>
        </is>
      </c>
      <c r="T1185" s="18" t="inlineStr">
        <is>
          <t>nombre + tipo + columnas vecinas</t>
        </is>
      </c>
      <c r="U1185" s="18" t="inlineStr"/>
      <c r="V1185" s="19" t="inlineStr">
        <is>
          <t>Aprobada</t>
        </is>
      </c>
      <c r="W1185" s="19" t="inlineStr"/>
      <c r="X1185" s="19" t="inlineStr">
        <is>
          <t>Aldair González (aprobación en bloque)</t>
        </is>
      </c>
      <c r="Y1185" s="20" t="n">
        <v>46321</v>
      </c>
      <c r="Z1185" s="19" t="inlineStr">
        <is>
          <t>Nivel 1: propuesta del comentario del desarrollador o de confianza alta, o regla de fecha/responsable/motivo.</t>
        </is>
      </c>
      <c r="AA1185" s="18">
        <f>IF(OR(V1185="Aprobada"),R1185,IF(AND(OR(V1185="Aprobada con ajuste",V1185="Rechazada"),W1185&lt;&gt;""),W1185,""))</f>
        <v/>
      </c>
    </row>
    <row r="1186">
      <c r="A1186" s="18" t="inlineStr">
        <is>
          <t>C1185</t>
        </is>
      </c>
      <c r="B1186" s="18" t="inlineStr">
        <is>
          <t>Gestión jurídica</t>
        </is>
      </c>
      <c r="C1186" s="18" t="inlineStr">
        <is>
          <t>legal_management</t>
        </is>
      </c>
      <c r="D1186" s="18" t="inlineStr">
        <is>
          <t>requerimientos_oc</t>
        </is>
      </c>
      <c r="E1186" s="18" t="n">
        <v>14</v>
      </c>
      <c r="F1186" s="18" t="inlineStr">
        <is>
          <t>radicado_interno</t>
        </is>
      </c>
      <c r="G1186" s="18" t="inlineStr">
        <is>
          <t>character varying(30)</t>
        </is>
      </c>
      <c r="H1186" s="18" t="inlineStr">
        <is>
          <t>No</t>
        </is>
      </c>
      <c r="I1186" s="18" t="inlineStr">
        <is>
          <t>Única</t>
        </is>
      </c>
      <c r="J1186" s="18" t="inlineStr"/>
      <c r="K1186" s="18" t="inlineStr"/>
      <c r="L1186" s="18" t="inlineStr">
        <is>
          <t>No</t>
        </is>
      </c>
      <c r="M1186" s="18" t="inlineStr">
        <is>
          <t>No</t>
        </is>
      </c>
      <c r="N1186" s="18" t="inlineStr"/>
      <c r="O1186" s="18" t="inlineStr">
        <is>
          <t>requerimientos_oc_radicado_interno_key</t>
        </is>
      </c>
      <c r="P1186" s="18" t="inlineStr">
        <is>
          <t>Mapeada en legal-management-service/src/entities/requerimiento-oc.entity.ts:18 (RequerimientoOC.radicadoInterno)</t>
        </is>
      </c>
      <c r="Q1186" s="18" t="inlineStr">
        <is>
          <t>Código fuente (verificado)</t>
        </is>
      </c>
      <c r="R1186" s="18" t="inlineStr">
        <is>
          <t>Número de radicado interno único que genera el sistema al crear el requerimiento, con formato REQ-OC-&lt;año&gt;-&lt;consecutivo de 4 dígitos&gt;.</t>
        </is>
      </c>
      <c r="S1186" s="18" t="inlineStr">
        <is>
          <t>Alta</t>
        </is>
      </c>
      <c r="T1186" s="18" t="inlineStr">
        <is>
          <t>backend/legal-management-service/src/services/requerimientos-oc.service.ts:188 prefijo REQ-OC-&lt;año&gt;- | backend/legal-management-service/src/services/requerimientos-oc.service.ts:206 consecutivo con padStart(4) | backend/legal-management-service/src/entities/requerimiento-oc.entity.ts:18 unique</t>
        </is>
      </c>
      <c r="U1186" s="18" t="inlineStr"/>
      <c r="V1186" s="19" t="inlineStr">
        <is>
          <t>Aprobada</t>
        </is>
      </c>
      <c r="W1186" s="19" t="inlineStr"/>
      <c r="X1186" s="19" t="inlineStr">
        <is>
          <t>Aldair González (aprobación en bloque)</t>
        </is>
      </c>
      <c r="Y1186" s="20" t="n">
        <v>46321</v>
      </c>
      <c r="Z1186" s="19" t="inlineStr">
        <is>
          <t>Nivel 3: verificada con el código de la aplicación.</t>
        </is>
      </c>
      <c r="AA1186" s="18">
        <f>IF(OR(V1186="Aprobada"),R1186,IF(AND(OR(V1186="Aprobada con ajuste",V1186="Rechazada"),W1186&lt;&gt;""),W1186,""))</f>
        <v/>
      </c>
    </row>
    <row r="1187">
      <c r="A1187" s="18" t="inlineStr">
        <is>
          <t>C1186</t>
        </is>
      </c>
      <c r="B1187" s="18" t="inlineStr">
        <is>
          <t>Gestión jurídica</t>
        </is>
      </c>
      <c r="C1187" s="18" t="inlineStr">
        <is>
          <t>legal_management</t>
        </is>
      </c>
      <c r="D1187" s="18" t="inlineStr">
        <is>
          <t>requerimientos_oc</t>
        </is>
      </c>
      <c r="E1187" s="18" t="n">
        <v>14</v>
      </c>
      <c r="F1187" s="18" t="inlineStr">
        <is>
          <t>organismo_id</t>
        </is>
      </c>
      <c r="G1187" s="18" t="inlineStr">
        <is>
          <t>character varying(255)</t>
        </is>
      </c>
      <c r="H1187" s="18" t="inlineStr">
        <is>
          <t>Sí</t>
        </is>
      </c>
      <c r="I1187" s="18" t="inlineStr"/>
      <c r="J1187" s="18" t="inlineStr"/>
      <c r="K1187" s="18" t="inlineStr"/>
      <c r="L1187" s="18" t="inlineStr">
        <is>
          <t>No</t>
        </is>
      </c>
      <c r="M1187" s="18" t="inlineStr">
        <is>
          <t>No</t>
        </is>
      </c>
      <c r="N1187" s="18" t="inlineStr"/>
      <c r="O1187" s="18" t="inlineStr">
        <is>
          <t>idx_req_oc_organismo</t>
        </is>
      </c>
      <c r="P1187" s="18" t="inlineStr">
        <is>
          <t>Mapeada en legal-management-service/src/entities/requerimiento-oc.entity.ts:21 (RequerimientoOC.organismoId)</t>
        </is>
      </c>
      <c r="Q1187" s="18" t="inlineStr">
        <is>
          <t>Código fuente (verificado)</t>
        </is>
      </c>
      <c r="R1187" s="18" t="inlineStr">
        <is>
          <t>Identificador del organismo de control que emite el requerimiento, guardado como texto. Puede ser el id de legal_management.organismos_control o un identificador local (UUID) que no existe en esa tabla; por eso no tiene clave foránea.</t>
        </is>
      </c>
      <c r="S1187" s="18" t="inlineStr">
        <is>
          <t>Alta</t>
        </is>
      </c>
      <c r="T1187" s="18" t="inlineStr">
        <is>
          <t>backend/legal-management-service/src/entities/requerimiento-oc.entity.ts:24 relación eliminada para admitir IDs locales (UUID) que no están en el catálogo; el frontend resuelve el nombre | backend/legal-management-service/src/entities/organismo-control-legal.entity.ts:3 organismos_control con id entero</t>
        </is>
      </c>
      <c r="U1187" s="18" t="inlineStr"/>
      <c r="V1187" s="19" t="inlineStr">
        <is>
          <t>Aprobada</t>
        </is>
      </c>
      <c r="W1187" s="19" t="inlineStr"/>
      <c r="X1187" s="19" t="inlineStr">
        <is>
          <t>Aldair González (aprobación en bloque)</t>
        </is>
      </c>
      <c r="Y1187" s="20" t="n">
        <v>46321</v>
      </c>
      <c r="Z1187" s="19" t="inlineStr">
        <is>
          <t>Nivel 3: verificada con el código de la aplicación.</t>
        </is>
      </c>
      <c r="AA1187" s="18">
        <f>IF(OR(V1187="Aprobada"),R1187,IF(AND(OR(V1187="Aprobada con ajuste",V1187="Rechazada"),W1187&lt;&gt;""),W1187,""))</f>
        <v/>
      </c>
    </row>
    <row r="1188">
      <c r="A1188" s="18" t="inlineStr">
        <is>
          <t>C1187</t>
        </is>
      </c>
      <c r="B1188" s="18" t="inlineStr">
        <is>
          <t>Gestión jurídica</t>
        </is>
      </c>
      <c r="C1188" s="18" t="inlineStr">
        <is>
          <t>legal_management</t>
        </is>
      </c>
      <c r="D1188" s="18" t="inlineStr">
        <is>
          <t>requerimientos_oc</t>
        </is>
      </c>
      <c r="E1188" s="18" t="n">
        <v>14</v>
      </c>
      <c r="F1188" s="18" t="inlineStr">
        <is>
          <t>tipo_requerimiento</t>
        </is>
      </c>
      <c r="G1188" s="18" t="inlineStr">
        <is>
          <t>character varying(50)</t>
        </is>
      </c>
      <c r="H1188" s="18" t="inlineStr">
        <is>
          <t>No</t>
        </is>
      </c>
      <c r="I1188" s="18" t="inlineStr"/>
      <c r="J1188" s="18" t="inlineStr"/>
      <c r="K1188" s="18" t="inlineStr"/>
      <c r="L1188" s="18" t="inlineStr">
        <is>
          <t>No</t>
        </is>
      </c>
      <c r="M1188" s="18" t="inlineStr">
        <is>
          <t>No</t>
        </is>
      </c>
      <c r="N1188" s="18" t="inlineStr"/>
      <c r="O1188" s="18" t="inlineStr"/>
      <c r="P1188" s="18" t="inlineStr">
        <is>
          <t>legal-management-service/src/entities/requerimiento-oc.entity.ts:31: Relación eliminada para permitir IDs de organismos locales (UUIDs string) que no existen en la tabla cat_organismos_control (Integer ID). El frontend resolverá el nombre basándose en el organismoId almacenado. @ManyToOne(() =&gt; OrganismoControlOC, (org: OrganismoControlOC) =&gt; org.requerimientos, { ea</t>
        </is>
      </c>
      <c r="Q1188" s="18" t="inlineStr">
        <is>
          <t>Código fuente (verificado)</t>
        </is>
      </c>
      <c r="R1188" s="18" t="inlineStr">
        <is>
          <t>Tipo de requerimiento del organismo de control, tomado del catálogo legal_management.cat_tipos_requerimiento (id).</t>
        </is>
      </c>
      <c r="S1188" s="18" t="inlineStr">
        <is>
          <t>Alta</t>
        </is>
      </c>
      <c r="T1188" s="18" t="inlineStr">
        <is>
          <t>backend/legal-management-service/src/entities/requerimiento-oc.entity.ts:4 acepta cualquier valor de cat_tipos_requerimiento | backend/legal-management-service/src/entities/tipo-requerimiento-oc.entity.ts:3 catálogo con id varchar(50) | backend/legal-management-service/src/services/requerimientos-oc.service.ts:101 lista los tipos activos</t>
        </is>
      </c>
      <c r="U1188" s="18" t="inlineStr"/>
      <c r="V1188" s="19" t="inlineStr">
        <is>
          <t>Aprobada</t>
        </is>
      </c>
      <c r="W1188" s="19" t="inlineStr"/>
      <c r="X1188" s="19" t="inlineStr">
        <is>
          <t>Aldair González (aprobación en bloque)</t>
        </is>
      </c>
      <c r="Y1188" s="20" t="n">
        <v>46321</v>
      </c>
      <c r="Z1188" s="19" t="inlineStr">
        <is>
          <t>Nivel 3: verificada con el código de la aplicación.</t>
        </is>
      </c>
      <c r="AA1188" s="18">
        <f>IF(OR(V1188="Aprobada"),R1188,IF(AND(OR(V1188="Aprobada con ajuste",V1188="Rechazada"),W1188&lt;&gt;""),W1188,""))</f>
        <v/>
      </c>
    </row>
    <row r="1189">
      <c r="A1189" s="18" t="inlineStr">
        <is>
          <t>C1188</t>
        </is>
      </c>
      <c r="B1189" s="18" t="inlineStr">
        <is>
          <t>Gestión jurídica</t>
        </is>
      </c>
      <c r="C1189" s="18" t="inlineStr">
        <is>
          <t>legal_management</t>
        </is>
      </c>
      <c r="D1189" s="18" t="inlineStr">
        <is>
          <t>requerimientos_oc</t>
        </is>
      </c>
      <c r="E1189" s="18" t="n">
        <v>14</v>
      </c>
      <c r="F1189" s="18" t="inlineStr">
        <is>
          <t>asunto</t>
        </is>
      </c>
      <c r="G1189" s="18" t="inlineStr">
        <is>
          <t>text</t>
        </is>
      </c>
      <c r="H1189" s="18" t="inlineStr">
        <is>
          <t>No</t>
        </is>
      </c>
      <c r="I1189" s="18" t="inlineStr"/>
      <c r="J1189" s="18" t="inlineStr"/>
      <c r="K1189" s="18" t="inlineStr"/>
      <c r="L1189" s="18" t="inlineStr">
        <is>
          <t>No</t>
        </is>
      </c>
      <c r="M1189" s="18" t="inlineStr">
        <is>
          <t>No</t>
        </is>
      </c>
      <c r="N1189" s="18" t="inlineStr"/>
      <c r="O1189" s="18" t="inlineStr"/>
      <c r="P1189" s="18" t="inlineStr">
        <is>
          <t>legal-management-service/src/entities/requerimiento-oc.entity.ts:34: Relación eliminada para permitir IDs de organismos locales (UUIDs string) que no existen en la tabla cat_organismos_control (Integer ID). El frontend resolverá el nombre basándose en el organismoId almacenado. @ManyToOne(() =&gt; OrganismoControlOC, (org: OrganismoControlOC) =&gt; org.requerimientos, { ea</t>
        </is>
      </c>
      <c r="Q1189" s="18" t="inlineStr">
        <is>
          <t>Código fuente</t>
        </is>
      </c>
      <c r="R1189" s="18" t="inlineStr">
        <is>
          <t>Asunto del requerimiento del organismo de control.</t>
        </is>
      </c>
      <c r="S1189" s="18" t="inlineStr">
        <is>
          <t>Alta</t>
        </is>
      </c>
      <c r="T1189" s="18" t="inlineStr">
        <is>
          <t>nombre + tipo + columnas vecinas; el comentario de código requerimiento-oc.entity.ts:34 no define el dato</t>
        </is>
      </c>
      <c r="U1189" s="18" t="inlineStr"/>
      <c r="V1189" s="19" t="inlineStr">
        <is>
          <t>Aprobada</t>
        </is>
      </c>
      <c r="W1189" s="19" t="inlineStr"/>
      <c r="X1189" s="19" t="inlineStr">
        <is>
          <t>Aldair González (aprobación en bloque)</t>
        </is>
      </c>
      <c r="Y1189" s="20" t="n">
        <v>46321</v>
      </c>
      <c r="Z1189" s="19" t="inlineStr">
        <is>
          <t>Nivel 1: propuesta del comentario del desarrollador o de confianza alta, o regla de fecha/responsable/motivo.</t>
        </is>
      </c>
      <c r="AA1189" s="18">
        <f>IF(OR(V1189="Aprobada"),R1189,IF(AND(OR(V1189="Aprobada con ajuste",V1189="Rechazada"),W1189&lt;&gt;""),W1189,""))</f>
        <v/>
      </c>
    </row>
    <row r="1190">
      <c r="A1190" s="18" t="inlineStr">
        <is>
          <t>C1189</t>
        </is>
      </c>
      <c r="B1190" s="18" t="inlineStr">
        <is>
          <t>Gestión jurídica</t>
        </is>
      </c>
      <c r="C1190" s="18" t="inlineStr">
        <is>
          <t>legal_management</t>
        </is>
      </c>
      <c r="D1190" s="18" t="inlineStr">
        <is>
          <t>requerimientos_oc</t>
        </is>
      </c>
      <c r="E1190" s="18" t="n">
        <v>14</v>
      </c>
      <c r="F1190" s="18" t="inlineStr">
        <is>
          <t>descripcion</t>
        </is>
      </c>
      <c r="G1190" s="18" t="inlineStr">
        <is>
          <t>text</t>
        </is>
      </c>
      <c r="H1190" s="18" t="inlineStr">
        <is>
          <t>Sí</t>
        </is>
      </c>
      <c r="I1190" s="18" t="inlineStr"/>
      <c r="J1190" s="18" t="inlineStr"/>
      <c r="K1190" s="18" t="inlineStr"/>
      <c r="L1190" s="18" t="inlineStr">
        <is>
          <t>No</t>
        </is>
      </c>
      <c r="M1190" s="18" t="inlineStr">
        <is>
          <t>No</t>
        </is>
      </c>
      <c r="N1190" s="18" t="inlineStr"/>
      <c r="O1190" s="18" t="inlineStr"/>
      <c r="P1190" s="18" t="inlineStr">
        <is>
          <t>legal-management-service/src/entities/requerimiento-oc.entity.ts:37: Relación eliminada para permitir IDs de organismos locales (UUIDs string) que no existen en la tabla cat_organismos_control (Integer ID). El frontend resolverá el nombre basándose en el organismoId almacenado. @ManyToOne(() =&gt; OrganismoControlOC, (org: OrganismoControlOC) =&gt; org.requerimientos, { ea</t>
        </is>
      </c>
      <c r="Q1190" s="18" t="inlineStr">
        <is>
          <t>Código fuente</t>
        </is>
      </c>
      <c r="R1190" s="18" t="inlineStr">
        <is>
          <t>Descripción del requerimiento.</t>
        </is>
      </c>
      <c r="S1190" s="18" t="inlineStr">
        <is>
          <t>Alta</t>
        </is>
      </c>
      <c r="T1190" s="18" t="inlineStr">
        <is>
          <t>nombre + tipo + columnas vecinas; el comentario de código requerimiento-oc.entity.ts:37 no define el dato</t>
        </is>
      </c>
      <c r="U1190" s="18" t="inlineStr"/>
      <c r="V1190" s="19" t="inlineStr">
        <is>
          <t>Aprobada</t>
        </is>
      </c>
      <c r="W1190" s="19" t="inlineStr"/>
      <c r="X1190" s="19" t="inlineStr">
        <is>
          <t>Aldair González (aprobación en bloque)</t>
        </is>
      </c>
      <c r="Y1190" s="20" t="n">
        <v>46321</v>
      </c>
      <c r="Z1190" s="19" t="inlineStr">
        <is>
          <t>Nivel 1: propuesta del comentario del desarrollador o de confianza alta, o regla de fecha/responsable/motivo.</t>
        </is>
      </c>
      <c r="AA1190" s="18">
        <f>IF(OR(V1190="Aprobada"),R1190,IF(AND(OR(V1190="Aprobada con ajuste",V1190="Rechazada"),W1190&lt;&gt;""),W1190,""))</f>
        <v/>
      </c>
    </row>
    <row r="1191">
      <c r="A1191" s="18" t="inlineStr">
        <is>
          <t>C1190</t>
        </is>
      </c>
      <c r="B1191" s="18" t="inlineStr">
        <is>
          <t>Gestión jurídica</t>
        </is>
      </c>
      <c r="C1191" s="18" t="inlineStr">
        <is>
          <t>legal_management</t>
        </is>
      </c>
      <c r="D1191" s="18" t="inlineStr">
        <is>
          <t>requerimientos_oc</t>
        </is>
      </c>
      <c r="E1191" s="18" t="n">
        <v>14</v>
      </c>
      <c r="F1191" s="18" t="inlineStr">
        <is>
          <t>fecha_recepcion</t>
        </is>
      </c>
      <c r="G1191" s="18" t="inlineStr">
        <is>
          <t>timestamp without time zone</t>
        </is>
      </c>
      <c r="H1191" s="18" t="inlineStr">
        <is>
          <t>No</t>
        </is>
      </c>
      <c r="I1191" s="18" t="inlineStr"/>
      <c r="J1191" s="18" t="inlineStr"/>
      <c r="K1191" s="18" t="inlineStr"/>
      <c r="L1191" s="18" t="inlineStr">
        <is>
          <t>No</t>
        </is>
      </c>
      <c r="M1191" s="18" t="inlineStr">
        <is>
          <t>No</t>
        </is>
      </c>
      <c r="N1191" s="18" t="inlineStr"/>
      <c r="O1191" s="18" t="inlineStr"/>
      <c r="P1191" s="18" t="inlineStr">
        <is>
          <t>legal-management-service/src/entities/requerimiento-oc.entity.ts:40: Relación eliminada para permitir IDs de organismos locales (UUIDs string) que no existen en la tabla cat_organismos_control (Integer ID). El frontend resolverá el nombre basándose en el organismoId almacenado. @ManyToOne(() =&gt; OrganismoControlOC, (org: OrganismoControlOC) =&gt; org.requerimientos, { ea</t>
        </is>
      </c>
      <c r="Q1191" s="18" t="inlineStr">
        <is>
          <t>Código fuente</t>
        </is>
      </c>
      <c r="R1191" s="18" t="inlineStr">
        <is>
          <t>Fecha y hora de recepción del requerimiento. Por defecto, la fecha y hora del registro.</t>
        </is>
      </c>
      <c r="S1191" s="18" t="inlineStr">
        <is>
          <t>Alta</t>
        </is>
      </c>
      <c r="T1191" s="18" t="inlineStr">
        <is>
          <t>nombre + tipo + columnas vecinas; el comentario de código requerimiento-oc.entity.ts:40 no define el dato</t>
        </is>
      </c>
      <c r="U1191" s="18" t="inlineStr"/>
      <c r="V1191" s="19" t="inlineStr">
        <is>
          <t>Aprobada</t>
        </is>
      </c>
      <c r="W1191" s="19" t="inlineStr"/>
      <c r="X1191" s="19" t="inlineStr">
        <is>
          <t>Aldair González (aprobación en bloque)</t>
        </is>
      </c>
      <c r="Y1191" s="20" t="n">
        <v>46321</v>
      </c>
      <c r="Z1191" s="19" t="inlineStr">
        <is>
          <t>Nivel 1: propuesta del comentario del desarrollador o de confianza alta, o regla de fecha/responsable/motivo.</t>
        </is>
      </c>
      <c r="AA1191" s="18">
        <f>IF(OR(V1191="Aprobada"),R1191,IF(AND(OR(V1191="Aprobada con ajuste",V1191="Rechazada"),W1191&lt;&gt;""),W1191,""))</f>
        <v/>
      </c>
    </row>
    <row r="1192">
      <c r="A1192" s="18" t="inlineStr">
        <is>
          <t>C1191</t>
        </is>
      </c>
      <c r="B1192" s="18" t="inlineStr">
        <is>
          <t>Gestión jurídica</t>
        </is>
      </c>
      <c r="C1192" s="18" t="inlineStr">
        <is>
          <t>legal_management</t>
        </is>
      </c>
      <c r="D1192" s="18" t="inlineStr">
        <is>
          <t>requerimientos_oc</t>
        </is>
      </c>
      <c r="E1192" s="18" t="n">
        <v>14</v>
      </c>
      <c r="F1192" s="18" t="inlineStr">
        <is>
          <t>unidad_tiempo</t>
        </is>
      </c>
      <c r="G1192" s="18" t="inlineStr">
        <is>
          <t>character varying(20)</t>
        </is>
      </c>
      <c r="H1192" s="18" t="inlineStr">
        <is>
          <t>Sí</t>
        </is>
      </c>
      <c r="I1192" s="18" t="inlineStr">
        <is>
          <t>CHECK</t>
        </is>
      </c>
      <c r="J1192" s="18" t="inlineStr">
        <is>
          <t>DIAS_CALENDARIO, DIAS_HABILES, HORAS</t>
        </is>
      </c>
      <c r="K1192" s="18" t="inlineStr"/>
      <c r="L1192" s="18" t="inlineStr">
        <is>
          <t>Sí</t>
        </is>
      </c>
      <c r="M1192" s="18" t="inlineStr">
        <is>
          <t>No</t>
        </is>
      </c>
      <c r="N1192" s="18" t="inlineStr"/>
      <c r="O1192" s="18" t="inlineStr"/>
      <c r="P1192" s="18" t="inlineStr">
        <is>
          <t>legal-management-service/src/entities/requerimiento-oc.entity.ts:43: Relación eliminada para permitir IDs de organismos locales (UUIDs string) que no existen en la tabla cat_organismos_control (Integer ID). El frontend resolverá el nombre basándose en el organismoId almacenado. @ManyToOne(() =&gt; OrganismoControlOC, (org: OrganismoControlOC) =&gt; org.requerimientos, { ea</t>
        </is>
      </c>
      <c r="Q1192" s="18" t="inlineStr">
        <is>
          <t>Código fuente</t>
        </is>
      </c>
      <c r="R1192" s="18" t="inlineStr">
        <is>
          <t>Unidad en que se expresa el plazo otorgado. Valores permitidos: DIAS_CALENDARIO, DIAS_HABILES, HORAS. Por defecto, DIAS_HABILES.</t>
        </is>
      </c>
      <c r="S1192" s="18" t="inlineStr">
        <is>
          <t>Alta</t>
        </is>
      </c>
      <c r="T1192" s="18" t="inlineStr">
        <is>
          <t>valores permitidos del CHECK; nombre + tipo + columnas vecinas; el comentario de código requerimiento-oc.entity.ts:43 no define el dato</t>
        </is>
      </c>
      <c r="U1192" s="18" t="inlineStr"/>
      <c r="V1192" s="19" t="inlineStr">
        <is>
          <t>Aprobada</t>
        </is>
      </c>
      <c r="W1192" s="19" t="inlineStr"/>
      <c r="X1192" s="19" t="inlineStr">
        <is>
          <t>Aldair González (aprobación en bloque)</t>
        </is>
      </c>
      <c r="Y1192" s="20" t="n">
        <v>46321</v>
      </c>
      <c r="Z1192" s="19" t="inlineStr">
        <is>
          <t>Nivel 1: propuesta del comentario del desarrollador o de confianza alta, o regla de fecha/responsable/motivo.</t>
        </is>
      </c>
      <c r="AA1192" s="18">
        <f>IF(OR(V1192="Aprobada"),R1192,IF(AND(OR(V1192="Aprobada con ajuste",V1192="Rechazada"),W1192&lt;&gt;""),W1192,""))</f>
        <v/>
      </c>
    </row>
    <row r="1193">
      <c r="A1193" s="18" t="inlineStr">
        <is>
          <t>C1192</t>
        </is>
      </c>
      <c r="B1193" s="18" t="inlineStr">
        <is>
          <t>Gestión jurídica</t>
        </is>
      </c>
      <c r="C1193" s="18" t="inlineStr">
        <is>
          <t>legal_management</t>
        </is>
      </c>
      <c r="D1193" s="18" t="inlineStr">
        <is>
          <t>requerimientos_oc</t>
        </is>
      </c>
      <c r="E1193" s="18" t="n">
        <v>14</v>
      </c>
      <c r="F1193" s="18" t="inlineStr">
        <is>
          <t>plazo_otorgado</t>
        </is>
      </c>
      <c r="G1193" s="18" t="inlineStr">
        <is>
          <t>integer</t>
        </is>
      </c>
      <c r="H1193" s="18" t="inlineStr">
        <is>
          <t>No</t>
        </is>
      </c>
      <c r="I1193" s="18" t="inlineStr"/>
      <c r="J1193" s="18" t="inlineStr"/>
      <c r="K1193" s="18" t="inlineStr"/>
      <c r="L1193" s="18" t="inlineStr">
        <is>
          <t>No</t>
        </is>
      </c>
      <c r="M1193" s="18" t="inlineStr">
        <is>
          <t>No</t>
        </is>
      </c>
      <c r="N1193" s="18" t="inlineStr"/>
      <c r="O1193" s="18" t="inlineStr"/>
      <c r="P1193" s="18" t="inlineStr">
        <is>
          <t>legal-management-service/src/entities/requerimiento-oc.entity.ts:46: Relación eliminada para permitir IDs de organismos locales (UUIDs string) que no existen en la tabla cat_organismos_control (Integer ID). El frontend resolverá el nombre basándose en el organismoId almacenado. @ManyToOne(() =&gt; OrganismoControlOC, (org: OrganismoControlOC) =&gt; org.requerimientos, { ea</t>
        </is>
      </c>
      <c r="Q1193" s="18" t="inlineStr">
        <is>
          <t>Código fuente</t>
        </is>
      </c>
      <c r="R1193" s="18" t="inlineStr">
        <is>
          <t>Plazo otorgado por el organismo de control para responder, en la unidad de unidad_tiempo. Por defecto, 15.</t>
        </is>
      </c>
      <c r="S1193" s="18" t="inlineStr">
        <is>
          <t>Alta</t>
        </is>
      </c>
      <c r="T1193" s="18" t="inlineStr">
        <is>
          <t>nombre + tipo + columnas vecinas; el comentario de código requerimiento-oc.entity.ts:46 no define el dato</t>
        </is>
      </c>
      <c r="U1193" s="18" t="inlineStr"/>
      <c r="V1193" s="19" t="inlineStr">
        <is>
          <t>Aprobada</t>
        </is>
      </c>
      <c r="W1193" s="19" t="inlineStr"/>
      <c r="X1193" s="19" t="inlineStr">
        <is>
          <t>Aldair González (aprobación en bloque)</t>
        </is>
      </c>
      <c r="Y1193" s="20" t="n">
        <v>46321</v>
      </c>
      <c r="Z1193" s="19" t="inlineStr">
        <is>
          <t>Nivel 1: propuesta del comentario del desarrollador o de confianza alta, o regla de fecha/responsable/motivo.</t>
        </is>
      </c>
      <c r="AA1193" s="18">
        <f>IF(OR(V1193="Aprobada"),R1193,IF(AND(OR(V1193="Aprobada con ajuste",V1193="Rechazada"),W1193&lt;&gt;""),W1193,""))</f>
        <v/>
      </c>
    </row>
    <row r="1194">
      <c r="A1194" s="18" t="inlineStr">
        <is>
          <t>C1193</t>
        </is>
      </c>
      <c r="B1194" s="18" t="inlineStr">
        <is>
          <t>Gestión jurídica</t>
        </is>
      </c>
      <c r="C1194" s="18" t="inlineStr">
        <is>
          <t>legal_management</t>
        </is>
      </c>
      <c r="D1194" s="18" t="inlineStr">
        <is>
          <t>requerimientos_oc</t>
        </is>
      </c>
      <c r="E1194" s="18" t="n">
        <v>14</v>
      </c>
      <c r="F1194" s="18" t="inlineStr">
        <is>
          <t>fecha_vencimiento</t>
        </is>
      </c>
      <c r="G1194" s="18" t="inlineStr">
        <is>
          <t>timestamp without time zone</t>
        </is>
      </c>
      <c r="H1194" s="18" t="inlineStr">
        <is>
          <t>No</t>
        </is>
      </c>
      <c r="I1194" s="18" t="inlineStr"/>
      <c r="J1194" s="18" t="inlineStr"/>
      <c r="K1194" s="18" t="inlineStr"/>
      <c r="L1194" s="18" t="inlineStr">
        <is>
          <t>No</t>
        </is>
      </c>
      <c r="M1194" s="18" t="inlineStr">
        <is>
          <t>No</t>
        </is>
      </c>
      <c r="N1194" s="18" t="inlineStr"/>
      <c r="O1194" s="18" t="inlineStr">
        <is>
          <t>idx_req_oc_vencimiento</t>
        </is>
      </c>
      <c r="P1194" s="18" t="inlineStr">
        <is>
          <t>legal-management-service/src/entities/requerimiento-oc.entity.ts:49: Relación eliminada para permitir IDs de organismos locales (UUIDs string) que no existen en la tabla cat_organismos_control (Integer ID). El frontend resolverá el nombre basándose en el organismoId almacenado. @ManyToOne(() =&gt; OrganismoControlOC, (org: OrganismoControlOC) =&gt; org.requerimientos, { ea</t>
        </is>
      </c>
      <c r="Q1194" s="18" t="inlineStr">
        <is>
          <t>Código fuente (verificado)</t>
        </is>
      </c>
      <c r="R1194" s="18" t="inlineStr">
        <is>
          <t>Fecha de vencimiento del plazo de respuesta. Si no se informa, el sistema la calcula a partir de fecha_recepcion, plazo_otorgado y unidad_tiempo (por defecto, días hábiles).</t>
        </is>
      </c>
      <c r="S1194" s="18" t="inlineStr">
        <is>
          <t>Alta</t>
        </is>
      </c>
      <c r="T1194" s="18" t="inlineStr">
        <is>
          <t>backend/legal-management-service/src/services/requerimientos-oc.service.ts:209 si no viene fechaVencimiento, calcularFechaVencimiento(fechaRecepcion, plazoOtorgado, unidadTiempo)</t>
        </is>
      </c>
      <c r="U1194" s="18" t="inlineStr"/>
      <c r="V1194" s="19" t="inlineStr">
        <is>
          <t>Aprobada</t>
        </is>
      </c>
      <c r="W1194" s="19" t="inlineStr"/>
      <c r="X1194" s="19" t="inlineStr">
        <is>
          <t>Aldair González (aprobación en bloque)</t>
        </is>
      </c>
      <c r="Y1194" s="20" t="n">
        <v>46321</v>
      </c>
      <c r="Z1194" s="19" t="inlineStr">
        <is>
          <t>Nivel 3: verificada con el código de la aplicación.</t>
        </is>
      </c>
      <c r="AA1194" s="18">
        <f>IF(OR(V1194="Aprobada"),R1194,IF(AND(OR(V1194="Aprobada con ajuste",V1194="Rechazada"),W1194&lt;&gt;""),W1194,""))</f>
        <v/>
      </c>
    </row>
    <row r="1195">
      <c r="A1195" s="18" t="inlineStr">
        <is>
          <t>C1194</t>
        </is>
      </c>
      <c r="B1195" s="18" t="inlineStr">
        <is>
          <t>Gestión jurídica</t>
        </is>
      </c>
      <c r="C1195" s="18" t="inlineStr">
        <is>
          <t>legal_management</t>
        </is>
      </c>
      <c r="D1195" s="18" t="inlineStr">
        <is>
          <t>requerimientos_oc</t>
        </is>
      </c>
      <c r="E1195" s="18" t="n">
        <v>14</v>
      </c>
      <c r="F1195" s="18" t="inlineStr">
        <is>
          <t>funcionario_responsable</t>
        </is>
      </c>
      <c r="G1195" s="18" t="inlineStr">
        <is>
          <t>character varying(200)</t>
        </is>
      </c>
      <c r="H1195" s="18" t="inlineStr">
        <is>
          <t>Sí</t>
        </is>
      </c>
      <c r="I1195" s="18" t="inlineStr"/>
      <c r="J1195" s="18" t="inlineStr"/>
      <c r="K1195" s="18" t="inlineStr"/>
      <c r="L1195" s="18" t="inlineStr">
        <is>
          <t>No</t>
        </is>
      </c>
      <c r="M1195" s="18" t="inlineStr">
        <is>
          <t>No</t>
        </is>
      </c>
      <c r="N1195" s="18" t="inlineStr"/>
      <c r="O1195" s="18" t="inlineStr"/>
      <c r="P1195" s="18" t="inlineStr">
        <is>
          <t>legal-management-service/src/entities/requerimiento-oc.entity.ts:52: Relación eliminada para permitir IDs de organismos locales (UUIDs string) que no existen en la tabla cat_organismos_control (Integer ID). El frontend resolverá el nombre basándose en el organismoId almacenado. @ManyToOne(() =&gt; OrganismoControlOC, (org: OrganismoControlOC) =&gt; org.requerimientos, { ea</t>
        </is>
      </c>
      <c r="Q1195" s="18" t="inlineStr">
        <is>
          <t>Código fuente (verificado)</t>
        </is>
      </c>
      <c r="R1195" s="18" t="inlineStr">
        <is>
          <t>Nombre del funcionario responsable de atender el requerimiento. Al reasignar, se guarda el nombre del usuario enviado por el frontend o, si falta, su identificador.</t>
        </is>
      </c>
      <c r="S1195" s="18" t="inlineStr">
        <is>
          <t>Alta</t>
        </is>
      </c>
      <c r="T1195" s="18" t="inlineStr">
        <is>
          <t>backend/legal-management-service/src/services/requerimientos-oc.service.ts:299 nuevoResponsable = nombre o id del profesional | backend/legal-management-service/src/services/requerimientos-oc.service.ts:304 funcionarioResponsable = nuevoResponsable | backend/legal-management-service/src/services/requerimientos-oc.service.ts:141 el filtro lo compara con auth.personas.nom_largo</t>
        </is>
      </c>
      <c r="U1195" s="18" t="inlineStr"/>
      <c r="V1195" s="19" t="inlineStr">
        <is>
          <t>Aprobada</t>
        </is>
      </c>
      <c r="W1195" s="19" t="inlineStr"/>
      <c r="X1195" s="19" t="inlineStr">
        <is>
          <t>Aldair González (aprobación en bloque)</t>
        </is>
      </c>
      <c r="Y1195" s="20" t="n">
        <v>46321</v>
      </c>
      <c r="Z1195" s="19" t="inlineStr">
        <is>
          <t>Nivel 3: verificada con el código de la aplicación.</t>
        </is>
      </c>
      <c r="AA1195" s="18">
        <f>IF(OR(V1195="Aprobada"),R1195,IF(AND(OR(V1195="Aprobada con ajuste",V1195="Rechazada"),W1195&lt;&gt;""),W1195,""))</f>
        <v/>
      </c>
    </row>
    <row r="1196">
      <c r="A1196" s="18" t="inlineStr">
        <is>
          <t>C1195</t>
        </is>
      </c>
      <c r="B1196" s="18" t="inlineStr">
        <is>
          <t>Gestión jurídica</t>
        </is>
      </c>
      <c r="C1196" s="18" t="inlineStr">
        <is>
          <t>legal_management</t>
        </is>
      </c>
      <c r="D1196" s="18" t="inlineStr">
        <is>
          <t>requerimientos_oc</t>
        </is>
      </c>
      <c r="E1196" s="18" t="n">
        <v>14</v>
      </c>
      <c r="F1196" s="18" t="inlineStr">
        <is>
          <t>area_responsable</t>
        </is>
      </c>
      <c r="G1196" s="18" t="inlineStr">
        <is>
          <t>character varying(150)</t>
        </is>
      </c>
      <c r="H1196" s="18" t="inlineStr">
        <is>
          <t>Sí</t>
        </is>
      </c>
      <c r="I1196" s="18" t="inlineStr"/>
      <c r="J1196" s="18" t="inlineStr"/>
      <c r="K1196" s="18" t="inlineStr"/>
      <c r="L1196" s="18" t="inlineStr">
        <is>
          <t>No</t>
        </is>
      </c>
      <c r="M1196" s="18" t="inlineStr">
        <is>
          <t>No</t>
        </is>
      </c>
      <c r="N1196" s="18" t="inlineStr"/>
      <c r="O1196" s="18" t="inlineStr"/>
      <c r="P1196" s="18" t="inlineStr">
        <is>
          <t>legal-management-service/src/entities/requerimiento-oc.entity.ts:55: Relación eliminada para permitir IDs de organismos locales (UUIDs string) que no existen en la tabla cat_organismos_control (Integer ID). El frontend resolverá el nombre basándose en el organismoId almacenado. @ManyToOne(() =&gt; OrganismoControlOC, (org: OrganismoControlOC) =&gt; org.requerimientos, { ea</t>
        </is>
      </c>
      <c r="Q1196" s="18" t="inlineStr">
        <is>
          <t>Código fuente (verificado)</t>
        </is>
      </c>
      <c r="R1196" s="18" t="inlineStr">
        <is>
          <t>Área responsable de atender el requerimiento, registrada como texto; no está enlazada a un catálogo.</t>
        </is>
      </c>
      <c r="S1196" s="18" t="inlineStr">
        <is>
          <t>Alta</t>
        </is>
      </c>
      <c r="T1196" s="18" t="inlineStr">
        <is>
          <t>backend/legal-management-service/src/entities/requerimiento-oc.entity.ts:55 varchar(150) sin relación | backend/legal-management-service/src/services/reportes.service.ts:180 se muestra como responsable en reportes</t>
        </is>
      </c>
      <c r="U1196" s="18" t="inlineStr"/>
      <c r="V1196" s="19" t="inlineStr">
        <is>
          <t>Aprobada</t>
        </is>
      </c>
      <c r="W1196" s="19" t="inlineStr"/>
      <c r="X1196" s="19" t="inlineStr">
        <is>
          <t>Aldair González (aprobación en bloque)</t>
        </is>
      </c>
      <c r="Y1196" s="20" t="n">
        <v>46321</v>
      </c>
      <c r="Z1196" s="19" t="inlineStr">
        <is>
          <t>Nivel 3: verificada con el código de la aplicación.</t>
        </is>
      </c>
      <c r="AA1196" s="18">
        <f>IF(OR(V1196="Aprobada"),R1196,IF(AND(OR(V1196="Aprobada con ajuste",V1196="Rechazada"),W1196&lt;&gt;""),W1196,""))</f>
        <v/>
      </c>
    </row>
    <row r="1197">
      <c r="A1197" s="18" t="inlineStr">
        <is>
          <t>C1196</t>
        </is>
      </c>
      <c r="B1197" s="18" t="inlineStr">
        <is>
          <t>Gestión jurídica</t>
        </is>
      </c>
      <c r="C1197" s="18" t="inlineStr">
        <is>
          <t>legal_management</t>
        </is>
      </c>
      <c r="D1197" s="18" t="inlineStr">
        <is>
          <t>requerimientos_oc</t>
        </is>
      </c>
      <c r="E1197" s="18" t="n">
        <v>14</v>
      </c>
      <c r="F1197" s="18" t="inlineStr">
        <is>
          <t>abogado_asignado_id</t>
        </is>
      </c>
      <c r="G1197" s="18" t="inlineStr">
        <is>
          <t>uuid</t>
        </is>
      </c>
      <c r="H1197" s="18" t="inlineStr">
        <is>
          <t>Sí</t>
        </is>
      </c>
      <c r="I1197" s="18" t="inlineStr"/>
      <c r="J1197" s="18" t="inlineStr"/>
      <c r="K1197" s="18" t="inlineStr"/>
      <c r="L1197" s="18" t="inlineStr">
        <is>
          <t>No</t>
        </is>
      </c>
      <c r="M1197" s="18" t="inlineStr">
        <is>
          <t>No</t>
        </is>
      </c>
      <c r="N1197" s="18" t="inlineStr"/>
      <c r="O1197" s="18" t="inlineStr">
        <is>
          <t>idx_req_oc_abogado</t>
        </is>
      </c>
      <c r="P1197" s="18" t="inlineStr">
        <is>
          <t>legal-management-service/src/entities/requerimiento-oc.entity.ts:58: Relación eliminada para permitir IDs de organismos locales (UUIDs string) que no existen en la tabla cat_organismos_control (Integer ID). El frontend resolverá el nombre basándose en el organismoId almacenado. @ManyToOne(() =&gt; OrganismoControlOC, (org: OrganismoControlOC) =&gt; org.requerimientos, { ea</t>
        </is>
      </c>
      <c r="Q1197" s="18" t="inlineStr">
        <is>
          <t>Código fuente (verificado)</t>
        </is>
      </c>
      <c r="R1197" s="18" t="inlineStr">
        <is>
          <t>Identificador del usuario del servicio de autenticación (auth."user") asignado como abogado del requerimiento; no referencia legal_management.abogados.</t>
        </is>
      </c>
      <c r="S1197" s="18" t="inlineStr">
        <is>
          <t>Alta</t>
        </is>
      </c>
      <c r="T1197" s="18" t="inlineStr">
        <is>
          <t>backend/legal-management-service/src/services/requerimientos-oc.service.ts:298 las asignaciones son ids de usuarios de auth, no registros de legal_management.abogados | backend/legal-management-service/src/services/requerimientos-oc.service.ts:134 el filtro lo compara con auth."user".id_user y public_id | db/migrations/315_cleanup_legal_obsolete_tables.sql:11 FK hacia abogados retirada</t>
        </is>
      </c>
      <c r="U1197" s="18" t="inlineStr"/>
      <c r="V1197" s="19" t="inlineStr">
        <is>
          <t>Aprobada</t>
        </is>
      </c>
      <c r="W1197" s="19" t="inlineStr"/>
      <c r="X1197" s="19" t="inlineStr">
        <is>
          <t>Aldair González (aprobación en bloque)</t>
        </is>
      </c>
      <c r="Y1197" s="20" t="n">
        <v>46321</v>
      </c>
      <c r="Z1197" s="19" t="inlineStr">
        <is>
          <t>Nivel 3: verificada con el código de la aplicación.</t>
        </is>
      </c>
      <c r="AA1197" s="18">
        <f>IF(OR(V1197="Aprobada"),R1197,IF(AND(OR(V1197="Aprobada con ajuste",V1197="Rechazada"),W1197&lt;&gt;""),W1197,""))</f>
        <v/>
      </c>
    </row>
    <row r="1198">
      <c r="A1198" s="18" t="inlineStr">
        <is>
          <t>C1197</t>
        </is>
      </c>
      <c r="B1198" s="18" t="inlineStr">
        <is>
          <t>Gestión jurídica</t>
        </is>
      </c>
      <c r="C1198" s="18" t="inlineStr">
        <is>
          <t>legal_management</t>
        </is>
      </c>
      <c r="D1198" s="18" t="inlineStr">
        <is>
          <t>requerimientos_oc</t>
        </is>
      </c>
      <c r="E1198" s="18" t="n">
        <v>14</v>
      </c>
      <c r="F1198" s="18" t="inlineStr">
        <is>
          <t>estado</t>
        </is>
      </c>
      <c r="G1198" s="18" t="inlineStr">
        <is>
          <t>character varying(30)</t>
        </is>
      </c>
      <c r="H1198" s="18" t="inlineStr">
        <is>
          <t>Sí</t>
        </is>
      </c>
      <c r="I1198" s="18" t="inlineStr">
        <is>
          <t>CHECK</t>
        </is>
      </c>
      <c r="J1198" s="18" t="inlineStr">
        <is>
          <t>CERRADO, ENVIADO, EN_ANALISIS, EN_RESPUESTA, RECIBIDO, VENCIDO</t>
        </is>
      </c>
      <c r="K1198" s="18" t="inlineStr"/>
      <c r="L1198" s="18" t="inlineStr">
        <is>
          <t>Sí</t>
        </is>
      </c>
      <c r="M1198" s="18" t="inlineStr">
        <is>
          <t>No</t>
        </is>
      </c>
      <c r="N1198" s="18" t="inlineStr"/>
      <c r="O1198" s="18" t="inlineStr">
        <is>
          <t>idx_req_oc_estado</t>
        </is>
      </c>
      <c r="P1198" s="18" t="inlineStr">
        <is>
          <t>legal-management-service/src/entities/requerimiento-oc.entity.ts:61: Relación eliminada para permitir IDs de organismos locales (UUIDs string) que no existen en la tabla cat_organismos_control (Integer ID). El frontend resolverá el nombre basándose en el organismoId almacenado. @ManyToOne(() =&gt; OrganismoControlOC, (org: OrganismoControlOC) =&gt; org.requerimientos, { ea</t>
        </is>
      </c>
      <c r="Q1198" s="18" t="inlineStr">
        <is>
          <t>Código fuente</t>
        </is>
      </c>
      <c r="R1198" s="18" t="inlineStr">
        <is>
          <t>Estado del requerimiento. Valores permitidos: RECIBIDO, EN_ANALISIS, EN_RESPUESTA, ENVIADO, CERRADO, VENCIDO. Por defecto, RECIBIDO.</t>
        </is>
      </c>
      <c r="S1198" s="18" t="inlineStr">
        <is>
          <t>Alta</t>
        </is>
      </c>
      <c r="T1198" s="18" t="inlineStr">
        <is>
          <t>valores permitidos del CHECK; nombre + tipo + columnas vecinas; el comentario de código requerimiento-oc.entity.ts:61 no define el dato</t>
        </is>
      </c>
      <c r="U1198" s="18" t="inlineStr"/>
      <c r="V1198" s="19" t="inlineStr">
        <is>
          <t>Aprobada</t>
        </is>
      </c>
      <c r="W1198" s="19" t="inlineStr"/>
      <c r="X1198" s="19" t="inlineStr">
        <is>
          <t>Aldair González (aprobación en bloque)</t>
        </is>
      </c>
      <c r="Y1198" s="20" t="n">
        <v>46321</v>
      </c>
      <c r="Z1198" s="19" t="inlineStr">
        <is>
          <t>Nivel 1: propuesta del comentario del desarrollador o de confianza alta, o regla de fecha/responsable/motivo.</t>
        </is>
      </c>
      <c r="AA1198" s="18">
        <f>IF(OR(V1198="Aprobada"),R1198,IF(AND(OR(V1198="Aprobada con ajuste",V1198="Rechazada"),W1198&lt;&gt;""),W1198,""))</f>
        <v/>
      </c>
    </row>
    <row r="1199">
      <c r="A1199" s="18" t="inlineStr">
        <is>
          <t>C1198</t>
        </is>
      </c>
      <c r="B1199" s="18" t="inlineStr">
        <is>
          <t>Gestión jurídica</t>
        </is>
      </c>
      <c r="C1199" s="18" t="inlineStr">
        <is>
          <t>legal_management</t>
        </is>
      </c>
      <c r="D1199" s="18" t="inlineStr">
        <is>
          <t>requerimientos_oc</t>
        </is>
      </c>
      <c r="E1199" s="18" t="n">
        <v>14</v>
      </c>
      <c r="F1199" s="18" t="inlineStr">
        <is>
          <t>prioridad</t>
        </is>
      </c>
      <c r="G1199" s="18" t="inlineStr">
        <is>
          <t>character varying(15)</t>
        </is>
      </c>
      <c r="H1199" s="18" t="inlineStr">
        <is>
          <t>Sí</t>
        </is>
      </c>
      <c r="I1199" s="18" t="inlineStr">
        <is>
          <t>CHECK</t>
        </is>
      </c>
      <c r="J1199" s="18" t="inlineStr">
        <is>
          <t>ALTA, BAJA, CRITICA, NORMAL</t>
        </is>
      </c>
      <c r="K1199" s="18" t="inlineStr"/>
      <c r="L1199" s="18" t="inlineStr">
        <is>
          <t>Sí</t>
        </is>
      </c>
      <c r="M1199" s="18" t="inlineStr">
        <is>
          <t>No</t>
        </is>
      </c>
      <c r="N1199" s="18" t="inlineStr"/>
      <c r="O1199" s="18" t="inlineStr"/>
      <c r="P1199" s="18" t="inlineStr">
        <is>
          <t>legal-management-service/src/entities/requerimiento-oc.entity.ts:64: Relación eliminada para permitir IDs de organismos locales (UUIDs string) que no existen en la tabla cat_organismos_control (Integer ID). El frontend resolverá el nombre basándose en el organismoId almacenado. @ManyToOne(() =&gt; OrganismoControlOC, (org: OrganismoControlOC) =&gt; org.requerimientos, { ea</t>
        </is>
      </c>
      <c r="Q1199" s="18" t="inlineStr">
        <is>
          <t>Código fuente</t>
        </is>
      </c>
      <c r="R1199" s="18" t="inlineStr">
        <is>
          <t>Prioridad del requerimiento. Valores permitidos: BAJA, NORMAL, ALTA, CRITICA. Por defecto, NORMAL.</t>
        </is>
      </c>
      <c r="S1199" s="18" t="inlineStr">
        <is>
          <t>Alta</t>
        </is>
      </c>
      <c r="T1199" s="18" t="inlineStr">
        <is>
          <t>valores permitidos del CHECK; nombre + tipo + columnas vecinas; el comentario de código requerimiento-oc.entity.ts:64 no define el dato</t>
        </is>
      </c>
      <c r="U1199" s="18" t="inlineStr"/>
      <c r="V1199" s="19" t="inlineStr">
        <is>
          <t>Aprobada</t>
        </is>
      </c>
      <c r="W1199" s="19" t="inlineStr"/>
      <c r="X1199" s="19" t="inlineStr">
        <is>
          <t>Aldair González (aprobación en bloque)</t>
        </is>
      </c>
      <c r="Y1199" s="20" t="n">
        <v>46321</v>
      </c>
      <c r="Z1199" s="19" t="inlineStr">
        <is>
          <t>Nivel 1: propuesta del comentario del desarrollador o de confianza alta, o regla de fecha/responsable/motivo.</t>
        </is>
      </c>
      <c r="AA1199" s="18">
        <f>IF(OR(V1199="Aprobada"),R1199,IF(AND(OR(V1199="Aprobada con ajuste",V1199="Rechazada"),W1199&lt;&gt;""),W1199,""))</f>
        <v/>
      </c>
    </row>
    <row r="1200">
      <c r="A1200" s="18" t="inlineStr">
        <is>
          <t>C1199</t>
        </is>
      </c>
      <c r="B1200" s="18" t="inlineStr">
        <is>
          <t>Gestión jurídica</t>
        </is>
      </c>
      <c r="C1200" s="18" t="inlineStr">
        <is>
          <t>legal_management</t>
        </is>
      </c>
      <c r="D1200" s="18" t="inlineStr">
        <is>
          <t>requerimientos_oc</t>
        </is>
      </c>
      <c r="E1200" s="18" t="n">
        <v>14</v>
      </c>
      <c r="F1200" s="18" t="inlineStr">
        <is>
          <t>archivo_adjunto_url</t>
        </is>
      </c>
      <c r="G1200" s="18" t="inlineStr">
        <is>
          <t>text</t>
        </is>
      </c>
      <c r="H1200" s="18" t="inlineStr">
        <is>
          <t>Sí</t>
        </is>
      </c>
      <c r="I1200" s="18" t="inlineStr"/>
      <c r="J1200" s="18" t="inlineStr"/>
      <c r="K1200" s="18" t="inlineStr"/>
      <c r="L1200" s="18" t="inlineStr">
        <is>
          <t>No</t>
        </is>
      </c>
      <c r="M1200" s="18" t="inlineStr">
        <is>
          <t>No</t>
        </is>
      </c>
      <c r="N1200" s="18" t="inlineStr"/>
      <c r="O1200" s="18" t="inlineStr"/>
      <c r="P1200" s="18" t="inlineStr">
        <is>
          <t>legal-management-service/src/entities/requerimiento-oc.entity.ts:67: Relación eliminada para permitir IDs de organismos locales (UUIDs string) que no existen en la tabla cat_organismos_control (Integer ID). El frontend resolverá el nombre basándose en el organismoId almacenado. @ManyToOne(() =&gt; OrganismoControlOC, (org: OrganismoControlOC) =&gt; org.requerimientos, { ea</t>
        </is>
      </c>
      <c r="Q1200" s="18" t="inlineStr">
        <is>
          <t>Código fuente</t>
        </is>
      </c>
      <c r="R1200" s="18" t="inlineStr">
        <is>
          <t>URL del archivo adjunto del requerimiento recibido.</t>
        </is>
      </c>
      <c r="S1200" s="18" t="inlineStr">
        <is>
          <t>Alta</t>
        </is>
      </c>
      <c r="T1200" s="18" t="inlineStr">
        <is>
          <t>nombre + tipo + columnas vecinas; el comentario de código requerimiento-oc.entity.ts:67 no define el dato</t>
        </is>
      </c>
      <c r="U1200" s="18" t="inlineStr"/>
      <c r="V1200" s="19" t="inlineStr">
        <is>
          <t>Aprobada</t>
        </is>
      </c>
      <c r="W1200" s="19" t="inlineStr"/>
      <c r="X1200" s="19" t="inlineStr">
        <is>
          <t>Aldair González (aprobación en bloque)</t>
        </is>
      </c>
      <c r="Y1200" s="20" t="n">
        <v>46321</v>
      </c>
      <c r="Z1200" s="19" t="inlineStr">
        <is>
          <t>Nivel 1: propuesta del comentario del desarrollador o de confianza alta, o regla de fecha/responsable/motivo.</t>
        </is>
      </c>
      <c r="AA1200" s="18">
        <f>IF(OR(V1200="Aprobada"),R1200,IF(AND(OR(V1200="Aprobada con ajuste",V1200="Rechazada"),W1200&lt;&gt;""),W1200,""))</f>
        <v/>
      </c>
    </row>
    <row r="1201">
      <c r="A1201" s="18" t="inlineStr">
        <is>
          <t>C1200</t>
        </is>
      </c>
      <c r="B1201" s="18" t="inlineStr">
        <is>
          <t>Gestión jurídica</t>
        </is>
      </c>
      <c r="C1201" s="18" t="inlineStr">
        <is>
          <t>legal_management</t>
        </is>
      </c>
      <c r="D1201" s="18" t="inlineStr">
        <is>
          <t>requerimientos_oc</t>
        </is>
      </c>
      <c r="E1201" s="18" t="n">
        <v>14</v>
      </c>
      <c r="F1201" s="18" t="inlineStr">
        <is>
          <t>oficio_respuesta_url</t>
        </is>
      </c>
      <c r="G1201" s="18" t="inlineStr">
        <is>
          <t>text</t>
        </is>
      </c>
      <c r="H1201" s="18" t="inlineStr">
        <is>
          <t>Sí</t>
        </is>
      </c>
      <c r="I1201" s="18" t="inlineStr"/>
      <c r="J1201" s="18" t="inlineStr"/>
      <c r="K1201" s="18" t="inlineStr"/>
      <c r="L1201" s="18" t="inlineStr">
        <is>
          <t>No</t>
        </is>
      </c>
      <c r="M1201" s="18" t="inlineStr">
        <is>
          <t>No</t>
        </is>
      </c>
      <c r="N1201" s="18" t="inlineStr"/>
      <c r="O1201" s="18" t="inlineStr"/>
      <c r="P1201" s="18" t="inlineStr">
        <is>
          <t>legal-management-service/src/entities/requerimiento-oc.entity.ts:70: Relación eliminada para permitir IDs de organismos locales (UUIDs string) que no existen en la tabla cat_organismos_control (Integer ID). El frontend resolverá el nombre basándose en el organismoId almacenado. @ManyToOne(() =&gt; OrganismoControlOC, (org: OrganismoControlOC) =&gt; org.requerimientos, { ea</t>
        </is>
      </c>
      <c r="Q1201" s="18" t="inlineStr">
        <is>
          <t>Código fuente</t>
        </is>
      </c>
      <c r="R1201" s="18" t="inlineStr">
        <is>
          <t>URL del oficio de respuesta al requerimiento.</t>
        </is>
      </c>
      <c r="S1201" s="18" t="inlineStr">
        <is>
          <t>Alta</t>
        </is>
      </c>
      <c r="T1201" s="18" t="inlineStr">
        <is>
          <t>nombre + tipo + columnas vecinas; el comentario de código requerimiento-oc.entity.ts:70 no define el dato</t>
        </is>
      </c>
      <c r="U1201" s="18" t="inlineStr"/>
      <c r="V1201" s="19" t="inlineStr">
        <is>
          <t>Aprobada</t>
        </is>
      </c>
      <c r="W1201" s="19" t="inlineStr"/>
      <c r="X1201" s="19" t="inlineStr">
        <is>
          <t>Aldair González (aprobación en bloque)</t>
        </is>
      </c>
      <c r="Y1201" s="20" t="n">
        <v>46321</v>
      </c>
      <c r="Z1201" s="19" t="inlineStr">
        <is>
          <t>Nivel 1: propuesta del comentario del desarrollador o de confianza alta, o regla de fecha/responsable/motivo.</t>
        </is>
      </c>
      <c r="AA1201" s="18">
        <f>IF(OR(V1201="Aprobada"),R1201,IF(AND(OR(V1201="Aprobada con ajuste",V1201="Rechazada"),W1201&lt;&gt;""),W1201,""))</f>
        <v/>
      </c>
    </row>
    <row r="1202">
      <c r="A1202" s="18" t="inlineStr">
        <is>
          <t>C1201</t>
        </is>
      </c>
      <c r="B1202" s="18" t="inlineStr">
        <is>
          <t>Gestión jurídica</t>
        </is>
      </c>
      <c r="C1202" s="18" t="inlineStr">
        <is>
          <t>legal_management</t>
        </is>
      </c>
      <c r="D1202" s="18" t="inlineStr">
        <is>
          <t>requerimientos_oc</t>
        </is>
      </c>
      <c r="E1202" s="18" t="n">
        <v>14</v>
      </c>
      <c r="F1202" s="18" t="inlineStr">
        <is>
          <t>acuse_recibo_url</t>
        </is>
      </c>
      <c r="G1202" s="18" t="inlineStr">
        <is>
          <t>text</t>
        </is>
      </c>
      <c r="H1202" s="18" t="inlineStr">
        <is>
          <t>Sí</t>
        </is>
      </c>
      <c r="I1202" s="18" t="inlineStr"/>
      <c r="J1202" s="18" t="inlineStr"/>
      <c r="K1202" s="18" t="inlineStr"/>
      <c r="L1202" s="18" t="inlineStr">
        <is>
          <t>No</t>
        </is>
      </c>
      <c r="M1202" s="18" t="inlineStr">
        <is>
          <t>No</t>
        </is>
      </c>
      <c r="N1202" s="18" t="inlineStr"/>
      <c r="O1202" s="18" t="inlineStr"/>
      <c r="P1202" s="18" t="inlineStr">
        <is>
          <t>legal-management-service/src/entities/requerimiento-oc.entity.ts:73: Relación eliminada para permitir IDs de organismos locales (UUIDs string) que no existen en la tabla cat_organismos_control (Integer ID). El frontend resolverá el nombre basándose en el organismoId almacenado. @ManyToOne(() =&gt; OrganismoControlOC, (org: OrganismoControlOC) =&gt; org.requerimientos, { ea</t>
        </is>
      </c>
      <c r="Q1202" s="18" t="inlineStr">
        <is>
          <t>Código fuente (verificado)</t>
        </is>
      </c>
      <c r="R1202" s="18" t="inlineStr">
        <is>
          <t>URL del acuse de recibo del requerimiento. El requerimiento no se puede cerrar sin acuse de recibo o sin oficio de respuesta.</t>
        </is>
      </c>
      <c r="S1202" s="18" t="inlineStr">
        <is>
          <t>Media</t>
        </is>
      </c>
      <c r="T1202" s="18" t="inlineStr">
        <is>
          <t>backend/legal-management-service/src/services/requerimientos-oc.service.ts:254 no se cierra sin acuseReciboUrl ni oficioRespuestaUrl</t>
        </is>
      </c>
      <c r="U1202" s="18" t="inlineStr">
        <is>
          <t>¿El acuse de recibo es el del organismo de control sobre la respuesta enviada por la ESAP?</t>
        </is>
      </c>
      <c r="V1202" s="19" t="inlineStr">
        <is>
          <t>Aprobada</t>
        </is>
      </c>
      <c r="W1202" s="19" t="inlineStr"/>
      <c r="X1202" s="19" t="inlineStr">
        <is>
          <t>Aldair González (validación del responsable de BD)</t>
        </is>
      </c>
      <c r="Y1202" s="20" t="n">
        <v>46321</v>
      </c>
      <c r="Z1202" s="19" t="inlineStr">
        <is>
          <t>Nivel 3: validada por decisión del responsable de la base de datos. Pregunta registrada para desarrollo: ¿El acuse de recibo es el del organismo de control sobre la respuesta enviada por la ESAP?</t>
        </is>
      </c>
      <c r="AA1202" s="18">
        <f>IF(OR(V1202="Aprobada"),R1202,IF(AND(OR(V1202="Aprobada con ajuste",V1202="Rechazada"),W1202&lt;&gt;""),W1202,""))</f>
        <v/>
      </c>
    </row>
    <row r="1203">
      <c r="A1203" s="18" t="inlineStr">
        <is>
          <t>C1202</t>
        </is>
      </c>
      <c r="B1203" s="18" t="inlineStr">
        <is>
          <t>Gestión jurídica</t>
        </is>
      </c>
      <c r="C1203" s="18" t="inlineStr">
        <is>
          <t>legal_management</t>
        </is>
      </c>
      <c r="D1203" s="18" t="inlineStr">
        <is>
          <t>requerimientos_oc</t>
        </is>
      </c>
      <c r="E1203" s="18" t="n">
        <v>14</v>
      </c>
      <c r="F1203" s="18" t="inlineStr">
        <is>
          <t>fecha_respuesta</t>
        </is>
      </c>
      <c r="G1203" s="18" t="inlineStr">
        <is>
          <t>timestamp without time zone</t>
        </is>
      </c>
      <c r="H1203" s="18" t="inlineStr">
        <is>
          <t>Sí</t>
        </is>
      </c>
      <c r="I1203" s="18" t="inlineStr"/>
      <c r="J1203" s="18" t="inlineStr"/>
      <c r="K1203" s="18" t="inlineStr"/>
      <c r="L1203" s="18" t="inlineStr">
        <is>
          <t>No</t>
        </is>
      </c>
      <c r="M1203" s="18" t="inlineStr">
        <is>
          <t>No</t>
        </is>
      </c>
      <c r="N1203" s="18" t="inlineStr"/>
      <c r="O1203" s="18" t="inlineStr"/>
      <c r="P1203" s="18" t="inlineStr">
        <is>
          <t>legal-management-service/src/entities/requerimiento-oc.entity.ts:76: Relación eliminada para permitir IDs de organismos locales (UUIDs string) que no existen en la tabla cat_organismos_control (Integer ID). El frontend resolverá el nombre basándose en el organismoId almacenado. @ManyToOne(() =&gt; OrganismoControlOC, (org: OrganismoControlOC) =&gt; org.requerimientos, { ea</t>
        </is>
      </c>
      <c r="Q1203" s="18" t="inlineStr">
        <is>
          <t>Código fuente</t>
        </is>
      </c>
      <c r="R1203" s="18" t="inlineStr">
        <is>
          <t>Fecha y hora de respuesta al requerimiento.</t>
        </is>
      </c>
      <c r="S1203" s="18" t="inlineStr">
        <is>
          <t>Alta</t>
        </is>
      </c>
      <c r="T1203" s="18" t="inlineStr">
        <is>
          <t>nombre + tipo + columnas vecinas; el comentario de código requerimiento-oc.entity.ts:76 no define el dato</t>
        </is>
      </c>
      <c r="U1203" s="18" t="inlineStr"/>
      <c r="V1203" s="19" t="inlineStr">
        <is>
          <t>Aprobada</t>
        </is>
      </c>
      <c r="W1203" s="19" t="inlineStr"/>
      <c r="X1203" s="19" t="inlineStr">
        <is>
          <t>Aldair González (aprobación en bloque)</t>
        </is>
      </c>
      <c r="Y1203" s="20" t="n">
        <v>46321</v>
      </c>
      <c r="Z1203" s="19" t="inlineStr">
        <is>
          <t>Nivel 1: propuesta del comentario del desarrollador o de confianza alta, o regla de fecha/responsable/motivo.</t>
        </is>
      </c>
      <c r="AA1203" s="18">
        <f>IF(OR(V1203="Aprobada"),R1203,IF(AND(OR(V1203="Aprobada con ajuste",V1203="Rechazada"),W1203&lt;&gt;""),W1203,""))</f>
        <v/>
      </c>
    </row>
    <row r="1204">
      <c r="A1204" s="18" t="inlineStr">
        <is>
          <t>C1203</t>
        </is>
      </c>
      <c r="B1204" s="18" t="inlineStr">
        <is>
          <t>Gestión jurídica</t>
        </is>
      </c>
      <c r="C1204" s="18" t="inlineStr">
        <is>
          <t>legal_management</t>
        </is>
      </c>
      <c r="D1204" s="18" t="inlineStr">
        <is>
          <t>requerimientos_oc</t>
        </is>
      </c>
      <c r="E1204" s="18" t="n">
        <v>14</v>
      </c>
      <c r="F1204" s="18" t="inlineStr">
        <is>
          <t>observaciones</t>
        </is>
      </c>
      <c r="G1204" s="18" t="inlineStr">
        <is>
          <t>text</t>
        </is>
      </c>
      <c r="H1204" s="18" t="inlineStr">
        <is>
          <t>Sí</t>
        </is>
      </c>
      <c r="I1204" s="18" t="inlineStr"/>
      <c r="J1204" s="18" t="inlineStr"/>
      <c r="K1204" s="18" t="inlineStr"/>
      <c r="L1204" s="18" t="inlineStr">
        <is>
          <t>No</t>
        </is>
      </c>
      <c r="M1204" s="18" t="inlineStr">
        <is>
          <t>No</t>
        </is>
      </c>
      <c r="N1204" s="18" t="inlineStr"/>
      <c r="O1204" s="18" t="inlineStr"/>
      <c r="P1204" s="18" t="inlineStr">
        <is>
          <t>legal-management-service/src/entities/requerimiento-oc.entity.ts:79: Relación eliminada para permitir IDs de organismos locales (UUIDs string) que no existen en la tabla cat_organismos_control (Integer ID). El frontend resolverá el nombre basándose en el organismoId almacenado. @ManyToOne(() =&gt; OrganismoControlOC, (org: OrganismoControlOC) =&gt; org.requerimientos, { ea</t>
        </is>
      </c>
      <c r="Q1204" s="18" t="inlineStr">
        <is>
          <t>Código fuente</t>
        </is>
      </c>
      <c r="R1204" s="18" t="inlineStr">
        <is>
          <t>Observaciones sobre el requerimiento.</t>
        </is>
      </c>
      <c r="S1204" s="18" t="inlineStr">
        <is>
          <t>Alta</t>
        </is>
      </c>
      <c r="T1204" s="18" t="inlineStr">
        <is>
          <t>nombre + tipo + columnas vecinas; el comentario de código requerimiento-oc.entity.ts:79 no define el dato</t>
        </is>
      </c>
      <c r="U1204" s="18" t="inlineStr"/>
      <c r="V1204" s="19" t="inlineStr">
        <is>
          <t>Aprobada</t>
        </is>
      </c>
      <c r="W1204" s="19" t="inlineStr"/>
      <c r="X1204" s="19" t="inlineStr">
        <is>
          <t>Aldair González (aprobación en bloque)</t>
        </is>
      </c>
      <c r="Y1204" s="20" t="n">
        <v>46321</v>
      </c>
      <c r="Z1204" s="19" t="inlineStr">
        <is>
          <t>Nivel 1: propuesta del comentario del desarrollador o de confianza alta, o regla de fecha/responsable/motivo.</t>
        </is>
      </c>
      <c r="AA1204" s="18">
        <f>IF(OR(V1204="Aprobada"),R1204,IF(AND(OR(V1204="Aprobada con ajuste",V1204="Rechazada"),W1204&lt;&gt;""),W1204,""))</f>
        <v/>
      </c>
    </row>
    <row r="1205">
      <c r="A1205" s="18" t="inlineStr">
        <is>
          <t>C1204</t>
        </is>
      </c>
      <c r="B1205" s="18" t="inlineStr">
        <is>
          <t>Gestión jurídica</t>
        </is>
      </c>
      <c r="C1205" s="18" t="inlineStr">
        <is>
          <t>legal_management</t>
        </is>
      </c>
      <c r="D1205" s="18" t="inlineStr">
        <is>
          <t>requerimientos_oc</t>
        </is>
      </c>
      <c r="E1205" s="18" t="n">
        <v>14</v>
      </c>
      <c r="F1205" s="18" t="inlineStr">
        <is>
          <t>fecha_archivo</t>
        </is>
      </c>
      <c r="G1205" s="18" t="inlineStr">
        <is>
          <t>timestamp without time zone</t>
        </is>
      </c>
      <c r="H1205" s="18" t="inlineStr">
        <is>
          <t>Sí</t>
        </is>
      </c>
      <c r="I1205" s="18" t="inlineStr"/>
      <c r="J1205" s="18" t="inlineStr"/>
      <c r="K1205" s="18" t="inlineStr"/>
      <c r="L1205" s="18" t="inlineStr">
        <is>
          <t>No</t>
        </is>
      </c>
      <c r="M1205" s="18" t="inlineStr">
        <is>
          <t>No</t>
        </is>
      </c>
      <c r="N1205" s="18" t="inlineStr"/>
      <c r="O1205" s="18" t="inlineStr"/>
      <c r="P1205" s="18" t="inlineStr">
        <is>
          <t>legal-management-service/src/entities/requerimiento-oc.entity.ts:98: Relación eliminada para permitir IDs de organismos locales (UUIDs string) que no existen en la tabla cat_organismos_control (Integer ID). El frontend resolverá el nombre basándose en el organismoId almacenado. @ManyToOne(() =&gt; OrganismoControlOC, (org: OrganismoControlOC) =&gt; org.requerimientos, { ea</t>
        </is>
      </c>
      <c r="Q1205" s="18" t="inlineStr">
        <is>
          <t>Código fuente</t>
        </is>
      </c>
      <c r="R1205" s="18" t="inlineStr">
        <is>
          <t>Fecha y hora en que se archivó el requerimiento.</t>
        </is>
      </c>
      <c r="S1205" s="18" t="inlineStr">
        <is>
          <t>Alta</t>
        </is>
      </c>
      <c r="T1205" s="18" t="inlineStr">
        <is>
          <t>nombre + tipo + columnas vecinas; el comentario de código requerimiento-oc.entity.ts:98 no define el dato</t>
        </is>
      </c>
      <c r="U1205" s="18" t="inlineStr"/>
      <c r="V1205" s="19" t="inlineStr">
        <is>
          <t>Aprobada</t>
        </is>
      </c>
      <c r="W1205" s="19" t="inlineStr"/>
      <c r="X1205" s="19" t="inlineStr">
        <is>
          <t>Aldair González (aprobación en bloque)</t>
        </is>
      </c>
      <c r="Y1205" s="20" t="n">
        <v>46321</v>
      </c>
      <c r="Z1205" s="19" t="inlineStr">
        <is>
          <t>Nivel 1: propuesta del comentario del desarrollador o de confianza alta, o regla de fecha/responsable/motivo.</t>
        </is>
      </c>
      <c r="AA1205" s="18">
        <f>IF(OR(V1205="Aprobada"),R1205,IF(AND(OR(V1205="Aprobada con ajuste",V1205="Rechazada"),W1205&lt;&gt;""),W1205,""))</f>
        <v/>
      </c>
    </row>
    <row r="1206">
      <c r="A1206" s="18" t="inlineStr">
        <is>
          <t>C1205</t>
        </is>
      </c>
      <c r="B1206" s="18" t="inlineStr">
        <is>
          <t>Gestión jurídica</t>
        </is>
      </c>
      <c r="C1206" s="18" t="inlineStr">
        <is>
          <t>legal_management</t>
        </is>
      </c>
      <c r="D1206" s="18" t="inlineStr">
        <is>
          <t>requerimientos_oc</t>
        </is>
      </c>
      <c r="E1206" s="18" t="n">
        <v>14</v>
      </c>
      <c r="F1206" s="18" t="inlineStr">
        <is>
          <t>usuario_archivo</t>
        </is>
      </c>
      <c r="G1206" s="18" t="inlineStr">
        <is>
          <t>character varying</t>
        </is>
      </c>
      <c r="H1206" s="18" t="inlineStr">
        <is>
          <t>Sí</t>
        </is>
      </c>
      <c r="I1206" s="18" t="inlineStr"/>
      <c r="J1206" s="18" t="inlineStr"/>
      <c r="K1206" s="18" t="inlineStr"/>
      <c r="L1206" s="18" t="inlineStr">
        <is>
          <t>No</t>
        </is>
      </c>
      <c r="M1206" s="18" t="inlineStr">
        <is>
          <t>No</t>
        </is>
      </c>
      <c r="N1206" s="18" t="inlineStr"/>
      <c r="O1206" s="18" t="inlineStr"/>
      <c r="P1206" s="18" t="inlineStr">
        <is>
          <t>legal-management-service/src/entities/requerimiento-oc.entity.ts:101: Relación eliminada para permitir IDs de organismos locales (UUIDs string) que no existen en la tabla cat_organismos_control (Integer ID). El frontend resolverá el nombre basándose en el organismoId almacenado. @ManyToOne(() =&gt; OrganismoControlOC, (org: OrganismoControlOC) =&gt; org.requerimientos, { ea</t>
        </is>
      </c>
      <c r="Q1206" s="18" t="inlineStr">
        <is>
          <t>Código fuente (verificado)</t>
        </is>
      </c>
      <c r="R1206" s="18" t="inlineStr">
        <is>
          <t>Usuario que archivó o eliminó el requerimiento.</t>
        </is>
      </c>
      <c r="S1206" s="18" t="inlineStr">
        <is>
          <t>Media</t>
        </is>
      </c>
      <c r="T1206" s="18" t="inlineStr">
        <is>
          <t>backend/legal-management-service/src/services/requerimientos-oc.service.ts:490 y :536 usuarioArchivo = usuario recibido | backend/legal-management-service/src/controllers/requerimientos-oc.controller.ts:182 toma body.usuario sin validar formato</t>
        </is>
      </c>
      <c r="U1206" s="18" t="inlineStr">
        <is>
          <t>¿Qué envía el frontend en usuario: nombre o identificador?</t>
        </is>
      </c>
      <c r="V1206" s="19" t="inlineStr">
        <is>
          <t>Aprobada</t>
        </is>
      </c>
      <c r="W1206" s="19" t="inlineStr"/>
      <c r="X1206" s="19" t="inlineStr">
        <is>
          <t>Aldair González (validación del responsable de BD)</t>
        </is>
      </c>
      <c r="Y1206" s="20" t="n">
        <v>46321</v>
      </c>
      <c r="Z1206" s="19" t="inlineStr">
        <is>
          <t>Nivel 3: validada por decisión del responsable de la base de datos. Pregunta registrada para desarrollo: ¿Qué envía el frontend en usuario: nombre o identificador?</t>
        </is>
      </c>
      <c r="AA1206" s="18">
        <f>IF(OR(V1206="Aprobada"),R1206,IF(AND(OR(V1206="Aprobada con ajuste",V1206="Rechazada"),W1206&lt;&gt;""),W1206,""))</f>
        <v/>
      </c>
    </row>
    <row r="1207">
      <c r="A1207" s="18" t="inlineStr">
        <is>
          <t>C1206</t>
        </is>
      </c>
      <c r="B1207" s="18" t="inlineStr">
        <is>
          <t>Gestión jurídica</t>
        </is>
      </c>
      <c r="C1207" s="18" t="inlineStr">
        <is>
          <t>legal_management</t>
        </is>
      </c>
      <c r="D1207" s="18" t="inlineStr">
        <is>
          <t>requerimientos_oc</t>
        </is>
      </c>
      <c r="E1207" s="18" t="n">
        <v>14</v>
      </c>
      <c r="F1207" s="18" t="inlineStr">
        <is>
          <t>motivo_archivo</t>
        </is>
      </c>
      <c r="G1207" s="18" t="inlineStr">
        <is>
          <t>text</t>
        </is>
      </c>
      <c r="H1207" s="18" t="inlineStr">
        <is>
          <t>Sí</t>
        </is>
      </c>
      <c r="I1207" s="18" t="inlineStr"/>
      <c r="J1207" s="18" t="inlineStr"/>
      <c r="K1207" s="18" t="inlineStr"/>
      <c r="L1207" s="18" t="inlineStr">
        <is>
          <t>No</t>
        </is>
      </c>
      <c r="M1207" s="18" t="inlineStr">
        <is>
          <t>No</t>
        </is>
      </c>
      <c r="N1207" s="18" t="inlineStr"/>
      <c r="O1207" s="18" t="inlineStr"/>
      <c r="P1207" s="18" t="inlineStr">
        <is>
          <t>legal-management-service/src/entities/requerimiento-oc.entity.ts:104: Relación eliminada para permitir IDs de organismos locales (UUIDs string) que no existen en la tabla cat_organismos_control (Integer ID). El frontend resolverá el nombre basándose en el organismoId almacenado. @ManyToOne(() =&gt; OrganismoControlOC, (org: OrganismoControlOC) =&gt; org.requerimientos, { ea</t>
        </is>
      </c>
      <c r="Q1207" s="18" t="inlineStr">
        <is>
          <t>Código fuente</t>
        </is>
      </c>
      <c r="R1207" s="18" t="inlineStr">
        <is>
          <t>Motivo por el que se archivó el requerimiento.</t>
        </is>
      </c>
      <c r="S1207" s="18" t="inlineStr">
        <is>
          <t>Alta</t>
        </is>
      </c>
      <c r="T1207" s="18" t="inlineStr">
        <is>
          <t>nombre + tipo + columnas vecinas; el comentario de código requerimiento-oc.entity.ts:104 no define el dato</t>
        </is>
      </c>
      <c r="U1207" s="18" t="inlineStr"/>
      <c r="V1207" s="19" t="inlineStr">
        <is>
          <t>Aprobada</t>
        </is>
      </c>
      <c r="W1207" s="19" t="inlineStr"/>
      <c r="X1207" s="19" t="inlineStr">
        <is>
          <t>Aldair González (aprobación en bloque)</t>
        </is>
      </c>
      <c r="Y1207" s="20" t="n">
        <v>46321</v>
      </c>
      <c r="Z1207" s="19" t="inlineStr">
        <is>
          <t>Nivel 1: propuesta del comentario del desarrollador o de confianza alta, o regla de fecha/responsable/motivo.</t>
        </is>
      </c>
      <c r="AA1207" s="18">
        <f>IF(OR(V1207="Aprobada"),R1207,IF(AND(OR(V1207="Aprobada con ajuste",V1207="Rechazada"),W1207&lt;&gt;""),W1207,""))</f>
        <v/>
      </c>
    </row>
    <row r="1208">
      <c r="A1208" s="18" t="inlineStr">
        <is>
          <t>C1207</t>
        </is>
      </c>
      <c r="B1208" s="18" t="inlineStr">
        <is>
          <t>Gestión jurídica</t>
        </is>
      </c>
      <c r="C1208" s="18" t="inlineStr">
        <is>
          <t>legal_management</t>
        </is>
      </c>
      <c r="D1208" s="18" t="inlineStr">
        <is>
          <t>respuesta_borrador_oc</t>
        </is>
      </c>
      <c r="E1208" s="18" t="n">
        <v>2</v>
      </c>
      <c r="F1208" s="18" t="inlineStr">
        <is>
          <t>destinatario_nombre</t>
        </is>
      </c>
      <c r="G1208" s="18" t="inlineStr">
        <is>
          <t>character varying(200)</t>
        </is>
      </c>
      <c r="H1208" s="18" t="inlineStr">
        <is>
          <t>Sí</t>
        </is>
      </c>
      <c r="I1208" s="18" t="inlineStr"/>
      <c r="J1208" s="18" t="inlineStr"/>
      <c r="K1208" s="18" t="inlineStr"/>
      <c r="L1208" s="18" t="inlineStr">
        <is>
          <t>No</t>
        </is>
      </c>
      <c r="M1208" s="18" t="inlineStr">
        <is>
          <t>No</t>
        </is>
      </c>
      <c r="N1208" s="18" t="inlineStr"/>
      <c r="O1208" s="18" t="inlineStr"/>
      <c r="P1208" s="18" t="inlineStr">
        <is>
          <t>Mapeada en legal-management-service/src/entities/respuesta-borrador-oc.entity.ts:16 (RespuestaBorradorOC.destinatarioNombre)</t>
        </is>
      </c>
      <c r="Q1208" s="18" t="inlineStr">
        <is>
          <t>Propuesta semántica</t>
        </is>
      </c>
      <c r="R1208" s="18" t="inlineStr">
        <is>
          <t>Nombre del destinatario de la respuesta.</t>
        </is>
      </c>
      <c r="S1208" s="18" t="inlineStr">
        <is>
          <t>Alta</t>
        </is>
      </c>
      <c r="T1208" s="18" t="inlineStr">
        <is>
          <t>nombre + tipo</t>
        </is>
      </c>
      <c r="U1208" s="18" t="inlineStr"/>
      <c r="V1208" s="19" t="inlineStr">
        <is>
          <t>Aprobada</t>
        </is>
      </c>
      <c r="W1208" s="19" t="inlineStr"/>
      <c r="X1208" s="19" t="inlineStr">
        <is>
          <t>Aldair González (aprobación en bloque)</t>
        </is>
      </c>
      <c r="Y1208" s="20" t="n">
        <v>46321</v>
      </c>
      <c r="Z1208" s="19" t="inlineStr">
        <is>
          <t>Nivel 1: propuesta del comentario del desarrollador o de confianza alta, o regla de fecha/responsable/motivo.</t>
        </is>
      </c>
      <c r="AA1208" s="18">
        <f>IF(OR(V1208="Aprobada"),R1208,IF(AND(OR(V1208="Aprobada con ajuste",V1208="Rechazada"),W1208&lt;&gt;""),W1208,""))</f>
        <v/>
      </c>
    </row>
    <row r="1209">
      <c r="A1209" s="18" t="inlineStr">
        <is>
          <t>C1208</t>
        </is>
      </c>
      <c r="B1209" s="18" t="inlineStr">
        <is>
          <t>Gestión jurídica</t>
        </is>
      </c>
      <c r="C1209" s="18" t="inlineStr">
        <is>
          <t>legal_management</t>
        </is>
      </c>
      <c r="D1209" s="18" t="inlineStr">
        <is>
          <t>respuesta_borrador_oc</t>
        </is>
      </c>
      <c r="E1209" s="18" t="n">
        <v>2</v>
      </c>
      <c r="F1209" s="18" t="inlineStr">
        <is>
          <t>destinatario_email</t>
        </is>
      </c>
      <c r="G1209" s="18" t="inlineStr">
        <is>
          <t>character varying(200)</t>
        </is>
      </c>
      <c r="H1209" s="18" t="inlineStr">
        <is>
          <t>Sí</t>
        </is>
      </c>
      <c r="I1209" s="18" t="inlineStr"/>
      <c r="J1209" s="18" t="inlineStr"/>
      <c r="K1209" s="18" t="inlineStr"/>
      <c r="L1209" s="18" t="inlineStr">
        <is>
          <t>No</t>
        </is>
      </c>
      <c r="M1209" s="18" t="inlineStr">
        <is>
          <t>No</t>
        </is>
      </c>
      <c r="N1209" s="18" t="inlineStr"/>
      <c r="O1209" s="18" t="inlineStr"/>
      <c r="P1209" s="18" t="inlineStr">
        <is>
          <t>Mapeada en legal-management-service/src/entities/respuesta-borrador-oc.entity.ts:19 (RespuestaBorradorOC.destinatarioEmail)</t>
        </is>
      </c>
      <c r="Q1209" s="18" t="inlineStr">
        <is>
          <t>Propuesta semántica</t>
        </is>
      </c>
      <c r="R1209" s="18" t="inlineStr">
        <is>
          <t>Correo electrónico del destinatario de la respuesta.</t>
        </is>
      </c>
      <c r="S1209" s="18" t="inlineStr">
        <is>
          <t>Alta</t>
        </is>
      </c>
      <c r="T1209" s="18" t="inlineStr">
        <is>
          <t>nombre + tipo</t>
        </is>
      </c>
      <c r="U1209" s="18" t="inlineStr"/>
      <c r="V1209" s="19" t="inlineStr">
        <is>
          <t>Aprobada</t>
        </is>
      </c>
      <c r="W1209" s="19" t="inlineStr"/>
      <c r="X1209" s="19" t="inlineStr">
        <is>
          <t>Aldair González (aprobación en bloque)</t>
        </is>
      </c>
      <c r="Y1209" s="20" t="n">
        <v>46321</v>
      </c>
      <c r="Z1209" s="19" t="inlineStr">
        <is>
          <t>Nivel 1: propuesta del comentario del desarrollador o de confianza alta, o regla de fecha/responsable/motivo.</t>
        </is>
      </c>
      <c r="AA1209" s="18">
        <f>IF(OR(V1209="Aprobada"),R1209,IF(AND(OR(V1209="Aprobada con ajuste",V1209="Rechazada"),W1209&lt;&gt;""),W1209,""))</f>
        <v/>
      </c>
    </row>
    <row r="1210">
      <c r="A1210" s="18" t="inlineStr">
        <is>
          <t>C1209</t>
        </is>
      </c>
      <c r="B1210" s="18" t="inlineStr">
        <is>
          <t>Gestión jurídica</t>
        </is>
      </c>
      <c r="C1210" s="18" t="inlineStr">
        <is>
          <t>legal_management</t>
        </is>
      </c>
      <c r="D1210" s="18" t="inlineStr">
        <is>
          <t>respuesta_borrador_oc</t>
        </is>
      </c>
      <c r="E1210" s="18" t="n">
        <v>2</v>
      </c>
      <c r="F1210" s="18" t="inlineStr">
        <is>
          <t>destinatario_cargo</t>
        </is>
      </c>
      <c r="G1210" s="18" t="inlineStr">
        <is>
          <t>character varying(150)</t>
        </is>
      </c>
      <c r="H1210" s="18" t="inlineStr">
        <is>
          <t>Sí</t>
        </is>
      </c>
      <c r="I1210" s="18" t="inlineStr"/>
      <c r="J1210" s="18" t="inlineStr"/>
      <c r="K1210" s="18" t="inlineStr"/>
      <c r="L1210" s="18" t="inlineStr">
        <is>
          <t>No</t>
        </is>
      </c>
      <c r="M1210" s="18" t="inlineStr">
        <is>
          <t>No</t>
        </is>
      </c>
      <c r="N1210" s="18" t="inlineStr"/>
      <c r="O1210" s="18" t="inlineStr"/>
      <c r="P1210" s="18" t="inlineStr">
        <is>
          <t>Mapeada en legal-management-service/src/entities/respuesta-borrador-oc.entity.ts:22 (RespuestaBorradorOC.destinatarioCargo)</t>
        </is>
      </c>
      <c r="Q1210" s="18" t="inlineStr">
        <is>
          <t>Propuesta semántica</t>
        </is>
      </c>
      <c r="R1210" s="18" t="inlineStr">
        <is>
          <t>Cargo del destinatario de la respuesta.</t>
        </is>
      </c>
      <c r="S1210" s="18" t="inlineStr">
        <is>
          <t>Alta</t>
        </is>
      </c>
      <c r="T1210" s="18" t="inlineStr">
        <is>
          <t>nombre + tipo</t>
        </is>
      </c>
      <c r="U1210" s="18" t="inlineStr"/>
      <c r="V1210" s="19" t="inlineStr">
        <is>
          <t>Aprobada</t>
        </is>
      </c>
      <c r="W1210" s="19" t="inlineStr"/>
      <c r="X1210" s="19" t="inlineStr">
        <is>
          <t>Aldair González (aprobación en bloque)</t>
        </is>
      </c>
      <c r="Y1210" s="20" t="n">
        <v>46321</v>
      </c>
      <c r="Z1210" s="19" t="inlineStr">
        <is>
          <t>Nivel 1: propuesta del comentario del desarrollador o de confianza alta, o regla de fecha/responsable/motivo.</t>
        </is>
      </c>
      <c r="AA1210" s="18">
        <f>IF(OR(V1210="Aprobada"),R1210,IF(AND(OR(V1210="Aprobada con ajuste",V1210="Rechazada"),W1210&lt;&gt;""),W1210,""))</f>
        <v/>
      </c>
    </row>
    <row r="1211">
      <c r="A1211" s="18" t="inlineStr">
        <is>
          <t>C1210</t>
        </is>
      </c>
      <c r="B1211" s="18" t="inlineStr">
        <is>
          <t>Gestión jurídica</t>
        </is>
      </c>
      <c r="C1211" s="18" t="inlineStr">
        <is>
          <t>legal_management</t>
        </is>
      </c>
      <c r="D1211" s="18" t="inlineStr">
        <is>
          <t>respuesta_borrador_oc</t>
        </is>
      </c>
      <c r="E1211" s="18" t="n">
        <v>2</v>
      </c>
      <c r="F1211" s="18" t="inlineStr">
        <is>
          <t>tipo_respuesta</t>
        </is>
      </c>
      <c r="G1211" s="18" t="inlineStr">
        <is>
          <t>character varying(50)</t>
        </is>
      </c>
      <c r="H1211" s="18" t="inlineStr">
        <is>
          <t>Sí</t>
        </is>
      </c>
      <c r="I1211" s="18" t="inlineStr"/>
      <c r="J1211" s="18" t="inlineStr"/>
      <c r="K1211" s="18" t="inlineStr"/>
      <c r="L1211" s="18" t="inlineStr">
        <is>
          <t>No</t>
        </is>
      </c>
      <c r="M1211" s="18" t="inlineStr">
        <is>
          <t>No</t>
        </is>
      </c>
      <c r="N1211" s="18" t="inlineStr"/>
      <c r="O1211" s="18" t="inlineStr"/>
      <c r="P1211" s="18" t="inlineStr">
        <is>
          <t>Mapeada en legal-management-service/src/entities/respuesta-borrador-oc.entity.ts:25 (RespuestaBorradorOC.tipoRespuesta)</t>
        </is>
      </c>
      <c r="Q1211" s="18" t="inlineStr">
        <is>
          <t>Código fuente (verificado)</t>
        </is>
      </c>
      <c r="R1211" s="18" t="inlineStr">
        <is>
          <t>Tipo de respuesta al requerimiento.</t>
        </is>
      </c>
      <c r="S1211" s="18" t="inlineStr">
        <is>
          <t>Media</t>
        </is>
      </c>
      <c r="T1211" s="18" t="inlineStr">
        <is>
          <t>backend/legal-management-service/src/entities/respuesta-borrador-oc.entity.ts:25 varchar(50) sin dominio | backend/legal-management-service/src/controllers/requerimientos-oc.controller.ts:144 texto libre del cliente</t>
        </is>
      </c>
      <c r="U1211" s="18" t="inlineStr">
        <is>
          <t>¿Qué valores toma tipo_respuesta?</t>
        </is>
      </c>
      <c r="V1211" s="19" t="inlineStr">
        <is>
          <t>Aprobada</t>
        </is>
      </c>
      <c r="W1211" s="19" t="inlineStr"/>
      <c r="X1211" s="19" t="inlineStr">
        <is>
          <t>Aldair González (validación del responsable de BD)</t>
        </is>
      </c>
      <c r="Y1211" s="20" t="n">
        <v>46321</v>
      </c>
      <c r="Z1211" s="19" t="inlineStr">
        <is>
          <t>Nivel 3: validada por decisión del responsable de la base de datos. Pregunta registrada para desarrollo: ¿Qué valores toma tipo_respuesta?</t>
        </is>
      </c>
      <c r="AA1211" s="18">
        <f>IF(OR(V1211="Aprobada"),R1211,IF(AND(OR(V1211="Aprobada con ajuste",V1211="Rechazada"),W1211&lt;&gt;""),W1211,""))</f>
        <v/>
      </c>
    </row>
    <row r="1212">
      <c r="A1212" s="18" t="inlineStr">
        <is>
          <t>C1211</t>
        </is>
      </c>
      <c r="B1212" s="18" t="inlineStr">
        <is>
          <t>Gestión jurídica</t>
        </is>
      </c>
      <c r="C1212" s="18" t="inlineStr">
        <is>
          <t>legal_management</t>
        </is>
      </c>
      <c r="D1212" s="18" t="inlineStr">
        <is>
          <t>respuesta_borrador_oc</t>
        </is>
      </c>
      <c r="E1212" s="18" t="n">
        <v>2</v>
      </c>
      <c r="F1212" s="18" t="inlineStr">
        <is>
          <t>contenido</t>
        </is>
      </c>
      <c r="G1212" s="18" t="inlineStr">
        <is>
          <t>text</t>
        </is>
      </c>
      <c r="H1212" s="18" t="inlineStr">
        <is>
          <t>Sí</t>
        </is>
      </c>
      <c r="I1212" s="18" t="inlineStr"/>
      <c r="J1212" s="18" t="inlineStr"/>
      <c r="K1212" s="18" t="inlineStr"/>
      <c r="L1212" s="18" t="inlineStr">
        <is>
          <t>No</t>
        </is>
      </c>
      <c r="M1212" s="18" t="inlineStr">
        <is>
          <t>No</t>
        </is>
      </c>
      <c r="N1212" s="18" t="inlineStr"/>
      <c r="O1212" s="18" t="inlineStr"/>
      <c r="P1212" s="18" t="inlineStr">
        <is>
          <t>Mapeada en legal-management-service/src/entities/respuesta-borrador-oc.entity.ts:28 (RespuestaBorradorOC.contenido) | Validación: IsNotEmpty, IsString</t>
        </is>
      </c>
      <c r="Q1212" s="18" t="inlineStr">
        <is>
          <t>Propuesta semántica</t>
        </is>
      </c>
      <c r="R1212" s="18" t="inlineStr">
        <is>
          <t>Contenido del borrador de respuesta.</t>
        </is>
      </c>
      <c r="S1212" s="18" t="inlineStr">
        <is>
          <t>Alta</t>
        </is>
      </c>
      <c r="T1212" s="18" t="inlineStr">
        <is>
          <t>nombre + tipo + validaciones IsNotEmpty, IsString</t>
        </is>
      </c>
      <c r="U1212" s="18" t="inlineStr"/>
      <c r="V1212" s="19" t="inlineStr">
        <is>
          <t>Aprobada</t>
        </is>
      </c>
      <c r="W1212" s="19" t="inlineStr"/>
      <c r="X1212" s="19" t="inlineStr">
        <is>
          <t>Aldair González (aprobación en bloque)</t>
        </is>
      </c>
      <c r="Y1212" s="20" t="n">
        <v>46321</v>
      </c>
      <c r="Z1212" s="19" t="inlineStr">
        <is>
          <t>Nivel 1: propuesta del comentario del desarrollador o de confianza alta, o regla de fecha/responsable/motivo.</t>
        </is>
      </c>
      <c r="AA1212" s="18">
        <f>IF(OR(V1212="Aprobada"),R1212,IF(AND(OR(V1212="Aprobada con ajuste",V1212="Rechazada"),W1212&lt;&gt;""),W1212,""))</f>
        <v/>
      </c>
    </row>
    <row r="1213">
      <c r="A1213" s="18" t="inlineStr">
        <is>
          <t>C1212</t>
        </is>
      </c>
      <c r="B1213" s="18" t="inlineStr">
        <is>
          <t>Gestión jurídica</t>
        </is>
      </c>
      <c r="C1213" s="18" t="inlineStr">
        <is>
          <t>legal_management</t>
        </is>
      </c>
      <c r="D1213" s="18" t="inlineStr">
        <is>
          <t>respuesta_borrador_oc</t>
        </is>
      </c>
      <c r="E1213" s="18" t="n">
        <v>2</v>
      </c>
      <c r="F1213" s="18" t="inlineStr">
        <is>
          <t>documentos_adjuntos</t>
        </is>
      </c>
      <c r="G1213" s="18" t="inlineStr">
        <is>
          <t>jsonb</t>
        </is>
      </c>
      <c r="H1213" s="18" t="inlineStr">
        <is>
          <t>Sí</t>
        </is>
      </c>
      <c r="I1213" s="18" t="inlineStr"/>
      <c r="J1213" s="18" t="inlineStr"/>
      <c r="K1213" s="18" t="inlineStr"/>
      <c r="L1213" s="18" t="inlineStr">
        <is>
          <t>No</t>
        </is>
      </c>
      <c r="M1213" s="18" t="inlineStr">
        <is>
          <t>No</t>
        </is>
      </c>
      <c r="N1213" s="18" t="inlineStr"/>
      <c r="O1213" s="18" t="inlineStr"/>
      <c r="P1213" s="18" t="inlineStr">
        <is>
          <t>Mapeada en legal-management-service/src/entities/respuesta-borrador-oc.entity.ts:31 (RespuestaBorradorOC.documentosAdjuntos)</t>
        </is>
      </c>
      <c r="Q1213" s="18" t="inlineStr">
        <is>
          <t>Código fuente (verificado)</t>
        </is>
      </c>
      <c r="R1213" s="18" t="inlineStr">
        <is>
          <t>Lista de documentos adjuntos a la respuesta, en formato JSON (lista de textos). Por defecto, lista vacía.</t>
        </is>
      </c>
      <c r="S1213" s="18" t="inlineStr">
        <is>
          <t>Media</t>
        </is>
      </c>
      <c r="T1213" s="18" t="inlineStr">
        <is>
          <t>backend/legal-management-service/src/entities/respuesta-borrador-oc.entity.ts:31 jsonb tipado como string[] default []</t>
        </is>
      </c>
      <c r="U1213" s="18" t="inlineStr">
        <is>
          <t>¿Cada texto de la lista es la URL, el nombre o el identificador del documento?</t>
        </is>
      </c>
      <c r="V1213" s="19" t="inlineStr">
        <is>
          <t>Aprobada</t>
        </is>
      </c>
      <c r="W1213" s="19" t="inlineStr"/>
      <c r="X1213" s="19" t="inlineStr">
        <is>
          <t>Aldair González (validación del responsable de BD)</t>
        </is>
      </c>
      <c r="Y1213" s="20" t="n">
        <v>46321</v>
      </c>
      <c r="Z1213" s="19" t="inlineStr">
        <is>
          <t>Nivel 3: validada por decisión del responsable de la base de datos. Pregunta registrada para desarrollo: ¿Cada texto de la lista es la URL, el nombre o el identificador del documento?</t>
        </is>
      </c>
      <c r="AA1213" s="18">
        <f>IF(OR(V1213="Aprobada"),R1213,IF(AND(OR(V1213="Aprobada con ajuste",V1213="Rechazada"),W1213&lt;&gt;""),W1213,""))</f>
        <v/>
      </c>
    </row>
    <row r="1214">
      <c r="A1214" s="18" t="inlineStr">
        <is>
          <t>C1213</t>
        </is>
      </c>
      <c r="B1214" s="18" t="inlineStr">
        <is>
          <t>Gestión jurídica</t>
        </is>
      </c>
      <c r="C1214" s="18" t="inlineStr">
        <is>
          <t>legal_management</t>
        </is>
      </c>
      <c r="D1214" s="18" t="inlineStr">
        <is>
          <t>riesgo_historial</t>
        </is>
      </c>
      <c r="E1214" s="18" t="n">
        <v>8</v>
      </c>
      <c r="F1214" s="18" t="inlineStr">
        <is>
          <t>descripcion</t>
        </is>
      </c>
      <c r="G1214" s="18" t="inlineStr">
        <is>
          <t>text</t>
        </is>
      </c>
      <c r="H1214" s="18" t="inlineStr">
        <is>
          <t>No</t>
        </is>
      </c>
      <c r="I1214" s="18" t="inlineStr"/>
      <c r="J1214" s="18" t="inlineStr"/>
      <c r="K1214" s="18" t="inlineStr"/>
      <c r="L1214" s="18" t="inlineStr">
        <is>
          <t>No</t>
        </is>
      </c>
      <c r="M1214" s="18" t="inlineStr">
        <is>
          <t>No</t>
        </is>
      </c>
      <c r="N1214" s="18" t="inlineStr"/>
      <c r="O1214" s="18" t="inlineStr"/>
      <c r="P1214" s="18" t="inlineStr">
        <is>
          <t>Mapeada en legal-management-service/src/entities/riesgo-historial.entity.ts:40 (RiesgoHistorial.descripcion)</t>
        </is>
      </c>
      <c r="Q1214" s="18" t="inlineStr">
        <is>
          <t>Regla estructural (redacción revisada)</t>
        </is>
      </c>
      <c r="R1214" s="18" t="inlineStr">
        <is>
          <t>Descripción del evento o cambio en el historial del riesgo.</t>
        </is>
      </c>
      <c r="S1214" s="18" t="inlineStr">
        <is>
          <t>Alta</t>
        </is>
      </c>
      <c r="T1214" s="18" t="inlineStr">
        <is>
          <t>Convención de nombre, redactada con el contexto de la tabla y el código.</t>
        </is>
      </c>
      <c r="U1214" s="18" t="inlineStr"/>
      <c r="V1214" s="19" t="inlineStr">
        <is>
          <t>Aprobada</t>
        </is>
      </c>
      <c r="W1214" s="19" t="inlineStr"/>
      <c r="X1214" s="19" t="inlineStr">
        <is>
          <t>Aldair González (aprobación en bloque)</t>
        </is>
      </c>
      <c r="Y1214" s="20" t="n">
        <v>46321</v>
      </c>
      <c r="Z1214" s="19" t="inlineStr">
        <is>
          <t>Nivel 2: regla estructural con redacción revisada.</t>
        </is>
      </c>
      <c r="AA1214" s="18">
        <f>IF(OR(V1214="Aprobada"),R1214,IF(AND(OR(V1214="Aprobada con ajuste",V1214="Rechazada"),W1214&lt;&gt;""),W1214,""))</f>
        <v/>
      </c>
    </row>
    <row r="1215">
      <c r="A1215" s="18" t="inlineStr">
        <is>
          <t>C1214</t>
        </is>
      </c>
      <c r="B1215" s="18" t="inlineStr">
        <is>
          <t>Gestión jurídica</t>
        </is>
      </c>
      <c r="C1215" s="18" t="inlineStr">
        <is>
          <t>legal_management</t>
        </is>
      </c>
      <c r="D1215" s="18" t="inlineStr">
        <is>
          <t>riesgo_historial</t>
        </is>
      </c>
      <c r="E1215" s="18" t="n">
        <v>8</v>
      </c>
      <c r="F1215" s="18" t="inlineStr">
        <is>
          <t>usuario</t>
        </is>
      </c>
      <c r="G1215" s="18" t="inlineStr">
        <is>
          <t>character varying(200)</t>
        </is>
      </c>
      <c r="H1215" s="18" t="inlineStr">
        <is>
          <t>Sí</t>
        </is>
      </c>
      <c r="I1215" s="18" t="inlineStr"/>
      <c r="J1215" s="18" t="inlineStr"/>
      <c r="K1215" s="18" t="inlineStr"/>
      <c r="L1215" s="18" t="inlineStr">
        <is>
          <t>No</t>
        </is>
      </c>
      <c r="M1215" s="18" t="inlineStr">
        <is>
          <t>No</t>
        </is>
      </c>
      <c r="N1215" s="18" t="inlineStr"/>
      <c r="O1215" s="18" t="inlineStr"/>
      <c r="P1215" s="18" t="inlineStr">
        <is>
          <t>Mapeada en legal-management-service/src/entities/riesgo-historial.entity.ts:52 (RiesgoHistorial.usuario)</t>
        </is>
      </c>
      <c r="Q1215" s="18" t="inlineStr">
        <is>
          <t>Código fuente (verificado)</t>
        </is>
      </c>
      <c r="R1215" s="18" t="inlineStr">
        <is>
          <t>Usuario que generó el evento del riesgo. En la creación se toma el valor createdBy enviado por el cliente; los demás eventos se registran como «Sistema».</t>
        </is>
      </c>
      <c r="S1215" s="18" t="inlineStr">
        <is>
          <t>Media</t>
        </is>
      </c>
      <c r="T1215" s="18" t="inlineStr">
        <is>
          <t>backend/legal-management-service/src/entities/riesgo-historial.entity.ts:52 default Sistema | backend/legal-management-service/src/services/riesgos.service.ts:146 creación: createdBy o Sistema | backend/legal-management-service/src/services/riesgos.service.ts:234 y :240 actualización y cambio de zona: Sistema</t>
        </is>
      </c>
      <c r="U1215" s="18" t="inlineStr">
        <is>
          <t>¿createdBy guarda el nombre o el correo del usuario?</t>
        </is>
      </c>
      <c r="V1215" s="19" t="inlineStr">
        <is>
          <t>Aprobada</t>
        </is>
      </c>
      <c r="W1215" s="19" t="inlineStr"/>
      <c r="X1215" s="19" t="inlineStr">
        <is>
          <t>Aldair González (validación del responsable de BD)</t>
        </is>
      </c>
      <c r="Y1215" s="20" t="n">
        <v>46321</v>
      </c>
      <c r="Z1215" s="19" t="inlineStr">
        <is>
          <t>Nivel 3: validada por decisión del responsable de la base de datos. Pregunta registrada para desarrollo: ¿createdBy guarda el nombre o el correo del usuario?</t>
        </is>
      </c>
      <c r="AA1215" s="18">
        <f>IF(OR(V1215="Aprobada"),R1215,IF(AND(OR(V1215="Aprobada con ajuste",V1215="Rechazada"),W1215&lt;&gt;""),W1215,""))</f>
        <v/>
      </c>
    </row>
    <row r="1216">
      <c r="A1216" s="18" t="inlineStr">
        <is>
          <t>C1215</t>
        </is>
      </c>
      <c r="B1216" s="18" t="inlineStr">
        <is>
          <t>Gestión jurídica</t>
        </is>
      </c>
      <c r="C1216" s="18" t="inlineStr">
        <is>
          <t>legal_management</t>
        </is>
      </c>
      <c r="D1216" s="18" t="inlineStr">
        <is>
          <t>riesgos</t>
        </is>
      </c>
      <c r="E1216" s="18" t="n">
        <v>6</v>
      </c>
      <c r="F1216" s="18" t="inlineStr">
        <is>
          <t>codigo</t>
        </is>
      </c>
      <c r="G1216" s="18" t="inlineStr">
        <is>
          <t>character varying(30)</t>
        </is>
      </c>
      <c r="H1216" s="18" t="inlineStr">
        <is>
          <t>No</t>
        </is>
      </c>
      <c r="I1216" s="18" t="inlineStr">
        <is>
          <t>Única</t>
        </is>
      </c>
      <c r="J1216" s="18" t="inlineStr"/>
      <c r="K1216" s="18" t="inlineStr"/>
      <c r="L1216" s="18" t="inlineStr">
        <is>
          <t>No</t>
        </is>
      </c>
      <c r="M1216" s="18" t="inlineStr">
        <is>
          <t>No</t>
        </is>
      </c>
      <c r="N1216" s="18" t="inlineStr"/>
      <c r="O1216" s="18" t="inlineStr">
        <is>
          <t>idx_riesgos_codigo, riesgos_codigo_key</t>
        </is>
      </c>
      <c r="P1216" s="18" t="inlineStr">
        <is>
          <t>Mapeada en legal-management-service/src/entities/riesgo.entity.ts:13 (Riesgo.codigo)</t>
        </is>
      </c>
      <c r="Q1216" s="18" t="inlineStr">
        <is>
          <t>Regla estructural (redacción revisada)</t>
        </is>
      </c>
      <c r="R1216" s="18" t="inlineStr">
        <is>
          <t>Código del riesgo, único en la tabla.</t>
        </is>
      </c>
      <c r="S1216" s="18" t="inlineStr">
        <is>
          <t>Alta</t>
        </is>
      </c>
      <c r="T1216" s="18" t="inlineStr">
        <is>
          <t>Convención de nombre, redactada con el contexto de la tabla y el código.</t>
        </is>
      </c>
      <c r="U1216" s="18" t="inlineStr"/>
      <c r="V1216" s="19" t="inlineStr">
        <is>
          <t>Aprobada</t>
        </is>
      </c>
      <c r="W1216" s="19" t="inlineStr"/>
      <c r="X1216" s="19" t="inlineStr">
        <is>
          <t>Aldair González (aprobación en bloque)</t>
        </is>
      </c>
      <c r="Y1216" s="20" t="n">
        <v>46321</v>
      </c>
      <c r="Z1216" s="19" t="inlineStr">
        <is>
          <t>Nivel 2: regla estructural con redacción revisada.</t>
        </is>
      </c>
      <c r="AA1216" s="18">
        <f>IF(OR(V1216="Aprobada"),R1216,IF(AND(OR(V1216="Aprobada con ajuste",V1216="Rechazada"),W1216&lt;&gt;""),W1216,""))</f>
        <v/>
      </c>
    </row>
    <row r="1217">
      <c r="A1217" s="18" t="inlineStr">
        <is>
          <t>C1216</t>
        </is>
      </c>
      <c r="B1217" s="18" t="inlineStr">
        <is>
          <t>Gestión jurídica</t>
        </is>
      </c>
      <c r="C1217" s="18" t="inlineStr">
        <is>
          <t>legal_management</t>
        </is>
      </c>
      <c r="D1217" s="18" t="inlineStr">
        <is>
          <t>riesgos</t>
        </is>
      </c>
      <c r="E1217" s="18" t="n">
        <v>6</v>
      </c>
      <c r="F1217" s="18" t="inlineStr">
        <is>
          <t>nombre</t>
        </is>
      </c>
      <c r="G1217" s="18" t="inlineStr">
        <is>
          <t>character varying(255)</t>
        </is>
      </c>
      <c r="H1217" s="18" t="inlineStr">
        <is>
          <t>No</t>
        </is>
      </c>
      <c r="I1217" s="18" t="inlineStr"/>
      <c r="J1217" s="18" t="inlineStr"/>
      <c r="K1217" s="18" t="inlineStr"/>
      <c r="L1217" s="18" t="inlineStr">
        <is>
          <t>No</t>
        </is>
      </c>
      <c r="M1217" s="18" t="inlineStr">
        <is>
          <t>No</t>
        </is>
      </c>
      <c r="N1217" s="18" t="inlineStr"/>
      <c r="O1217" s="18" t="inlineStr"/>
      <c r="P1217" s="18" t="inlineStr">
        <is>
          <t>Mapeada en legal-management-service/src/entities/riesgo.entity.ts:16 (Riesgo.nombre)</t>
        </is>
      </c>
      <c r="Q1217" s="18" t="inlineStr">
        <is>
          <t>Regla estructural (redacción revisada)</t>
        </is>
      </c>
      <c r="R1217" s="18" t="inlineStr">
        <is>
          <t>Nombre del riesgo.</t>
        </is>
      </c>
      <c r="S1217" s="18" t="inlineStr">
        <is>
          <t>Alta</t>
        </is>
      </c>
      <c r="T1217" s="18" t="inlineStr">
        <is>
          <t>Convención de nombre, redactada con el contexto de la tabla y el código.</t>
        </is>
      </c>
      <c r="U1217" s="18" t="inlineStr"/>
      <c r="V1217" s="19" t="inlineStr">
        <is>
          <t>Aprobada</t>
        </is>
      </c>
      <c r="W1217" s="19" t="inlineStr"/>
      <c r="X1217" s="19" t="inlineStr">
        <is>
          <t>Aldair González (aprobación en bloque)</t>
        </is>
      </c>
      <c r="Y1217" s="20" t="n">
        <v>46321</v>
      </c>
      <c r="Z1217" s="19" t="inlineStr">
        <is>
          <t>Nivel 2: regla estructural con redacción revisada.</t>
        </is>
      </c>
      <c r="AA1217" s="18">
        <f>IF(OR(V1217="Aprobada"),R1217,IF(AND(OR(V1217="Aprobada con ajuste",V1217="Rechazada"),W1217&lt;&gt;""),W1217,""))</f>
        <v/>
      </c>
    </row>
    <row r="1218">
      <c r="A1218" s="18" t="inlineStr">
        <is>
          <t>C1217</t>
        </is>
      </c>
      <c r="B1218" s="18" t="inlineStr">
        <is>
          <t>Gestión jurídica</t>
        </is>
      </c>
      <c r="C1218" s="18" t="inlineStr">
        <is>
          <t>legal_management</t>
        </is>
      </c>
      <c r="D1218" s="18" t="inlineStr">
        <is>
          <t>riesgos</t>
        </is>
      </c>
      <c r="E1218" s="18" t="n">
        <v>6</v>
      </c>
      <c r="F1218" s="18" t="inlineStr">
        <is>
          <t>descripcion</t>
        </is>
      </c>
      <c r="G1218" s="18" t="inlineStr">
        <is>
          <t>text</t>
        </is>
      </c>
      <c r="H1218" s="18" t="inlineStr">
        <is>
          <t>No</t>
        </is>
      </c>
      <c r="I1218" s="18" t="inlineStr"/>
      <c r="J1218" s="18" t="inlineStr"/>
      <c r="K1218" s="18" t="inlineStr"/>
      <c r="L1218" s="18" t="inlineStr">
        <is>
          <t>No</t>
        </is>
      </c>
      <c r="M1218" s="18" t="inlineStr">
        <is>
          <t>No</t>
        </is>
      </c>
      <c r="N1218" s="18" t="inlineStr"/>
      <c r="O1218" s="18" t="inlineStr"/>
      <c r="P1218" s="18" t="inlineStr">
        <is>
          <t>Mapeada en legal-management-service/src/entities/riesgo.entity.ts:19 (Riesgo.descripcion)</t>
        </is>
      </c>
      <c r="Q1218" s="18" t="inlineStr">
        <is>
          <t>Regla estructural (redacción revisada)</t>
        </is>
      </c>
      <c r="R1218" s="18" t="inlineStr">
        <is>
          <t>Descripción del riesgo.</t>
        </is>
      </c>
      <c r="S1218" s="18" t="inlineStr">
        <is>
          <t>Alta</t>
        </is>
      </c>
      <c r="T1218" s="18" t="inlineStr">
        <is>
          <t>Convención de nombre, redactada con el contexto de la tabla y el código.</t>
        </is>
      </c>
      <c r="U1218" s="18" t="inlineStr"/>
      <c r="V1218" s="19" t="inlineStr">
        <is>
          <t>Aprobada</t>
        </is>
      </c>
      <c r="W1218" s="19" t="inlineStr"/>
      <c r="X1218" s="19" t="inlineStr">
        <is>
          <t>Aldair González (aprobación en bloque)</t>
        </is>
      </c>
      <c r="Y1218" s="20" t="n">
        <v>46321</v>
      </c>
      <c r="Z1218" s="19" t="inlineStr">
        <is>
          <t>Nivel 2: regla estructural con redacción revisada.</t>
        </is>
      </c>
      <c r="AA1218" s="18">
        <f>IF(OR(V1218="Aprobada"),R1218,IF(AND(OR(V1218="Aprobada con ajuste",V1218="Rechazada"),W1218&lt;&gt;""),W1218,""))</f>
        <v/>
      </c>
    </row>
    <row r="1219">
      <c r="A1219" s="18" t="inlineStr">
        <is>
          <t>C1218</t>
        </is>
      </c>
      <c r="B1219" s="18" t="inlineStr">
        <is>
          <t>Gestión jurídica</t>
        </is>
      </c>
      <c r="C1219" s="18" t="inlineStr">
        <is>
          <t>legal_management</t>
        </is>
      </c>
      <c r="D1219" s="18" t="inlineStr">
        <is>
          <t>riesgos</t>
        </is>
      </c>
      <c r="E1219" s="18" t="n">
        <v>6</v>
      </c>
      <c r="F1219" s="18" t="inlineStr">
        <is>
          <t>proceso</t>
        </is>
      </c>
      <c r="G1219" s="18" t="inlineStr">
        <is>
          <t>character varying(100)</t>
        </is>
      </c>
      <c r="H1219" s="18" t="inlineStr">
        <is>
          <t>No</t>
        </is>
      </c>
      <c r="I1219" s="18" t="inlineStr"/>
      <c r="J1219" s="18" t="inlineStr"/>
      <c r="K1219" s="18" t="inlineStr"/>
      <c r="L1219" s="18" t="inlineStr">
        <is>
          <t>No</t>
        </is>
      </c>
      <c r="M1219" s="18" t="inlineStr">
        <is>
          <t>No</t>
        </is>
      </c>
      <c r="N1219" s="18" t="inlineStr"/>
      <c r="O1219" s="18" t="inlineStr">
        <is>
          <t>idx_riesgos_proceso</t>
        </is>
      </c>
      <c r="P1219" s="18" t="inlineStr">
        <is>
          <t>Mapeada en legal-management-service/src/entities/riesgo.entity.ts:22 (Riesgo.proceso)</t>
        </is>
      </c>
      <c r="Q1219" s="18" t="inlineStr">
        <is>
          <t>Código fuente (verificado)</t>
        </is>
      </c>
      <c r="R1219" s="18" t="inlineStr">
        <is>
          <t>Proceso institucional al que pertenece el riesgo, registrado como texto. Es distinto de proceso_id, que identifica el proceso de un submódulo jurídico (modulo_origen y proceso_radicado).</t>
        </is>
      </c>
      <c r="S1219" s="18" t="inlineStr">
        <is>
          <t>Media</t>
        </is>
      </c>
      <c r="T1219" s="18" t="inlineStr">
        <is>
          <t>backend/legal-management-service/src/entities/riesgo.entity.ts:22 varchar(100) sin catálogo | backend/legal-management-service/src/entities/riesgo.entity.ts:96 proceso_id asociado a DEFENSA_JUDICIAL, JUZGAMIENTO, ASESORIA_JURIDICA, COACTIVOS u ORGANOS_CONTROL | backend/legal-management-service/src/services/riesgos.service.ts:531 reportes usan proceso_radicado y, si falta, proceso</t>
        </is>
      </c>
      <c r="U1219" s="18" t="inlineStr">
        <is>
          <t>¿El proceso institucional se elige de un catálogo de procesos en el frontend?</t>
        </is>
      </c>
      <c r="V1219" s="19" t="inlineStr">
        <is>
          <t>Aprobada</t>
        </is>
      </c>
      <c r="W1219" s="19" t="inlineStr"/>
      <c r="X1219" s="19" t="inlineStr">
        <is>
          <t>Aldair González (validación del responsable de BD)</t>
        </is>
      </c>
      <c r="Y1219" s="20" t="n">
        <v>46321</v>
      </c>
      <c r="Z1219" s="19" t="inlineStr">
        <is>
          <t>Nivel 3: validada por decisión del responsable de la base de datos. Pregunta registrada para desarrollo: ¿El proceso institucional se elige de un catálogo de procesos en el frontend?</t>
        </is>
      </c>
      <c r="AA1219" s="18">
        <f>IF(OR(V1219="Aprobada"),R1219,IF(AND(OR(V1219="Aprobada con ajuste",V1219="Rechazada"),W1219&lt;&gt;""),W1219,""))</f>
        <v/>
      </c>
    </row>
    <row r="1220">
      <c r="A1220" s="18" t="inlineStr">
        <is>
          <t>C1219</t>
        </is>
      </c>
      <c r="B1220" s="18" t="inlineStr">
        <is>
          <t>Gestión jurídica</t>
        </is>
      </c>
      <c r="C1220" s="18" t="inlineStr">
        <is>
          <t>legal_management</t>
        </is>
      </c>
      <c r="D1220" s="18" t="inlineStr">
        <is>
          <t>riesgos</t>
        </is>
      </c>
      <c r="E1220" s="18" t="n">
        <v>6</v>
      </c>
      <c r="F1220" s="18" t="inlineStr">
        <is>
          <t>tipo_riesgo</t>
        </is>
      </c>
      <c r="G1220" s="18" t="inlineStr">
        <is>
          <t>character varying(30)</t>
        </is>
      </c>
      <c r="H1220" s="18" t="inlineStr">
        <is>
          <t>No</t>
        </is>
      </c>
      <c r="I1220" s="18" t="inlineStr">
        <is>
          <t>CHECK</t>
        </is>
      </c>
      <c r="J1220" s="18" t="inlineStr">
        <is>
          <t>CORRUPCION, FISCAL, GESTION, SEGURIDAD_DIGITAL</t>
        </is>
      </c>
      <c r="K1220" s="18" t="inlineStr"/>
      <c r="L1220" s="18" t="inlineStr">
        <is>
          <t>Sí</t>
        </is>
      </c>
      <c r="M1220" s="18" t="inlineStr">
        <is>
          <t>No</t>
        </is>
      </c>
      <c r="N1220" s="18" t="inlineStr"/>
      <c r="O1220" s="18" t="inlineStr">
        <is>
          <t>idx_riesgos_tipo</t>
        </is>
      </c>
      <c r="P1220" s="18" t="inlineStr">
        <is>
          <t>Mapeada en legal-management-service/src/entities/riesgo.entity.ts:25 (Riesgo.tipoRiesgo)</t>
        </is>
      </c>
      <c r="Q1220" s="18" t="inlineStr">
        <is>
          <t>Propuesta semántica</t>
        </is>
      </c>
      <c r="R1220" s="18" t="inlineStr">
        <is>
          <t>Tipo de riesgo. Valores permitidos: CORRUPCION, FISCAL, GESTION, SEGURIDAD_DIGITAL.</t>
        </is>
      </c>
      <c r="S1220" s="18" t="inlineStr">
        <is>
          <t>Alta</t>
        </is>
      </c>
      <c r="T1220" s="18" t="inlineStr">
        <is>
          <t>valores permitidos del CHECK</t>
        </is>
      </c>
      <c r="U1220" s="18" t="inlineStr"/>
      <c r="V1220" s="19" t="inlineStr">
        <is>
          <t>Aprobada</t>
        </is>
      </c>
      <c r="W1220" s="19" t="inlineStr"/>
      <c r="X1220" s="19" t="inlineStr">
        <is>
          <t>Aldair González (aprobación en bloque)</t>
        </is>
      </c>
      <c r="Y1220" s="20" t="n">
        <v>46321</v>
      </c>
      <c r="Z1220" s="19" t="inlineStr">
        <is>
          <t>Nivel 1: propuesta del comentario del desarrollador o de confianza alta, o regla de fecha/responsable/motivo.</t>
        </is>
      </c>
      <c r="AA1220" s="18">
        <f>IF(OR(V1220="Aprobada"),R1220,IF(AND(OR(V1220="Aprobada con ajuste",V1220="Rechazada"),W1220&lt;&gt;""),W1220,""))</f>
        <v/>
      </c>
    </row>
    <row r="1221">
      <c r="A1221" s="18" t="inlineStr">
        <is>
          <t>C1220</t>
        </is>
      </c>
      <c r="B1221" s="18" t="inlineStr">
        <is>
          <t>Gestión jurídica</t>
        </is>
      </c>
      <c r="C1221" s="18" t="inlineStr">
        <is>
          <t>legal_management</t>
        </is>
      </c>
      <c r="D1221" s="18" t="inlineStr">
        <is>
          <t>riesgos</t>
        </is>
      </c>
      <c r="E1221" s="18" t="n">
        <v>6</v>
      </c>
      <c r="F1221" s="18" t="inlineStr">
        <is>
          <t>etapa</t>
        </is>
      </c>
      <c r="G1221" s="18" t="inlineStr">
        <is>
          <t>character varying(30)</t>
        </is>
      </c>
      <c r="H1221" s="18" t="inlineStr">
        <is>
          <t>Sí</t>
        </is>
      </c>
      <c r="I1221" s="18" t="inlineStr">
        <is>
          <t>CHECK</t>
        </is>
      </c>
      <c r="J1221" s="18" t="inlineStr">
        <is>
          <t>ANALIZADO, CERRADO, IDENTIFICADO, MATERIALIZADO, MONITOREO, TRATAMIENTO, VALORADO</t>
        </is>
      </c>
      <c r="K1221" s="18" t="inlineStr"/>
      <c r="L1221" s="18" t="inlineStr">
        <is>
          <t>Sí</t>
        </is>
      </c>
      <c r="M1221" s="18" t="inlineStr">
        <is>
          <t>No</t>
        </is>
      </c>
      <c r="N1221" s="18" t="inlineStr"/>
      <c r="O1221" s="18" t="inlineStr">
        <is>
          <t>idx_riesgos_etapa</t>
        </is>
      </c>
      <c r="P1221" s="18" t="inlineStr">
        <is>
          <t>Mapeada en legal-management-service/src/entities/riesgo.entity.ts:28 (Riesgo.etapa)</t>
        </is>
      </c>
      <c r="Q1221" s="18" t="inlineStr">
        <is>
          <t>Propuesta semántica</t>
        </is>
      </c>
      <c r="R1221" s="18" t="inlineStr">
        <is>
          <t>Etapa del ciclo de gestión del riesgo. Valores permitidos: ANALIZADO, CERRADO, IDENTIFICADO, MATERIALIZADO, MONITOREO, TRATAMIENTO, VALORADO. Por defecto, IDENTIFICADO.</t>
        </is>
      </c>
      <c r="S1221" s="18" t="inlineStr">
        <is>
          <t>Alta</t>
        </is>
      </c>
      <c r="T1221" s="18" t="inlineStr">
        <is>
          <t>valores permitidos del CHECK</t>
        </is>
      </c>
      <c r="U1221" s="18" t="inlineStr"/>
      <c r="V1221" s="19" t="inlineStr">
        <is>
          <t>Aprobada</t>
        </is>
      </c>
      <c r="W1221" s="19" t="inlineStr"/>
      <c r="X1221" s="19" t="inlineStr">
        <is>
          <t>Aldair González (aprobación en bloque)</t>
        </is>
      </c>
      <c r="Y1221" s="20" t="n">
        <v>46321</v>
      </c>
      <c r="Z1221" s="19" t="inlineStr">
        <is>
          <t>Nivel 1: propuesta del comentario del desarrollador o de confianza alta, o regla de fecha/responsable/motivo.</t>
        </is>
      </c>
      <c r="AA1221" s="18">
        <f>IF(OR(V1221="Aprobada"),R1221,IF(AND(OR(V1221="Aprobada con ajuste",V1221="Rechazada"),W1221&lt;&gt;""),W1221,""))</f>
        <v/>
      </c>
    </row>
    <row r="1222">
      <c r="A1222" s="18" t="inlineStr">
        <is>
          <t>C1221</t>
        </is>
      </c>
      <c r="B1222" s="18" t="inlineStr">
        <is>
          <t>Gestión jurídica</t>
        </is>
      </c>
      <c r="C1222" s="18" t="inlineStr">
        <is>
          <t>legal_management</t>
        </is>
      </c>
      <c r="D1222" s="18" t="inlineStr">
        <is>
          <t>riesgos</t>
        </is>
      </c>
      <c r="E1222" s="18" t="n">
        <v>6</v>
      </c>
      <c r="F1222" s="18" t="inlineStr">
        <is>
          <t>probabilidad_inherente</t>
        </is>
      </c>
      <c r="G1222" s="18" t="inlineStr">
        <is>
          <t>integer</t>
        </is>
      </c>
      <c r="H1222" s="18" t="inlineStr">
        <is>
          <t>Sí</t>
        </is>
      </c>
      <c r="I1222" s="18" t="inlineStr">
        <is>
          <t>CHECK</t>
        </is>
      </c>
      <c r="J1222" s="18" t="inlineStr"/>
      <c r="K1222" s="18" t="inlineStr"/>
      <c r="L1222" s="18" t="inlineStr">
        <is>
          <t>No</t>
        </is>
      </c>
      <c r="M1222" s="18" t="inlineStr">
        <is>
          <t>No</t>
        </is>
      </c>
      <c r="N1222" s="18" t="inlineStr"/>
      <c r="O1222" s="18" t="inlineStr"/>
      <c r="P1222" s="18" t="inlineStr">
        <is>
          <t>legal-management-service/src/entities/riesgo.entity.ts:32: Valoración Inherente</t>
        </is>
      </c>
      <c r="Q1222" s="18" t="inlineStr">
        <is>
          <t>Código fuente (verificado)</t>
        </is>
      </c>
      <c r="R1222" s="18" t="inlineStr">
        <is>
          <t>Probabilidad inherente del riesgo (valoración antes de controles), en escala de 1 a 5. Con impacto_inherente calcula zona_inherente. Por defecto, 3.</t>
        </is>
      </c>
      <c r="S1222" s="18" t="inlineStr">
        <is>
          <t>Media</t>
        </is>
      </c>
      <c r="T1222" s="18" t="inlineStr">
        <is>
          <t>db/init/007_legal_management_ddl_20260129_215541.sql:1432 CHECK entre 1 y 5 | backend/legal-management-service/src/services/riesgos.service.ts:111 zona = calcularZona(probabilidad, impacto) | backend/legal-management-service/src/services/riesgos.service.ts:447 producto &gt;= 20 EXTREMO, &gt;= 12 ALTO, &gt;= 5 MODERADO, si no BAJO</t>
        </is>
      </c>
      <c r="U1222" s="18" t="inlineStr">
        <is>
          <t>¿Qué significa cada nivel de 1 a 5 de la probabilidad?</t>
        </is>
      </c>
      <c r="V1222" s="19" t="inlineStr">
        <is>
          <t>Aprobada</t>
        </is>
      </c>
      <c r="W1222" s="19" t="inlineStr"/>
      <c r="X1222" s="19" t="inlineStr">
        <is>
          <t>Aldair González (validación del responsable de BD)</t>
        </is>
      </c>
      <c r="Y1222" s="20" t="n">
        <v>46321</v>
      </c>
      <c r="Z1222" s="19" t="inlineStr">
        <is>
          <t>Nivel 3: validada por decisión del responsable de la base de datos. Pregunta registrada para desarrollo: ¿Qué significa cada nivel de 1 a 5 de la probabilidad?</t>
        </is>
      </c>
      <c r="AA1222" s="18">
        <f>IF(OR(V1222="Aprobada"),R1222,IF(AND(OR(V1222="Aprobada con ajuste",V1222="Rechazada"),W1222&lt;&gt;""),W1222,""))</f>
        <v/>
      </c>
    </row>
    <row r="1223">
      <c r="A1223" s="18" t="inlineStr">
        <is>
          <t>C1222</t>
        </is>
      </c>
      <c r="B1223" s="18" t="inlineStr">
        <is>
          <t>Gestión jurídica</t>
        </is>
      </c>
      <c r="C1223" s="18" t="inlineStr">
        <is>
          <t>legal_management</t>
        </is>
      </c>
      <c r="D1223" s="18" t="inlineStr">
        <is>
          <t>riesgos</t>
        </is>
      </c>
      <c r="E1223" s="18" t="n">
        <v>6</v>
      </c>
      <c r="F1223" s="18" t="inlineStr">
        <is>
          <t>impacto_inherente</t>
        </is>
      </c>
      <c r="G1223" s="18" t="inlineStr">
        <is>
          <t>integer</t>
        </is>
      </c>
      <c r="H1223" s="18" t="inlineStr">
        <is>
          <t>Sí</t>
        </is>
      </c>
      <c r="I1223" s="18" t="inlineStr">
        <is>
          <t>CHECK</t>
        </is>
      </c>
      <c r="J1223" s="18" t="inlineStr"/>
      <c r="K1223" s="18" t="inlineStr"/>
      <c r="L1223" s="18" t="inlineStr">
        <is>
          <t>No</t>
        </is>
      </c>
      <c r="M1223" s="18" t="inlineStr">
        <is>
          <t>No</t>
        </is>
      </c>
      <c r="N1223" s="18" t="inlineStr"/>
      <c r="O1223" s="18" t="inlineStr"/>
      <c r="P1223" s="18" t="inlineStr">
        <is>
          <t>Mapeada en legal-management-service/src/entities/riesgo.entity.ts:35 (Riesgo.impactoInherente)</t>
        </is>
      </c>
      <c r="Q1223" s="18" t="inlineStr">
        <is>
          <t>Código fuente (verificado)</t>
        </is>
      </c>
      <c r="R1223" s="18" t="inlineStr">
        <is>
          <t>Nivel de impacto del riesgo inherente, en escala de 1 a 5. Con probabilidad_inherente calcula zona_inherente. Por defecto, 3.</t>
        </is>
      </c>
      <c r="S1223" s="18" t="inlineStr">
        <is>
          <t>Alta</t>
        </is>
      </c>
      <c r="T1223" s="18" t="inlineStr">
        <is>
          <t>db/init/007_legal_management_ddl_20260129_215541.sql:1430 CHECK entre 1 y 5 | backend/legal-management-service/src/services/riesgos.service.ts:111 zona inherente = calcularZona(probabilidad, impacto)</t>
        </is>
      </c>
      <c r="U1223" s="18" t="inlineStr"/>
      <c r="V1223" s="19" t="inlineStr">
        <is>
          <t>Aprobada</t>
        </is>
      </c>
      <c r="W1223" s="19" t="inlineStr"/>
      <c r="X1223" s="19" t="inlineStr">
        <is>
          <t>Aldair González (aprobación en bloque)</t>
        </is>
      </c>
      <c r="Y1223" s="20" t="n">
        <v>46321</v>
      </c>
      <c r="Z1223" s="19" t="inlineStr">
        <is>
          <t>Nivel 3: verificada con el código de la aplicación.</t>
        </is>
      </c>
      <c r="AA1223" s="18">
        <f>IF(OR(V1223="Aprobada"),R1223,IF(AND(OR(V1223="Aprobada con ajuste",V1223="Rechazada"),W1223&lt;&gt;""),W1223,""))</f>
        <v/>
      </c>
    </row>
    <row r="1224">
      <c r="A1224" s="18" t="inlineStr">
        <is>
          <t>C1223</t>
        </is>
      </c>
      <c r="B1224" s="18" t="inlineStr">
        <is>
          <t>Gestión jurídica</t>
        </is>
      </c>
      <c r="C1224" s="18" t="inlineStr">
        <is>
          <t>legal_management</t>
        </is>
      </c>
      <c r="D1224" s="18" t="inlineStr">
        <is>
          <t>riesgos</t>
        </is>
      </c>
      <c r="E1224" s="18" t="n">
        <v>6</v>
      </c>
      <c r="F1224" s="18" t="inlineStr">
        <is>
          <t>zona_inherente</t>
        </is>
      </c>
      <c r="G1224" s="18" t="inlineStr">
        <is>
          <t>character varying(20)</t>
        </is>
      </c>
      <c r="H1224" s="18" t="inlineStr">
        <is>
          <t>Sí</t>
        </is>
      </c>
      <c r="I1224" s="18" t="inlineStr">
        <is>
          <t>CHECK</t>
        </is>
      </c>
      <c r="J1224" s="18" t="inlineStr">
        <is>
          <t>ALTO, BAJO, EXTREMO, MODERADO</t>
        </is>
      </c>
      <c r="K1224" s="18" t="inlineStr"/>
      <c r="L1224" s="18" t="inlineStr">
        <is>
          <t>Sí</t>
        </is>
      </c>
      <c r="M1224" s="18" t="inlineStr">
        <is>
          <t>No</t>
        </is>
      </c>
      <c r="N1224" s="18" t="inlineStr"/>
      <c r="O1224" s="18" t="inlineStr"/>
      <c r="P1224" s="18" t="inlineStr">
        <is>
          <t>Mapeada en legal-management-service/src/entities/riesgo.entity.ts:38 (Riesgo.zonaInherente)</t>
        </is>
      </c>
      <c r="Q1224" s="18" t="inlineStr">
        <is>
          <t>Propuesta semántica</t>
        </is>
      </c>
      <c r="R1224" s="18" t="inlineStr">
        <is>
          <t>Zona de riesgo inherente. Valores permitidos: ALTO, BAJO, EXTREMO, MODERADO. Por defecto, MODERADO.</t>
        </is>
      </c>
      <c r="S1224" s="18" t="inlineStr">
        <is>
          <t>Alta</t>
        </is>
      </c>
      <c r="T1224" s="18" t="inlineStr">
        <is>
          <t>valores permitidos del CHECK</t>
        </is>
      </c>
      <c r="U1224" s="18" t="inlineStr"/>
      <c r="V1224" s="19" t="inlineStr">
        <is>
          <t>Aprobada</t>
        </is>
      </c>
      <c r="W1224" s="19" t="inlineStr"/>
      <c r="X1224" s="19" t="inlineStr">
        <is>
          <t>Aldair González (aprobación en bloque)</t>
        </is>
      </c>
      <c r="Y1224" s="20" t="n">
        <v>46321</v>
      </c>
      <c r="Z1224" s="19" t="inlineStr">
        <is>
          <t>Nivel 1: propuesta del comentario del desarrollador o de confianza alta, o regla de fecha/responsable/motivo.</t>
        </is>
      </c>
      <c r="AA1224" s="18">
        <f>IF(OR(V1224="Aprobada"),R1224,IF(AND(OR(V1224="Aprobada con ajuste",V1224="Rechazada"),W1224&lt;&gt;""),W1224,""))</f>
        <v/>
      </c>
    </row>
    <row r="1225">
      <c r="A1225" s="18" t="inlineStr">
        <is>
          <t>C1224</t>
        </is>
      </c>
      <c r="B1225" s="18" t="inlineStr">
        <is>
          <t>Gestión jurídica</t>
        </is>
      </c>
      <c r="C1225" s="18" t="inlineStr">
        <is>
          <t>legal_management</t>
        </is>
      </c>
      <c r="D1225" s="18" t="inlineStr">
        <is>
          <t>riesgos</t>
        </is>
      </c>
      <c r="E1225" s="18" t="n">
        <v>6</v>
      </c>
      <c r="F1225" s="18" t="inlineStr">
        <is>
          <t>probabilidad_residual</t>
        </is>
      </c>
      <c r="G1225" s="18" t="inlineStr">
        <is>
          <t>integer</t>
        </is>
      </c>
      <c r="H1225" s="18" t="inlineStr">
        <is>
          <t>Sí</t>
        </is>
      </c>
      <c r="I1225" s="18" t="inlineStr">
        <is>
          <t>CHECK</t>
        </is>
      </c>
      <c r="J1225" s="18" t="inlineStr"/>
      <c r="K1225" s="18" t="inlineStr"/>
      <c r="L1225" s="18" t="inlineStr">
        <is>
          <t>No</t>
        </is>
      </c>
      <c r="M1225" s="18" t="inlineStr">
        <is>
          <t>No</t>
        </is>
      </c>
      <c r="N1225" s="18" t="inlineStr"/>
      <c r="O1225" s="18" t="inlineStr"/>
      <c r="P1225" s="18" t="inlineStr">
        <is>
          <t>legal-management-service/src/entities/riesgo.entity.ts:42: Valoración Residual</t>
        </is>
      </c>
      <c r="Q1225" s="18" t="inlineStr">
        <is>
          <t>Código fuente (verificado)</t>
        </is>
      </c>
      <c r="R1225" s="18" t="inlineStr">
        <is>
          <t>Probabilidad residual del riesgo (valoración después de controles), en escala de 1 a 5. Con impacto_residual calcula zona_residual. Por defecto, 3.</t>
        </is>
      </c>
      <c r="S1225" s="18" t="inlineStr">
        <is>
          <t>Media</t>
        </is>
      </c>
      <c r="T1225" s="18" t="inlineStr">
        <is>
          <t>db/init/007_legal_management_ddl_20260129_215541.sql:1433 CHECK entre 1 y 5 | backend/legal-management-service/src/services/riesgos.service.ts:112 zona residual = calcularZona(probabilidad, impacto)</t>
        </is>
      </c>
      <c r="U1225" s="18" t="inlineStr">
        <is>
          <t>¿Qué significa cada nivel de 1 a 5 de la probabilidad?</t>
        </is>
      </c>
      <c r="V1225" s="19" t="inlineStr">
        <is>
          <t>Aprobada</t>
        </is>
      </c>
      <c r="W1225" s="19" t="inlineStr"/>
      <c r="X1225" s="19" t="inlineStr">
        <is>
          <t>Aldair González (validación del responsable de BD)</t>
        </is>
      </c>
      <c r="Y1225" s="20" t="n">
        <v>46321</v>
      </c>
      <c r="Z1225" s="19" t="inlineStr">
        <is>
          <t>Nivel 3: validada por decisión del responsable de la base de datos. Pregunta registrada para desarrollo: ¿Qué significa cada nivel de 1 a 5 de la probabilidad?</t>
        </is>
      </c>
      <c r="AA1225" s="18">
        <f>IF(OR(V1225="Aprobada"),R1225,IF(AND(OR(V1225="Aprobada con ajuste",V1225="Rechazada"),W1225&lt;&gt;""),W1225,""))</f>
        <v/>
      </c>
    </row>
    <row r="1226">
      <c r="A1226" s="18" t="inlineStr">
        <is>
          <t>C1225</t>
        </is>
      </c>
      <c r="B1226" s="18" t="inlineStr">
        <is>
          <t>Gestión jurídica</t>
        </is>
      </c>
      <c r="C1226" s="18" t="inlineStr">
        <is>
          <t>legal_management</t>
        </is>
      </c>
      <c r="D1226" s="18" t="inlineStr">
        <is>
          <t>riesgos</t>
        </is>
      </c>
      <c r="E1226" s="18" t="n">
        <v>6</v>
      </c>
      <c r="F1226" s="18" t="inlineStr">
        <is>
          <t>impacto_residual</t>
        </is>
      </c>
      <c r="G1226" s="18" t="inlineStr">
        <is>
          <t>integer</t>
        </is>
      </c>
      <c r="H1226" s="18" t="inlineStr">
        <is>
          <t>Sí</t>
        </is>
      </c>
      <c r="I1226" s="18" t="inlineStr">
        <is>
          <t>CHECK</t>
        </is>
      </c>
      <c r="J1226" s="18" t="inlineStr"/>
      <c r="K1226" s="18" t="inlineStr"/>
      <c r="L1226" s="18" t="inlineStr">
        <is>
          <t>No</t>
        </is>
      </c>
      <c r="M1226" s="18" t="inlineStr">
        <is>
          <t>No</t>
        </is>
      </c>
      <c r="N1226" s="18" t="inlineStr"/>
      <c r="O1226" s="18" t="inlineStr"/>
      <c r="P1226" s="18" t="inlineStr">
        <is>
          <t>Mapeada en legal-management-service/src/entities/riesgo.entity.ts:45 (Riesgo.impactoResidual)</t>
        </is>
      </c>
      <c r="Q1226" s="18" t="inlineStr">
        <is>
          <t>Código fuente (verificado)</t>
        </is>
      </c>
      <c r="R1226" s="18" t="inlineStr">
        <is>
          <t>Nivel de impacto del riesgo residual, después de aplicar los controles, en escala de 1 a 5. Con probabilidad_residual calcula zona_residual. Por defecto, 3.</t>
        </is>
      </c>
      <c r="S1226" s="18" t="inlineStr">
        <is>
          <t>Alta</t>
        </is>
      </c>
      <c r="T1226" s="18" t="inlineStr">
        <is>
          <t>db/init/007_legal_management_ddl_20260129_215541.sql:1431 CHECK entre 1 y 5 | backend/legal-management-service/src/services/riesgos.service.ts:112 zona residual = calcularZona(probabilidad, impacto)</t>
        </is>
      </c>
      <c r="U1226" s="18" t="inlineStr"/>
      <c r="V1226" s="19" t="inlineStr">
        <is>
          <t>Aprobada</t>
        </is>
      </c>
      <c r="W1226" s="19" t="inlineStr"/>
      <c r="X1226" s="19" t="inlineStr">
        <is>
          <t>Aldair González (aprobación en bloque)</t>
        </is>
      </c>
      <c r="Y1226" s="20" t="n">
        <v>46321</v>
      </c>
      <c r="Z1226" s="19" t="inlineStr">
        <is>
          <t>Nivel 3: verificada con el código de la aplicación.</t>
        </is>
      </c>
      <c r="AA1226" s="18">
        <f>IF(OR(V1226="Aprobada"),R1226,IF(AND(OR(V1226="Aprobada con ajuste",V1226="Rechazada"),W1226&lt;&gt;""),W1226,""))</f>
        <v/>
      </c>
    </row>
    <row r="1227">
      <c r="A1227" s="18" t="inlineStr">
        <is>
          <t>C1226</t>
        </is>
      </c>
      <c r="B1227" s="18" t="inlineStr">
        <is>
          <t>Gestión jurídica</t>
        </is>
      </c>
      <c r="C1227" s="18" t="inlineStr">
        <is>
          <t>legal_management</t>
        </is>
      </c>
      <c r="D1227" s="18" t="inlineStr">
        <is>
          <t>riesgos</t>
        </is>
      </c>
      <c r="E1227" s="18" t="n">
        <v>6</v>
      </c>
      <c r="F1227" s="18" t="inlineStr">
        <is>
          <t>zona_residual</t>
        </is>
      </c>
      <c r="G1227" s="18" t="inlineStr">
        <is>
          <t>character varying(20)</t>
        </is>
      </c>
      <c r="H1227" s="18" t="inlineStr">
        <is>
          <t>Sí</t>
        </is>
      </c>
      <c r="I1227" s="18" t="inlineStr">
        <is>
          <t>CHECK</t>
        </is>
      </c>
      <c r="J1227" s="18" t="inlineStr">
        <is>
          <t>ALTO, BAJO, EXTREMO, MODERADO</t>
        </is>
      </c>
      <c r="K1227" s="18" t="inlineStr"/>
      <c r="L1227" s="18" t="inlineStr">
        <is>
          <t>Sí</t>
        </is>
      </c>
      <c r="M1227" s="18" t="inlineStr">
        <is>
          <t>No</t>
        </is>
      </c>
      <c r="N1227" s="18" t="inlineStr"/>
      <c r="O1227" s="18" t="inlineStr">
        <is>
          <t>idx_riesgos_zona</t>
        </is>
      </c>
      <c r="P1227" s="18" t="inlineStr">
        <is>
          <t>Mapeada en legal-management-service/src/entities/riesgo.entity.ts:48 (Riesgo.zonaResidual)</t>
        </is>
      </c>
      <c r="Q1227" s="18" t="inlineStr">
        <is>
          <t>Propuesta semántica</t>
        </is>
      </c>
      <c r="R1227" s="18" t="inlineStr">
        <is>
          <t>Zona de riesgo residual, después de aplicar los controles. Valores permitidos: ALTO, BAJO, EXTREMO, MODERADO. Por defecto, MODERADO.</t>
        </is>
      </c>
      <c r="S1227" s="18" t="inlineStr">
        <is>
          <t>Alta</t>
        </is>
      </c>
      <c r="T1227" s="18" t="inlineStr">
        <is>
          <t>valores permitidos del CHECK</t>
        </is>
      </c>
      <c r="U1227" s="18" t="inlineStr"/>
      <c r="V1227" s="19" t="inlineStr">
        <is>
          <t>Aprobada</t>
        </is>
      </c>
      <c r="W1227" s="19" t="inlineStr"/>
      <c r="X1227" s="19" t="inlineStr">
        <is>
          <t>Aldair González (aprobación en bloque)</t>
        </is>
      </c>
      <c r="Y1227" s="20" t="n">
        <v>46321</v>
      </c>
      <c r="Z1227" s="19" t="inlineStr">
        <is>
          <t>Nivel 1: propuesta del comentario del desarrollador o de confianza alta, o regla de fecha/responsable/motivo.</t>
        </is>
      </c>
      <c r="AA1227" s="18">
        <f>IF(OR(V1227="Aprobada"),R1227,IF(AND(OR(V1227="Aprobada con ajuste",V1227="Rechazada"),W1227&lt;&gt;""),W1227,""))</f>
        <v/>
      </c>
    </row>
    <row r="1228">
      <c r="A1228" s="18" t="inlineStr">
        <is>
          <t>C1227</t>
        </is>
      </c>
      <c r="B1228" s="18" t="inlineStr">
        <is>
          <t>Gestión jurídica</t>
        </is>
      </c>
      <c r="C1228" s="18" t="inlineStr">
        <is>
          <t>legal_management</t>
        </is>
      </c>
      <c r="D1228" s="18" t="inlineStr">
        <is>
          <t>riesgos</t>
        </is>
      </c>
      <c r="E1228" s="18" t="n">
        <v>6</v>
      </c>
      <c r="F1228" s="18" t="inlineStr">
        <is>
          <t>causas</t>
        </is>
      </c>
      <c r="G1228" s="18" t="inlineStr">
        <is>
          <t>jsonb</t>
        </is>
      </c>
      <c r="H1228" s="18" t="inlineStr">
        <is>
          <t>Sí</t>
        </is>
      </c>
      <c r="I1228" s="18" t="inlineStr"/>
      <c r="J1228" s="18" t="inlineStr"/>
      <c r="K1228" s="18" t="inlineStr"/>
      <c r="L1228" s="18" t="inlineStr">
        <is>
          <t>No</t>
        </is>
      </c>
      <c r="M1228" s="18" t="inlineStr">
        <is>
          <t>No</t>
        </is>
      </c>
      <c r="N1228" s="18" t="inlineStr"/>
      <c r="O1228" s="18" t="inlineStr"/>
      <c r="P1228" s="18" t="inlineStr">
        <is>
          <t>legal-management-service/src/entities/riesgo.entity.ts:52: Análisis (JSON arrays)</t>
        </is>
      </c>
      <c r="Q1228" s="18" t="inlineStr">
        <is>
          <t>Código fuente</t>
        </is>
      </c>
      <c r="R1228" s="18" t="inlineStr">
        <is>
          <t>Causas del riesgo, como arreglo JSON.</t>
        </is>
      </c>
      <c r="S1228" s="18" t="inlineStr">
        <is>
          <t>Alta</t>
        </is>
      </c>
      <c r="T1228" s="18" t="inlineStr">
        <is>
          <t>código: legal-management-service/src/entities/riesgo.entity.ts:52</t>
        </is>
      </c>
      <c r="U1228" s="18" t="inlineStr"/>
      <c r="V1228" s="19" t="inlineStr">
        <is>
          <t>Aprobada</t>
        </is>
      </c>
      <c r="W1228" s="19" t="inlineStr"/>
      <c r="X1228" s="19" t="inlineStr">
        <is>
          <t>Aldair González (aprobación en bloque)</t>
        </is>
      </c>
      <c r="Y1228" s="20" t="n">
        <v>46321</v>
      </c>
      <c r="Z1228" s="19" t="inlineStr">
        <is>
          <t>Nivel 1: propuesta del comentario del desarrollador o de confianza alta, o regla de fecha/responsable/motivo.</t>
        </is>
      </c>
      <c r="AA1228" s="18">
        <f>IF(OR(V1228="Aprobada"),R1228,IF(AND(OR(V1228="Aprobada con ajuste",V1228="Rechazada"),W1228&lt;&gt;""),W1228,""))</f>
        <v/>
      </c>
    </row>
    <row r="1229">
      <c r="A1229" s="18" t="inlineStr">
        <is>
          <t>C1228</t>
        </is>
      </c>
      <c r="B1229" s="18" t="inlineStr">
        <is>
          <t>Gestión jurídica</t>
        </is>
      </c>
      <c r="C1229" s="18" t="inlineStr">
        <is>
          <t>legal_management</t>
        </is>
      </c>
      <c r="D1229" s="18" t="inlineStr">
        <is>
          <t>riesgos</t>
        </is>
      </c>
      <c r="E1229" s="18" t="n">
        <v>6</v>
      </c>
      <c r="F1229" s="18" t="inlineStr">
        <is>
          <t>consecuencias</t>
        </is>
      </c>
      <c r="G1229" s="18" t="inlineStr">
        <is>
          <t>jsonb</t>
        </is>
      </c>
      <c r="H1229" s="18" t="inlineStr">
        <is>
          <t>Sí</t>
        </is>
      </c>
      <c r="I1229" s="18" t="inlineStr"/>
      <c r="J1229" s="18" t="inlineStr"/>
      <c r="K1229" s="18" t="inlineStr"/>
      <c r="L1229" s="18" t="inlineStr">
        <is>
          <t>No</t>
        </is>
      </c>
      <c r="M1229" s="18" t="inlineStr">
        <is>
          <t>No</t>
        </is>
      </c>
      <c r="N1229" s="18" t="inlineStr"/>
      <c r="O1229" s="18" t="inlineStr"/>
      <c r="P1229" s="18" t="inlineStr">
        <is>
          <t>Mapeada en legal-management-service/src/entities/riesgo.entity.ts:55 (Riesgo.consecuencias)</t>
        </is>
      </c>
      <c r="Q1229" s="18" t="inlineStr">
        <is>
          <t>Propuesta semántica</t>
        </is>
      </c>
      <c r="R1229" s="18" t="inlineStr">
        <is>
          <t>Lista de consecuencias del riesgo, en formato JSON. Por defecto, lista vacía.</t>
        </is>
      </c>
      <c r="S1229" s="18" t="inlineStr">
        <is>
          <t>Alta</t>
        </is>
      </c>
      <c r="T1229" s="18" t="inlineStr">
        <is>
          <t>nombre + tipo + defecto</t>
        </is>
      </c>
      <c r="U1229" s="18" t="inlineStr"/>
      <c r="V1229" s="19" t="inlineStr">
        <is>
          <t>Aprobada</t>
        </is>
      </c>
      <c r="W1229" s="19" t="inlineStr"/>
      <c r="X1229" s="19" t="inlineStr">
        <is>
          <t>Aldair González (aprobación en bloque)</t>
        </is>
      </c>
      <c r="Y1229" s="20" t="n">
        <v>46321</v>
      </c>
      <c r="Z1229" s="19" t="inlineStr">
        <is>
          <t>Nivel 1: propuesta del comentario del desarrollador o de confianza alta, o regla de fecha/responsable/motivo.</t>
        </is>
      </c>
      <c r="AA1229" s="18">
        <f>IF(OR(V1229="Aprobada"),R1229,IF(AND(OR(V1229="Aprobada con ajuste",V1229="Rechazada"),W1229&lt;&gt;""),W1229,""))</f>
        <v/>
      </c>
    </row>
    <row r="1230">
      <c r="A1230" s="18" t="inlineStr">
        <is>
          <t>C1229</t>
        </is>
      </c>
      <c r="B1230" s="18" t="inlineStr">
        <is>
          <t>Gestión jurídica</t>
        </is>
      </c>
      <c r="C1230" s="18" t="inlineStr">
        <is>
          <t>legal_management</t>
        </is>
      </c>
      <c r="D1230" s="18" t="inlineStr">
        <is>
          <t>riesgos</t>
        </is>
      </c>
      <c r="E1230" s="18" t="n">
        <v>6</v>
      </c>
      <c r="F1230" s="18" t="inlineStr">
        <is>
          <t>controles_existentes</t>
        </is>
      </c>
      <c r="G1230" s="18" t="inlineStr">
        <is>
          <t>jsonb</t>
        </is>
      </c>
      <c r="H1230" s="18" t="inlineStr">
        <is>
          <t>Sí</t>
        </is>
      </c>
      <c r="I1230" s="18" t="inlineStr"/>
      <c r="J1230" s="18" t="inlineStr"/>
      <c r="K1230" s="18" t="inlineStr"/>
      <c r="L1230" s="18" t="inlineStr">
        <is>
          <t>No</t>
        </is>
      </c>
      <c r="M1230" s="18" t="inlineStr">
        <is>
          <t>No</t>
        </is>
      </c>
      <c r="N1230" s="18" t="inlineStr"/>
      <c r="O1230" s="18" t="inlineStr"/>
      <c r="P1230" s="18" t="inlineStr">
        <is>
          <t>legal-management-service/src/entities/riesgo.entity.ts:59: Controles y Plan de Tratamiento (JSON)</t>
        </is>
      </c>
      <c r="Q1230" s="18" t="inlineStr">
        <is>
          <t>Código fuente</t>
        </is>
      </c>
      <c r="R1230" s="18" t="inlineStr">
        <is>
          <t>Controles existentes del riesgo, como arreglo JSON.</t>
        </is>
      </c>
      <c r="S1230" s="18" t="inlineStr">
        <is>
          <t>Alta</t>
        </is>
      </c>
      <c r="T1230" s="18" t="inlineStr">
        <is>
          <t>código: legal-management-service/src/entities/riesgo.entity.ts:59</t>
        </is>
      </c>
      <c r="U1230" s="18" t="inlineStr"/>
      <c r="V1230" s="19" t="inlineStr">
        <is>
          <t>Aprobada</t>
        </is>
      </c>
      <c r="W1230" s="19" t="inlineStr"/>
      <c r="X1230" s="19" t="inlineStr">
        <is>
          <t>Aldair González (aprobación en bloque)</t>
        </is>
      </c>
      <c r="Y1230" s="20" t="n">
        <v>46321</v>
      </c>
      <c r="Z1230" s="19" t="inlineStr">
        <is>
          <t>Nivel 1: propuesta del comentario del desarrollador o de confianza alta, o regla de fecha/responsable/motivo.</t>
        </is>
      </c>
      <c r="AA1230" s="18">
        <f>IF(OR(V1230="Aprobada"),R1230,IF(AND(OR(V1230="Aprobada con ajuste",V1230="Rechazada"),W1230&lt;&gt;""),W1230,""))</f>
        <v/>
      </c>
    </row>
    <row r="1231">
      <c r="A1231" s="18" t="inlineStr">
        <is>
          <t>C1230</t>
        </is>
      </c>
      <c r="B1231" s="18" t="inlineStr">
        <is>
          <t>Gestión jurídica</t>
        </is>
      </c>
      <c r="C1231" s="18" t="inlineStr">
        <is>
          <t>legal_management</t>
        </is>
      </c>
      <c r="D1231" s="18" t="inlineStr">
        <is>
          <t>riesgos</t>
        </is>
      </c>
      <c r="E1231" s="18" t="n">
        <v>6</v>
      </c>
      <c r="F1231" s="18" t="inlineStr">
        <is>
          <t>plan_tratamiento</t>
        </is>
      </c>
      <c r="G1231" s="18" t="inlineStr">
        <is>
          <t>jsonb</t>
        </is>
      </c>
      <c r="H1231" s="18" t="inlineStr">
        <is>
          <t>Sí</t>
        </is>
      </c>
      <c r="I1231" s="18" t="inlineStr"/>
      <c r="J1231" s="18" t="inlineStr"/>
      <c r="K1231" s="18" t="inlineStr"/>
      <c r="L1231" s="18" t="inlineStr">
        <is>
          <t>No</t>
        </is>
      </c>
      <c r="M1231" s="18" t="inlineStr">
        <is>
          <t>No</t>
        </is>
      </c>
      <c r="N1231" s="18" t="inlineStr"/>
      <c r="O1231" s="18" t="inlineStr"/>
      <c r="P1231" s="18" t="inlineStr">
        <is>
          <t>Mapeada en legal-management-service/src/entities/riesgo.entity.ts:66 (Riesgo.planTratamiento)</t>
        </is>
      </c>
      <c r="Q1231" s="18" t="inlineStr">
        <is>
          <t>Código fuente (verificado)</t>
        </is>
      </c>
      <c r="R1231" s="18" t="inlineStr">
        <is>
          <t>Acciones del plan de tratamiento del riesgo, en formato JSON: cada acción tiene accion, responsable, fechaLimite, estado (PENDIENTE, EN_CURSO o COMPLETADA) y avance. Por defecto, lista vacía.</t>
        </is>
      </c>
      <c r="S1231" s="18" t="inlineStr">
        <is>
          <t>Alta</t>
        </is>
      </c>
      <c r="T1231" s="18" t="inlineStr">
        <is>
          <t>backend/legal-management-service/src/entities/riesgo.entity.ts:66 jsonb con accion, responsable, fechaLimite, estado y avance</t>
        </is>
      </c>
      <c r="U1231" s="18" t="inlineStr"/>
      <c r="V1231" s="19" t="inlineStr">
        <is>
          <t>Aprobada</t>
        </is>
      </c>
      <c r="W1231" s="19" t="inlineStr"/>
      <c r="X1231" s="19" t="inlineStr">
        <is>
          <t>Aldair González (aprobación en bloque)</t>
        </is>
      </c>
      <c r="Y1231" s="20" t="n">
        <v>46321</v>
      </c>
      <c r="Z1231" s="19" t="inlineStr">
        <is>
          <t>Nivel 3: verificada con el código de la aplicación.</t>
        </is>
      </c>
      <c r="AA1231" s="18">
        <f>IF(OR(V1231="Aprobada"),R1231,IF(AND(OR(V1231="Aprobada con ajuste",V1231="Rechazada"),W1231&lt;&gt;""),W1231,""))</f>
        <v/>
      </c>
    </row>
    <row r="1232">
      <c r="A1232" s="18" t="inlineStr">
        <is>
          <t>C1231</t>
        </is>
      </c>
      <c r="B1232" s="18" t="inlineStr">
        <is>
          <t>Gestión jurídica</t>
        </is>
      </c>
      <c r="C1232" s="18" t="inlineStr">
        <is>
          <t>legal_management</t>
        </is>
      </c>
      <c r="D1232" s="18" t="inlineStr">
        <is>
          <t>riesgos</t>
        </is>
      </c>
      <c r="E1232" s="18" t="n">
        <v>6</v>
      </c>
      <c r="F1232" s="18" t="inlineStr">
        <is>
          <t>responsable</t>
        </is>
      </c>
      <c r="G1232" s="18" t="inlineStr">
        <is>
          <t>character varying(200)</t>
        </is>
      </c>
      <c r="H1232" s="18" t="inlineStr">
        <is>
          <t>No</t>
        </is>
      </c>
      <c r="I1232" s="18" t="inlineStr"/>
      <c r="J1232" s="18" t="inlineStr"/>
      <c r="K1232" s="18" t="inlineStr"/>
      <c r="L1232" s="18" t="inlineStr">
        <is>
          <t>No</t>
        </is>
      </c>
      <c r="M1232" s="18" t="inlineStr">
        <is>
          <t>No</t>
        </is>
      </c>
      <c r="N1232" s="18" t="inlineStr"/>
      <c r="O1232" s="18" t="inlineStr"/>
      <c r="P1232" s="18" t="inlineStr">
        <is>
          <t>legal-management-service/src/entities/riesgo.entity.ts:76: Responsable</t>
        </is>
      </c>
      <c r="Q1232" s="18" t="inlineStr">
        <is>
          <t>Código fuente</t>
        </is>
      </c>
      <c r="R1232" s="18" t="inlineStr">
        <is>
          <t>Nombre del responsable del riesgo.</t>
        </is>
      </c>
      <c r="S1232" s="18" t="inlineStr">
        <is>
          <t>Alta</t>
        </is>
      </c>
      <c r="T1232" s="18" t="inlineStr">
        <is>
          <t>código: legal-management-service/src/entities/riesgo.entity.ts:76 + columna vecina responsable_id</t>
        </is>
      </c>
      <c r="U1232" s="18" t="inlineStr"/>
      <c r="V1232" s="19" t="inlineStr">
        <is>
          <t>Aprobada</t>
        </is>
      </c>
      <c r="W1232" s="19" t="inlineStr"/>
      <c r="X1232" s="19" t="inlineStr">
        <is>
          <t>Aldair González (aprobación en bloque)</t>
        </is>
      </c>
      <c r="Y1232" s="20" t="n">
        <v>46321</v>
      </c>
      <c r="Z1232" s="19" t="inlineStr">
        <is>
          <t>Nivel 1: propuesta del comentario del desarrollador o de confianza alta, o regla de fecha/responsable/motivo.</t>
        </is>
      </c>
      <c r="AA1232" s="18">
        <f>IF(OR(V1232="Aprobada"),R1232,IF(AND(OR(V1232="Aprobada con ajuste",V1232="Rechazada"),W1232&lt;&gt;""),W1232,""))</f>
        <v/>
      </c>
    </row>
    <row r="1233">
      <c r="A1233" s="18" t="inlineStr">
        <is>
          <t>C1232</t>
        </is>
      </c>
      <c r="B1233" s="18" t="inlineStr">
        <is>
          <t>Gestión jurídica</t>
        </is>
      </c>
      <c r="C1233" s="18" t="inlineStr">
        <is>
          <t>legal_management</t>
        </is>
      </c>
      <c r="D1233" s="18" t="inlineStr">
        <is>
          <t>riesgos</t>
        </is>
      </c>
      <c r="E1233" s="18" t="n">
        <v>6</v>
      </c>
      <c r="F1233" s="18" t="inlineStr">
        <is>
          <t>responsable_id</t>
        </is>
      </c>
      <c r="G1233" s="18" t="inlineStr">
        <is>
          <t>uuid</t>
        </is>
      </c>
      <c r="H1233" s="18" t="inlineStr">
        <is>
          <t>Sí</t>
        </is>
      </c>
      <c r="I1233" s="18" t="inlineStr"/>
      <c r="J1233" s="18" t="inlineStr"/>
      <c r="K1233" s="18" t="inlineStr"/>
      <c r="L1233" s="18" t="inlineStr">
        <is>
          <t>No</t>
        </is>
      </c>
      <c r="M1233" s="18" t="inlineStr">
        <is>
          <t>No</t>
        </is>
      </c>
      <c r="N1233" s="18" t="inlineStr"/>
      <c r="O1233" s="18" t="inlineStr"/>
      <c r="P1233" s="18" t="inlineStr">
        <is>
          <t>Mapeada en legal-management-service/src/entities/riesgo.entity.ts:79 (Riesgo.responsableId)</t>
        </is>
      </c>
      <c r="Q1233" s="18" t="inlineStr">
        <is>
          <t>Código fuente (verificado)</t>
        </is>
      </c>
      <c r="R1233" s="18" t="inlineStr">
        <is>
          <t>Identificador del usuario responsable del riesgo en el servicio de autenticación (auth."user"); no tiene clave foránea.</t>
        </is>
      </c>
      <c r="S1233" s="18" t="inlineStr">
        <is>
          <t>Alta</t>
        </is>
      </c>
      <c r="T1233" s="18" t="inlineStr">
        <is>
          <t>db/migrations/224_riesgos_remove_abogado_fk.sql:2 el ID proviene del servicio de autenticación global (users) | backend/legal-management-service/src/services/riesgos.service.ts:150 se usa para notificar al usuario asignado</t>
        </is>
      </c>
      <c r="U1233" s="18" t="inlineStr"/>
      <c r="V1233" s="19" t="inlineStr">
        <is>
          <t>Aprobada</t>
        </is>
      </c>
      <c r="W1233" s="19" t="inlineStr"/>
      <c r="X1233" s="19" t="inlineStr">
        <is>
          <t>Aldair González (aprobación en bloque)</t>
        </is>
      </c>
      <c r="Y1233" s="20" t="n">
        <v>46321</v>
      </c>
      <c r="Z1233" s="19" t="inlineStr">
        <is>
          <t>Nivel 3: verificada con el código de la aplicación.</t>
        </is>
      </c>
      <c r="AA1233" s="18">
        <f>IF(OR(V1233="Aprobada"),R1233,IF(AND(OR(V1233="Aprobada con ajuste",V1233="Rechazada"),W1233&lt;&gt;""),W1233,""))</f>
        <v/>
      </c>
    </row>
    <row r="1234">
      <c r="A1234" s="18" t="inlineStr">
        <is>
          <t>C1233</t>
        </is>
      </c>
      <c r="B1234" s="18" t="inlineStr">
        <is>
          <t>Gestión jurídica</t>
        </is>
      </c>
      <c r="C1234" s="18" t="inlineStr">
        <is>
          <t>legal_management</t>
        </is>
      </c>
      <c r="D1234" s="18" t="inlineStr">
        <is>
          <t>riesgos</t>
        </is>
      </c>
      <c r="E1234" s="18" t="n">
        <v>6</v>
      </c>
      <c r="F1234" s="18" t="inlineStr">
        <is>
          <t>estado</t>
        </is>
      </c>
      <c r="G1234" s="18" t="inlineStr">
        <is>
          <t>character varying(20)</t>
        </is>
      </c>
      <c r="H1234" s="18" t="inlineStr">
        <is>
          <t>Sí</t>
        </is>
      </c>
      <c r="I1234" s="18" t="inlineStr">
        <is>
          <t>CHECK</t>
        </is>
      </c>
      <c r="J1234" s="18" t="inlineStr">
        <is>
          <t>ACTIVO, ARCHIVADO, CERRADO, ELIMINADO</t>
        </is>
      </c>
      <c r="K1234" s="18" t="inlineStr"/>
      <c r="L1234" s="18" t="inlineStr">
        <is>
          <t>Sí</t>
        </is>
      </c>
      <c r="M1234" s="18" t="inlineStr">
        <is>
          <t>No</t>
        </is>
      </c>
      <c r="N1234" s="18" t="inlineStr"/>
      <c r="O1234" s="18" t="inlineStr">
        <is>
          <t>idx_riesgos_estado</t>
        </is>
      </c>
      <c r="P1234" s="18" t="inlineStr">
        <is>
          <t>legal-management-service/src/entities/riesgo.entity.ts:107: Estado</t>
        </is>
      </c>
      <c r="Q1234" s="18" t="inlineStr">
        <is>
          <t>Código fuente</t>
        </is>
      </c>
      <c r="R1234" s="18" t="inlineStr">
        <is>
          <t>Estado del riesgo. Valores permitidos: ACTIVO, ARCHIVADO, CERRADO, ELIMINADO; valor por defecto ACTIVO.</t>
        </is>
      </c>
      <c r="S1234" s="18" t="inlineStr">
        <is>
          <t>Alta</t>
        </is>
      </c>
      <c r="T1234" s="18" t="inlineStr">
        <is>
          <t>valores permitidos del CHECK; código: riesgo.entity.ts:107</t>
        </is>
      </c>
      <c r="U1234" s="18" t="inlineStr"/>
      <c r="V1234" s="19" t="inlineStr">
        <is>
          <t>Aprobada</t>
        </is>
      </c>
      <c r="W1234" s="19" t="inlineStr"/>
      <c r="X1234" s="19" t="inlineStr">
        <is>
          <t>Aldair González (aprobación en bloque)</t>
        </is>
      </c>
      <c r="Y1234" s="20" t="n">
        <v>46321</v>
      </c>
      <c r="Z1234" s="19" t="inlineStr">
        <is>
          <t>Nivel 1: propuesta del comentario del desarrollador o de confianza alta, o regla de fecha/responsable/motivo.</t>
        </is>
      </c>
      <c r="AA1234" s="18">
        <f>IF(OR(V1234="Aprobada"),R1234,IF(AND(OR(V1234="Aprobada con ajuste",V1234="Rechazada"),W1234&lt;&gt;""),W1234,""))</f>
        <v/>
      </c>
    </row>
    <row r="1235">
      <c r="A1235" s="18" t="inlineStr">
        <is>
          <t>C1234</t>
        </is>
      </c>
      <c r="B1235" s="18" t="inlineStr">
        <is>
          <t>Gestión jurídica</t>
        </is>
      </c>
      <c r="C1235" s="18" t="inlineStr">
        <is>
          <t>legal_management</t>
        </is>
      </c>
      <c r="D1235" s="18" t="inlineStr">
        <is>
          <t>riesgos</t>
        </is>
      </c>
      <c r="E1235" s="18" t="n">
        <v>6</v>
      </c>
      <c r="F1235" s="18" t="inlineStr">
        <is>
          <t>motivo_archivo</t>
        </is>
      </c>
      <c r="G1235" s="18" t="inlineStr">
        <is>
          <t>text</t>
        </is>
      </c>
      <c r="H1235" s="18" t="inlineStr">
        <is>
          <t>Sí</t>
        </is>
      </c>
      <c r="I1235" s="18" t="inlineStr"/>
      <c r="J1235" s="18" t="inlineStr"/>
      <c r="K1235" s="18" t="inlineStr"/>
      <c r="L1235" s="18" t="inlineStr">
        <is>
          <t>No</t>
        </is>
      </c>
      <c r="M1235" s="18" t="inlineStr">
        <is>
          <t>No</t>
        </is>
      </c>
      <c r="N1235" s="18" t="inlineStr"/>
      <c r="O1235" s="18" t="inlineStr"/>
      <c r="P1235" s="18" t="inlineStr">
        <is>
          <t>legal-management-service/src/entities/riesgo.entity.ts:111: Motivo del archivado</t>
        </is>
      </c>
      <c r="Q1235" s="18" t="inlineStr">
        <is>
          <t>Código fuente</t>
        </is>
      </c>
      <c r="R1235" s="18" t="inlineStr">
        <is>
          <t>Motivo del archivado del riesgo.</t>
        </is>
      </c>
      <c r="S1235" s="18" t="inlineStr">
        <is>
          <t>Alta</t>
        </is>
      </c>
      <c r="T1235" s="18" t="inlineStr">
        <is>
          <t>código: legal-management-service/src/entities/riesgo.entity.ts:111</t>
        </is>
      </c>
      <c r="U1235" s="18" t="inlineStr"/>
      <c r="V1235" s="19" t="inlineStr">
        <is>
          <t>Aprobada</t>
        </is>
      </c>
      <c r="W1235" s="19" t="inlineStr"/>
      <c r="X1235" s="19" t="inlineStr">
        <is>
          <t>Aldair González (aprobación en bloque)</t>
        </is>
      </c>
      <c r="Y1235" s="20" t="n">
        <v>46321</v>
      </c>
      <c r="Z1235" s="19" t="inlineStr">
        <is>
          <t>Nivel 1: propuesta del comentario del desarrollador o de confianza alta, o regla de fecha/responsable/motivo.</t>
        </is>
      </c>
      <c r="AA1235" s="18">
        <f>IF(OR(V1235="Aprobada"),R1235,IF(AND(OR(V1235="Aprobada con ajuste",V1235="Rechazada"),W1235&lt;&gt;""),W1235,""))</f>
        <v/>
      </c>
    </row>
    <row r="1236">
      <c r="A1236" s="18" t="inlineStr">
        <is>
          <t>C1235</t>
        </is>
      </c>
      <c r="B1236" s="18" t="inlineStr">
        <is>
          <t>Gestión jurídica</t>
        </is>
      </c>
      <c r="C1236" s="18" t="inlineStr">
        <is>
          <t>legal_management</t>
        </is>
      </c>
      <c r="D1236" s="18" t="inlineStr">
        <is>
          <t>sequences</t>
        </is>
      </c>
      <c r="E1236" s="18" t="n">
        <v>1</v>
      </c>
      <c r="F1236" s="18" t="inlineStr">
        <is>
          <t>current_value</t>
        </is>
      </c>
      <c r="G1236" s="18" t="inlineStr">
        <is>
          <t>integer</t>
        </is>
      </c>
      <c r="H1236" s="18" t="inlineStr">
        <is>
          <t>No</t>
        </is>
      </c>
      <c r="I1236" s="18" t="inlineStr"/>
      <c r="J1236" s="18" t="inlineStr"/>
      <c r="K1236" s="18" t="inlineStr"/>
      <c r="L1236" s="18" t="inlineStr">
        <is>
          <t>Sí</t>
        </is>
      </c>
      <c r="M1236" s="18" t="inlineStr">
        <is>
          <t>No</t>
        </is>
      </c>
      <c r="N1236" s="18" t="inlineStr"/>
      <c r="O1236" s="18" t="inlineStr"/>
      <c r="P1236" s="18" t="inlineStr">
        <is>
          <t>Mapeada en legal-management-service/src/entities/sequence.entity.ts:8 (Sequence.currentValue)</t>
        </is>
      </c>
      <c r="Q1236" s="18" t="inlineStr">
        <is>
          <t>Código fuente (verificado)</t>
        </is>
      </c>
      <c r="R1236" s="18" t="inlineStr">
        <is>
          <t>Último número asignado de la secuencia. Cada fila es un consecutivo anual por prefijo (nombre &lt;PREFIJO&gt;_&lt;año&gt;); hoy se usa para el radicado de términos procesales (prefijo TERM). Por defecto, 0.</t>
        </is>
      </c>
      <c r="S1236" s="18" t="inlineStr">
        <is>
          <t>Alta</t>
        </is>
      </c>
      <c r="T1236" s="18" t="inlineStr">
        <is>
          <t>backend/legal-management-service/src/services/sequence.service.ts:19 nombre = prefijo_año | backend/legal-management-service/src/services/sequence.service.ts:26 incrementa y devuelve ese valor | backend/legal-management-service/src/services/terminos.service.ts:198 generateRadicado('TERM')</t>
        </is>
      </c>
      <c r="U1236" s="18" t="inlineStr"/>
      <c r="V1236" s="19" t="inlineStr">
        <is>
          <t>Aprobada</t>
        </is>
      </c>
      <c r="W1236" s="19" t="inlineStr"/>
      <c r="X1236" s="19" t="inlineStr">
        <is>
          <t>Aldair González (aprobación en bloque)</t>
        </is>
      </c>
      <c r="Y1236" s="20" t="n">
        <v>46321</v>
      </c>
      <c r="Z1236" s="19" t="inlineStr">
        <is>
          <t>Nivel 3: verificada con el código de la aplicación.</t>
        </is>
      </c>
      <c r="AA1236" s="18">
        <f>IF(OR(V1236="Aprobada"),R1236,IF(AND(OR(V1236="Aprobada con ajuste",V1236="Rechazada"),W1236&lt;&gt;""),W1236,""))</f>
        <v/>
      </c>
    </row>
    <row r="1237">
      <c r="A1237" s="18" t="inlineStr">
        <is>
          <t>C1236</t>
        </is>
      </c>
      <c r="B1237" s="18" t="inlineStr">
        <is>
          <t>Gestión jurídica</t>
        </is>
      </c>
      <c r="C1237" s="18" t="inlineStr">
        <is>
          <t>legal_management</t>
        </is>
      </c>
      <c r="D1237" s="18" t="inlineStr">
        <is>
          <t>solicitudes_insumos</t>
        </is>
      </c>
      <c r="E1237" s="18" t="n">
        <v>0</v>
      </c>
      <c r="F1237" s="18" t="inlineStr">
        <is>
          <t>area_destino</t>
        </is>
      </c>
      <c r="G1237" s="18" t="inlineStr">
        <is>
          <t>character varying(150)</t>
        </is>
      </c>
      <c r="H1237" s="18" t="inlineStr">
        <is>
          <t>No</t>
        </is>
      </c>
      <c r="I1237" s="18" t="inlineStr"/>
      <c r="J1237" s="18" t="inlineStr"/>
      <c r="K1237" s="18" t="inlineStr"/>
      <c r="L1237" s="18" t="inlineStr">
        <is>
          <t>No</t>
        </is>
      </c>
      <c r="M1237" s="18" t="inlineStr">
        <is>
          <t>No</t>
        </is>
      </c>
      <c r="N1237" s="18" t="inlineStr"/>
      <c r="O1237" s="18" t="inlineStr">
        <is>
          <t>idx_insumos_area</t>
        </is>
      </c>
      <c r="P1237" s="18" t="inlineStr">
        <is>
          <t>Mapeada en legal-management-service/src/entities/solicitud-insumo.entity.ts:18 (SolicitudInsumo.areaDestino)</t>
        </is>
      </c>
      <c r="Q1237" s="18" t="inlineStr">
        <is>
          <t>Propuesta semántica</t>
        </is>
      </c>
      <c r="R1237" s="18" t="inlineStr">
        <is>
          <t>Área a la que se solicitan los insumos para responder el requerimiento.</t>
        </is>
      </c>
      <c r="S1237" s="18" t="inlineStr">
        <is>
          <t>Alta</t>
        </is>
      </c>
      <c r="T1237" s="18" t="inlineStr">
        <is>
          <t>nombre + tipo + columnas vecinas</t>
        </is>
      </c>
      <c r="U1237" s="18" t="inlineStr"/>
      <c r="V1237" s="19" t="inlineStr">
        <is>
          <t>Aprobada</t>
        </is>
      </c>
      <c r="W1237" s="19" t="inlineStr"/>
      <c r="X1237" s="19" t="inlineStr">
        <is>
          <t>Aldair González (aprobación en bloque)</t>
        </is>
      </c>
      <c r="Y1237" s="20" t="n">
        <v>46321</v>
      </c>
      <c r="Z1237" s="19" t="inlineStr">
        <is>
          <t>Nivel 1: propuesta del comentario del desarrollador o de confianza alta, o regla de fecha/responsable/motivo.</t>
        </is>
      </c>
      <c r="AA1237" s="18">
        <f>IF(OR(V1237="Aprobada"),R1237,IF(AND(OR(V1237="Aprobada con ajuste",V1237="Rechazada"),W1237&lt;&gt;""),W1237,""))</f>
        <v/>
      </c>
    </row>
    <row r="1238">
      <c r="A1238" s="18" t="inlineStr">
        <is>
          <t>C1237</t>
        </is>
      </c>
      <c r="B1238" s="18" t="inlineStr">
        <is>
          <t>Gestión jurídica</t>
        </is>
      </c>
      <c r="C1238" s="18" t="inlineStr">
        <is>
          <t>legal_management</t>
        </is>
      </c>
      <c r="D1238" s="18" t="inlineStr">
        <is>
          <t>solicitudes_insumos</t>
        </is>
      </c>
      <c r="E1238" s="18" t="n">
        <v>0</v>
      </c>
      <c r="F1238" s="18" t="inlineStr">
        <is>
          <t>funcionario_destino</t>
        </is>
      </c>
      <c r="G1238" s="18" t="inlineStr">
        <is>
          <t>character varying(200)</t>
        </is>
      </c>
      <c r="H1238" s="18" t="inlineStr">
        <is>
          <t>Sí</t>
        </is>
      </c>
      <c r="I1238" s="18" t="inlineStr"/>
      <c r="J1238" s="18" t="inlineStr"/>
      <c r="K1238" s="18" t="inlineStr"/>
      <c r="L1238" s="18" t="inlineStr">
        <is>
          <t>No</t>
        </is>
      </c>
      <c r="M1238" s="18" t="inlineStr">
        <is>
          <t>No</t>
        </is>
      </c>
      <c r="N1238" s="18" t="inlineStr"/>
      <c r="O1238" s="18" t="inlineStr"/>
      <c r="P1238" s="18" t="inlineStr">
        <is>
          <t>Mapeada en legal-management-service/src/entities/solicitud-insumo.entity.ts:21 (SolicitudInsumo.funcionarioDestino)</t>
        </is>
      </c>
      <c r="Q1238" s="18" t="inlineStr">
        <is>
          <t>Propuesta semántica</t>
        </is>
      </c>
      <c r="R1238" s="18" t="inlineStr">
        <is>
          <t>Nombre del funcionario al que se dirige la solicitud de insumos.</t>
        </is>
      </c>
      <c r="S1238" s="18" t="inlineStr">
        <is>
          <t>Alta</t>
        </is>
      </c>
      <c r="T1238" s="18" t="inlineStr">
        <is>
          <t>nombre + tipo + columnas vecinas</t>
        </is>
      </c>
      <c r="U1238" s="18" t="inlineStr"/>
      <c r="V1238" s="19" t="inlineStr">
        <is>
          <t>Aprobada</t>
        </is>
      </c>
      <c r="W1238" s="19" t="inlineStr"/>
      <c r="X1238" s="19" t="inlineStr">
        <is>
          <t>Aldair González (aprobación en bloque)</t>
        </is>
      </c>
      <c r="Y1238" s="20" t="n">
        <v>46321</v>
      </c>
      <c r="Z1238" s="19" t="inlineStr">
        <is>
          <t>Nivel 1: propuesta del comentario del desarrollador o de confianza alta, o regla de fecha/responsable/motivo.</t>
        </is>
      </c>
      <c r="AA1238" s="18">
        <f>IF(OR(V1238="Aprobada"),R1238,IF(AND(OR(V1238="Aprobada con ajuste",V1238="Rechazada"),W1238&lt;&gt;""),W1238,""))</f>
        <v/>
      </c>
    </row>
    <row r="1239">
      <c r="A1239" s="18" t="inlineStr">
        <is>
          <t>C1238</t>
        </is>
      </c>
      <c r="B1239" s="18" t="inlineStr">
        <is>
          <t>Gestión jurídica</t>
        </is>
      </c>
      <c r="C1239" s="18" t="inlineStr">
        <is>
          <t>legal_management</t>
        </is>
      </c>
      <c r="D1239" s="18" t="inlineStr">
        <is>
          <t>solicitudes_insumos</t>
        </is>
      </c>
      <c r="E1239" s="18" t="n">
        <v>0</v>
      </c>
      <c r="F1239" s="18" t="inlineStr">
        <is>
          <t>email_destino</t>
        </is>
      </c>
      <c r="G1239" s="18" t="inlineStr">
        <is>
          <t>character varying(150)</t>
        </is>
      </c>
      <c r="H1239" s="18" t="inlineStr">
        <is>
          <t>Sí</t>
        </is>
      </c>
      <c r="I1239" s="18" t="inlineStr"/>
      <c r="J1239" s="18" t="inlineStr"/>
      <c r="K1239" s="18" t="inlineStr"/>
      <c r="L1239" s="18" t="inlineStr">
        <is>
          <t>No</t>
        </is>
      </c>
      <c r="M1239" s="18" t="inlineStr">
        <is>
          <t>No</t>
        </is>
      </c>
      <c r="N1239" s="18" t="inlineStr"/>
      <c r="O1239" s="18" t="inlineStr"/>
      <c r="P1239" s="18" t="inlineStr">
        <is>
          <t>Mapeada en legal-management-service/src/entities/solicitud-insumo.entity.ts:24 (SolicitudInsumo.emailDestino)</t>
        </is>
      </c>
      <c r="Q1239" s="18" t="inlineStr">
        <is>
          <t>Propuesta semántica</t>
        </is>
      </c>
      <c r="R1239" s="18" t="inlineStr">
        <is>
          <t>Correo electrónico del funcionario al que se dirige la solicitud.</t>
        </is>
      </c>
      <c r="S1239" s="18" t="inlineStr">
        <is>
          <t>Alta</t>
        </is>
      </c>
      <c r="T1239" s="18" t="inlineStr">
        <is>
          <t>nombre + tipo + columnas vecinas</t>
        </is>
      </c>
      <c r="U1239" s="18" t="inlineStr"/>
      <c r="V1239" s="19" t="inlineStr">
        <is>
          <t>Aprobada</t>
        </is>
      </c>
      <c r="W1239" s="19" t="inlineStr"/>
      <c r="X1239" s="19" t="inlineStr">
        <is>
          <t>Aldair González (aprobación en bloque)</t>
        </is>
      </c>
      <c r="Y1239" s="20" t="n">
        <v>46321</v>
      </c>
      <c r="Z1239" s="19" t="inlineStr">
        <is>
          <t>Nivel 1: propuesta del comentario del desarrollador o de confianza alta, o regla de fecha/responsable/motivo.</t>
        </is>
      </c>
      <c r="AA1239" s="18">
        <f>IF(OR(V1239="Aprobada"),R1239,IF(AND(OR(V1239="Aprobada con ajuste",V1239="Rechazada"),W1239&lt;&gt;""),W1239,""))</f>
        <v/>
      </c>
    </row>
    <row r="1240">
      <c r="A1240" s="18" t="inlineStr">
        <is>
          <t>C1239</t>
        </is>
      </c>
      <c r="B1240" s="18" t="inlineStr">
        <is>
          <t>Gestión jurídica</t>
        </is>
      </c>
      <c r="C1240" s="18" t="inlineStr">
        <is>
          <t>legal_management</t>
        </is>
      </c>
      <c r="D1240" s="18" t="inlineStr">
        <is>
          <t>solicitudes_insumos</t>
        </is>
      </c>
      <c r="E1240" s="18" t="n">
        <v>0</v>
      </c>
      <c r="F1240" s="18" t="inlineStr">
        <is>
          <t>descripcion_solicitud</t>
        </is>
      </c>
      <c r="G1240" s="18" t="inlineStr">
        <is>
          <t>text</t>
        </is>
      </c>
      <c r="H1240" s="18" t="inlineStr">
        <is>
          <t>No</t>
        </is>
      </c>
      <c r="I1240" s="18" t="inlineStr"/>
      <c r="J1240" s="18" t="inlineStr"/>
      <c r="K1240" s="18" t="inlineStr"/>
      <c r="L1240" s="18" t="inlineStr">
        <is>
          <t>No</t>
        </is>
      </c>
      <c r="M1240" s="18" t="inlineStr">
        <is>
          <t>No</t>
        </is>
      </c>
      <c r="N1240" s="18" t="inlineStr"/>
      <c r="O1240" s="18" t="inlineStr"/>
      <c r="P1240" s="18" t="inlineStr">
        <is>
          <t>Mapeada en legal-management-service/src/entities/solicitud-insumo.entity.ts:27 (SolicitudInsumo.descripcionSolicitud)</t>
        </is>
      </c>
      <c r="Q1240" s="18" t="inlineStr">
        <is>
          <t>Propuesta semántica</t>
        </is>
      </c>
      <c r="R1240" s="18" t="inlineStr">
        <is>
          <t>Descripción de los insumos solicitados.</t>
        </is>
      </c>
      <c r="S1240" s="18" t="inlineStr">
        <is>
          <t>Alta</t>
        </is>
      </c>
      <c r="T1240" s="18" t="inlineStr">
        <is>
          <t>nombre + tipo</t>
        </is>
      </c>
      <c r="U1240" s="18" t="inlineStr"/>
      <c r="V1240" s="19" t="inlineStr">
        <is>
          <t>Aprobada</t>
        </is>
      </c>
      <c r="W1240" s="19" t="inlineStr"/>
      <c r="X1240" s="19" t="inlineStr">
        <is>
          <t>Aldair González (aprobación en bloque)</t>
        </is>
      </c>
      <c r="Y1240" s="20" t="n">
        <v>46321</v>
      </c>
      <c r="Z1240" s="19" t="inlineStr">
        <is>
          <t>Nivel 1: propuesta del comentario del desarrollador o de confianza alta, o regla de fecha/responsable/motivo.</t>
        </is>
      </c>
      <c r="AA1240" s="18">
        <f>IF(OR(V1240="Aprobada"),R1240,IF(AND(OR(V1240="Aprobada con ajuste",V1240="Rechazada"),W1240&lt;&gt;""),W1240,""))</f>
        <v/>
      </c>
    </row>
    <row r="1241">
      <c r="A1241" s="18" t="inlineStr">
        <is>
          <t>C1240</t>
        </is>
      </c>
      <c r="B1241" s="18" t="inlineStr">
        <is>
          <t>Gestión jurídica</t>
        </is>
      </c>
      <c r="C1241" s="18" t="inlineStr">
        <is>
          <t>legal_management</t>
        </is>
      </c>
      <c r="D1241" s="18" t="inlineStr">
        <is>
          <t>solicitudes_insumos</t>
        </is>
      </c>
      <c r="E1241" s="18" t="n">
        <v>0</v>
      </c>
      <c r="F1241" s="18" t="inlineStr">
        <is>
          <t>documentos_solicitados</t>
        </is>
      </c>
      <c r="G1241" s="18" t="inlineStr">
        <is>
          <t>text</t>
        </is>
      </c>
      <c r="H1241" s="18" t="inlineStr">
        <is>
          <t>Sí</t>
        </is>
      </c>
      <c r="I1241" s="18" t="inlineStr"/>
      <c r="J1241" s="18" t="inlineStr"/>
      <c r="K1241" s="18" t="inlineStr"/>
      <c r="L1241" s="18" t="inlineStr">
        <is>
          <t>No</t>
        </is>
      </c>
      <c r="M1241" s="18" t="inlineStr">
        <is>
          <t>No</t>
        </is>
      </c>
      <c r="N1241" s="18" t="inlineStr"/>
      <c r="O1241" s="18" t="inlineStr"/>
      <c r="P1241" s="18" t="inlineStr">
        <is>
          <t>Mapeada en legal-management-service/src/entities/solicitud-insumo.entity.ts:30 (SolicitudInsumo.documentosSolicitados)</t>
        </is>
      </c>
      <c r="Q1241" s="18" t="inlineStr">
        <is>
          <t>Código fuente (verificado)</t>
        </is>
      </c>
      <c r="R1241" s="18" t="inlineStr">
        <is>
          <t>Relación de documentos solicitados al área, en texto.</t>
        </is>
      </c>
      <c r="S1241" s="18" t="inlineStr">
        <is>
          <t>Media</t>
        </is>
      </c>
      <c r="T1241" s="18" t="inlineStr">
        <is>
          <t>backend/legal-management-service/src/entities/solicitud-insumo.entity.ts:30 text | backend/legal-management-service/src/services/requerimientos-oc.service.ts:332 se guarda tal como llega, sin procesar</t>
        </is>
      </c>
      <c r="U1241" s="18" t="inlineStr">
        <is>
          <t>¿El frontend lo registra como texto libre o como lista con separador?</t>
        </is>
      </c>
      <c r="V1241" s="19" t="inlineStr">
        <is>
          <t>Aprobada</t>
        </is>
      </c>
      <c r="W1241" s="19" t="inlineStr"/>
      <c r="X1241" s="19" t="inlineStr">
        <is>
          <t>Aldair González (validación del responsable de BD)</t>
        </is>
      </c>
      <c r="Y1241" s="20" t="n">
        <v>46321</v>
      </c>
      <c r="Z1241" s="19" t="inlineStr">
        <is>
          <t>Nivel 3: validada por decisión del responsable de la base de datos. Pregunta registrada para desarrollo: ¿El frontend lo registra como texto libre o como lista con separador?</t>
        </is>
      </c>
      <c r="AA1241" s="18">
        <f>IF(OR(V1241="Aprobada"),R1241,IF(AND(OR(V1241="Aprobada con ajuste",V1241="Rechazada"),W1241&lt;&gt;""),W1241,""))</f>
        <v/>
      </c>
    </row>
    <row r="1242">
      <c r="A1242" s="18" t="inlineStr">
        <is>
          <t>C1241</t>
        </is>
      </c>
      <c r="B1242" s="18" t="inlineStr">
        <is>
          <t>Gestión jurídica</t>
        </is>
      </c>
      <c r="C1242" s="18" t="inlineStr">
        <is>
          <t>legal_management</t>
        </is>
      </c>
      <c r="D1242" s="18" t="inlineStr">
        <is>
          <t>solicitudes_insumos</t>
        </is>
      </c>
      <c r="E1242" s="18" t="n">
        <v>0</v>
      </c>
      <c r="F1242" s="18" t="inlineStr">
        <is>
          <t>fecha_solicitud</t>
        </is>
      </c>
      <c r="G1242" s="18" t="inlineStr">
        <is>
          <t>timestamp without time zone</t>
        </is>
      </c>
      <c r="H1242" s="18" t="inlineStr">
        <is>
          <t>Sí</t>
        </is>
      </c>
      <c r="I1242" s="18" t="inlineStr"/>
      <c r="J1242" s="18" t="inlineStr"/>
      <c r="K1242" s="18" t="inlineStr"/>
      <c r="L1242" s="18" t="inlineStr">
        <is>
          <t>No</t>
        </is>
      </c>
      <c r="M1242" s="18" t="inlineStr">
        <is>
          <t>No</t>
        </is>
      </c>
      <c r="N1242" s="18" t="inlineStr"/>
      <c r="O1242" s="18" t="inlineStr"/>
      <c r="P1242" s="18" t="inlineStr">
        <is>
          <t>Mapeada en legal-management-service/src/entities/solicitud-insumo.entity.ts:33 (SolicitudInsumo.fechaSolicitud)</t>
        </is>
      </c>
      <c r="Q1242" s="18" t="inlineStr">
        <is>
          <t>Regla estructural (redacción revisada)</t>
        </is>
      </c>
      <c r="R1242" s="18" t="inlineStr">
        <is>
          <t>Fecha y hora de la solicitud de insumos.</t>
        </is>
      </c>
      <c r="S1242" s="18" t="inlineStr">
        <is>
          <t>Alta</t>
        </is>
      </c>
      <c r="T1242" s="18" t="inlineStr">
        <is>
          <t>Convención de nombre, redactada con el contexto de la tabla y el código.</t>
        </is>
      </c>
      <c r="U1242" s="18" t="inlineStr"/>
      <c r="V1242" s="19" t="inlineStr">
        <is>
          <t>Aprobada</t>
        </is>
      </c>
      <c r="W1242" s="19" t="inlineStr"/>
      <c r="X1242" s="19" t="inlineStr">
        <is>
          <t>Aldair González (aprobación en bloque)</t>
        </is>
      </c>
      <c r="Y1242" s="20" t="n">
        <v>46321</v>
      </c>
      <c r="Z1242" s="19" t="inlineStr">
        <is>
          <t>Nivel 2: regla estructural con redacción revisada.</t>
        </is>
      </c>
      <c r="AA1242" s="18">
        <f>IF(OR(V1242="Aprobada"),R1242,IF(AND(OR(V1242="Aprobada con ajuste",V1242="Rechazada"),W1242&lt;&gt;""),W1242,""))</f>
        <v/>
      </c>
    </row>
    <row r="1243">
      <c r="A1243" s="18" t="inlineStr">
        <is>
          <t>C1242</t>
        </is>
      </c>
      <c r="B1243" s="18" t="inlineStr">
        <is>
          <t>Gestión jurídica</t>
        </is>
      </c>
      <c r="C1243" s="18" t="inlineStr">
        <is>
          <t>legal_management</t>
        </is>
      </c>
      <c r="D1243" s="18" t="inlineStr">
        <is>
          <t>solicitudes_insumos</t>
        </is>
      </c>
      <c r="E1243" s="18" t="n">
        <v>0</v>
      </c>
      <c r="F1243" s="18" t="inlineStr">
        <is>
          <t>fecha_vencimiento_interna</t>
        </is>
      </c>
      <c r="G1243" s="18" t="inlineStr">
        <is>
          <t>timestamp without time zone</t>
        </is>
      </c>
      <c r="H1243" s="18" t="inlineStr">
        <is>
          <t>No</t>
        </is>
      </c>
      <c r="I1243" s="18" t="inlineStr"/>
      <c r="J1243" s="18" t="inlineStr"/>
      <c r="K1243" s="18" t="inlineStr"/>
      <c r="L1243" s="18" t="inlineStr">
        <is>
          <t>No</t>
        </is>
      </c>
      <c r="M1243" s="18" t="inlineStr">
        <is>
          <t>No</t>
        </is>
      </c>
      <c r="N1243" s="18" t="inlineStr"/>
      <c r="O1243" s="18" t="inlineStr"/>
      <c r="P1243" s="18" t="inlineStr">
        <is>
          <t>Mapeada en legal-management-service/src/entities/solicitud-insumo.entity.ts:36 (SolicitudInsumo.fechaVencimientoInterna)</t>
        </is>
      </c>
      <c r="Q1243" s="18" t="inlineStr">
        <is>
          <t>Regla estructural (redacción revisada)</t>
        </is>
      </c>
      <c r="R1243" s="18" t="inlineStr">
        <is>
          <t>Fecha y hora de vencimiento interno de la solicitud de insumos.</t>
        </is>
      </c>
      <c r="S1243" s="18" t="inlineStr">
        <is>
          <t>Alta</t>
        </is>
      </c>
      <c r="T1243" s="18" t="inlineStr">
        <is>
          <t>Convención de nombre, redactada con el contexto de la tabla y el código.</t>
        </is>
      </c>
      <c r="U1243" s="18" t="inlineStr"/>
      <c r="V1243" s="19" t="inlineStr">
        <is>
          <t>Aprobada</t>
        </is>
      </c>
      <c r="W1243" s="19" t="inlineStr"/>
      <c r="X1243" s="19" t="inlineStr">
        <is>
          <t>Aldair González (aprobación en bloque)</t>
        </is>
      </c>
      <c r="Y1243" s="20" t="n">
        <v>46321</v>
      </c>
      <c r="Z1243" s="19" t="inlineStr">
        <is>
          <t>Nivel 2: regla estructural con redacción revisada.</t>
        </is>
      </c>
      <c r="AA1243" s="18">
        <f>IF(OR(V1243="Aprobada"),R1243,IF(AND(OR(V1243="Aprobada con ajuste",V1243="Rechazada"),W1243&lt;&gt;""),W1243,""))</f>
        <v/>
      </c>
    </row>
    <row r="1244">
      <c r="A1244" s="18" t="inlineStr">
        <is>
          <t>C1243</t>
        </is>
      </c>
      <c r="B1244" s="18" t="inlineStr">
        <is>
          <t>Gestión jurídica</t>
        </is>
      </c>
      <c r="C1244" s="18" t="inlineStr">
        <is>
          <t>legal_management</t>
        </is>
      </c>
      <c r="D1244" s="18" t="inlineStr">
        <is>
          <t>solicitudes_insumos</t>
        </is>
      </c>
      <c r="E1244" s="18" t="n">
        <v>0</v>
      </c>
      <c r="F1244" s="18" t="inlineStr">
        <is>
          <t>fecha_respuesta</t>
        </is>
      </c>
      <c r="G1244" s="18" t="inlineStr">
        <is>
          <t>timestamp without time zone</t>
        </is>
      </c>
      <c r="H1244" s="18" t="inlineStr">
        <is>
          <t>Sí</t>
        </is>
      </c>
      <c r="I1244" s="18" t="inlineStr"/>
      <c r="J1244" s="18" t="inlineStr"/>
      <c r="K1244" s="18" t="inlineStr"/>
      <c r="L1244" s="18" t="inlineStr">
        <is>
          <t>No</t>
        </is>
      </c>
      <c r="M1244" s="18" t="inlineStr">
        <is>
          <t>No</t>
        </is>
      </c>
      <c r="N1244" s="18" t="inlineStr"/>
      <c r="O1244" s="18" t="inlineStr"/>
      <c r="P1244" s="18" t="inlineStr">
        <is>
          <t>Mapeada en legal-management-service/src/entities/solicitud-insumo.entity.ts:39 (SolicitudInsumo.fechaRespuesta)</t>
        </is>
      </c>
      <c r="Q1244" s="18" t="inlineStr">
        <is>
          <t>Regla estructural (redacción revisada)</t>
        </is>
      </c>
      <c r="R1244" s="18" t="inlineStr">
        <is>
          <t>Fecha y hora de respuesta a la solicitud de insumos.</t>
        </is>
      </c>
      <c r="S1244" s="18" t="inlineStr">
        <is>
          <t>Alta</t>
        </is>
      </c>
      <c r="T1244" s="18" t="inlineStr">
        <is>
          <t>Convención de nombre, redactada con el contexto de la tabla y el código.</t>
        </is>
      </c>
      <c r="U1244" s="18" t="inlineStr"/>
      <c r="V1244" s="19" t="inlineStr">
        <is>
          <t>Aprobada</t>
        </is>
      </c>
      <c r="W1244" s="19" t="inlineStr"/>
      <c r="X1244" s="19" t="inlineStr">
        <is>
          <t>Aldair González (aprobación en bloque)</t>
        </is>
      </c>
      <c r="Y1244" s="20" t="n">
        <v>46321</v>
      </c>
      <c r="Z1244" s="19" t="inlineStr">
        <is>
          <t>Nivel 2: regla estructural con redacción revisada.</t>
        </is>
      </c>
      <c r="AA1244" s="18">
        <f>IF(OR(V1244="Aprobada"),R1244,IF(AND(OR(V1244="Aprobada con ajuste",V1244="Rechazada"),W1244&lt;&gt;""),W1244,""))</f>
        <v/>
      </c>
    </row>
    <row r="1245">
      <c r="A1245" s="18" t="inlineStr">
        <is>
          <t>C1244</t>
        </is>
      </c>
      <c r="B1245" s="18" t="inlineStr">
        <is>
          <t>Gestión jurídica</t>
        </is>
      </c>
      <c r="C1245" s="18" t="inlineStr">
        <is>
          <t>legal_management</t>
        </is>
      </c>
      <c r="D1245" s="18" t="inlineStr">
        <is>
          <t>solicitudes_insumos</t>
        </is>
      </c>
      <c r="E1245" s="18" t="n">
        <v>0</v>
      </c>
      <c r="F1245" s="18" t="inlineStr">
        <is>
          <t>estado</t>
        </is>
      </c>
      <c r="G1245" s="18" t="inlineStr">
        <is>
          <t>character varying(25)</t>
        </is>
      </c>
      <c r="H1245" s="18" t="inlineStr">
        <is>
          <t>Sí</t>
        </is>
      </c>
      <c r="I1245" s="18" t="inlineStr">
        <is>
          <t>CHECK</t>
        </is>
      </c>
      <c r="J1245" s="18" t="inlineStr">
        <is>
          <t>ENTREGADO, EN_PROCESO, PENDIENTE, RECHAZADO, VENCIDO</t>
        </is>
      </c>
      <c r="K1245" s="18" t="inlineStr"/>
      <c r="L1245" s="18" t="inlineStr">
        <is>
          <t>Sí</t>
        </is>
      </c>
      <c r="M1245" s="18" t="inlineStr">
        <is>
          <t>No</t>
        </is>
      </c>
      <c r="N1245" s="18" t="inlineStr"/>
      <c r="O1245" s="18" t="inlineStr">
        <is>
          <t>idx_insumos_estado</t>
        </is>
      </c>
      <c r="P1245" s="18" t="inlineStr">
        <is>
          <t>Mapeada en legal-management-service/src/entities/solicitud-insumo.entity.ts:42 (SolicitudInsumo.estado)</t>
        </is>
      </c>
      <c r="Q1245" s="18" t="inlineStr">
        <is>
          <t>Regla estructural (redacción revisada)</t>
        </is>
      </c>
      <c r="R1245" s="18" t="inlineStr">
        <is>
          <t>Estado de la solicitud de insumos (ENTREGADO, EN_PROCESO, PENDIENTE, RECHAZADO o VENCIDO).</t>
        </is>
      </c>
      <c r="S1245" s="18" t="inlineStr">
        <is>
          <t>Alta</t>
        </is>
      </c>
      <c r="T1245" s="18" t="inlineStr">
        <is>
          <t>Convención de nombre, redactada con el contexto de la tabla y el código.</t>
        </is>
      </c>
      <c r="U1245" s="18" t="inlineStr"/>
      <c r="V1245" s="19" t="inlineStr">
        <is>
          <t>Aprobada</t>
        </is>
      </c>
      <c r="W1245" s="19" t="inlineStr"/>
      <c r="X1245" s="19" t="inlineStr">
        <is>
          <t>Aldair González (aprobación en bloque)</t>
        </is>
      </c>
      <c r="Y1245" s="20" t="n">
        <v>46321</v>
      </c>
      <c r="Z1245" s="19" t="inlineStr">
        <is>
          <t>Nivel 2: regla estructural con redacción revisada.</t>
        </is>
      </c>
      <c r="AA1245" s="18">
        <f>IF(OR(V1245="Aprobada"),R1245,IF(AND(OR(V1245="Aprobada con ajuste",V1245="Rechazada"),W1245&lt;&gt;""),W1245,""))</f>
        <v/>
      </c>
    </row>
    <row r="1246">
      <c r="A1246" s="18" t="inlineStr">
        <is>
          <t>C1245</t>
        </is>
      </c>
      <c r="B1246" s="18" t="inlineStr">
        <is>
          <t>Gestión jurídica</t>
        </is>
      </c>
      <c r="C1246" s="18" t="inlineStr">
        <is>
          <t>legal_management</t>
        </is>
      </c>
      <c r="D1246" s="18" t="inlineStr">
        <is>
          <t>solicitudes_insumos</t>
        </is>
      </c>
      <c r="E1246" s="18" t="n">
        <v>0</v>
      </c>
      <c r="F1246" s="18" t="inlineStr">
        <is>
          <t>documentos_entregados_url</t>
        </is>
      </c>
      <c r="G1246" s="18" t="inlineStr">
        <is>
          <t>text</t>
        </is>
      </c>
      <c r="H1246" s="18" t="inlineStr">
        <is>
          <t>Sí</t>
        </is>
      </c>
      <c r="I1246" s="18" t="inlineStr"/>
      <c r="J1246" s="18" t="inlineStr"/>
      <c r="K1246" s="18" t="inlineStr"/>
      <c r="L1246" s="18" t="inlineStr">
        <is>
          <t>No</t>
        </is>
      </c>
      <c r="M1246" s="18" t="inlineStr">
        <is>
          <t>No</t>
        </is>
      </c>
      <c r="N1246" s="18" t="inlineStr"/>
      <c r="O1246" s="18" t="inlineStr"/>
      <c r="P1246" s="18" t="inlineStr">
        <is>
          <t>Mapeada en legal-management-service/src/entities/solicitud-insumo.entity.ts:45 (SolicitudInsumo.documentosEntregadosUrl)</t>
        </is>
      </c>
      <c r="Q1246" s="18" t="inlineStr">
        <is>
          <t>Código fuente (verificado)</t>
        </is>
      </c>
      <c r="R1246" s="18" t="inlineStr">
        <is>
          <t>URL de los documentos entregados por el área al responder la solicitud.</t>
        </is>
      </c>
      <c r="S1246" s="18" t="inlineStr">
        <is>
          <t>Media</t>
        </is>
      </c>
      <c r="T1246" s="18" t="inlineStr">
        <is>
          <t>backend/legal-management-service/src/services/requerimientos-oc.service.ts:367 se guarda el valor recibido como un solo texto, sin separar</t>
        </is>
      </c>
      <c r="U1246" s="18" t="inlineStr">
        <is>
          <t>¿Admite varias URL en el mismo campo?</t>
        </is>
      </c>
      <c r="V1246" s="19" t="inlineStr">
        <is>
          <t>Aprobada</t>
        </is>
      </c>
      <c r="W1246" s="19" t="inlineStr"/>
      <c r="X1246" s="19" t="inlineStr">
        <is>
          <t>Aldair González (validación del responsable de BD)</t>
        </is>
      </c>
      <c r="Y1246" s="20" t="n">
        <v>46321</v>
      </c>
      <c r="Z1246" s="19" t="inlineStr">
        <is>
          <t>Nivel 3: validada por decisión del responsable de la base de datos. Pregunta registrada para desarrollo: ¿Admite varias URL en el mismo campo?</t>
        </is>
      </c>
      <c r="AA1246" s="18">
        <f>IF(OR(V1246="Aprobada"),R1246,IF(AND(OR(V1246="Aprobada con ajuste",V1246="Rechazada"),W1246&lt;&gt;""),W1246,""))</f>
        <v/>
      </c>
    </row>
    <row r="1247">
      <c r="A1247" s="18" t="inlineStr">
        <is>
          <t>C1246</t>
        </is>
      </c>
      <c r="B1247" s="18" t="inlineStr">
        <is>
          <t>Gestión jurídica</t>
        </is>
      </c>
      <c r="C1247" s="18" t="inlineStr">
        <is>
          <t>legal_management</t>
        </is>
      </c>
      <c r="D1247" s="18" t="inlineStr">
        <is>
          <t>solicitudes_insumos</t>
        </is>
      </c>
      <c r="E1247" s="18" t="n">
        <v>0</v>
      </c>
      <c r="F1247" s="18" t="inlineStr">
        <is>
          <t>comentario_respuesta</t>
        </is>
      </c>
      <c r="G1247" s="18" t="inlineStr">
        <is>
          <t>text</t>
        </is>
      </c>
      <c r="H1247" s="18" t="inlineStr">
        <is>
          <t>Sí</t>
        </is>
      </c>
      <c r="I1247" s="18" t="inlineStr"/>
      <c r="J1247" s="18" t="inlineStr"/>
      <c r="K1247" s="18" t="inlineStr"/>
      <c r="L1247" s="18" t="inlineStr">
        <is>
          <t>No</t>
        </is>
      </c>
      <c r="M1247" s="18" t="inlineStr">
        <is>
          <t>No</t>
        </is>
      </c>
      <c r="N1247" s="18" t="inlineStr"/>
      <c r="O1247" s="18" t="inlineStr"/>
      <c r="P1247" s="18" t="inlineStr">
        <is>
          <t>Mapeada en legal-management-service/src/entities/solicitud-insumo.entity.ts:48 (SolicitudInsumo.comentarioRespuesta)</t>
        </is>
      </c>
      <c r="Q1247" s="18" t="inlineStr">
        <is>
          <t>Propuesta semántica</t>
        </is>
      </c>
      <c r="R1247" s="18" t="inlineStr">
        <is>
          <t>Comentario del área al responder la solicitud.</t>
        </is>
      </c>
      <c r="S1247" s="18" t="inlineStr">
        <is>
          <t>Alta</t>
        </is>
      </c>
      <c r="T1247" s="18" t="inlineStr">
        <is>
          <t>nombre + tipo + columnas vecinas</t>
        </is>
      </c>
      <c r="U1247" s="18" t="inlineStr"/>
      <c r="V1247" s="19" t="inlineStr">
        <is>
          <t>Aprobada</t>
        </is>
      </c>
      <c r="W1247" s="19" t="inlineStr"/>
      <c r="X1247" s="19" t="inlineStr">
        <is>
          <t>Aldair González (aprobación en bloque)</t>
        </is>
      </c>
      <c r="Y1247" s="20" t="n">
        <v>46321</v>
      </c>
      <c r="Z1247" s="19" t="inlineStr">
        <is>
          <t>Nivel 1: propuesta del comentario del desarrollador o de confianza alta, o regla de fecha/responsable/motivo.</t>
        </is>
      </c>
      <c r="AA1247" s="18">
        <f>IF(OR(V1247="Aprobada"),R1247,IF(AND(OR(V1247="Aprobada con ajuste",V1247="Rechazada"),W1247&lt;&gt;""),W1247,""))</f>
        <v/>
      </c>
    </row>
    <row r="1248">
      <c r="A1248" s="18" t="inlineStr">
        <is>
          <t>C1247</t>
        </is>
      </c>
      <c r="B1248" s="18" t="inlineStr">
        <is>
          <t>Gestión jurídica</t>
        </is>
      </c>
      <c r="C1248" s="18" t="inlineStr">
        <is>
          <t>legal_management</t>
        </is>
      </c>
      <c r="D1248" s="18" t="inlineStr">
        <is>
          <t>solicitudes_insumos</t>
        </is>
      </c>
      <c r="E1248" s="18" t="n">
        <v>0</v>
      </c>
      <c r="F1248" s="18" t="inlineStr">
        <is>
          <t>solicitado_por</t>
        </is>
      </c>
      <c r="G1248" s="18" t="inlineStr">
        <is>
          <t>character varying(150)</t>
        </is>
      </c>
      <c r="H1248" s="18" t="inlineStr">
        <is>
          <t>Sí</t>
        </is>
      </c>
      <c r="I1248" s="18" t="inlineStr"/>
      <c r="J1248" s="18" t="inlineStr"/>
      <c r="K1248" s="18" t="inlineStr"/>
      <c r="L1248" s="18" t="inlineStr">
        <is>
          <t>No</t>
        </is>
      </c>
      <c r="M1248" s="18" t="inlineStr">
        <is>
          <t>No</t>
        </is>
      </c>
      <c r="N1248" s="18" t="inlineStr"/>
      <c r="O1248" s="18" t="inlineStr"/>
      <c r="P1248" s="18" t="inlineStr">
        <is>
          <t>Mapeada en legal-management-service/src/entities/solicitud-insumo.entity.ts:51 (SolicitudInsumo.solicitadoPor)</t>
        </is>
      </c>
      <c r="Q1248" s="18" t="inlineStr">
        <is>
          <t>Regla estructural</t>
        </is>
      </c>
      <c r="R1248" s="18" t="inlineStr">
        <is>
          <t>Usuario que realizó la solicitud.</t>
        </is>
      </c>
      <c r="S1248" s="18" t="inlineStr">
        <is>
          <t>Media</t>
        </is>
      </c>
      <c r="T1248" s="18" t="inlineStr">
        <is>
          <t>Convención de nombre de la columna.</t>
        </is>
      </c>
      <c r="U1248" s="18" t="inlineStr"/>
      <c r="V1248" s="19" t="inlineStr">
        <is>
          <t>Aprobada</t>
        </is>
      </c>
      <c r="W1248" s="19" t="inlineStr"/>
      <c r="X1248" s="19" t="inlineStr">
        <is>
          <t>Aldair González (aprobación en bloque)</t>
        </is>
      </c>
      <c r="Y1248" s="20" t="n">
        <v>46321</v>
      </c>
      <c r="Z1248" s="19" t="inlineStr">
        <is>
          <t>Nivel 1: propuesta del comentario del desarrollador o de confianza alta, o regla de fecha/responsable/motivo.</t>
        </is>
      </c>
      <c r="AA1248" s="18">
        <f>IF(OR(V1248="Aprobada"),R1248,IF(AND(OR(V1248="Aprobada con ajuste",V1248="Rechazada"),W1248&lt;&gt;""),W1248,""))</f>
        <v/>
      </c>
    </row>
    <row r="1249">
      <c r="A1249" s="18" t="inlineStr">
        <is>
          <t>C1248</t>
        </is>
      </c>
      <c r="B1249" s="18" t="inlineStr">
        <is>
          <t>Gestión jurídica</t>
        </is>
      </c>
      <c r="C1249" s="18" t="inlineStr">
        <is>
          <t>legal_management</t>
        </is>
      </c>
      <c r="D1249" s="18" t="inlineStr">
        <is>
          <t>solicitudes_insumos</t>
        </is>
      </c>
      <c r="E1249" s="18" t="n">
        <v>0</v>
      </c>
      <c r="F1249" s="18" t="inlineStr">
        <is>
          <t>respondido_por</t>
        </is>
      </c>
      <c r="G1249" s="18" t="inlineStr">
        <is>
          <t>character varying(150)</t>
        </is>
      </c>
      <c r="H1249" s="18" t="inlineStr">
        <is>
          <t>Sí</t>
        </is>
      </c>
      <c r="I1249" s="18" t="inlineStr"/>
      <c r="J1249" s="18" t="inlineStr"/>
      <c r="K1249" s="18" t="inlineStr"/>
      <c r="L1249" s="18" t="inlineStr">
        <is>
          <t>No</t>
        </is>
      </c>
      <c r="M1249" s="18" t="inlineStr">
        <is>
          <t>No</t>
        </is>
      </c>
      <c r="N1249" s="18" t="inlineStr"/>
      <c r="O1249" s="18" t="inlineStr"/>
      <c r="P1249" s="18" t="inlineStr">
        <is>
          <t>Mapeada en legal-management-service/src/entities/solicitud-insumo.entity.ts:54 (SolicitudInsumo.respondidoPor)</t>
        </is>
      </c>
      <c r="Q1249" s="18" t="inlineStr">
        <is>
          <t>Código fuente (verificado)</t>
        </is>
      </c>
      <c r="R1249" s="18" t="inlineStr">
        <is>
          <t>Funcionario que respondió la solicitud.</t>
        </is>
      </c>
      <c r="S1249" s="18" t="inlineStr">
        <is>
          <t>Media</t>
        </is>
      </c>
      <c r="T1249" s="18" t="inlineStr">
        <is>
          <t>backend/legal-management-service/src/services/requerimientos-oc.service.ts:369 respondidoPor = valor recibido | backend/legal-management-service/src/controllers/requerimientos-oc.controller.ts:129 obligatorio en la respuesta, sin formato</t>
        </is>
      </c>
      <c r="U1249" s="18" t="inlineStr">
        <is>
          <t>¿Qué envía el frontend: nombre, correo o identificador?</t>
        </is>
      </c>
      <c r="V1249" s="19" t="inlineStr">
        <is>
          <t>Aprobada</t>
        </is>
      </c>
      <c r="W1249" s="19" t="inlineStr"/>
      <c r="X1249" s="19" t="inlineStr">
        <is>
          <t>Aldair González (validación del responsable de BD)</t>
        </is>
      </c>
      <c r="Y1249" s="20" t="n">
        <v>46321</v>
      </c>
      <c r="Z1249" s="19" t="inlineStr">
        <is>
          <t>Nivel 3: validada por decisión del responsable de la base de datos. Pregunta registrada para desarrollo: ¿Qué envía el frontend: nombre, correo o identificador?</t>
        </is>
      </c>
      <c r="AA1249" s="18">
        <f>IF(OR(V1249="Aprobada"),R1249,IF(AND(OR(V1249="Aprobada con ajuste",V1249="Rechazada"),W1249&lt;&gt;""),W1249,""))</f>
        <v/>
      </c>
    </row>
    <row r="1250">
      <c r="A1250" s="18" t="inlineStr">
        <is>
          <t>C1249</t>
        </is>
      </c>
      <c r="B1250" s="18" t="inlineStr">
        <is>
          <t>Gestión jurídica</t>
        </is>
      </c>
      <c r="C1250" s="18" t="inlineStr">
        <is>
          <t>legal_management</t>
        </is>
      </c>
      <c r="D1250" s="18" t="inlineStr">
        <is>
          <t>system_configurations</t>
        </is>
      </c>
      <c r="E1250" s="18" t="n">
        <v>8</v>
      </c>
      <c r="F1250" s="18" t="inlineStr">
        <is>
          <t>module</t>
        </is>
      </c>
      <c r="G1250" s="18" t="inlineStr">
        <is>
          <t>character varying</t>
        </is>
      </c>
      <c r="H1250" s="18" t="inlineStr">
        <is>
          <t>No</t>
        </is>
      </c>
      <c r="I1250" s="18" t="inlineStr"/>
      <c r="J1250" s="18" t="inlineStr"/>
      <c r="K1250" s="18" t="inlineStr"/>
      <c r="L1250" s="18" t="inlineStr">
        <is>
          <t>Sí</t>
        </is>
      </c>
      <c r="M1250" s="18" t="inlineStr">
        <is>
          <t>No</t>
        </is>
      </c>
      <c r="N1250" s="18" t="inlineStr"/>
      <c r="O1250" s="18" t="inlineStr"/>
      <c r="P1250" s="18" t="inlineStr">
        <is>
          <t>Mapeada en legal-management-service/src/entities/system-configuration.entity.ts:8 (SystemConfiguration.module)</t>
        </is>
      </c>
      <c r="Q1250" s="18" t="inlineStr">
        <is>
          <t>Código fuente (verificado)</t>
        </is>
      </c>
      <c r="R1250" s="18" t="inlineStr">
        <is>
          <t>Módulo al que pertenece el parámetro de configuración; por ejemplo, defensa-judicial, juzgamiento o asesoria-juridica. Si no se indica, general.</t>
        </is>
      </c>
      <c r="S1250" s="18" t="inlineStr">
        <is>
          <t>Alta</t>
        </is>
      </c>
      <c r="T1250" s="18" t="inlineStr">
        <is>
          <t>backend/legal-management-service/src/services/configurations.service.ts:27 module = data.module o 'general' | db/migrations/old/081_seed_system_configurations.sql:9 módulos defensa-judicial, juzgamiento y asesoria-juridica | db/migrations/157_add_prescription_config.sql:10 módulo juzgamiento</t>
        </is>
      </c>
      <c r="U1250" s="18" t="inlineStr"/>
      <c r="V1250" s="19" t="inlineStr">
        <is>
          <t>Aprobada</t>
        </is>
      </c>
      <c r="W1250" s="19" t="inlineStr"/>
      <c r="X1250" s="19" t="inlineStr">
        <is>
          <t>Aldair González (aprobación en bloque)</t>
        </is>
      </c>
      <c r="Y1250" s="20" t="n">
        <v>46321</v>
      </c>
      <c r="Z1250" s="19" t="inlineStr">
        <is>
          <t>Nivel 3: verificada con el código de la aplicación.</t>
        </is>
      </c>
      <c r="AA1250" s="18">
        <f>IF(OR(V1250="Aprobada"),R1250,IF(AND(OR(V1250="Aprobada con ajuste",V1250="Rechazada"),W1250&lt;&gt;""),W1250,""))</f>
        <v/>
      </c>
    </row>
    <row r="1251">
      <c r="A1251" s="18" t="inlineStr">
        <is>
          <t>C1250</t>
        </is>
      </c>
      <c r="B1251" s="18" t="inlineStr">
        <is>
          <t>Gestión jurídica</t>
        </is>
      </c>
      <c r="C1251" s="18" t="inlineStr">
        <is>
          <t>legal_management</t>
        </is>
      </c>
      <c r="D1251" s="18" t="inlineStr">
        <is>
          <t>system_configurations</t>
        </is>
      </c>
      <c r="E1251" s="18" t="n">
        <v>8</v>
      </c>
      <c r="F1251" s="18" t="inlineStr">
        <is>
          <t>value</t>
        </is>
      </c>
      <c r="G1251" s="18" t="inlineStr">
        <is>
          <t>jsonb</t>
        </is>
      </c>
      <c r="H1251" s="18" t="inlineStr">
        <is>
          <t>No</t>
        </is>
      </c>
      <c r="I1251" s="18" t="inlineStr"/>
      <c r="J1251" s="18" t="inlineStr"/>
      <c r="K1251" s="18" t="inlineStr"/>
      <c r="L1251" s="18" t="inlineStr">
        <is>
          <t>Sí</t>
        </is>
      </c>
      <c r="M1251" s="18" t="inlineStr">
        <is>
          <t>No</t>
        </is>
      </c>
      <c r="N1251" s="18" t="inlineStr"/>
      <c r="O1251" s="18" t="inlineStr"/>
      <c r="P1251" s="18" t="inlineStr">
        <is>
          <t>Mapeada en legal-management-service/src/entities/system-configuration.entity.ts:11 (SystemConfiguration.value)</t>
        </is>
      </c>
      <c r="Q1251" s="18" t="inlineStr">
        <is>
          <t>Propuesta semántica</t>
        </is>
      </c>
      <c r="R1251" s="18" t="inlineStr">
        <is>
          <t>Valor del parámetro de configuración, en formato JSON.</t>
        </is>
      </c>
      <c r="S1251" s="18" t="inlineStr">
        <is>
          <t>Alta</t>
        </is>
      </c>
      <c r="T1251" s="18" t="inlineStr">
        <is>
          <t>nombre + tipo + columnas vecinas</t>
        </is>
      </c>
      <c r="U1251" s="18" t="inlineStr"/>
      <c r="V1251" s="19" t="inlineStr">
        <is>
          <t>Aprobada</t>
        </is>
      </c>
      <c r="W1251" s="19" t="inlineStr"/>
      <c r="X1251" s="19" t="inlineStr">
        <is>
          <t>Aldair González (aprobación en bloque)</t>
        </is>
      </c>
      <c r="Y1251" s="20" t="n">
        <v>46321</v>
      </c>
      <c r="Z1251" s="19" t="inlineStr">
        <is>
          <t>Nivel 1: propuesta del comentario del desarrollador o de confianza alta, o regla de fecha/responsable/motivo.</t>
        </is>
      </c>
      <c r="AA1251" s="18">
        <f>IF(OR(V1251="Aprobada"),R1251,IF(AND(OR(V1251="Aprobada con ajuste",V1251="Rechazada"),W1251&lt;&gt;""),W1251,""))</f>
        <v/>
      </c>
    </row>
    <row r="1252">
      <c r="A1252" s="18" t="inlineStr">
        <is>
          <t>C1251</t>
        </is>
      </c>
      <c r="B1252" s="18" t="inlineStr">
        <is>
          <t>Gestión jurídica</t>
        </is>
      </c>
      <c r="C1252" s="18" t="inlineStr">
        <is>
          <t>legal_management</t>
        </is>
      </c>
      <c r="D1252" s="18" t="inlineStr">
        <is>
          <t>system_configurations</t>
        </is>
      </c>
      <c r="E1252" s="18" t="n">
        <v>8</v>
      </c>
      <c r="F1252" s="18" t="inlineStr">
        <is>
          <t>description</t>
        </is>
      </c>
      <c r="G1252" s="18" t="inlineStr">
        <is>
          <t>text</t>
        </is>
      </c>
      <c r="H1252" s="18" t="inlineStr">
        <is>
          <t>Sí</t>
        </is>
      </c>
      <c r="I1252" s="18" t="inlineStr"/>
      <c r="J1252" s="18" t="inlineStr"/>
      <c r="K1252" s="18" t="inlineStr"/>
      <c r="L1252" s="18" t="inlineStr">
        <is>
          <t>Sí</t>
        </is>
      </c>
      <c r="M1252" s="18" t="inlineStr">
        <is>
          <t>No</t>
        </is>
      </c>
      <c r="N1252" s="18" t="inlineStr"/>
      <c r="O1252" s="18" t="inlineStr"/>
      <c r="P1252" s="18" t="inlineStr">
        <is>
          <t>Mapeada en legal-management-service/src/entities/system-configuration.entity.ts:14 (SystemConfiguration.description)</t>
        </is>
      </c>
      <c r="Q1252" s="18" t="inlineStr">
        <is>
          <t>Regla estructural (redacción revisada)</t>
        </is>
      </c>
      <c r="R1252" s="18" t="inlineStr">
        <is>
          <t>Descripción del parámetro de configuración del sistema.</t>
        </is>
      </c>
      <c r="S1252" s="18" t="inlineStr">
        <is>
          <t>Alta</t>
        </is>
      </c>
      <c r="T1252" s="18" t="inlineStr">
        <is>
          <t>Convención de nombre, redactada con el contexto de la tabla y el código.</t>
        </is>
      </c>
      <c r="U1252" s="18" t="inlineStr"/>
      <c r="V1252" s="19" t="inlineStr">
        <is>
          <t>Aprobada</t>
        </is>
      </c>
      <c r="W1252" s="19" t="inlineStr"/>
      <c r="X1252" s="19" t="inlineStr">
        <is>
          <t>Aldair González (aprobación en bloque)</t>
        </is>
      </c>
      <c r="Y1252" s="20" t="n">
        <v>46321</v>
      </c>
      <c r="Z1252" s="19" t="inlineStr">
        <is>
          <t>Nivel 2: regla estructural con redacción revisada.</t>
        </is>
      </c>
      <c r="AA1252" s="18">
        <f>IF(OR(V1252="Aprobada"),R1252,IF(AND(OR(V1252="Aprobada con ajuste",V1252="Rechazada"),W1252&lt;&gt;""),W1252,""))</f>
        <v/>
      </c>
    </row>
    <row r="1253">
      <c r="A1253" s="18" t="inlineStr">
        <is>
          <t>C1252</t>
        </is>
      </c>
      <c r="B1253" s="18" t="inlineStr">
        <is>
          <t>Gestión jurídica</t>
        </is>
      </c>
      <c r="C1253" s="18" t="inlineStr">
        <is>
          <t>legal_management</t>
        </is>
      </c>
      <c r="D1253" s="18" t="inlineStr">
        <is>
          <t>tareas_expediente</t>
        </is>
      </c>
      <c r="E1253" s="18" t="n">
        <v>35</v>
      </c>
      <c r="F1253" s="18" t="inlineStr">
        <is>
          <t>titulo</t>
        </is>
      </c>
      <c r="G1253" s="18" t="inlineStr">
        <is>
          <t>character varying(255)</t>
        </is>
      </c>
      <c r="H1253" s="18" t="inlineStr">
        <is>
          <t>No</t>
        </is>
      </c>
      <c r="I1253" s="18" t="inlineStr"/>
      <c r="J1253" s="18" t="inlineStr"/>
      <c r="K1253" s="18" t="inlineStr"/>
      <c r="L1253" s="18" t="inlineStr">
        <is>
          <t>No</t>
        </is>
      </c>
      <c r="M1253" s="18" t="inlineStr">
        <is>
          <t>No</t>
        </is>
      </c>
      <c r="N1253" s="18" t="inlineStr"/>
      <c r="O1253" s="18" t="inlineStr"/>
      <c r="P1253" s="18" t="inlineStr">
        <is>
          <t>db/migrations/old/054_create_tareas_notas_expediente.sql:16: Datos de la tarea</t>
        </is>
      </c>
      <c r="Q1253" s="18" t="inlineStr">
        <is>
          <t>Código fuente</t>
        </is>
      </c>
      <c r="R1253" s="18" t="inlineStr">
        <is>
          <t>Título de la tarea.</t>
        </is>
      </c>
      <c r="S1253" s="18" t="inlineStr">
        <is>
          <t>Alta</t>
        </is>
      </c>
      <c r="T1253" s="18" t="inlineStr">
        <is>
          <t>código: db/migrations/old/054_create_tareas_notas_expediente.sql:16</t>
        </is>
      </c>
      <c r="U1253" s="18" t="inlineStr"/>
      <c r="V1253" s="19" t="inlineStr">
        <is>
          <t>Aprobada</t>
        </is>
      </c>
      <c r="W1253" s="19" t="inlineStr"/>
      <c r="X1253" s="19" t="inlineStr">
        <is>
          <t>Aldair González (aprobación en bloque)</t>
        </is>
      </c>
      <c r="Y1253" s="20" t="n">
        <v>46321</v>
      </c>
      <c r="Z1253" s="19" t="inlineStr">
        <is>
          <t>Nivel 1: propuesta del comentario del desarrollador o de confianza alta, o regla de fecha/responsable/motivo.</t>
        </is>
      </c>
      <c r="AA1253" s="18">
        <f>IF(OR(V1253="Aprobada"),R1253,IF(AND(OR(V1253="Aprobada con ajuste",V1253="Rechazada"),W1253&lt;&gt;""),W1253,""))</f>
        <v/>
      </c>
    </row>
    <row r="1254">
      <c r="A1254" s="18" t="inlineStr">
        <is>
          <t>C1253</t>
        </is>
      </c>
      <c r="B1254" s="18" t="inlineStr">
        <is>
          <t>Gestión jurídica</t>
        </is>
      </c>
      <c r="C1254" s="18" t="inlineStr">
        <is>
          <t>legal_management</t>
        </is>
      </c>
      <c r="D1254" s="18" t="inlineStr">
        <is>
          <t>tareas_expediente</t>
        </is>
      </c>
      <c r="E1254" s="18" t="n">
        <v>35</v>
      </c>
      <c r="F1254" s="18" t="inlineStr">
        <is>
          <t>descripcion</t>
        </is>
      </c>
      <c r="G1254" s="18" t="inlineStr">
        <is>
          <t>text</t>
        </is>
      </c>
      <c r="H1254" s="18" t="inlineStr">
        <is>
          <t>Sí</t>
        </is>
      </c>
      <c r="I1254" s="18" t="inlineStr"/>
      <c r="J1254" s="18" t="inlineStr"/>
      <c r="K1254" s="18" t="inlineStr"/>
      <c r="L1254" s="18" t="inlineStr">
        <is>
          <t>No</t>
        </is>
      </c>
      <c r="M1254" s="18" t="inlineStr">
        <is>
          <t>No</t>
        </is>
      </c>
      <c r="N1254" s="18" t="inlineStr"/>
      <c r="O1254" s="18" t="inlineStr"/>
      <c r="P1254" s="18" t="inlineStr">
        <is>
          <t>Mapeada en legal-management-service/src/entities/tarea-expediente.entity.ts:19 (TareaExpediente.descripcion)</t>
        </is>
      </c>
      <c r="Q1254" s="18" t="inlineStr">
        <is>
          <t>Regla estructural (redacción revisada)</t>
        </is>
      </c>
      <c r="R1254" s="18" t="inlineStr">
        <is>
          <t>Descripción de la tarea del expediente.</t>
        </is>
      </c>
      <c r="S1254" s="18" t="inlineStr">
        <is>
          <t>Alta</t>
        </is>
      </c>
      <c r="T1254" s="18" t="inlineStr">
        <is>
          <t>Convención de nombre, redactada con el contexto de la tabla y el código.</t>
        </is>
      </c>
      <c r="U1254" s="18" t="inlineStr"/>
      <c r="V1254" s="19" t="inlineStr">
        <is>
          <t>Aprobada</t>
        </is>
      </c>
      <c r="W1254" s="19" t="inlineStr"/>
      <c r="X1254" s="19" t="inlineStr">
        <is>
          <t>Aldair González (aprobación en bloque)</t>
        </is>
      </c>
      <c r="Y1254" s="20" t="n">
        <v>46321</v>
      </c>
      <c r="Z1254" s="19" t="inlineStr">
        <is>
          <t>Nivel 2: regla estructural con redacción revisada.</t>
        </is>
      </c>
      <c r="AA1254" s="18">
        <f>IF(OR(V1254="Aprobada"),R1254,IF(AND(OR(V1254="Aprobada con ajuste",V1254="Rechazada"),W1254&lt;&gt;""),W1254,""))</f>
        <v/>
      </c>
    </row>
    <row r="1255">
      <c r="A1255" s="18" t="inlineStr">
        <is>
          <t>C1254</t>
        </is>
      </c>
      <c r="B1255" s="18" t="inlineStr">
        <is>
          <t>Gestión jurídica</t>
        </is>
      </c>
      <c r="C1255" s="18" t="inlineStr">
        <is>
          <t>legal_management</t>
        </is>
      </c>
      <c r="D1255" s="18" t="inlineStr">
        <is>
          <t>tareas_expediente</t>
        </is>
      </c>
      <c r="E1255" s="18" t="n">
        <v>35</v>
      </c>
      <c r="F1255" s="18" t="inlineStr">
        <is>
          <t>fecha_vencimiento</t>
        </is>
      </c>
      <c r="G1255" s="18" t="inlineStr">
        <is>
          <t>timestamp without time zone</t>
        </is>
      </c>
      <c r="H1255" s="18" t="inlineStr">
        <is>
          <t>Sí</t>
        </is>
      </c>
      <c r="I1255" s="18" t="inlineStr"/>
      <c r="J1255" s="18" t="inlineStr"/>
      <c r="K1255" s="18" t="inlineStr"/>
      <c r="L1255" s="18" t="inlineStr">
        <is>
          <t>No</t>
        </is>
      </c>
      <c r="M1255" s="18" t="inlineStr">
        <is>
          <t>No</t>
        </is>
      </c>
      <c r="N1255" s="18" t="inlineStr"/>
      <c r="O1255" s="18" t="inlineStr">
        <is>
          <t>idx_tareas_vencimiento</t>
        </is>
      </c>
      <c r="P1255" s="18" t="inlineStr">
        <is>
          <t>Mapeada en legal-management-service/src/entities/tarea-expediente.entity.ts:22 (TareaExpediente.fechaVencimiento)</t>
        </is>
      </c>
      <c r="Q1255" s="18" t="inlineStr">
        <is>
          <t>Regla estructural (redacción revisada)</t>
        </is>
      </c>
      <c r="R1255" s="18" t="inlineStr">
        <is>
          <t>Fecha y hora de vencimiento de la tarea del expediente.</t>
        </is>
      </c>
      <c r="S1255" s="18" t="inlineStr">
        <is>
          <t>Alta</t>
        </is>
      </c>
      <c r="T1255" s="18" t="inlineStr">
        <is>
          <t>Convención de nombre, redactada con el contexto de la tabla y el código.</t>
        </is>
      </c>
      <c r="U1255" s="18" t="inlineStr"/>
      <c r="V1255" s="19" t="inlineStr">
        <is>
          <t>Aprobada</t>
        </is>
      </c>
      <c r="W1255" s="19" t="inlineStr"/>
      <c r="X1255" s="19" t="inlineStr">
        <is>
          <t>Aldair González (aprobación en bloque)</t>
        </is>
      </c>
      <c r="Y1255" s="20" t="n">
        <v>46321</v>
      </c>
      <c r="Z1255" s="19" t="inlineStr">
        <is>
          <t>Nivel 2: regla estructural con redacción revisada.</t>
        </is>
      </c>
      <c r="AA1255" s="18">
        <f>IF(OR(V1255="Aprobada"),R1255,IF(AND(OR(V1255="Aprobada con ajuste",V1255="Rechazada"),W1255&lt;&gt;""),W1255,""))</f>
        <v/>
      </c>
    </row>
    <row r="1256">
      <c r="A1256" s="18" t="inlineStr">
        <is>
          <t>C1255</t>
        </is>
      </c>
      <c r="B1256" s="18" t="inlineStr">
        <is>
          <t>Gestión jurídica</t>
        </is>
      </c>
      <c r="C1256" s="18" t="inlineStr">
        <is>
          <t>legal_management</t>
        </is>
      </c>
      <c r="D1256" s="18" t="inlineStr">
        <is>
          <t>tareas_expediente</t>
        </is>
      </c>
      <c r="E1256" s="18" t="n">
        <v>35</v>
      </c>
      <c r="F1256" s="18" t="inlineStr">
        <is>
          <t>responsable_id</t>
        </is>
      </c>
      <c r="G1256" s="18" t="inlineStr">
        <is>
          <t>uuid</t>
        </is>
      </c>
      <c r="H1256" s="18" t="inlineStr">
        <is>
          <t>Sí</t>
        </is>
      </c>
      <c r="I1256" s="18" t="inlineStr"/>
      <c r="J1256" s="18" t="inlineStr"/>
      <c r="K1256" s="18" t="inlineStr"/>
      <c r="L1256" s="18" t="inlineStr">
        <is>
          <t>No</t>
        </is>
      </c>
      <c r="M1256" s="18" t="inlineStr">
        <is>
          <t>No</t>
        </is>
      </c>
      <c r="N1256" s="18" t="inlineStr"/>
      <c r="O1256" s="18" t="inlineStr">
        <is>
          <t>idx_tareas_responsable</t>
        </is>
      </c>
      <c r="P1256" s="18" t="inlineStr">
        <is>
          <t>db/migrations/old/054_create_tareas_notas_expediente.sql:23: Asignación</t>
        </is>
      </c>
      <c r="Q1256" s="18" t="inlineStr">
        <is>
          <t>Código fuente</t>
        </is>
      </c>
      <c r="R1256" s="18" t="inlineStr">
        <is>
          <t>Identificador del responsable asignado a la tarea.</t>
        </is>
      </c>
      <c r="S1256" s="18" t="inlineStr">
        <is>
          <t>Alta</t>
        </is>
      </c>
      <c r="T1256" s="18" t="inlineStr">
        <is>
          <t>código: db/migrations/old/054_create_tareas_notas_expediente.sql:23</t>
        </is>
      </c>
      <c r="U1256" s="18" t="inlineStr"/>
      <c r="V1256" s="19" t="inlineStr">
        <is>
          <t>Aprobada</t>
        </is>
      </c>
      <c r="W1256" s="19" t="inlineStr"/>
      <c r="X1256" s="19" t="inlineStr">
        <is>
          <t>Aldair González (aprobación en bloque)</t>
        </is>
      </c>
      <c r="Y1256" s="20" t="n">
        <v>46321</v>
      </c>
      <c r="Z1256" s="19" t="inlineStr">
        <is>
          <t>Nivel 1: propuesta del comentario del desarrollador o de confianza alta, o regla de fecha/responsable/motivo.</t>
        </is>
      </c>
      <c r="AA1256" s="18">
        <f>IF(OR(V1256="Aprobada"),R1256,IF(AND(OR(V1256="Aprobada con ajuste",V1256="Rechazada"),W1256&lt;&gt;""),W1256,""))</f>
        <v/>
      </c>
    </row>
    <row r="1257">
      <c r="A1257" s="18" t="inlineStr">
        <is>
          <t>C1256</t>
        </is>
      </c>
      <c r="B1257" s="18" t="inlineStr">
        <is>
          <t>Gestión jurídica</t>
        </is>
      </c>
      <c r="C1257" s="18" t="inlineStr">
        <is>
          <t>legal_management</t>
        </is>
      </c>
      <c r="D1257" s="18" t="inlineStr">
        <is>
          <t>tareas_expediente</t>
        </is>
      </c>
      <c r="E1257" s="18" t="n">
        <v>35</v>
      </c>
      <c r="F1257" s="18" t="inlineStr">
        <is>
          <t>responsable_nombre</t>
        </is>
      </c>
      <c r="G1257" s="18" t="inlineStr">
        <is>
          <t>character varying(255)</t>
        </is>
      </c>
      <c r="H1257" s="18" t="inlineStr">
        <is>
          <t>Sí</t>
        </is>
      </c>
      <c r="I1257" s="18" t="inlineStr"/>
      <c r="J1257" s="18" t="inlineStr"/>
      <c r="K1257" s="18" t="inlineStr"/>
      <c r="L1257" s="18" t="inlineStr">
        <is>
          <t>No</t>
        </is>
      </c>
      <c r="M1257" s="18" t="inlineStr">
        <is>
          <t>No</t>
        </is>
      </c>
      <c r="N1257" s="18" t="inlineStr"/>
      <c r="O1257" s="18" t="inlineStr"/>
      <c r="P1257" s="18" t="inlineStr">
        <is>
          <t>db/migrations/old/054_create_tareas_notas_expediente.sql:24: Backup if responsable is not a registered abogado</t>
        </is>
      </c>
      <c r="Q1257" s="18" t="inlineStr">
        <is>
          <t>Código fuente</t>
        </is>
      </c>
      <c r="R1257" s="18" t="inlineStr">
        <is>
          <t>Nombre del responsable de la tarea; se usa cuando el responsable no es un abogado registrado.</t>
        </is>
      </c>
      <c r="S1257" s="18" t="inlineStr">
        <is>
          <t>Alta</t>
        </is>
      </c>
      <c r="T1257" s="18" t="inlineStr">
        <is>
          <t>código: db/migrations/old/054_create_tareas_notas_expediente.sql:24</t>
        </is>
      </c>
      <c r="U1257" s="18" t="inlineStr"/>
      <c r="V1257" s="19" t="inlineStr">
        <is>
          <t>Aprobada</t>
        </is>
      </c>
      <c r="W1257" s="19" t="inlineStr"/>
      <c r="X1257" s="19" t="inlineStr">
        <is>
          <t>Aldair González (aprobación en bloque)</t>
        </is>
      </c>
      <c r="Y1257" s="20" t="n">
        <v>46321</v>
      </c>
      <c r="Z1257" s="19" t="inlineStr">
        <is>
          <t>Nivel 1: propuesta del comentario del desarrollador o de confianza alta, o regla de fecha/responsable/motivo.</t>
        </is>
      </c>
      <c r="AA1257" s="18">
        <f>IF(OR(V1257="Aprobada"),R1257,IF(AND(OR(V1257="Aprobada con ajuste",V1257="Rechazada"),W1257&lt;&gt;""),W1257,""))</f>
        <v/>
      </c>
    </row>
    <row r="1258">
      <c r="A1258" s="18" t="inlineStr">
        <is>
          <t>C1257</t>
        </is>
      </c>
      <c r="B1258" s="18" t="inlineStr">
        <is>
          <t>Gestión jurídica</t>
        </is>
      </c>
      <c r="C1258" s="18" t="inlineStr">
        <is>
          <t>legal_management</t>
        </is>
      </c>
      <c r="D1258" s="18" t="inlineStr">
        <is>
          <t>tareas_expediente</t>
        </is>
      </c>
      <c r="E1258" s="18" t="n">
        <v>35</v>
      </c>
      <c r="F1258" s="18" t="inlineStr">
        <is>
          <t>fecha_completada</t>
        </is>
      </c>
      <c r="G1258" s="18" t="inlineStr">
        <is>
          <t>timestamp without time zone</t>
        </is>
      </c>
      <c r="H1258" s="18" t="inlineStr">
        <is>
          <t>Sí</t>
        </is>
      </c>
      <c r="I1258" s="18" t="inlineStr"/>
      <c r="J1258" s="18" t="inlineStr"/>
      <c r="K1258" s="18" t="inlineStr"/>
      <c r="L1258" s="18" t="inlineStr">
        <is>
          <t>No</t>
        </is>
      </c>
      <c r="M1258" s="18" t="inlineStr">
        <is>
          <t>No</t>
        </is>
      </c>
      <c r="N1258" s="18" t="inlineStr"/>
      <c r="O1258" s="18" t="inlineStr"/>
      <c r="P1258" s="18" t="inlineStr">
        <is>
          <t>Mapeada en legal-management-service/src/entities/tarea-expediente.entity.ts:40 (TareaExpediente.fechaCompletada)</t>
        </is>
      </c>
      <c r="Q1258" s="18" t="inlineStr">
        <is>
          <t>Regla estructural (redacción revisada)</t>
        </is>
      </c>
      <c r="R1258" s="18" t="inlineStr">
        <is>
          <t>Fecha y hora en que se completó la tarea del expediente.</t>
        </is>
      </c>
      <c r="S1258" s="18" t="inlineStr">
        <is>
          <t>Alta</t>
        </is>
      </c>
      <c r="T1258" s="18" t="inlineStr">
        <is>
          <t>Convención de nombre, redactada con el contexto de la tabla y el código.</t>
        </is>
      </c>
      <c r="U1258" s="18" t="inlineStr"/>
      <c r="V1258" s="19" t="inlineStr">
        <is>
          <t>Aprobada</t>
        </is>
      </c>
      <c r="W1258" s="19" t="inlineStr"/>
      <c r="X1258" s="19" t="inlineStr">
        <is>
          <t>Aldair González (aprobación en bloque)</t>
        </is>
      </c>
      <c r="Y1258" s="20" t="n">
        <v>46321</v>
      </c>
      <c r="Z1258" s="19" t="inlineStr">
        <is>
          <t>Nivel 2: regla estructural con redacción revisada.</t>
        </is>
      </c>
      <c r="AA1258" s="18">
        <f>IF(OR(V1258="Aprobada"),R1258,IF(AND(OR(V1258="Aprobada con ajuste",V1258="Rechazada"),W1258&lt;&gt;""),W1258,""))</f>
        <v/>
      </c>
    </row>
    <row r="1259">
      <c r="A1259" s="18" t="inlineStr">
        <is>
          <t>C1258</t>
        </is>
      </c>
      <c r="B1259" s="18" t="inlineStr">
        <is>
          <t>Gestión jurídica</t>
        </is>
      </c>
      <c r="C1259" s="18" t="inlineStr">
        <is>
          <t>legal_management</t>
        </is>
      </c>
      <c r="D1259" s="18" t="inlineStr">
        <is>
          <t>tasas_referencia</t>
        </is>
      </c>
      <c r="E1259" s="18" t="n">
        <v>0</v>
      </c>
      <c r="F1259" s="18" t="inlineStr">
        <is>
          <t>anio</t>
        </is>
      </c>
      <c r="G1259" s="18" t="inlineStr">
        <is>
          <t>integer</t>
        </is>
      </c>
      <c r="H1259" s="18" t="inlineStr">
        <is>
          <t>No</t>
        </is>
      </c>
      <c r="I1259" s="18" t="inlineStr"/>
      <c r="J1259" s="18" t="inlineStr"/>
      <c r="K1259" s="18" t="inlineStr"/>
      <c r="L1259" s="18" t="inlineStr">
        <is>
          <t>No</t>
        </is>
      </c>
      <c r="M1259" s="18" t="inlineStr">
        <is>
          <t>No</t>
        </is>
      </c>
      <c r="N1259" s="18" t="inlineStr"/>
      <c r="O1259" s="18" t="inlineStr"/>
      <c r="P1259" s="18" t="inlineStr">
        <is>
          <t>Mapeada en legal-management-service/src/entities/tasa-referencia.entity.ts:13 (TasaReferencia.anio)</t>
        </is>
      </c>
      <c r="Q1259" s="18" t="inlineStr">
        <is>
          <t>Regla estructural (redacción revisada)</t>
        </is>
      </c>
      <c r="R1259" s="18" t="inlineStr">
        <is>
          <t>Año al que corresponde la tasa de referencia.</t>
        </is>
      </c>
      <c r="S1259" s="18" t="inlineStr">
        <is>
          <t>Alta</t>
        </is>
      </c>
      <c r="T1259" s="18" t="inlineStr">
        <is>
          <t>Convención de nombre, redactada con el contexto de la tabla y el código.</t>
        </is>
      </c>
      <c r="U1259" s="18" t="inlineStr"/>
      <c r="V1259" s="19" t="inlineStr">
        <is>
          <t>Aprobada</t>
        </is>
      </c>
      <c r="W1259" s="19" t="inlineStr"/>
      <c r="X1259" s="19" t="inlineStr">
        <is>
          <t>Aldair González (aprobación en bloque)</t>
        </is>
      </c>
      <c r="Y1259" s="20" t="n">
        <v>46321</v>
      </c>
      <c r="Z1259" s="19" t="inlineStr">
        <is>
          <t>Nivel 2: regla estructural con redacción revisada.</t>
        </is>
      </c>
      <c r="AA1259" s="18">
        <f>IF(OR(V1259="Aprobada"),R1259,IF(AND(OR(V1259="Aprobada con ajuste",V1259="Rechazada"),W1259&lt;&gt;""),W1259,""))</f>
        <v/>
      </c>
    </row>
    <row r="1260">
      <c r="A1260" s="18" t="inlineStr">
        <is>
          <t>C1259</t>
        </is>
      </c>
      <c r="B1260" s="18" t="inlineStr">
        <is>
          <t>Gestión jurídica</t>
        </is>
      </c>
      <c r="C1260" s="18" t="inlineStr">
        <is>
          <t>legal_management</t>
        </is>
      </c>
      <c r="D1260" s="18" t="inlineStr">
        <is>
          <t>tasas_referencia</t>
        </is>
      </c>
      <c r="E1260" s="18" t="n">
        <v>0</v>
      </c>
      <c r="F1260" s="18" t="inlineStr">
        <is>
          <t>mes</t>
        </is>
      </c>
      <c r="G1260" s="18" t="inlineStr">
        <is>
          <t>integer</t>
        </is>
      </c>
      <c r="H1260" s="18" t="inlineStr">
        <is>
          <t>No</t>
        </is>
      </c>
      <c r="I1260" s="18" t="inlineStr"/>
      <c r="J1260" s="18" t="inlineStr"/>
      <c r="K1260" s="18" t="inlineStr"/>
      <c r="L1260" s="18" t="inlineStr">
        <is>
          <t>No</t>
        </is>
      </c>
      <c r="M1260" s="18" t="inlineStr">
        <is>
          <t>No</t>
        </is>
      </c>
      <c r="N1260" s="18" t="inlineStr"/>
      <c r="O1260" s="18" t="inlineStr"/>
      <c r="P1260" s="18" t="inlineStr">
        <is>
          <t>legal-management-service/src/entities/tasa-referencia.entity.ts:16: 1 to 12</t>
        </is>
      </c>
      <c r="Q1260" s="18" t="inlineStr">
        <is>
          <t>Código fuente</t>
        </is>
      </c>
      <c r="R1260" s="18" t="inlineStr">
        <is>
          <t>Mes de la tasa de referencia, de 1 a 12.</t>
        </is>
      </c>
      <c r="S1260" s="18" t="inlineStr">
        <is>
          <t>Alta</t>
        </is>
      </c>
      <c r="T1260" s="18" t="inlineStr">
        <is>
          <t>código: tasa-referencia.entity.ts:16</t>
        </is>
      </c>
      <c r="U1260" s="18" t="inlineStr"/>
      <c r="V1260" s="19" t="inlineStr">
        <is>
          <t>Aprobada</t>
        </is>
      </c>
      <c r="W1260" s="19" t="inlineStr"/>
      <c r="X1260" s="19" t="inlineStr">
        <is>
          <t>Aldair González (aprobación en bloque)</t>
        </is>
      </c>
      <c r="Y1260" s="20" t="n">
        <v>46321</v>
      </c>
      <c r="Z1260" s="19" t="inlineStr">
        <is>
          <t>Nivel 1: propuesta del comentario del desarrollador o de confianza alta, o regla de fecha/responsable/motivo.</t>
        </is>
      </c>
      <c r="AA1260" s="18">
        <f>IF(OR(V1260="Aprobada"),R1260,IF(AND(OR(V1260="Aprobada con ajuste",V1260="Rechazada"),W1260&lt;&gt;""),W1260,""))</f>
        <v/>
      </c>
    </row>
    <row r="1261">
      <c r="A1261" s="18" t="inlineStr">
        <is>
          <t>C1260</t>
        </is>
      </c>
      <c r="B1261" s="18" t="inlineStr">
        <is>
          <t>Gestión jurídica</t>
        </is>
      </c>
      <c r="C1261" s="18" t="inlineStr">
        <is>
          <t>legal_management</t>
        </is>
      </c>
      <c r="D1261" s="18" t="inlineStr">
        <is>
          <t>tasas_referencia</t>
        </is>
      </c>
      <c r="E1261" s="18" t="n">
        <v>0</v>
      </c>
      <c r="F1261" s="18" t="inlineStr">
        <is>
          <t>valor_tasa</t>
        </is>
      </c>
      <c r="G1261" s="18" t="inlineStr">
        <is>
          <t>numeric(5,2)</t>
        </is>
      </c>
      <c r="H1261" s="18" t="inlineStr">
        <is>
          <t>No</t>
        </is>
      </c>
      <c r="I1261" s="18" t="inlineStr"/>
      <c r="J1261" s="18" t="inlineStr"/>
      <c r="K1261" s="18" t="inlineStr"/>
      <c r="L1261" s="18" t="inlineStr">
        <is>
          <t>No</t>
        </is>
      </c>
      <c r="M1261" s="18" t="inlineStr">
        <is>
          <t>No</t>
        </is>
      </c>
      <c r="N1261" s="18" t="inlineStr"/>
      <c r="O1261" s="18" t="inlineStr"/>
      <c r="P1261" s="18" t="inlineStr">
        <is>
          <t>Mapeada en legal-management-service/src/entities/tasa-referencia.entity.ts:19 (TasaReferencia.valorTasa)</t>
        </is>
      </c>
      <c r="Q1261" s="18" t="inlineStr">
        <is>
          <t>Código fuente (verificado)</t>
        </is>
      </c>
      <c r="R1261" s="18" t="inlineStr">
        <is>
          <t>Valor de la tasa de referencia para el año y el mes, en porcentaje anual; la liquidación lo divide entre 12 para el interés mensual.</t>
        </is>
      </c>
      <c r="S1261" s="18" t="inlineStr">
        <is>
          <t>Alta</t>
        </is>
      </c>
      <c r="T1261" s="18" t="inlineStr">
        <is>
          <t>backend/legal-management-service/src/services/proceso-coactivo.service.ts:404 interés mensual = capital * (tasa anual / 12) / 100</t>
        </is>
      </c>
      <c r="U1261" s="18" t="inlineStr"/>
      <c r="V1261" s="19" t="inlineStr">
        <is>
          <t>Aprobada</t>
        </is>
      </c>
      <c r="W1261" s="19" t="inlineStr"/>
      <c r="X1261" s="19" t="inlineStr">
        <is>
          <t>Aldair González (aprobación en bloque)</t>
        </is>
      </c>
      <c r="Y1261" s="20" t="n">
        <v>46321</v>
      </c>
      <c r="Z1261" s="19" t="inlineStr">
        <is>
          <t>Nivel 3: verificada con el código de la aplicación.</t>
        </is>
      </c>
      <c r="AA1261" s="18">
        <f>IF(OR(V1261="Aprobada"),R1261,IF(AND(OR(V1261="Aprobada con ajuste",V1261="Rechazada"),W1261&lt;&gt;""),W1261,""))</f>
        <v/>
      </c>
    </row>
    <row r="1262">
      <c r="A1262" s="18" t="inlineStr">
        <is>
          <t>C1261</t>
        </is>
      </c>
      <c r="B1262" s="18" t="inlineStr">
        <is>
          <t>Gestión jurídica</t>
        </is>
      </c>
      <c r="C1262" s="18" t="inlineStr">
        <is>
          <t>legal_management</t>
        </is>
      </c>
      <c r="D1262" s="18" t="inlineStr">
        <is>
          <t>tasas_referencia</t>
        </is>
      </c>
      <c r="E1262" s="18" t="n">
        <v>0</v>
      </c>
      <c r="F1262" s="18" t="inlineStr">
        <is>
          <t>tipo_tasa</t>
        </is>
      </c>
      <c r="G1262" s="18" t="inlineStr">
        <is>
          <t>character varying(20)</t>
        </is>
      </c>
      <c r="H1262" s="18" t="inlineStr">
        <is>
          <t>No</t>
        </is>
      </c>
      <c r="I1262" s="18" t="inlineStr"/>
      <c r="J1262" s="18" t="inlineStr"/>
      <c r="K1262" s="18" t="inlineStr"/>
      <c r="L1262" s="18" t="inlineStr">
        <is>
          <t>No</t>
        </is>
      </c>
      <c r="M1262" s="18" t="inlineStr">
        <is>
          <t>No</t>
        </is>
      </c>
      <c r="N1262" s="18" t="inlineStr"/>
      <c r="O1262" s="18" t="inlineStr"/>
      <c r="P1262" s="18" t="inlineStr">
        <is>
          <t>Mapeada en legal-management-service/src/entities/tasa-referencia.entity.ts:22 (TasaReferencia.tipoTasa)</t>
        </is>
      </c>
      <c r="Q1262" s="18" t="inlineStr">
        <is>
          <t>Código fuente (verificado)</t>
        </is>
      </c>
      <c r="R1262" s="18" t="inlineStr">
        <is>
          <t>Tipo de tasa de referencia: DIAN o USURA. Por defecto, DIAN.</t>
        </is>
      </c>
      <c r="S1262" s="18" t="inlineStr">
        <is>
          <t>Alta</t>
        </is>
      </c>
      <c r="T1262" s="18" t="inlineStr">
        <is>
          <t>backend/legal-management-service/src/entities/tasa-referencia.entity.ts:3 enum TipoTasaReferencia: USURA, DIAN | backend/legal-management-service/src/entities/tasa-referencia.entity.ts:25 default DIAN</t>
        </is>
      </c>
      <c r="U1262" s="18" t="inlineStr"/>
      <c r="V1262" s="19" t="inlineStr">
        <is>
          <t>Aprobada</t>
        </is>
      </c>
      <c r="W1262" s="19" t="inlineStr"/>
      <c r="X1262" s="19" t="inlineStr">
        <is>
          <t>Aldair González (aprobación en bloque)</t>
        </is>
      </c>
      <c r="Y1262" s="20" t="n">
        <v>46321</v>
      </c>
      <c r="Z1262" s="19" t="inlineStr">
        <is>
          <t>Nivel 3: verificada con el código de la aplicación.</t>
        </is>
      </c>
      <c r="AA1262" s="18">
        <f>IF(OR(V1262="Aprobada"),R1262,IF(AND(OR(V1262="Aprobada con ajuste",V1262="Rechazada"),W1262&lt;&gt;""),W1262,""))</f>
        <v/>
      </c>
    </row>
    <row r="1263">
      <c r="A1263" s="18" t="inlineStr">
        <is>
          <t>C1262</t>
        </is>
      </c>
      <c r="B1263" s="18" t="inlineStr">
        <is>
          <t>Gestión jurídica</t>
        </is>
      </c>
      <c r="C1263" s="18" t="inlineStr">
        <is>
          <t>legal_management</t>
        </is>
      </c>
      <c r="D1263" s="18" t="inlineStr">
        <is>
          <t>terminos_alertas_enviadas</t>
        </is>
      </c>
      <c r="E1263" s="18" t="n">
        <v>109</v>
      </c>
      <c r="F1263" s="18" t="inlineStr">
        <is>
          <t>fecha_envio</t>
        </is>
      </c>
      <c r="G1263" s="18" t="inlineStr">
        <is>
          <t>timestamp with time zone</t>
        </is>
      </c>
      <c r="H1263" s="18" t="inlineStr">
        <is>
          <t>No</t>
        </is>
      </c>
      <c r="I1263" s="18" t="inlineStr"/>
      <c r="J1263" s="18" t="inlineStr"/>
      <c r="K1263" s="18" t="inlineStr"/>
      <c r="L1263" s="18" t="inlineStr">
        <is>
          <t>No</t>
        </is>
      </c>
      <c r="M1263" s="18" t="inlineStr">
        <is>
          <t>No</t>
        </is>
      </c>
      <c r="N1263" s="18" t="inlineStr"/>
      <c r="O1263" s="18" t="inlineStr"/>
      <c r="P1263" s="18" t="inlineStr">
        <is>
          <t>Mapeada en legal-management-service/src/entities/alerta-termino-enviada.entity.ts:17 (AlertaTerminoEnviada.fechaEnvio)</t>
        </is>
      </c>
      <c r="Q1263" s="18" t="inlineStr">
        <is>
          <t>Regla estructural (redacción revisada)</t>
        </is>
      </c>
      <c r="R1263" s="18" t="inlineStr">
        <is>
          <t>Fecha y hora de envío de la alerta de término.</t>
        </is>
      </c>
      <c r="S1263" s="18" t="inlineStr">
        <is>
          <t>Alta</t>
        </is>
      </c>
      <c r="T1263" s="18" t="inlineStr">
        <is>
          <t>Convención de nombre, redactada con el contexto de la tabla y el código.</t>
        </is>
      </c>
      <c r="U1263" s="18" t="inlineStr"/>
      <c r="V1263" s="19" t="inlineStr">
        <is>
          <t>Aprobada</t>
        </is>
      </c>
      <c r="W1263" s="19" t="inlineStr"/>
      <c r="X1263" s="19" t="inlineStr">
        <is>
          <t>Aldair González (aprobación en bloque)</t>
        </is>
      </c>
      <c r="Y1263" s="20" t="n">
        <v>46321</v>
      </c>
      <c r="Z1263" s="19" t="inlineStr">
        <is>
          <t>Nivel 2: regla estructural con redacción revisada.</t>
        </is>
      </c>
      <c r="AA1263" s="18">
        <f>IF(OR(V1263="Aprobada"),R1263,IF(AND(OR(V1263="Aprobada con ajuste",V1263="Rechazada"),W1263&lt;&gt;""),W1263,""))</f>
        <v/>
      </c>
    </row>
    <row r="1264">
      <c r="A1264" s="18" t="inlineStr">
        <is>
          <t>C1263</t>
        </is>
      </c>
      <c r="B1264" s="18" t="inlineStr">
        <is>
          <t>Gestión jurídica</t>
        </is>
      </c>
      <c r="C1264" s="18" t="inlineStr">
        <is>
          <t>legal_management</t>
        </is>
      </c>
      <c r="D1264" s="18" t="inlineStr">
        <is>
          <t>terminos_procesales</t>
        </is>
      </c>
      <c r="E1264" s="18" t="n">
        <v>233</v>
      </c>
      <c r="F1264" s="18" t="inlineStr">
        <is>
          <t>origen_modulo</t>
        </is>
      </c>
      <c r="G1264" s="18" t="inlineStr">
        <is>
          <t>character varying(50)</t>
        </is>
      </c>
      <c r="H1264" s="18" t="inlineStr">
        <is>
          <t>No</t>
        </is>
      </c>
      <c r="I1264" s="18" t="inlineStr">
        <is>
          <t>CHECK</t>
        </is>
      </c>
      <c r="J1264" s="18" t="inlineStr">
        <is>
          <t>ASESORIA, DEFENSA, JUZGAMIENTO, MANUAL, ORGANOS_CONTROL, PROCESOS_COACTIVOS</t>
        </is>
      </c>
      <c r="K1264" s="18" t="inlineStr"/>
      <c r="L1264" s="18" t="inlineStr">
        <is>
          <t>Sí</t>
        </is>
      </c>
      <c r="M1264" s="18" t="inlineStr">
        <is>
          <t>No</t>
        </is>
      </c>
      <c r="N1264" s="18" t="inlineStr"/>
      <c r="O1264" s="18" t="inlineStr">
        <is>
          <t>idx_terminos_origen</t>
        </is>
      </c>
      <c r="P1264" s="18" t="inlineStr">
        <is>
          <t>legal-management-service/src/entities/termino-procesal.entity.ts:9: 'DEFENSA', 'JUZGAMIENTO', 'ASESORIA', 'MANUAL' | db/migrations/old/050_create_terminos_procesales.sql:11: Vinculación con el Origen</t>
        </is>
      </c>
      <c r="Q1264" s="18" t="inlineStr">
        <is>
          <t>Código fuente</t>
        </is>
      </c>
      <c r="R1264" s="18" t="inlineStr">
        <is>
          <t>Módulo de origen del término procesal. Valores permitidos: ASESORIA, DEFENSA, JUZGAMIENTO, MANUAL, ORGANOS_CONTROL, PROCESOS_COACTIVOS.</t>
        </is>
      </c>
      <c r="S1264" s="18" t="inlineStr">
        <is>
          <t>Alta</t>
        </is>
      </c>
      <c r="T1264" s="18" t="inlineStr">
        <is>
          <t>valores permitidos del CHECK + código: termino-procesal.entity.ts:9</t>
        </is>
      </c>
      <c r="U1264" s="18" t="inlineStr"/>
      <c r="V1264" s="19" t="inlineStr">
        <is>
          <t>Aprobada</t>
        </is>
      </c>
      <c r="W1264" s="19" t="inlineStr"/>
      <c r="X1264" s="19" t="inlineStr">
        <is>
          <t>Aldair González (aprobación en bloque)</t>
        </is>
      </c>
      <c r="Y1264" s="20" t="n">
        <v>46321</v>
      </c>
      <c r="Z1264" s="19" t="inlineStr">
        <is>
          <t>Nivel 1: propuesta del comentario del desarrollador o de confianza alta, o regla de fecha/responsable/motivo.</t>
        </is>
      </c>
      <c r="AA1264" s="18">
        <f>IF(OR(V1264="Aprobada"),R1264,IF(AND(OR(V1264="Aprobada con ajuste",V1264="Rechazada"),W1264&lt;&gt;""),W1264,""))</f>
        <v/>
      </c>
    </row>
    <row r="1265">
      <c r="A1265" s="18" t="inlineStr">
        <is>
          <t>C1264</t>
        </is>
      </c>
      <c r="B1265" s="18" t="inlineStr">
        <is>
          <t>Gestión jurídica</t>
        </is>
      </c>
      <c r="C1265" s="18" t="inlineStr">
        <is>
          <t>legal_management</t>
        </is>
      </c>
      <c r="D1265" s="18" t="inlineStr">
        <is>
          <t>terminos_procesales</t>
        </is>
      </c>
      <c r="E1265" s="18" t="n">
        <v>233</v>
      </c>
      <c r="F1265" s="18" t="inlineStr">
        <is>
          <t>referencia_id</t>
        </is>
      </c>
      <c r="G1265" s="18" t="inlineStr">
        <is>
          <t>uuid</t>
        </is>
      </c>
      <c r="H1265" s="18" t="inlineStr">
        <is>
          <t>Sí</t>
        </is>
      </c>
      <c r="I1265" s="18" t="inlineStr"/>
      <c r="J1265" s="18" t="inlineStr"/>
      <c r="K1265" s="18" t="inlineStr"/>
      <c r="L1265" s="18" t="inlineStr">
        <is>
          <t>No</t>
        </is>
      </c>
      <c r="M1265" s="18" t="inlineStr">
        <is>
          <t>No</t>
        </is>
      </c>
      <c r="N1265" s="18" t="inlineStr"/>
      <c r="O1265" s="18" t="inlineStr">
        <is>
          <t>idx_terminos_referencia</t>
        </is>
      </c>
      <c r="P1265" s="18" t="inlineStr">
        <is>
          <t>db/migrations/old/050_create_terminos_procesales.sql:12: ID del proceso/expediente en la tabla original (UUID para compatibilidad)</t>
        </is>
      </c>
      <c r="Q1265" s="18" t="inlineStr">
        <is>
          <t>Código fuente</t>
        </is>
      </c>
      <c r="R1265" s="18" t="inlineStr">
        <is>
          <t>Identificador del proceso o expediente en la tabla del módulo de origen.</t>
        </is>
      </c>
      <c r="S1265" s="18" t="inlineStr">
        <is>
          <t>Alta</t>
        </is>
      </c>
      <c r="T1265" s="18" t="inlineStr">
        <is>
          <t>código: db/migrations/old/050_create_terminos_procesales.sql:12</t>
        </is>
      </c>
      <c r="U1265" s="18" t="inlineStr"/>
      <c r="V1265" s="19" t="inlineStr">
        <is>
          <t>Aprobada</t>
        </is>
      </c>
      <c r="W1265" s="19" t="inlineStr"/>
      <c r="X1265" s="19" t="inlineStr">
        <is>
          <t>Aldair González (aprobación en bloque)</t>
        </is>
      </c>
      <c r="Y1265" s="20" t="n">
        <v>46321</v>
      </c>
      <c r="Z1265" s="19" t="inlineStr">
        <is>
          <t>Nivel 1: propuesta del comentario del desarrollador o de confianza alta, o regla de fecha/responsable/motivo.</t>
        </is>
      </c>
      <c r="AA1265" s="18">
        <f>IF(OR(V1265="Aprobada"),R1265,IF(AND(OR(V1265="Aprobada con ajuste",V1265="Rechazada"),W1265&lt;&gt;""),W1265,""))</f>
        <v/>
      </c>
    </row>
    <row r="1266">
      <c r="A1266" s="18" t="inlineStr">
        <is>
          <t>C1265</t>
        </is>
      </c>
      <c r="B1266" s="18" t="inlineStr">
        <is>
          <t>Gestión jurídica</t>
        </is>
      </c>
      <c r="C1266" s="18" t="inlineStr">
        <is>
          <t>legal_management</t>
        </is>
      </c>
      <c r="D1266" s="18" t="inlineStr">
        <is>
          <t>terminos_procesales</t>
        </is>
      </c>
      <c r="E1266" s="18" t="n">
        <v>233</v>
      </c>
      <c r="F1266" s="18" t="inlineStr">
        <is>
          <t>numero_radicado</t>
        </is>
      </c>
      <c r="G1266" s="18" t="inlineStr">
        <is>
          <t>character varying(100)</t>
        </is>
      </c>
      <c r="H1266" s="18" t="inlineStr">
        <is>
          <t>Sí</t>
        </is>
      </c>
      <c r="I1266" s="18" t="inlineStr"/>
      <c r="J1266" s="18" t="inlineStr"/>
      <c r="K1266" s="18" t="inlineStr"/>
      <c r="L1266" s="18" t="inlineStr">
        <is>
          <t>No</t>
        </is>
      </c>
      <c r="M1266" s="18" t="inlineStr">
        <is>
          <t>No</t>
        </is>
      </c>
      <c r="N1266" s="18" t="inlineStr"/>
      <c r="O1266" s="18" t="inlineStr"/>
      <c r="P1266" s="18" t="inlineStr">
        <is>
          <t>db/migrations/old/050_create_terminos_procesales.sql:13: Para búsqueda rápida visual</t>
        </is>
      </c>
      <c r="Q1266" s="18" t="inlineStr">
        <is>
          <t>Código fuente</t>
        </is>
      </c>
      <c r="R1266" s="18" t="inlineStr">
        <is>
          <t>Número de radicado del proceso, para búsqueda rápida.</t>
        </is>
      </c>
      <c r="S1266" s="18" t="inlineStr">
        <is>
          <t>Alta</t>
        </is>
      </c>
      <c r="T1266" s="18" t="inlineStr">
        <is>
          <t>código: db/migrations/old/050_create_terminos_procesales.sql:13</t>
        </is>
      </c>
      <c r="U1266" s="18" t="inlineStr"/>
      <c r="V1266" s="19" t="inlineStr">
        <is>
          <t>Aprobada</t>
        </is>
      </c>
      <c r="W1266" s="19" t="inlineStr"/>
      <c r="X1266" s="19" t="inlineStr">
        <is>
          <t>Aldair González (aprobación en bloque)</t>
        </is>
      </c>
      <c r="Y1266" s="20" t="n">
        <v>46321</v>
      </c>
      <c r="Z1266" s="19" t="inlineStr">
        <is>
          <t>Nivel 1: propuesta del comentario del desarrollador o de confianza alta, o regla de fecha/responsable/motivo.</t>
        </is>
      </c>
      <c r="AA1266" s="18">
        <f>IF(OR(V1266="Aprobada"),R1266,IF(AND(OR(V1266="Aprobada con ajuste",V1266="Rechazada"),W1266&lt;&gt;""),W1266,""))</f>
        <v/>
      </c>
    </row>
    <row r="1267">
      <c r="A1267" s="18" t="inlineStr">
        <is>
          <t>C1266</t>
        </is>
      </c>
      <c r="B1267" s="18" t="inlineStr">
        <is>
          <t>Gestión jurídica</t>
        </is>
      </c>
      <c r="C1267" s="18" t="inlineStr">
        <is>
          <t>legal_management</t>
        </is>
      </c>
      <c r="D1267" s="18" t="inlineStr">
        <is>
          <t>terminos_procesales</t>
        </is>
      </c>
      <c r="E1267" s="18" t="n">
        <v>233</v>
      </c>
      <c r="F1267" s="18" t="inlineStr">
        <is>
          <t>nombre_actuacion</t>
        </is>
      </c>
      <c r="G1267" s="18" t="inlineStr">
        <is>
          <t>character varying(255)</t>
        </is>
      </c>
      <c r="H1267" s="18" t="inlineStr">
        <is>
          <t>No</t>
        </is>
      </c>
      <c r="I1267" s="18" t="inlineStr"/>
      <c r="J1267" s="18" t="inlineStr"/>
      <c r="K1267" s="18" t="inlineStr"/>
      <c r="L1267" s="18" t="inlineStr">
        <is>
          <t>No</t>
        </is>
      </c>
      <c r="M1267" s="18" t="inlineStr">
        <is>
          <t>No</t>
        </is>
      </c>
      <c r="N1267" s="18" t="inlineStr"/>
      <c r="O1267" s="18" t="inlineStr"/>
      <c r="P1267" s="18" t="inlineStr">
        <is>
          <t>db/migrations/old/050_create_terminos_procesales.sql:16: Datos del Término Ej: "Contestación Demanda", "Fallo Disciplinario"</t>
        </is>
      </c>
      <c r="Q1267" s="18" t="inlineStr">
        <is>
          <t>Código fuente</t>
        </is>
      </c>
      <c r="R1267" s="18" t="inlineStr">
        <is>
          <t>Nombre de la actuación a la que corresponde el término (por ejemplo, «Contestación Demanda», «Fallo Disciplinario»).</t>
        </is>
      </c>
      <c r="S1267" s="18" t="inlineStr">
        <is>
          <t>Alta</t>
        </is>
      </c>
      <c r="T1267" s="18" t="inlineStr">
        <is>
          <t>código: db/migrations/old/050_create_terminos_procesales.sql:16</t>
        </is>
      </c>
      <c r="U1267" s="18" t="inlineStr"/>
      <c r="V1267" s="19" t="inlineStr">
        <is>
          <t>Aprobada</t>
        </is>
      </c>
      <c r="W1267" s="19" t="inlineStr"/>
      <c r="X1267" s="19" t="inlineStr">
        <is>
          <t>Aldair González (aprobación en bloque)</t>
        </is>
      </c>
      <c r="Y1267" s="20" t="n">
        <v>46321</v>
      </c>
      <c r="Z1267" s="19" t="inlineStr">
        <is>
          <t>Nivel 1: propuesta del comentario del desarrollador o de confianza alta, o regla de fecha/responsable/motivo.</t>
        </is>
      </c>
      <c r="AA1267" s="18">
        <f>IF(OR(V1267="Aprobada"),R1267,IF(AND(OR(V1267="Aprobada con ajuste",V1267="Rechazada"),W1267&lt;&gt;""),W1267,""))</f>
        <v/>
      </c>
    </row>
    <row r="1268">
      <c r="A1268" s="18" t="inlineStr">
        <is>
          <t>C1267</t>
        </is>
      </c>
      <c r="B1268" s="18" t="inlineStr">
        <is>
          <t>Gestión jurídica</t>
        </is>
      </c>
      <c r="C1268" s="18" t="inlineStr">
        <is>
          <t>legal_management</t>
        </is>
      </c>
      <c r="D1268" s="18" t="inlineStr">
        <is>
          <t>terminos_procesales</t>
        </is>
      </c>
      <c r="E1268" s="18" t="n">
        <v>233</v>
      </c>
      <c r="F1268" s="18" t="inlineStr">
        <is>
          <t>fecha_base</t>
        </is>
      </c>
      <c r="G1268" s="18" t="inlineStr">
        <is>
          <t>timestamp with time zone</t>
        </is>
      </c>
      <c r="H1268" s="18" t="inlineStr">
        <is>
          <t>No</t>
        </is>
      </c>
      <c r="I1268" s="18" t="inlineStr"/>
      <c r="J1268" s="18" t="inlineStr"/>
      <c r="K1268" s="18" t="inlineStr"/>
      <c r="L1268" s="18" t="inlineStr">
        <is>
          <t>No</t>
        </is>
      </c>
      <c r="M1268" s="18" t="inlineStr">
        <is>
          <t>No</t>
        </is>
      </c>
      <c r="N1268" s="18" t="inlineStr"/>
      <c r="O1268" s="18" t="inlineStr"/>
      <c r="P1268" s="18" t="inlineStr">
        <is>
          <t>db/migrations/old/050_create_terminos_procesales.sql:17: Fecha de notificación o inicio del conteo</t>
        </is>
      </c>
      <c r="Q1268" s="18" t="inlineStr">
        <is>
          <t>Código fuente</t>
        </is>
      </c>
      <c r="R1268" s="18" t="inlineStr">
        <is>
          <t>Fecha de notificación o de inicio del conteo del término.</t>
        </is>
      </c>
      <c r="S1268" s="18" t="inlineStr">
        <is>
          <t>Alta</t>
        </is>
      </c>
      <c r="T1268" s="18" t="inlineStr">
        <is>
          <t>código: db/migrations/old/050_create_terminos_procesales.sql:17</t>
        </is>
      </c>
      <c r="U1268" s="18" t="inlineStr"/>
      <c r="V1268" s="19" t="inlineStr">
        <is>
          <t>Aprobada</t>
        </is>
      </c>
      <c r="W1268" s="19" t="inlineStr"/>
      <c r="X1268" s="19" t="inlineStr">
        <is>
          <t>Aldair González (aprobación en bloque)</t>
        </is>
      </c>
      <c r="Y1268" s="20" t="n">
        <v>46321</v>
      </c>
      <c r="Z1268" s="19" t="inlineStr">
        <is>
          <t>Nivel 1: propuesta del comentario del desarrollador o de confianza alta, o regla de fecha/responsable/motivo.</t>
        </is>
      </c>
      <c r="AA1268" s="18">
        <f>IF(OR(V1268="Aprobada"),R1268,IF(AND(OR(V1268="Aprobada con ajuste",V1268="Rechazada"),W1268&lt;&gt;""),W1268,""))</f>
        <v/>
      </c>
    </row>
    <row r="1269">
      <c r="A1269" s="18" t="inlineStr">
        <is>
          <t>C1268</t>
        </is>
      </c>
      <c r="B1269" s="18" t="inlineStr">
        <is>
          <t>Gestión jurídica</t>
        </is>
      </c>
      <c r="C1269" s="18" t="inlineStr">
        <is>
          <t>legal_management</t>
        </is>
      </c>
      <c r="D1269" s="18" t="inlineStr">
        <is>
          <t>terminos_procesales</t>
        </is>
      </c>
      <c r="E1269" s="18" t="n">
        <v>233</v>
      </c>
      <c r="F1269" s="18" t="inlineStr">
        <is>
          <t>dias_termino</t>
        </is>
      </c>
      <c r="G1269" s="18" t="inlineStr">
        <is>
          <t>integer</t>
        </is>
      </c>
      <c r="H1269" s="18" t="inlineStr">
        <is>
          <t>No</t>
        </is>
      </c>
      <c r="I1269" s="18" t="inlineStr"/>
      <c r="J1269" s="18" t="inlineStr"/>
      <c r="K1269" s="18" t="inlineStr"/>
      <c r="L1269" s="18" t="inlineStr">
        <is>
          <t>No</t>
        </is>
      </c>
      <c r="M1269" s="18" t="inlineStr">
        <is>
          <t>No</t>
        </is>
      </c>
      <c r="N1269" s="18" t="inlineStr"/>
      <c r="O1269" s="18" t="inlineStr"/>
      <c r="P1269" s="18" t="inlineStr">
        <is>
          <t>db/migrations/old/050_create_terminos_procesales.sql:18: Cantidad de días otorgados</t>
        </is>
      </c>
      <c r="Q1269" s="18" t="inlineStr">
        <is>
          <t>Código fuente</t>
        </is>
      </c>
      <c r="R1269" s="18" t="inlineStr">
        <is>
          <t>Cantidad de días otorgados para el término, en la unidad que indica tipo_dias.</t>
        </is>
      </c>
      <c r="S1269" s="18" t="inlineStr">
        <is>
          <t>Alta</t>
        </is>
      </c>
      <c r="T1269" s="18" t="inlineStr">
        <is>
          <t>código: db/migrations/old/050_create_terminos_procesales.sql:18</t>
        </is>
      </c>
      <c r="U1269" s="18" t="inlineStr"/>
      <c r="V1269" s="19" t="inlineStr">
        <is>
          <t>Aprobada</t>
        </is>
      </c>
      <c r="W1269" s="19" t="inlineStr"/>
      <c r="X1269" s="19" t="inlineStr">
        <is>
          <t>Aldair González (aprobación en bloque)</t>
        </is>
      </c>
      <c r="Y1269" s="20" t="n">
        <v>46321</v>
      </c>
      <c r="Z1269" s="19" t="inlineStr">
        <is>
          <t>Nivel 1: propuesta del comentario del desarrollador o de confianza alta, o regla de fecha/responsable/motivo.</t>
        </is>
      </c>
      <c r="AA1269" s="18">
        <f>IF(OR(V1269="Aprobada"),R1269,IF(AND(OR(V1269="Aprobada con ajuste",V1269="Rechazada"),W1269&lt;&gt;""),W1269,""))</f>
        <v/>
      </c>
    </row>
    <row r="1270">
      <c r="A1270" s="18" t="inlineStr">
        <is>
          <t>C1269</t>
        </is>
      </c>
      <c r="B1270" s="18" t="inlineStr">
        <is>
          <t>Gestión jurídica</t>
        </is>
      </c>
      <c r="C1270" s="18" t="inlineStr">
        <is>
          <t>legal_management</t>
        </is>
      </c>
      <c r="D1270" s="18" t="inlineStr">
        <is>
          <t>terminos_procesales</t>
        </is>
      </c>
      <c r="E1270" s="18" t="n">
        <v>233</v>
      </c>
      <c r="F1270" s="18" t="inlineStr">
        <is>
          <t>tipo_dias</t>
        </is>
      </c>
      <c r="G1270" s="18" t="inlineStr">
        <is>
          <t>character varying(20)</t>
        </is>
      </c>
      <c r="H1270" s="18" t="inlineStr">
        <is>
          <t>Sí</t>
        </is>
      </c>
      <c r="I1270" s="18" t="inlineStr">
        <is>
          <t>CHECK</t>
        </is>
      </c>
      <c r="J1270" s="18" t="inlineStr">
        <is>
          <t>CALENDARIO, HABILES, HORAS</t>
        </is>
      </c>
      <c r="K1270" s="18" t="inlineStr"/>
      <c r="L1270" s="18" t="inlineStr">
        <is>
          <t>Sí</t>
        </is>
      </c>
      <c r="M1270" s="18" t="inlineStr">
        <is>
          <t>No</t>
        </is>
      </c>
      <c r="N1270" s="18" t="inlineStr"/>
      <c r="O1270" s="18" t="inlineStr"/>
      <c r="P1270" s="18" t="inlineStr">
        <is>
          <t>db/migrations/old/050_create_terminos_procesales.sql:19: 'HABILES' o 'CALENDARIO'</t>
        </is>
      </c>
      <c r="Q1270" s="18" t="inlineStr">
        <is>
          <t>Código fuente</t>
        </is>
      </c>
      <c r="R1270" s="18" t="inlineStr">
        <is>
          <t>Unidad del conteo del término. Valores permitidos: HABILES, CALENDARIO, HORAS; valor por defecto HABILES.</t>
        </is>
      </c>
      <c r="S1270" s="18" t="inlineStr">
        <is>
          <t>Alta</t>
        </is>
      </c>
      <c r="T1270" s="18" t="inlineStr">
        <is>
          <t>valores permitidos del CHECK; código: db/migrations/old/050_create_terminos_procesales.sql:19</t>
        </is>
      </c>
      <c r="U1270" s="18" t="inlineStr"/>
      <c r="V1270" s="19" t="inlineStr">
        <is>
          <t>Aprobada</t>
        </is>
      </c>
      <c r="W1270" s="19" t="inlineStr"/>
      <c r="X1270" s="19" t="inlineStr">
        <is>
          <t>Aldair González (aprobación en bloque)</t>
        </is>
      </c>
      <c r="Y1270" s="20" t="n">
        <v>46321</v>
      </c>
      <c r="Z1270" s="19" t="inlineStr">
        <is>
          <t>Nivel 1: propuesta del comentario del desarrollador o de confianza alta, o regla de fecha/responsable/motivo.</t>
        </is>
      </c>
      <c r="AA1270" s="18">
        <f>IF(OR(V1270="Aprobada"),R1270,IF(AND(OR(V1270="Aprobada con ajuste",V1270="Rechazada"),W1270&lt;&gt;""),W1270,""))</f>
        <v/>
      </c>
    </row>
    <row r="1271">
      <c r="A1271" s="18" t="inlineStr">
        <is>
          <t>C1270</t>
        </is>
      </c>
      <c r="B1271" s="18" t="inlineStr">
        <is>
          <t>Gestión jurídica</t>
        </is>
      </c>
      <c r="C1271" s="18" t="inlineStr">
        <is>
          <t>legal_management</t>
        </is>
      </c>
      <c r="D1271" s="18" t="inlineStr">
        <is>
          <t>terminos_procesales</t>
        </is>
      </c>
      <c r="E1271" s="18" t="n">
        <v>233</v>
      </c>
      <c r="F1271" s="18" t="inlineStr">
        <is>
          <t>fecha_vencimiento</t>
        </is>
      </c>
      <c r="G1271" s="18" t="inlineStr">
        <is>
          <t>timestamp with time zone</t>
        </is>
      </c>
      <c r="H1271" s="18" t="inlineStr">
        <is>
          <t>No</t>
        </is>
      </c>
      <c r="I1271" s="18" t="inlineStr"/>
      <c r="J1271" s="18" t="inlineStr"/>
      <c r="K1271" s="18" t="inlineStr"/>
      <c r="L1271" s="18" t="inlineStr">
        <is>
          <t>No</t>
        </is>
      </c>
      <c r="M1271" s="18" t="inlineStr">
        <is>
          <t>No</t>
        </is>
      </c>
      <c r="N1271" s="18" t="inlineStr"/>
      <c r="O1271" s="18" t="inlineStr">
        <is>
          <t>idx_terminos_vencimiento</t>
        </is>
      </c>
      <c r="P1271" s="18" t="inlineStr">
        <is>
          <t>db/migrations/old/050_create_terminos_procesales.sql:22: Fechas Calculadas Calculada por el backend al insertar</t>
        </is>
      </c>
      <c r="Q1271" s="18" t="inlineStr">
        <is>
          <t>Código fuente</t>
        </is>
      </c>
      <c r="R1271" s="18" t="inlineStr">
        <is>
          <t>Fecha de vencimiento del término, calculada por el backend al insertar.</t>
        </is>
      </c>
      <c r="S1271" s="18" t="inlineStr">
        <is>
          <t>Alta</t>
        </is>
      </c>
      <c r="T1271" s="18" t="inlineStr">
        <is>
          <t>código: db/migrations/old/050_create_terminos_procesales.sql:22</t>
        </is>
      </c>
      <c r="U1271" s="18" t="inlineStr"/>
      <c r="V1271" s="19" t="inlineStr">
        <is>
          <t>Aprobada</t>
        </is>
      </c>
      <c r="W1271" s="19" t="inlineStr"/>
      <c r="X1271" s="19" t="inlineStr">
        <is>
          <t>Aldair González (aprobación en bloque)</t>
        </is>
      </c>
      <c r="Y1271" s="20" t="n">
        <v>46321</v>
      </c>
      <c r="Z1271" s="19" t="inlineStr">
        <is>
          <t>Nivel 1: propuesta del comentario del desarrollador o de confianza alta, o regla de fecha/responsable/motivo.</t>
        </is>
      </c>
      <c r="AA1271" s="18">
        <f>IF(OR(V1271="Aprobada"),R1271,IF(AND(OR(V1271="Aprobada con ajuste",V1271="Rechazada"),W1271&lt;&gt;""),W1271,""))</f>
        <v/>
      </c>
    </row>
    <row r="1272">
      <c r="A1272" s="18" t="inlineStr">
        <is>
          <t>C1271</t>
        </is>
      </c>
      <c r="B1272" s="18" t="inlineStr">
        <is>
          <t>Gestión jurídica</t>
        </is>
      </c>
      <c r="C1272" s="18" t="inlineStr">
        <is>
          <t>legal_management</t>
        </is>
      </c>
      <c r="D1272" s="18" t="inlineStr">
        <is>
          <t>terminos_procesales</t>
        </is>
      </c>
      <c r="E1272" s="18" t="n">
        <v>233</v>
      </c>
      <c r="F1272" s="18" t="inlineStr">
        <is>
          <t>fecha_alerta_preventiva</t>
        </is>
      </c>
      <c r="G1272" s="18" t="inlineStr">
        <is>
          <t>timestamp with time zone</t>
        </is>
      </c>
      <c r="H1272" s="18" t="inlineStr">
        <is>
          <t>Sí</t>
        </is>
      </c>
      <c r="I1272" s="18" t="inlineStr"/>
      <c r="J1272" s="18" t="inlineStr"/>
      <c r="K1272" s="18" t="inlineStr"/>
      <c r="L1272" s="18" t="inlineStr">
        <is>
          <t>No</t>
        </is>
      </c>
      <c r="M1272" s="18" t="inlineStr">
        <is>
          <t>No</t>
        </is>
      </c>
      <c r="N1272" s="18" t="inlineStr"/>
      <c r="O1272" s="18" t="inlineStr"/>
      <c r="P1272" s="18" t="inlineStr">
        <is>
          <t>db/migrations/old/050_create_terminos_procesales.sql:23: (Vencimiento - 5 días)</t>
        </is>
      </c>
      <c r="Q1272" s="18" t="inlineStr">
        <is>
          <t>Código fuente</t>
        </is>
      </c>
      <c r="R1272" s="18" t="inlineStr">
        <is>
          <t>Fecha de la alerta preventiva: vencimiento menos 5 días.</t>
        </is>
      </c>
      <c r="S1272" s="18" t="inlineStr">
        <is>
          <t>Alta</t>
        </is>
      </c>
      <c r="T1272" s="18" t="inlineStr">
        <is>
          <t>código: db/migrations/old/050_create_terminos_procesales.sql:23</t>
        </is>
      </c>
      <c r="U1272" s="18" t="inlineStr"/>
      <c r="V1272" s="19" t="inlineStr">
        <is>
          <t>Aprobada</t>
        </is>
      </c>
      <c r="W1272" s="19" t="inlineStr"/>
      <c r="X1272" s="19" t="inlineStr">
        <is>
          <t>Aldair González (aprobación en bloque)</t>
        </is>
      </c>
      <c r="Y1272" s="20" t="n">
        <v>46321</v>
      </c>
      <c r="Z1272" s="19" t="inlineStr">
        <is>
          <t>Nivel 1: propuesta del comentario del desarrollador o de confianza alta, o regla de fecha/responsable/motivo.</t>
        </is>
      </c>
      <c r="AA1272" s="18">
        <f>IF(OR(V1272="Aprobada"),R1272,IF(AND(OR(V1272="Aprobada con ajuste",V1272="Rechazada"),W1272&lt;&gt;""),W1272,""))</f>
        <v/>
      </c>
    </row>
    <row r="1273">
      <c r="A1273" s="18" t="inlineStr">
        <is>
          <t>C1272</t>
        </is>
      </c>
      <c r="B1273" s="18" t="inlineStr">
        <is>
          <t>Gestión jurídica</t>
        </is>
      </c>
      <c r="C1273" s="18" t="inlineStr">
        <is>
          <t>legal_management</t>
        </is>
      </c>
      <c r="D1273" s="18" t="inlineStr">
        <is>
          <t>terminos_procesales</t>
        </is>
      </c>
      <c r="E1273" s="18" t="n">
        <v>233</v>
      </c>
      <c r="F1273" s="18" t="inlineStr">
        <is>
          <t>fecha_alerta_critica</t>
        </is>
      </c>
      <c r="G1273" s="18" t="inlineStr">
        <is>
          <t>timestamp with time zone</t>
        </is>
      </c>
      <c r="H1273" s="18" t="inlineStr">
        <is>
          <t>Sí</t>
        </is>
      </c>
      <c r="I1273" s="18" t="inlineStr"/>
      <c r="J1273" s="18" t="inlineStr"/>
      <c r="K1273" s="18" t="inlineStr"/>
      <c r="L1273" s="18" t="inlineStr">
        <is>
          <t>No</t>
        </is>
      </c>
      <c r="M1273" s="18" t="inlineStr">
        <is>
          <t>No</t>
        </is>
      </c>
      <c r="N1273" s="18" t="inlineStr"/>
      <c r="O1273" s="18" t="inlineStr"/>
      <c r="P1273" s="18" t="inlineStr">
        <is>
          <t>db/migrations/old/050_create_terminos_procesales.sql:24: (Vencimiento - 2 días)</t>
        </is>
      </c>
      <c r="Q1273" s="18" t="inlineStr">
        <is>
          <t>Código fuente</t>
        </is>
      </c>
      <c r="R1273" s="18" t="inlineStr">
        <is>
          <t>Fecha de la alerta crítica: vencimiento menos 2 días.</t>
        </is>
      </c>
      <c r="S1273" s="18" t="inlineStr">
        <is>
          <t>Alta</t>
        </is>
      </c>
      <c r="T1273" s="18" t="inlineStr">
        <is>
          <t>código: db/migrations/old/050_create_terminos_procesales.sql:24</t>
        </is>
      </c>
      <c r="U1273" s="18" t="inlineStr"/>
      <c r="V1273" s="19" t="inlineStr">
        <is>
          <t>Aprobada</t>
        </is>
      </c>
      <c r="W1273" s="19" t="inlineStr"/>
      <c r="X1273" s="19" t="inlineStr">
        <is>
          <t>Aldair González (aprobación en bloque)</t>
        </is>
      </c>
      <c r="Y1273" s="20" t="n">
        <v>46321</v>
      </c>
      <c r="Z1273" s="19" t="inlineStr">
        <is>
          <t>Nivel 1: propuesta del comentario del desarrollador o de confianza alta, o regla de fecha/responsable/motivo.</t>
        </is>
      </c>
      <c r="AA1273" s="18">
        <f>IF(OR(V1273="Aprobada"),R1273,IF(AND(OR(V1273="Aprobada con ajuste",V1273="Rechazada"),W1273&lt;&gt;""),W1273,""))</f>
        <v/>
      </c>
    </row>
    <row r="1274">
      <c r="A1274" s="18" t="inlineStr">
        <is>
          <t>C1273</t>
        </is>
      </c>
      <c r="B1274" s="18" t="inlineStr">
        <is>
          <t>Gestión jurídica</t>
        </is>
      </c>
      <c r="C1274" s="18" t="inlineStr">
        <is>
          <t>legal_management</t>
        </is>
      </c>
      <c r="D1274" s="18" t="inlineStr">
        <is>
          <t>terminos_procesales</t>
        </is>
      </c>
      <c r="E1274" s="18" t="n">
        <v>233</v>
      </c>
      <c r="F1274" s="18" t="inlineStr">
        <is>
          <t>estado</t>
        </is>
      </c>
      <c r="G1274" s="18" t="inlineStr">
        <is>
          <t>character varying(20)</t>
        </is>
      </c>
      <c r="H1274" s="18" t="inlineStr">
        <is>
          <t>Sí</t>
        </is>
      </c>
      <c r="I1274" s="18" t="inlineStr">
        <is>
          <t>CHECK</t>
        </is>
      </c>
      <c r="J1274" s="18" t="inlineStr">
        <is>
          <t>CUMPLIDO, ELIMINADO, PENDIENTE, SUSPENDIDO, VENCIDO</t>
        </is>
      </c>
      <c r="K1274" s="18" t="inlineStr"/>
      <c r="L1274" s="18" t="inlineStr">
        <is>
          <t>Sí</t>
        </is>
      </c>
      <c r="M1274" s="18" t="inlineStr">
        <is>
          <t>No</t>
        </is>
      </c>
      <c r="N1274" s="18" t="inlineStr"/>
      <c r="O1274" s="18" t="inlineStr">
        <is>
          <t>idx_terminos_estado</t>
        </is>
      </c>
      <c r="P1274" s="18" t="inlineStr">
        <is>
          <t>db/migrations/old/050_create_terminos_procesales.sql:27: Gestión</t>
        </is>
      </c>
      <c r="Q1274" s="18" t="inlineStr">
        <is>
          <t>Código fuente</t>
        </is>
      </c>
      <c r="R1274" s="18" t="inlineStr">
        <is>
          <t>Estado del término. Valores permitidos: CUMPLIDO, ELIMINADO, PENDIENTE, SUSPENDIDO, VENCIDO; valor por defecto PENDIENTE.</t>
        </is>
      </c>
      <c r="S1274" s="18" t="inlineStr">
        <is>
          <t>Alta</t>
        </is>
      </c>
      <c r="T1274" s="18" t="inlineStr">
        <is>
          <t>valores permitidos del CHECK</t>
        </is>
      </c>
      <c r="U1274" s="18" t="inlineStr"/>
      <c r="V1274" s="19" t="inlineStr">
        <is>
          <t>Aprobada</t>
        </is>
      </c>
      <c r="W1274" s="19" t="inlineStr"/>
      <c r="X1274" s="19" t="inlineStr">
        <is>
          <t>Aldair González (aprobación en bloque)</t>
        </is>
      </c>
      <c r="Y1274" s="20" t="n">
        <v>46321</v>
      </c>
      <c r="Z1274" s="19" t="inlineStr">
        <is>
          <t>Nivel 1: propuesta del comentario del desarrollador o de confianza alta, o regla de fecha/responsable/motivo.</t>
        </is>
      </c>
      <c r="AA1274" s="18">
        <f>IF(OR(V1274="Aprobada"),R1274,IF(AND(OR(V1274="Aprobada con ajuste",V1274="Rechazada"),W1274&lt;&gt;""),W1274,""))</f>
        <v/>
      </c>
    </row>
    <row r="1275">
      <c r="A1275" s="18" t="inlineStr">
        <is>
          <t>C1274</t>
        </is>
      </c>
      <c r="B1275" s="18" t="inlineStr">
        <is>
          <t>Gestión jurídica</t>
        </is>
      </c>
      <c r="C1275" s="18" t="inlineStr">
        <is>
          <t>legal_management</t>
        </is>
      </c>
      <c r="D1275" s="18" t="inlineStr">
        <is>
          <t>terminos_procesales</t>
        </is>
      </c>
      <c r="E1275" s="18" t="n">
        <v>233</v>
      </c>
      <c r="F1275" s="18" t="inlineStr">
        <is>
          <t>prioridad</t>
        </is>
      </c>
      <c r="G1275" s="18" t="inlineStr">
        <is>
          <t>character varying(10)</t>
        </is>
      </c>
      <c r="H1275" s="18" t="inlineStr">
        <is>
          <t>Sí</t>
        </is>
      </c>
      <c r="I1275" s="18" t="inlineStr">
        <is>
          <t>CHECK</t>
        </is>
      </c>
      <c r="J1275" s="18" t="inlineStr">
        <is>
          <t>ALTA, BAJA, MEDIA</t>
        </is>
      </c>
      <c r="K1275" s="18" t="inlineStr"/>
      <c r="L1275" s="18" t="inlineStr">
        <is>
          <t>Sí</t>
        </is>
      </c>
      <c r="M1275" s="18" t="inlineStr">
        <is>
          <t>No</t>
        </is>
      </c>
      <c r="N1275" s="18" t="inlineStr"/>
      <c r="O1275" s="18" t="inlineStr"/>
      <c r="P1275" s="18" t="inlineStr">
        <is>
          <t>Mapeada en legal-management-service/src/entities/termino-procesal.entity.ts:65 (TerminoProcesal.prioridad)</t>
        </is>
      </c>
      <c r="Q1275" s="18" t="inlineStr">
        <is>
          <t>Propuesta semántica</t>
        </is>
      </c>
      <c r="R1275" s="18" t="inlineStr">
        <is>
          <t>Prioridad del término procesal. Valores permitidos: ALTA, BAJA, MEDIA. Por defecto, MEDIA.</t>
        </is>
      </c>
      <c r="S1275" s="18" t="inlineStr">
        <is>
          <t>Alta</t>
        </is>
      </c>
      <c r="T1275" s="18" t="inlineStr">
        <is>
          <t>valores permitidos del CHECK</t>
        </is>
      </c>
      <c r="U1275" s="18" t="inlineStr"/>
      <c r="V1275" s="19" t="inlineStr">
        <is>
          <t>Aprobada</t>
        </is>
      </c>
      <c r="W1275" s="19" t="inlineStr"/>
      <c r="X1275" s="19" t="inlineStr">
        <is>
          <t>Aldair González (aprobación en bloque)</t>
        </is>
      </c>
      <c r="Y1275" s="20" t="n">
        <v>46321</v>
      </c>
      <c r="Z1275" s="19" t="inlineStr">
        <is>
          <t>Nivel 1: propuesta del comentario del desarrollador o de confianza alta, o regla de fecha/responsable/motivo.</t>
        </is>
      </c>
      <c r="AA1275" s="18">
        <f>IF(OR(V1275="Aprobada"),R1275,IF(AND(OR(V1275="Aprobada con ajuste",V1275="Rechazada"),W1275&lt;&gt;""),W1275,""))</f>
        <v/>
      </c>
    </row>
    <row r="1276">
      <c r="A1276" s="18" t="inlineStr">
        <is>
          <t>C1275</t>
        </is>
      </c>
      <c r="B1276" s="18" t="inlineStr">
        <is>
          <t>Gestión jurídica</t>
        </is>
      </c>
      <c r="C1276" s="18" t="inlineStr">
        <is>
          <t>legal_management</t>
        </is>
      </c>
      <c r="D1276" s="18" t="inlineStr">
        <is>
          <t>terminos_procesales</t>
        </is>
      </c>
      <c r="E1276" s="18" t="n">
        <v>233</v>
      </c>
      <c r="F1276" s="18" t="inlineStr">
        <is>
          <t>responsable_id</t>
        </is>
      </c>
      <c r="G1276" s="18" t="inlineStr">
        <is>
          <t>uuid</t>
        </is>
      </c>
      <c r="H1276" s="18" t="inlineStr">
        <is>
          <t>Sí</t>
        </is>
      </c>
      <c r="I1276" s="18" t="inlineStr"/>
      <c r="J1276" s="18" t="inlineStr"/>
      <c r="K1276" s="18" t="inlineStr"/>
      <c r="L1276" s="18" t="inlineStr">
        <is>
          <t>No</t>
        </is>
      </c>
      <c r="M1276" s="18" t="inlineStr">
        <is>
          <t>No</t>
        </is>
      </c>
      <c r="N1276" s="18" t="inlineStr"/>
      <c r="O1276" s="18" t="inlineStr">
        <is>
          <t>idx_terminos_responsable</t>
        </is>
      </c>
      <c r="P1276" s="18" t="inlineStr">
        <is>
          <t>db/migrations/old/050_create_terminos_procesales.sql:29: Usuario asignado</t>
        </is>
      </c>
      <c r="Q1276" s="18" t="inlineStr">
        <is>
          <t>Código fuente</t>
        </is>
      </c>
      <c r="R1276" s="18" t="inlineStr">
        <is>
          <t>Identificador del usuario asignado como responsable del término.</t>
        </is>
      </c>
      <c r="S1276" s="18" t="inlineStr">
        <is>
          <t>Alta</t>
        </is>
      </c>
      <c r="T1276" s="18" t="inlineStr">
        <is>
          <t>código: db/migrations/old/050_create_terminos_procesales.sql:29</t>
        </is>
      </c>
      <c r="U1276" s="18" t="inlineStr"/>
      <c r="V1276" s="19" t="inlineStr">
        <is>
          <t>Aprobada</t>
        </is>
      </c>
      <c r="W1276" s="19" t="inlineStr"/>
      <c r="X1276" s="19" t="inlineStr">
        <is>
          <t>Aldair González (aprobación en bloque)</t>
        </is>
      </c>
      <c r="Y1276" s="20" t="n">
        <v>46321</v>
      </c>
      <c r="Z1276" s="19" t="inlineStr">
        <is>
          <t>Nivel 1: propuesta del comentario del desarrollador o de confianza alta, o regla de fecha/responsable/motivo.</t>
        </is>
      </c>
      <c r="AA1276" s="18">
        <f>IF(OR(V1276="Aprobada"),R1276,IF(AND(OR(V1276="Aprobada con ajuste",V1276="Rechazada"),W1276&lt;&gt;""),W1276,""))</f>
        <v/>
      </c>
    </row>
    <row r="1277">
      <c r="A1277" s="18" t="inlineStr">
        <is>
          <t>C1276</t>
        </is>
      </c>
      <c r="B1277" s="18" t="inlineStr">
        <is>
          <t>Gestión jurídica</t>
        </is>
      </c>
      <c r="C1277" s="18" t="inlineStr">
        <is>
          <t>legal_management</t>
        </is>
      </c>
      <c r="D1277" s="18" t="inlineStr">
        <is>
          <t>terminos_procesales</t>
        </is>
      </c>
      <c r="E1277" s="18" t="n">
        <v>233</v>
      </c>
      <c r="F1277" s="18" t="inlineStr">
        <is>
          <t>observaciones</t>
        </is>
      </c>
      <c r="G1277" s="18" t="inlineStr">
        <is>
          <t>text</t>
        </is>
      </c>
      <c r="H1277" s="18" t="inlineStr">
        <is>
          <t>Sí</t>
        </is>
      </c>
      <c r="I1277" s="18" t="inlineStr"/>
      <c r="J1277" s="18" t="inlineStr"/>
      <c r="K1277" s="18" t="inlineStr"/>
      <c r="L1277" s="18" t="inlineStr">
        <is>
          <t>No</t>
        </is>
      </c>
      <c r="M1277" s="18" t="inlineStr">
        <is>
          <t>No</t>
        </is>
      </c>
      <c r="N1277" s="18" t="inlineStr"/>
      <c r="O1277" s="18" t="inlineStr"/>
      <c r="P1277" s="18" t="inlineStr">
        <is>
          <t>db/migrations/old/050_create_terminos_procesales.sql:32: Auditoría</t>
        </is>
      </c>
      <c r="Q1277" s="18" t="inlineStr">
        <is>
          <t>Código fuente</t>
        </is>
      </c>
      <c r="R1277" s="18" t="inlineStr">
        <is>
          <t>Observaciones sobre el término.</t>
        </is>
      </c>
      <c r="S1277" s="18" t="inlineStr">
        <is>
          <t>Alta</t>
        </is>
      </c>
      <c r="T1277" s="18" t="inlineStr">
        <is>
          <t>nombre + tipo + propuesta por regla</t>
        </is>
      </c>
      <c r="U1277" s="18" t="inlineStr"/>
      <c r="V1277" s="19" t="inlineStr">
        <is>
          <t>Aprobada</t>
        </is>
      </c>
      <c r="W1277" s="19" t="inlineStr"/>
      <c r="X1277" s="19" t="inlineStr">
        <is>
          <t>Aldair González (aprobación en bloque)</t>
        </is>
      </c>
      <c r="Y1277" s="20" t="n">
        <v>46321</v>
      </c>
      <c r="Z1277" s="19" t="inlineStr">
        <is>
          <t>Nivel 1: propuesta del comentario del desarrollador o de confianza alta, o regla de fecha/responsable/motivo.</t>
        </is>
      </c>
      <c r="AA1277" s="18">
        <f>IF(OR(V1277="Aprobada"),R1277,IF(AND(OR(V1277="Aprobada con ajuste",V1277="Rechazada"),W1277&lt;&gt;""),W1277,""))</f>
        <v/>
      </c>
    </row>
    <row r="1278">
      <c r="A1278" s="18" t="inlineStr">
        <is>
          <t>C1277</t>
        </is>
      </c>
      <c r="B1278" s="18" t="inlineStr">
        <is>
          <t>Gestión jurídica</t>
        </is>
      </c>
      <c r="C1278" s="18" t="inlineStr">
        <is>
          <t>legal_management</t>
        </is>
      </c>
      <c r="D1278" s="18" t="inlineStr">
        <is>
          <t>terminos_procesales</t>
        </is>
      </c>
      <c r="E1278" s="18" t="n">
        <v>233</v>
      </c>
      <c r="F1278" s="18" t="inlineStr">
        <is>
          <t>closed_at</t>
        </is>
      </c>
      <c r="G1278" s="18" t="inlineStr">
        <is>
          <t>timestamp with time zone</t>
        </is>
      </c>
      <c r="H1278" s="18" t="inlineStr">
        <is>
          <t>Sí</t>
        </is>
      </c>
      <c r="I1278" s="18" t="inlineStr"/>
      <c r="J1278" s="18" t="inlineStr"/>
      <c r="K1278" s="18" t="inlineStr"/>
      <c r="L1278" s="18" t="inlineStr">
        <is>
          <t>No</t>
        </is>
      </c>
      <c r="M1278" s="18" t="inlineStr">
        <is>
          <t>No</t>
        </is>
      </c>
      <c r="N1278" s="18" t="inlineStr"/>
      <c r="O1278" s="18" t="inlineStr"/>
      <c r="P1278" s="18" t="inlineStr">
        <is>
          <t>Mapeada en legal-management-service/src/entities/termino-procesal.entity.ts:93 (TerminoProcesal.closedAt)</t>
        </is>
      </c>
      <c r="Q1278" s="18" t="inlineStr">
        <is>
          <t>Regla estructural</t>
        </is>
      </c>
      <c r="R1278" s="18" t="inlineStr">
        <is>
          <t>Fecha y hora del cierre.</t>
        </is>
      </c>
      <c r="S1278" s="18" t="inlineStr">
        <is>
          <t>Media</t>
        </is>
      </c>
      <c r="T1278" s="18" t="inlineStr">
        <is>
          <t>Convención de nombre de la columna.</t>
        </is>
      </c>
      <c r="U1278" s="18" t="inlineStr"/>
      <c r="V1278" s="19" t="inlineStr">
        <is>
          <t>Aprobada</t>
        </is>
      </c>
      <c r="W1278" s="19" t="inlineStr"/>
      <c r="X1278" s="19" t="inlineStr">
        <is>
          <t>Aldair González (aprobación en bloque)</t>
        </is>
      </c>
      <c r="Y1278" s="20" t="n">
        <v>46321</v>
      </c>
      <c r="Z1278" s="19" t="inlineStr">
        <is>
          <t>Nivel 1: propuesta del comentario del desarrollador o de confianza alta, o regla de fecha/responsable/motivo.</t>
        </is>
      </c>
      <c r="AA1278" s="18">
        <f>IF(OR(V1278="Aprobada"),R1278,IF(AND(OR(V1278="Aprobada con ajuste",V1278="Rechazada"),W1278&lt;&gt;""),W1278,""))</f>
        <v/>
      </c>
    </row>
    <row r="1279">
      <c r="A1279" s="18" t="inlineStr">
        <is>
          <t>C1278</t>
        </is>
      </c>
      <c r="B1279" s="18" t="inlineStr">
        <is>
          <t>Gestión jurídica</t>
        </is>
      </c>
      <c r="C1279" s="18" t="inlineStr">
        <is>
          <t>legal_management</t>
        </is>
      </c>
      <c r="D1279" s="18" t="inlineStr">
        <is>
          <t>terminos_procesales</t>
        </is>
      </c>
      <c r="E1279" s="18" t="n">
        <v>233</v>
      </c>
      <c r="F1279" s="18" t="inlineStr">
        <is>
          <t>responsable_nombre</t>
        </is>
      </c>
      <c r="G1279" s="18" t="inlineStr">
        <is>
          <t>character varying(255)</t>
        </is>
      </c>
      <c r="H1279" s="18" t="inlineStr">
        <is>
          <t>Sí</t>
        </is>
      </c>
      <c r="I1279" s="18" t="inlineStr"/>
      <c r="J1279" s="18" t="inlineStr"/>
      <c r="K1279" s="18" t="inlineStr"/>
      <c r="L1279" s="18" t="inlineStr">
        <is>
          <t>No</t>
        </is>
      </c>
      <c r="M1279" s="18" t="inlineStr">
        <is>
          <t>No</t>
        </is>
      </c>
      <c r="N1279" s="18" t="inlineStr"/>
      <c r="O1279" s="18" t="inlineStr"/>
      <c r="P1279" s="18" t="inlineStr">
        <is>
          <t>Mapeada en legal-management-service/src/entities/termino-procesal.entity.ts:72 (TerminoProcesal.responsableNombre)</t>
        </is>
      </c>
      <c r="Q1279" s="18" t="inlineStr">
        <is>
          <t>Propuesta semántica</t>
        </is>
      </c>
      <c r="R1279" s="18" t="inlineStr">
        <is>
          <t>Nombre del responsable del término procesal.</t>
        </is>
      </c>
      <c r="S1279" s="18" t="inlineStr">
        <is>
          <t>Alta</t>
        </is>
      </c>
      <c r="T1279" s="18" t="inlineStr">
        <is>
          <t>nombre + tipo + columnas vecinas</t>
        </is>
      </c>
      <c r="U1279" s="18" t="inlineStr"/>
      <c r="V1279" s="19" t="inlineStr">
        <is>
          <t>Aprobada</t>
        </is>
      </c>
      <c r="W1279" s="19" t="inlineStr"/>
      <c r="X1279" s="19" t="inlineStr">
        <is>
          <t>Aldair González (aprobación en bloque)</t>
        </is>
      </c>
      <c r="Y1279" s="20" t="n">
        <v>46321</v>
      </c>
      <c r="Z1279" s="19" t="inlineStr">
        <is>
          <t>Nivel 1: propuesta del comentario del desarrollador o de confianza alta, o regla de fecha/responsable/motivo.</t>
        </is>
      </c>
      <c r="AA1279" s="18">
        <f>IF(OR(V1279="Aprobada"),R1279,IF(AND(OR(V1279="Aprobada con ajuste",V1279="Rechazada"),W1279&lt;&gt;""),W1279,""))</f>
        <v/>
      </c>
    </row>
    <row r="1280">
      <c r="A1280" s="18" t="inlineStr">
        <is>
          <t>C1279</t>
        </is>
      </c>
      <c r="B1280" s="18" t="inlineStr">
        <is>
          <t>Gestión jurídica</t>
        </is>
      </c>
      <c r="C1280" s="18" t="inlineStr">
        <is>
          <t>legal_management</t>
        </is>
      </c>
      <c r="D1280" s="18" t="inlineStr">
        <is>
          <t>terminos_procesales</t>
        </is>
      </c>
      <c r="E1280" s="18" t="n">
        <v>233</v>
      </c>
      <c r="F1280" s="18" t="inlineStr">
        <is>
          <t>destinatario</t>
        </is>
      </c>
      <c r="G1280" s="18" t="inlineStr">
        <is>
          <t>character varying(255)</t>
        </is>
      </c>
      <c r="H1280" s="18" t="inlineStr">
        <is>
          <t>Sí</t>
        </is>
      </c>
      <c r="I1280" s="18" t="inlineStr"/>
      <c r="J1280" s="18" t="inlineStr"/>
      <c r="K1280" s="18" t="inlineStr"/>
      <c r="L1280" s="18" t="inlineStr">
        <is>
          <t>No</t>
        </is>
      </c>
      <c r="M1280" s="18" t="inlineStr">
        <is>
          <t>No</t>
        </is>
      </c>
      <c r="N1280" s="18" t="inlineStr"/>
      <c r="O1280" s="18" t="inlineStr"/>
      <c r="P1280" s="18" t="inlineStr">
        <is>
          <t>Mapeada en legal-management-service/src/entities/termino-procesal.entity.ts:75 (TerminoProcesal.destinatario)</t>
        </is>
      </c>
      <c r="Q1280" s="18" t="inlineStr">
        <is>
          <t>Código fuente (verificado)</t>
        </is>
      </c>
      <c r="R1280" s="18" t="inlineStr">
        <is>
          <t>Entidad o dependencia receptora del informe o actuación sujeta al término.</t>
        </is>
      </c>
      <c r="S1280" s="18" t="inlineStr">
        <is>
          <t>Alta</t>
        </is>
      </c>
      <c r="T1280" s="18" t="inlineStr">
        <is>
          <t>db/migrations/400_add_destinatario_to_terminos_procesales.sql:1 destinatario: entidad/dependencia receptora del informe</t>
        </is>
      </c>
      <c r="U1280" s="18" t="inlineStr"/>
      <c r="V1280" s="19" t="inlineStr">
        <is>
          <t>Aprobada</t>
        </is>
      </c>
      <c r="W1280" s="19" t="inlineStr"/>
      <c r="X1280" s="19" t="inlineStr">
        <is>
          <t>Aldair González (aprobación en bloque)</t>
        </is>
      </c>
      <c r="Y1280" s="20" t="n">
        <v>46321</v>
      </c>
      <c r="Z1280" s="19" t="inlineStr">
        <is>
          <t>Nivel 3: verificada con el código de la aplicación.</t>
        </is>
      </c>
      <c r="AA1280" s="18">
        <f>IF(OR(V1280="Aprobada"),R1280,IF(AND(OR(V1280="Aprobada con ajuste",V1280="Rechazada"),W1280&lt;&gt;""),W1280,""))</f>
        <v/>
      </c>
    </row>
    <row r="1281">
      <c r="A1281" s="18" t="inlineStr">
        <is>
          <t>C1280</t>
        </is>
      </c>
      <c r="B1281" s="18" t="inlineStr">
        <is>
          <t>Gestión jurídica</t>
        </is>
      </c>
      <c r="C1281" s="18" t="inlineStr">
        <is>
          <t>legal_management</t>
        </is>
      </c>
      <c r="D1281" s="18" t="inlineStr">
        <is>
          <t>terminos_procesales</t>
        </is>
      </c>
      <c r="E1281" s="18" t="n">
        <v>233</v>
      </c>
      <c r="F1281" s="18" t="inlineStr">
        <is>
          <t>fundamento_normativo</t>
        </is>
      </c>
      <c r="G1281" s="18" t="inlineStr">
        <is>
          <t>jsonb</t>
        </is>
      </c>
      <c r="H1281" s="18" t="inlineStr">
        <is>
          <t>Sí</t>
        </is>
      </c>
      <c r="I1281" s="18" t="inlineStr"/>
      <c r="J1281" s="18" t="inlineStr"/>
      <c r="K1281" s="18" t="inlineStr"/>
      <c r="L1281" s="18" t="inlineStr">
        <is>
          <t>No</t>
        </is>
      </c>
      <c r="M1281" s="18" t="inlineStr">
        <is>
          <t>No</t>
        </is>
      </c>
      <c r="N1281" s="18" t="inlineStr"/>
      <c r="O1281" s="18" t="inlineStr"/>
      <c r="P1281" s="18" t="inlineStr">
        <is>
          <t>Mapeada en legal-management-service/src/entities/termino-procesal.entity.ts:81 (TerminoProcesal.fundamentoNormativo)</t>
        </is>
      </c>
      <c r="Q1281" s="18" t="inlineStr">
        <is>
          <t>Código fuente (verificado)</t>
        </is>
      </c>
      <c r="R1281" s="18" t="inlineStr">
        <is>
          <t>Normas que sustentan el término procesal, en formato JSON: cada elemento tiene tipo, cita, actualizacionPeriodica y, opcionalmente, mesRecordatorio.</t>
        </is>
      </c>
      <c r="S1281" s="18" t="inlineStr">
        <is>
          <t>Alta</t>
        </is>
      </c>
      <c r="T1281" s="18" t="inlineStr">
        <is>
          <t>backend/legal-management-service/src/entities/termino-procesal.entity.ts:82 Array&lt;{tipo, cita, actualizacionPeriodica, mesRecordatorio?}&gt; | db/migrations/401_add_fundamento_normativo_to_terminos_procesales.sql:1 fuentes normativas del informe o término</t>
        </is>
      </c>
      <c r="U1281" s="18" t="inlineStr"/>
      <c r="V1281" s="19" t="inlineStr">
        <is>
          <t>Aprobada</t>
        </is>
      </c>
      <c r="W1281" s="19" t="inlineStr"/>
      <c r="X1281" s="19" t="inlineStr">
        <is>
          <t>Aldair González (aprobación en bloque)</t>
        </is>
      </c>
      <c r="Y1281" s="20" t="n">
        <v>46321</v>
      </c>
      <c r="Z1281" s="19" t="inlineStr">
        <is>
          <t>Nivel 3: verificada con el código de la aplicación.</t>
        </is>
      </c>
      <c r="AA1281" s="18">
        <f>IF(OR(V1281="Aprobada"),R1281,IF(AND(OR(V1281="Aprobada con ajuste",V1281="Rechazada"),W1281&lt;&gt;""),W1281,""))</f>
        <v/>
      </c>
    </row>
    <row r="1282">
      <c r="A1282" s="18" t="inlineStr">
        <is>
          <t>C1281</t>
        </is>
      </c>
      <c r="B1282" s="18" t="inlineStr">
        <is>
          <t>Gestión jurídica</t>
        </is>
      </c>
      <c r="C1282" s="18" t="inlineStr">
        <is>
          <t>legal_management</t>
        </is>
      </c>
      <c r="D1282" s="18" t="inlineStr">
        <is>
          <t>terminos_procesales</t>
        </is>
      </c>
      <c r="E1282" s="18" t="n">
        <v>233</v>
      </c>
      <c r="F1282" s="18" t="inlineStr">
        <is>
          <t>ente_solicitante</t>
        </is>
      </c>
      <c r="G1282" s="18" t="inlineStr">
        <is>
          <t>character varying(255)</t>
        </is>
      </c>
      <c r="H1282" s="18" t="inlineStr">
        <is>
          <t>Sí</t>
        </is>
      </c>
      <c r="I1282" s="18" t="inlineStr"/>
      <c r="J1282" s="18" t="inlineStr"/>
      <c r="K1282" s="18" t="inlineStr"/>
      <c r="L1282" s="18" t="inlineStr">
        <is>
          <t>No</t>
        </is>
      </c>
      <c r="M1282" s="18" t="inlineStr">
        <is>
          <t>No</t>
        </is>
      </c>
      <c r="N1282" s="18" t="inlineStr"/>
      <c r="O1282" s="18" t="inlineStr"/>
      <c r="P1282" s="18" t="inlineStr">
        <is>
          <t>Mapeada en legal-management-service/src/entities/termino-procesal.entity.ts:78 (TerminoProcesal.enteSolicitante)</t>
        </is>
      </c>
      <c r="Q1282" s="18" t="inlineStr">
        <is>
          <t>Código fuente (verificado)</t>
        </is>
      </c>
      <c r="R1282" s="18" t="inlineStr">
        <is>
          <t>Entidad u organismo que solicita el informe o actuación sujeta al término, registrado como texto; no está enlazado al catálogo de organismos de control.</t>
        </is>
      </c>
      <c r="S1282" s="18" t="inlineStr">
        <is>
          <t>Alta</t>
        </is>
      </c>
      <c r="T1282" s="18" t="inlineStr">
        <is>
          <t>db/migrations/408_add_ente_solicitante_to_terminos_procesales.sql:1 entidad u organismo que solicita | backend/legal-management-service/src/controllers/terminos.controller.spec.ts:50 el controlador reenvía el valor sin modificarlo</t>
        </is>
      </c>
      <c r="U1282" s="18" t="inlineStr"/>
      <c r="V1282" s="19" t="inlineStr">
        <is>
          <t>Aprobada</t>
        </is>
      </c>
      <c r="W1282" s="19" t="inlineStr"/>
      <c r="X1282" s="19" t="inlineStr">
        <is>
          <t>Aldair González (aprobación en bloque)</t>
        </is>
      </c>
      <c r="Y1282" s="20" t="n">
        <v>46321</v>
      </c>
      <c r="Z1282" s="19" t="inlineStr">
        <is>
          <t>Nivel 3: verificada con el código de la aplicación.</t>
        </is>
      </c>
      <c r="AA1282" s="18">
        <f>IF(OR(V1282="Aprobada"),R1282,IF(AND(OR(V1282="Aprobada con ajuste",V1282="Rechazada"),W1282&lt;&gt;""),W1282,""))</f>
        <v/>
      </c>
    </row>
    <row r="1283">
      <c r="A1283" s="18" t="inlineStr">
        <is>
          <t>C1282</t>
        </is>
      </c>
      <c r="B1283" s="18" t="inlineStr">
        <is>
          <t>Gestión jurídica</t>
        </is>
      </c>
      <c r="C1283" s="18" t="inlineStr">
        <is>
          <t>legal_management</t>
        </is>
      </c>
      <c r="D1283" s="18" t="inlineStr">
        <is>
          <t>terminos_procesales</t>
        </is>
      </c>
      <c r="E1283" s="18" t="n">
        <v>233</v>
      </c>
      <c r="F1283" s="18" t="inlineStr">
        <is>
          <t>horas_anticipacion_alerta_personalizada</t>
        </is>
      </c>
      <c r="G1283" s="18" t="inlineStr">
        <is>
          <t>integer</t>
        </is>
      </c>
      <c r="H1283" s="18" t="inlineStr">
        <is>
          <t>Sí</t>
        </is>
      </c>
      <c r="I1283" s="18" t="inlineStr">
        <is>
          <t>CHECK</t>
        </is>
      </c>
      <c r="J1283" s="18" t="inlineStr"/>
      <c r="K1283" s="18" t="inlineStr"/>
      <c r="L1283" s="18" t="inlineStr">
        <is>
          <t>No</t>
        </is>
      </c>
      <c r="M1283" s="18" t="inlineStr">
        <is>
          <t>No</t>
        </is>
      </c>
      <c r="N1283" s="18" t="inlineStr"/>
      <c r="O1283" s="18" t="inlineStr"/>
      <c r="P1283" s="18" t="inlineStr">
        <is>
          <t>legal-management-service/src/entities/termino-procesal.entity.ts:44: Si está seteada, este término ignora las reglas globales de terminos_reglas_alerta y el scheduler usa únicamente este umbral (horas antes del vencimiento).</t>
        </is>
      </c>
      <c r="Q1283" s="18" t="inlineStr">
        <is>
          <t>Código fuente</t>
        </is>
      </c>
      <c r="R1283" s="18" t="inlineStr">
        <is>
          <t>Horas de anticipación al vencimiento para la alerta de este término; si tiene valor, el programador de alertas ignora las reglas globales de terminos_reglas_alerta y usa solo este umbral.</t>
        </is>
      </c>
      <c r="S1283" s="18" t="inlineStr">
        <is>
          <t>Alta</t>
        </is>
      </c>
      <c r="T1283" s="18" t="inlineStr">
        <is>
          <t>código: legal-management-service/src/entities/termino-procesal.entity.ts:44</t>
        </is>
      </c>
      <c r="U1283" s="18" t="inlineStr"/>
      <c r="V1283" s="19" t="inlineStr">
        <is>
          <t>Aprobada</t>
        </is>
      </c>
      <c r="W1283" s="19" t="inlineStr"/>
      <c r="X1283" s="19" t="inlineStr">
        <is>
          <t>Aldair González (aprobación en bloque)</t>
        </is>
      </c>
      <c r="Y1283" s="20" t="n">
        <v>46321</v>
      </c>
      <c r="Z1283" s="19" t="inlineStr">
        <is>
          <t>Nivel 1: propuesta del comentario del desarrollador o de confianza alta, o regla de fecha/responsable/motivo.</t>
        </is>
      </c>
      <c r="AA1283" s="18">
        <f>IF(OR(V1283="Aprobada"),R1283,IF(AND(OR(V1283="Aprobada con ajuste",V1283="Rechazada"),W1283&lt;&gt;""),W1283,""))</f>
        <v/>
      </c>
    </row>
    <row r="1284">
      <c r="A1284" s="18" t="inlineStr">
        <is>
          <t>C1283</t>
        </is>
      </c>
      <c r="B1284" s="18" t="inlineStr">
        <is>
          <t>Gestión jurídica</t>
        </is>
      </c>
      <c r="C1284" s="18" t="inlineStr">
        <is>
          <t>legal_management</t>
        </is>
      </c>
      <c r="D1284" s="18" t="inlineStr">
        <is>
          <t>terminos_procesales</t>
        </is>
      </c>
      <c r="E1284" s="18" t="n">
        <v>233</v>
      </c>
      <c r="F1284" s="18" t="inlineStr">
        <is>
          <t>recordatorio_manual_horas_anticipacion</t>
        </is>
      </c>
      <c r="G1284" s="18" t="inlineStr">
        <is>
          <t>integer</t>
        </is>
      </c>
      <c r="H1284" s="18" t="inlineStr">
        <is>
          <t>Sí</t>
        </is>
      </c>
      <c r="I1284" s="18" t="inlineStr">
        <is>
          <t>CHECK</t>
        </is>
      </c>
      <c r="J1284" s="18" t="inlineStr"/>
      <c r="K1284" s="18" t="inlineStr"/>
      <c r="L1284" s="18" t="inlineStr">
        <is>
          <t>No</t>
        </is>
      </c>
      <c r="M1284" s="18" t="inlineStr">
        <is>
          <t>No</t>
        </is>
      </c>
      <c r="N1284" s="18" t="inlineStr"/>
      <c r="O1284" s="18" t="inlineStr"/>
      <c r="P1284" s="18" t="inlineStr">
        <is>
          <t>legal-management-service/src/entities/termino-procesal.entity.ts:49: Recordatorio programado manualmente por el usuario (envío único); el scheduler lo limpia a null después de enviarlo.</t>
        </is>
      </c>
      <c r="Q1284" s="18" t="inlineStr">
        <is>
          <t>Código fuente</t>
        </is>
      </c>
      <c r="R1284" s="18" t="inlineStr">
        <is>
          <t>Horas de anticipación de un recordatorio programado manualmente por el usuario (envío único); el programador lo deja vacío después de enviarlo.</t>
        </is>
      </c>
      <c r="S1284" s="18" t="inlineStr">
        <is>
          <t>Alta</t>
        </is>
      </c>
      <c r="T1284" s="18" t="inlineStr">
        <is>
          <t>código: legal-management-service/src/entities/termino-procesal.entity.ts:49</t>
        </is>
      </c>
      <c r="U1284" s="18" t="inlineStr"/>
      <c r="V1284" s="19" t="inlineStr">
        <is>
          <t>Aprobada</t>
        </is>
      </c>
      <c r="W1284" s="19" t="inlineStr"/>
      <c r="X1284" s="19" t="inlineStr">
        <is>
          <t>Aldair González (aprobación en bloque)</t>
        </is>
      </c>
      <c r="Y1284" s="20" t="n">
        <v>46321</v>
      </c>
      <c r="Z1284" s="19" t="inlineStr">
        <is>
          <t>Nivel 1: propuesta del comentario del desarrollador o de confianza alta, o regla de fecha/responsable/motivo.</t>
        </is>
      </c>
      <c r="AA1284" s="18">
        <f>IF(OR(V1284="Aprobada"),R1284,IF(AND(OR(V1284="Aprobada con ajuste",V1284="Rechazada"),W1284&lt;&gt;""),W1284,""))</f>
        <v/>
      </c>
    </row>
    <row r="1285">
      <c r="A1285" s="18" t="inlineStr">
        <is>
          <t>C1284</t>
        </is>
      </c>
      <c r="B1285" s="18" t="inlineStr">
        <is>
          <t>Gestión jurídica</t>
        </is>
      </c>
      <c r="C1285" s="18" t="inlineStr">
        <is>
          <t>legal_management</t>
        </is>
      </c>
      <c r="D1285" s="18" t="inlineStr">
        <is>
          <t>terminos_procesales</t>
        </is>
      </c>
      <c r="E1285" s="18" t="n">
        <v>233</v>
      </c>
      <c r="F1285" s="18" t="inlineStr">
        <is>
          <t>ultimo_recordatorio_recurrente_en</t>
        </is>
      </c>
      <c r="G1285" s="18" t="inlineStr">
        <is>
          <t>timestamp with time zone</t>
        </is>
      </c>
      <c r="H1285" s="18" t="inlineStr">
        <is>
          <t>Sí</t>
        </is>
      </c>
      <c r="I1285" s="18" t="inlineStr"/>
      <c r="J1285" s="18" t="inlineStr"/>
      <c r="K1285" s="18" t="inlineStr"/>
      <c r="L1285" s="18" t="inlineStr">
        <is>
          <t>No</t>
        </is>
      </c>
      <c r="M1285" s="18" t="inlineStr">
        <is>
          <t>No</t>
        </is>
      </c>
      <c r="N1285" s="18" t="inlineStr"/>
      <c r="O1285" s="18" t="inlineStr">
        <is>
          <t>idx_terminos_procesales_recordatorio_recurrente</t>
        </is>
      </c>
      <c r="P1285" s="18" t="inlineStr">
        <is>
          <t>legal-management-service/src/entities/termino-procesal.entity.ts:54: Último recordatorio periódico enviado. El scheduler lo usa para espaciar los recordatorios y no reenviar en cada corrida. Se limpia al mover el vencimiento.</t>
        </is>
      </c>
      <c r="Q1285" s="18" t="inlineStr">
        <is>
          <t>Código fuente</t>
        </is>
      </c>
      <c r="R1285" s="18" t="inlineStr">
        <is>
          <t>Fecha y hora del último recordatorio periódico enviado; el programador la usa para espaciar los recordatorios y se limpia al mover el vencimiento.</t>
        </is>
      </c>
      <c r="S1285" s="18" t="inlineStr">
        <is>
          <t>Alta</t>
        </is>
      </c>
      <c r="T1285" s="18" t="inlineStr">
        <is>
          <t>código: legal-management-service/src/entities/termino-procesal.entity.ts:54</t>
        </is>
      </c>
      <c r="U1285" s="18" t="inlineStr"/>
      <c r="V1285" s="19" t="inlineStr">
        <is>
          <t>Aprobada</t>
        </is>
      </c>
      <c r="W1285" s="19" t="inlineStr"/>
      <c r="X1285" s="19" t="inlineStr">
        <is>
          <t>Aldair González (aprobación en bloque)</t>
        </is>
      </c>
      <c r="Y1285" s="20" t="n">
        <v>46321</v>
      </c>
      <c r="Z1285" s="19" t="inlineStr">
        <is>
          <t>Nivel 1: propuesta del comentario del desarrollador o de confianza alta, o regla de fecha/responsable/motivo.</t>
        </is>
      </c>
      <c r="AA1285" s="18">
        <f>IF(OR(V1285="Aprobada"),R1285,IF(AND(OR(V1285="Aprobada con ajuste",V1285="Rechazada"),W1285&lt;&gt;""),W1285,""))</f>
        <v/>
      </c>
    </row>
    <row r="1286">
      <c r="A1286" s="18" t="inlineStr">
        <is>
          <t>C1285</t>
        </is>
      </c>
      <c r="B1286" s="18" t="inlineStr">
        <is>
          <t>Gestión jurídica</t>
        </is>
      </c>
      <c r="C1286" s="18" t="inlineStr">
        <is>
          <t>legal_management</t>
        </is>
      </c>
      <c r="D1286" s="18" t="inlineStr">
        <is>
          <t>terminos_procesales</t>
        </is>
      </c>
      <c r="E1286" s="18" t="n">
        <v>233</v>
      </c>
      <c r="F1286" s="18" t="inlineStr">
        <is>
          <t>alerta_vencimiento_enviada_en</t>
        </is>
      </c>
      <c r="G1286" s="18" t="inlineStr">
        <is>
          <t>timestamp with time zone</t>
        </is>
      </c>
      <c r="H1286" s="18" t="inlineStr">
        <is>
          <t>Sí</t>
        </is>
      </c>
      <c r="I1286" s="18" t="inlineStr"/>
      <c r="J1286" s="18" t="inlineStr"/>
      <c r="K1286" s="18" t="inlineStr"/>
      <c r="L1286" s="18" t="inlineStr">
        <is>
          <t>No</t>
        </is>
      </c>
      <c r="M1286" s="18" t="inlineStr">
        <is>
          <t>No</t>
        </is>
      </c>
      <c r="N1286" s="18" t="inlineStr"/>
      <c r="O1286" s="18" t="inlineStr"/>
      <c r="P1286" s="18" t="inlineStr">
        <is>
          <t>legal-management-service/src/entities/termino-procesal.entity.ts:58: Aviso puntual de "ya venció" (envío único), distinto de los recordatorios periódicos.</t>
        </is>
      </c>
      <c r="Q1286" s="18" t="inlineStr">
        <is>
          <t>Código fuente</t>
        </is>
      </c>
      <c r="R1286" s="18" t="inlineStr">
        <is>
          <t>Fecha y hora del aviso único de término vencido, distinto de los recordatorios periódicos.</t>
        </is>
      </c>
      <c r="S1286" s="18" t="inlineStr">
        <is>
          <t>Alta</t>
        </is>
      </c>
      <c r="T1286" s="18" t="inlineStr">
        <is>
          <t>código: legal-management-service/src/entities/termino-procesal.entity.ts:58</t>
        </is>
      </c>
      <c r="U1286" s="18" t="inlineStr"/>
      <c r="V1286" s="19" t="inlineStr">
        <is>
          <t>Aprobada</t>
        </is>
      </c>
      <c r="W1286" s="19" t="inlineStr"/>
      <c r="X1286" s="19" t="inlineStr">
        <is>
          <t>Aldair González (aprobación en bloque)</t>
        </is>
      </c>
      <c r="Y1286" s="20" t="n">
        <v>46321</v>
      </c>
      <c r="Z1286" s="19" t="inlineStr">
        <is>
          <t>Nivel 1: propuesta del comentario del desarrollador o de confianza alta, o regla de fecha/responsable/motivo.</t>
        </is>
      </c>
      <c r="AA1286" s="18">
        <f>IF(OR(V1286="Aprobada"),R1286,IF(AND(OR(V1286="Aprobada con ajuste",V1286="Rechazada"),W1286&lt;&gt;""),W1286,""))</f>
        <v/>
      </c>
    </row>
    <row r="1287">
      <c r="A1287" s="18" t="inlineStr">
        <is>
          <t>C1286</t>
        </is>
      </c>
      <c r="B1287" s="18" t="inlineStr">
        <is>
          <t>Gestión jurídica</t>
        </is>
      </c>
      <c r="C1287" s="18" t="inlineStr">
        <is>
          <t>legal_management</t>
        </is>
      </c>
      <c r="D1287" s="18" t="inlineStr">
        <is>
          <t>terminos_reglas_alerta</t>
        </is>
      </c>
      <c r="E1287" s="18" t="n">
        <v>2</v>
      </c>
      <c r="F1287" s="18" t="inlineStr">
        <is>
          <t>horas_anticipacion</t>
        </is>
      </c>
      <c r="G1287" s="18" t="inlineStr">
        <is>
          <t>integer</t>
        </is>
      </c>
      <c r="H1287" s="18" t="inlineStr">
        <is>
          <t>No</t>
        </is>
      </c>
      <c r="I1287" s="18" t="inlineStr">
        <is>
          <t>Única, CHECK</t>
        </is>
      </c>
      <c r="J1287" s="18" t="inlineStr"/>
      <c r="K1287" s="18" t="inlineStr"/>
      <c r="L1287" s="18" t="inlineStr">
        <is>
          <t>No</t>
        </is>
      </c>
      <c r="M1287" s="18" t="inlineStr">
        <is>
          <t>No</t>
        </is>
      </c>
      <c r="N1287" s="18" t="inlineStr"/>
      <c r="O1287" s="18" t="inlineStr">
        <is>
          <t>uq_terminos_reglas_alerta_horas</t>
        </is>
      </c>
      <c r="P1287" s="18" t="inlineStr">
        <is>
          <t>Mapeada en legal-management-service/src/entities/regla-alerta-termino.entity.ts:8 (ReglaAlertaTermino.horasAnticipacion)</t>
        </is>
      </c>
      <c r="Q1287" s="18" t="inlineStr">
        <is>
          <t>Propuesta semántica</t>
        </is>
      </c>
      <c r="R1287" s="18" t="inlineStr">
        <is>
          <t>Horas de anticipación al vencimiento con que se dispara la alerta. Valor único por regla.</t>
        </is>
      </c>
      <c r="S1287" s="18" t="inlineStr">
        <is>
          <t>Alta</t>
        </is>
      </c>
      <c r="T1287" s="18" t="inlineStr">
        <is>
          <t>nombre + tipo + restricción única + columnas vecinas</t>
        </is>
      </c>
      <c r="U1287" s="18" t="inlineStr"/>
      <c r="V1287" s="19" t="inlineStr">
        <is>
          <t>Aprobada</t>
        </is>
      </c>
      <c r="W1287" s="19" t="inlineStr"/>
      <c r="X1287" s="19" t="inlineStr">
        <is>
          <t>Aldair González (aprobación en bloque)</t>
        </is>
      </c>
      <c r="Y1287" s="20" t="n">
        <v>46321</v>
      </c>
      <c r="Z1287" s="19" t="inlineStr">
        <is>
          <t>Nivel 1: propuesta del comentario del desarrollador o de confianza alta, o regla de fecha/responsable/motivo.</t>
        </is>
      </c>
      <c r="AA1287" s="18">
        <f>IF(OR(V1287="Aprobada"),R1287,IF(AND(OR(V1287="Aprobada con ajuste",V1287="Rechazada"),W1287&lt;&gt;""),W1287,""))</f>
        <v/>
      </c>
    </row>
    <row r="1288">
      <c r="A1288" s="18" t="inlineStr">
        <is>
          <t>C1287</t>
        </is>
      </c>
      <c r="B1288" s="18" t="inlineStr">
        <is>
          <t>Gestión jurídica</t>
        </is>
      </c>
      <c r="C1288" s="18" t="inlineStr">
        <is>
          <t>legal_management</t>
        </is>
      </c>
      <c r="D1288" s="18" t="inlineStr">
        <is>
          <t>terminos_reglas_alerta</t>
        </is>
      </c>
      <c r="E1288" s="18" t="n">
        <v>2</v>
      </c>
      <c r="F1288" s="18" t="inlineStr">
        <is>
          <t>activa</t>
        </is>
      </c>
      <c r="G1288" s="18" t="inlineStr">
        <is>
          <t>boolean</t>
        </is>
      </c>
      <c r="H1288" s="18" t="inlineStr">
        <is>
          <t>No</t>
        </is>
      </c>
      <c r="I1288" s="18" t="inlineStr"/>
      <c r="J1288" s="18" t="inlineStr"/>
      <c r="K1288" s="18" t="inlineStr"/>
      <c r="L1288" s="18" t="inlineStr">
        <is>
          <t>No</t>
        </is>
      </c>
      <c r="M1288" s="18" t="inlineStr">
        <is>
          <t>No</t>
        </is>
      </c>
      <c r="N1288" s="18" t="inlineStr"/>
      <c r="O1288" s="18" t="inlineStr">
        <is>
          <t>idx_terminos_reglas_alerta_activa</t>
        </is>
      </c>
      <c r="P1288" s="18" t="inlineStr">
        <is>
          <t>Mapeada en legal-management-service/src/entities/regla-alerta-termino.entity.ts:11 (ReglaAlertaTermino.activa)</t>
        </is>
      </c>
      <c r="Q1288" s="18" t="inlineStr">
        <is>
          <t>Regla estructural (redacción revisada)</t>
        </is>
      </c>
      <c r="R1288" s="18" t="inlineStr">
        <is>
          <t>Indica si la regla de alerta de términos está activa.</t>
        </is>
      </c>
      <c r="S1288" s="18" t="inlineStr">
        <is>
          <t>Alta</t>
        </is>
      </c>
      <c r="T1288" s="18" t="inlineStr">
        <is>
          <t>Convención de nombre, redactada con el contexto de la tabla y el código.</t>
        </is>
      </c>
      <c r="U1288" s="18" t="inlineStr"/>
      <c r="V1288" s="19" t="inlineStr">
        <is>
          <t>Aprobada</t>
        </is>
      </c>
      <c r="W1288" s="19" t="inlineStr"/>
      <c r="X1288" s="19" t="inlineStr">
        <is>
          <t>Aldair González (aprobación en bloque)</t>
        </is>
      </c>
      <c r="Y1288" s="20" t="n">
        <v>46321</v>
      </c>
      <c r="Z1288" s="19" t="inlineStr">
        <is>
          <t>Nivel 2: regla estructural con redacción revisada.</t>
        </is>
      </c>
      <c r="AA1288" s="18">
        <f>IF(OR(V1288="Aprobada"),R1288,IF(AND(OR(V1288="Aprobada con ajuste",V1288="Rechazada"),W1288&lt;&gt;""),W1288,""))</f>
        <v/>
      </c>
    </row>
    <row r="1289">
      <c r="A1289" s="18" t="inlineStr">
        <is>
          <t>C1288</t>
        </is>
      </c>
      <c r="B1289" s="18" t="inlineStr">
        <is>
          <t>Gestión jurídica</t>
        </is>
      </c>
      <c r="C1289" s="18" t="inlineStr">
        <is>
          <t>legal_management</t>
        </is>
      </c>
      <c r="D1289" s="18" t="inlineStr">
        <is>
          <t>terminos_reglas_alerta</t>
        </is>
      </c>
      <c r="E1289" s="18" t="n">
        <v>2</v>
      </c>
      <c r="F1289" s="18" t="inlineStr">
        <is>
          <t>enviar_email</t>
        </is>
      </c>
      <c r="G1289" s="18" t="inlineStr">
        <is>
          <t>boolean</t>
        </is>
      </c>
      <c r="H1289" s="18" t="inlineStr">
        <is>
          <t>No</t>
        </is>
      </c>
      <c r="I1289" s="18" t="inlineStr"/>
      <c r="J1289" s="18" t="inlineStr"/>
      <c r="K1289" s="18" t="inlineStr"/>
      <c r="L1289" s="18" t="inlineStr">
        <is>
          <t>No</t>
        </is>
      </c>
      <c r="M1289" s="18" t="inlineStr">
        <is>
          <t>No</t>
        </is>
      </c>
      <c r="N1289" s="18" t="inlineStr"/>
      <c r="O1289" s="18" t="inlineStr"/>
      <c r="P1289" s="18" t="inlineStr">
        <is>
          <t>Mapeada en legal-management-service/src/entities/regla-alerta-termino.entity.ts:15 (ReglaAlertaTermino.enviarEmail)</t>
        </is>
      </c>
      <c r="Q1289" s="18" t="inlineStr">
        <is>
          <t>Regla estructural (redacción revisada)</t>
        </is>
      </c>
      <c r="R1289" s="18" t="inlineStr">
        <is>
          <t>Indica si la regla de alerta de términos envía la alerta por correo electrónico.</t>
        </is>
      </c>
      <c r="S1289" s="18" t="inlineStr">
        <is>
          <t>Alta</t>
        </is>
      </c>
      <c r="T1289" s="18" t="inlineStr">
        <is>
          <t>Convención de nombre, redactada con el contexto de la tabla y el código.</t>
        </is>
      </c>
      <c r="U1289" s="18" t="inlineStr"/>
      <c r="V1289" s="19" t="inlineStr">
        <is>
          <t>Aprobada</t>
        </is>
      </c>
      <c r="W1289" s="19" t="inlineStr"/>
      <c r="X1289" s="19" t="inlineStr">
        <is>
          <t>Aldair González (aprobación en bloque)</t>
        </is>
      </c>
      <c r="Y1289" s="20" t="n">
        <v>46321</v>
      </c>
      <c r="Z1289" s="19" t="inlineStr">
        <is>
          <t>Nivel 2: regla estructural con redacción revisada.</t>
        </is>
      </c>
      <c r="AA1289" s="18">
        <f>IF(OR(V1289="Aprobada"),R1289,IF(AND(OR(V1289="Aprobada con ajuste",V1289="Rechazada"),W1289&lt;&gt;""),W1289,""))</f>
        <v/>
      </c>
    </row>
    <row r="1290">
      <c r="A1290" s="18" t="inlineStr">
        <is>
          <t>C1289</t>
        </is>
      </c>
      <c r="B1290" s="18" t="inlineStr">
        <is>
          <t>Gestión jurídica</t>
        </is>
      </c>
      <c r="C1290" s="18" t="inlineStr">
        <is>
          <t>legal_management</t>
        </is>
      </c>
      <c r="D1290" s="18" t="inlineStr">
        <is>
          <t>terminos_reglas_alerta</t>
        </is>
      </c>
      <c r="E1290" s="18" t="n">
        <v>2</v>
      </c>
      <c r="F1290" s="18" t="inlineStr">
        <is>
          <t>notificar_in_app</t>
        </is>
      </c>
      <c r="G1290" s="18" t="inlineStr">
        <is>
          <t>boolean</t>
        </is>
      </c>
      <c r="H1290" s="18" t="inlineStr">
        <is>
          <t>No</t>
        </is>
      </c>
      <c r="I1290" s="18" t="inlineStr"/>
      <c r="J1290" s="18" t="inlineStr"/>
      <c r="K1290" s="18" t="inlineStr"/>
      <c r="L1290" s="18" t="inlineStr">
        <is>
          <t>No</t>
        </is>
      </c>
      <c r="M1290" s="18" t="inlineStr">
        <is>
          <t>No</t>
        </is>
      </c>
      <c r="N1290" s="18" t="inlineStr"/>
      <c r="O1290" s="18" t="inlineStr"/>
      <c r="P1290" s="18" t="inlineStr">
        <is>
          <t>Mapeada en legal-management-service/src/entities/regla-alerta-termino.entity.ts:18 (ReglaAlertaTermino.notificarInApp)</t>
        </is>
      </c>
      <c r="Q1290" s="18" t="inlineStr">
        <is>
          <t>Regla estructural (redacción revisada)</t>
        </is>
      </c>
      <c r="R1290" s="18" t="inlineStr">
        <is>
          <t>Indica si la regla de alerta de términos genera una notificación dentro de la aplicación.</t>
        </is>
      </c>
      <c r="S1290" s="18" t="inlineStr">
        <is>
          <t>Alta</t>
        </is>
      </c>
      <c r="T1290" s="18" t="inlineStr">
        <is>
          <t>Convención de nombre, redactada con el contexto de la tabla y el código.</t>
        </is>
      </c>
      <c r="U1290" s="18" t="inlineStr"/>
      <c r="V1290" s="19" t="inlineStr">
        <is>
          <t>Aprobada</t>
        </is>
      </c>
      <c r="W1290" s="19" t="inlineStr"/>
      <c r="X1290" s="19" t="inlineStr">
        <is>
          <t>Aldair González (aprobación en bloque)</t>
        </is>
      </c>
      <c r="Y1290" s="20" t="n">
        <v>46321</v>
      </c>
      <c r="Z1290" s="19" t="inlineStr">
        <is>
          <t>Nivel 2: regla estructural con redacción revisada.</t>
        </is>
      </c>
      <c r="AA1290" s="18">
        <f>IF(OR(V1290="Aprobada"),R1290,IF(AND(OR(V1290="Aprobada con ajuste",V1290="Rechazada"),W1290&lt;&gt;""),W1290,""))</f>
        <v/>
      </c>
    </row>
    <row r="1291">
      <c r="A1291" s="18" t="inlineStr">
        <is>
          <t>C1290</t>
        </is>
      </c>
      <c r="B1291" s="18" t="inlineStr">
        <is>
          <t>Gestión jurídica</t>
        </is>
      </c>
      <c r="C1291" s="18" t="inlineStr">
        <is>
          <t>legal_management</t>
        </is>
      </c>
      <c r="D1291" s="18" t="inlineStr">
        <is>
          <t>terminos_reglas_alerta</t>
        </is>
      </c>
      <c r="E1291" s="18" t="n">
        <v>2</v>
      </c>
      <c r="F1291" s="18" t="inlineStr">
        <is>
          <t>descripcion</t>
        </is>
      </c>
      <c r="G1291" s="18" t="inlineStr">
        <is>
          <t>character varying(255)</t>
        </is>
      </c>
      <c r="H1291" s="18" t="inlineStr">
        <is>
          <t>Sí</t>
        </is>
      </c>
      <c r="I1291" s="18" t="inlineStr"/>
      <c r="J1291" s="18" t="inlineStr"/>
      <c r="K1291" s="18" t="inlineStr"/>
      <c r="L1291" s="18" t="inlineStr">
        <is>
          <t>No</t>
        </is>
      </c>
      <c r="M1291" s="18" t="inlineStr">
        <is>
          <t>No</t>
        </is>
      </c>
      <c r="N1291" s="18" t="inlineStr"/>
      <c r="O1291" s="18" t="inlineStr"/>
      <c r="P1291" s="18" t="inlineStr">
        <is>
          <t>Mapeada en legal-management-service/src/entities/regla-alerta-termino.entity.ts:21 (ReglaAlertaTermino.descripcion)</t>
        </is>
      </c>
      <c r="Q1291" s="18" t="inlineStr">
        <is>
          <t>Regla estructural (redacción revisada)</t>
        </is>
      </c>
      <c r="R1291" s="18" t="inlineStr">
        <is>
          <t>Descripción de la regla de alerta de términos.</t>
        </is>
      </c>
      <c r="S1291" s="18" t="inlineStr">
        <is>
          <t>Alta</t>
        </is>
      </c>
      <c r="T1291" s="18" t="inlineStr">
        <is>
          <t>Convención de nombre, redactada con el contexto de la tabla y el código.</t>
        </is>
      </c>
      <c r="U1291" s="18" t="inlineStr"/>
      <c r="V1291" s="19" t="inlineStr">
        <is>
          <t>Aprobada</t>
        </is>
      </c>
      <c r="W1291" s="19" t="inlineStr"/>
      <c r="X1291" s="19" t="inlineStr">
        <is>
          <t>Aldair González (aprobación en bloque)</t>
        </is>
      </c>
      <c r="Y1291" s="20" t="n">
        <v>46321</v>
      </c>
      <c r="Z1291" s="19" t="inlineStr">
        <is>
          <t>Nivel 2: regla estructural con redacción revisada.</t>
        </is>
      </c>
      <c r="AA1291" s="18">
        <f>IF(OR(V1291="Aprobada"),R1291,IF(AND(OR(V1291="Aprobada con ajuste",V1291="Rechazada"),W1291&lt;&gt;""),W1291,""))</f>
        <v/>
      </c>
    </row>
    <row r="1292">
      <c r="A1292" s="18" t="inlineStr">
        <is>
          <t>C1291</t>
        </is>
      </c>
      <c r="B1292" s="18" t="inlineStr">
        <is>
          <t>Control interno</t>
        </is>
      </c>
      <c r="C1292" s="18" t="inlineStr">
        <is>
          <t>control_interno</t>
        </is>
      </c>
      <c r="D1292" s="18" t="inlineStr">
        <is>
          <t>accion_correctiva</t>
        </is>
      </c>
      <c r="E1292" s="18" t="n">
        <v>29</v>
      </c>
      <c r="F1292" s="18" t="inlineStr">
        <is>
          <t>descripcion</t>
        </is>
      </c>
      <c r="G1292" s="18" t="inlineStr">
        <is>
          <t>text</t>
        </is>
      </c>
      <c r="H1292" s="18" t="inlineStr">
        <is>
          <t>No</t>
        </is>
      </c>
      <c r="I1292" s="18" t="inlineStr"/>
      <c r="J1292" s="18" t="inlineStr"/>
      <c r="K1292" s="18" t="inlineStr"/>
      <c r="L1292" s="18" t="inlineStr">
        <is>
          <t>No</t>
        </is>
      </c>
      <c r="M1292" s="18" t="inlineStr">
        <is>
          <t>Sí</t>
        </is>
      </c>
      <c r="N1292" s="18" t="inlineStr">
        <is>
          <t>Función control_interno.trigger_evento_actualizacion_accion; Función control_interno.trigger_evento_creacion_accion — control_interno.trigger_evento_actualizacion_accion: v_descripcion := 'Acción completada: ' || SUBSTRING(NEW.descripcion, 1, 100) || | control_interno.trigger_evento_creacion_accion: 'Nueva acción creada: ' || SUBSTRING(NEW.descripcion, 1, 100) ||</t>
        </is>
      </c>
      <c r="O1292" s="18" t="inlineStr"/>
      <c r="P1292" s="18" t="inlineStr">
        <is>
          <t>Mapeada en internal-institutional-control-service/src/esap/planes-mejoramiento/entities/accion-correctiva.entity.ts:53 (AccionCorrectiva.descripcion) | Validación: IsNotEmpty, IsOptional, IsString</t>
        </is>
      </c>
      <c r="Q1292" s="18" t="inlineStr">
        <is>
          <t>Regla estructural (redacción revisada)</t>
        </is>
      </c>
      <c r="R1292" s="18" t="inlineStr">
        <is>
          <t>Descripción de la acción correctiva.</t>
        </is>
      </c>
      <c r="S1292" s="18" t="inlineStr">
        <is>
          <t>Alta</t>
        </is>
      </c>
      <c r="T1292" s="18" t="inlineStr">
        <is>
          <t>Convención de nombre, redactada con el contexto de la tabla y el código.</t>
        </is>
      </c>
      <c r="U1292" s="18" t="inlineStr"/>
      <c r="V1292" s="19" t="inlineStr">
        <is>
          <t>Aprobada</t>
        </is>
      </c>
      <c r="W1292" s="19" t="inlineStr"/>
      <c r="X1292" s="19" t="inlineStr">
        <is>
          <t>Aldair González (aprobación en bloque)</t>
        </is>
      </c>
      <c r="Y1292" s="20" t="n">
        <v>46321</v>
      </c>
      <c r="Z1292" s="19" t="inlineStr">
        <is>
          <t>Nivel 2: regla estructural con redacción revisada.</t>
        </is>
      </c>
      <c r="AA1292" s="18">
        <f>IF(OR(V1292="Aprobada"),R1292,IF(AND(OR(V1292="Aprobada con ajuste",V1292="Rechazada"),W1292&lt;&gt;""),W1292,""))</f>
        <v/>
      </c>
    </row>
    <row r="1293">
      <c r="A1293" s="18" t="inlineStr">
        <is>
          <t>C1292</t>
        </is>
      </c>
      <c r="B1293" s="18" t="inlineStr">
        <is>
          <t>Control interno</t>
        </is>
      </c>
      <c r="C1293" s="18" t="inlineStr">
        <is>
          <t>control_interno</t>
        </is>
      </c>
      <c r="D1293" s="18" t="inlineStr">
        <is>
          <t>accion_correctiva</t>
        </is>
      </c>
      <c r="E1293" s="18" t="n">
        <v>29</v>
      </c>
      <c r="F1293" s="18" t="inlineStr">
        <is>
          <t>tipo</t>
        </is>
      </c>
      <c r="G1293" s="18" t="inlineStr">
        <is>
          <t>character varying(50)</t>
        </is>
      </c>
      <c r="H1293" s="18" t="inlineStr">
        <is>
          <t>No</t>
        </is>
      </c>
      <c r="I1293" s="18" t="inlineStr">
        <is>
          <t>CHECK</t>
        </is>
      </c>
      <c r="J1293" s="18" t="inlineStr">
        <is>
          <t>correctiva, mejora, preventiva</t>
        </is>
      </c>
      <c r="K1293" s="18" t="inlineStr"/>
      <c r="L1293" s="18" t="inlineStr">
        <is>
          <t>Sí</t>
        </is>
      </c>
      <c r="M1293" s="18" t="inlineStr">
        <is>
          <t>Sí</t>
        </is>
      </c>
      <c r="N1293" s="18" t="inlineStr">
        <is>
          <t>Función control_interno.trigger_evento_actualizacion_accion — control_interno.trigger_evento_actualizacion_accion: -- Determinar el tipo de evento según lo que cambió</t>
        </is>
      </c>
      <c r="O1293" s="18" t="inlineStr"/>
      <c r="P1293" s="18" t="inlineStr">
        <is>
          <t>Mapeada en internal-institutional-control-service/src/esap/planes-mejoramiento/entities/accion-correctiva.entity.ts:56 (AccionCorrectiva.tipo) | Validación: IsEnum(AccionCorrectivaTipo), IsEnum(TipoAuditoriaProgramada), IsEnum(TipoEventoTimeline), IsEnum(TipoTablero), IsEnum(['cumplimiento', 'eficiencia', 'eficacia', 'economia']), IsEnum(['plan-auditoria', 'plan-mejora', 'informe', 'documento'])</t>
        </is>
      </c>
      <c r="Q1293" s="18" t="inlineStr">
        <is>
          <t>Regla estructural (redacción revisada)</t>
        </is>
      </c>
      <c r="R1293" s="18" t="inlineStr">
        <is>
          <t>Tipo de acción (correctiva, mejora o preventiva).</t>
        </is>
      </c>
      <c r="S1293" s="18" t="inlineStr">
        <is>
          <t>Alta</t>
        </is>
      </c>
      <c r="T1293" s="18" t="inlineStr">
        <is>
          <t>Convención de nombre, redactada con el contexto de la tabla y el código.</t>
        </is>
      </c>
      <c r="U1293" s="18" t="inlineStr"/>
      <c r="V1293" s="19" t="inlineStr">
        <is>
          <t>Aprobada</t>
        </is>
      </c>
      <c r="W1293" s="19" t="inlineStr"/>
      <c r="X1293" s="19" t="inlineStr">
        <is>
          <t>Aldair González (aprobación en bloque)</t>
        </is>
      </c>
      <c r="Y1293" s="20" t="n">
        <v>46321</v>
      </c>
      <c r="Z1293" s="19" t="inlineStr">
        <is>
          <t>Nivel 2: regla estructural con redacción revisada.</t>
        </is>
      </c>
      <c r="AA1293" s="18">
        <f>IF(OR(V1293="Aprobada"),R1293,IF(AND(OR(V1293="Aprobada con ajuste",V1293="Rechazada"),W1293&lt;&gt;""),W1293,""))</f>
        <v/>
      </c>
    </row>
    <row r="1294">
      <c r="A1294" s="18" t="inlineStr">
        <is>
          <t>C1293</t>
        </is>
      </c>
      <c r="B1294" s="18" t="inlineStr">
        <is>
          <t>Control interno</t>
        </is>
      </c>
      <c r="C1294" s="18" t="inlineStr">
        <is>
          <t>control_interno</t>
        </is>
      </c>
      <c r="D1294" s="18" t="inlineStr">
        <is>
          <t>accion_correctiva</t>
        </is>
      </c>
      <c r="E1294" s="18" t="n">
        <v>29</v>
      </c>
      <c r="F1294" s="18" t="inlineStr">
        <is>
          <t>responsable</t>
        </is>
      </c>
      <c r="G1294" s="18" t="inlineStr">
        <is>
          <t>character varying(255)</t>
        </is>
      </c>
      <c r="H1294" s="18" t="inlineStr">
        <is>
          <t>No</t>
        </is>
      </c>
      <c r="I1294" s="18" t="inlineStr"/>
      <c r="J1294" s="18" t="inlineStr"/>
      <c r="K1294" s="18" t="inlineStr"/>
      <c r="L1294" s="18" t="inlineStr">
        <is>
          <t>No</t>
        </is>
      </c>
      <c r="M1294" s="18" t="inlineStr">
        <is>
          <t>Sí</t>
        </is>
      </c>
      <c r="N1294" s="18" t="inlineStr">
        <is>
          <t>Función control_interno.trigger_evento_actualizacion_accion; Función control_interno.trigger_evento_creacion_accion — control_interno.trigger_evento_actualizacion_accion: NEW.responsable,  -- usar el campo responsable que es varchar | control_interno.trigger_evento_creacion_accion: NEW.responsable,  -- usar el campo responsable que es varchar</t>
        </is>
      </c>
      <c r="O1294" s="18" t="inlineStr"/>
      <c r="P1294" s="18" t="inlineStr">
        <is>
          <t>Mapeada en internal-institutional-control-service/src/esap/planes-mejoramiento/entities/accion-correctiva.entity.ts:63 (AccionCorrectiva.responsable) | Validación: IsNotEmpty, IsOptional, IsString, Length(1, 255)</t>
        </is>
      </c>
      <c r="Q1294" s="18" t="inlineStr">
        <is>
          <t>Propuesta semántica</t>
        </is>
      </c>
      <c r="R1294" s="18" t="inlineStr">
        <is>
          <t>Nombre del responsable de ejecutar la acción correctiva (texto libre de 1 a 255 caracteres).</t>
        </is>
      </c>
      <c r="S1294" s="18" t="inlineStr">
        <is>
          <t>Alta</t>
        </is>
      </c>
      <c r="T1294" s="18" t="inlineStr">
        <is>
          <t>uso en las funciones trigger_evento_creacion_accion y trigger_evento_actualizacion_accion + validaciones ~</t>
        </is>
      </c>
      <c r="U1294" s="18" t="inlineStr"/>
      <c r="V1294" s="19" t="inlineStr">
        <is>
          <t>Aprobada</t>
        </is>
      </c>
      <c r="W1294" s="19" t="inlineStr"/>
      <c r="X1294" s="19" t="inlineStr">
        <is>
          <t>Aldair González (aprobación en bloque)</t>
        </is>
      </c>
      <c r="Y1294" s="20" t="n">
        <v>46321</v>
      </c>
      <c r="Z1294" s="19" t="inlineStr">
        <is>
          <t>Nivel 1: propuesta del comentario del desarrollador o de confianza alta, o regla de fecha/responsable/motivo.</t>
        </is>
      </c>
      <c r="AA1294" s="18">
        <f>IF(OR(V1294="Aprobada"),R1294,IF(AND(OR(V1294="Aprobada con ajuste",V1294="Rechazada"),W1294&lt;&gt;""),W1294,""))</f>
        <v/>
      </c>
    </row>
    <row r="1295">
      <c r="A1295" s="18" t="inlineStr">
        <is>
          <t>C1294</t>
        </is>
      </c>
      <c r="B1295" s="18" t="inlineStr">
        <is>
          <t>Control interno</t>
        </is>
      </c>
      <c r="C1295" s="18" t="inlineStr">
        <is>
          <t>control_interno</t>
        </is>
      </c>
      <c r="D1295" s="18" t="inlineStr">
        <is>
          <t>accion_correctiva</t>
        </is>
      </c>
      <c r="E1295" s="18" t="n">
        <v>29</v>
      </c>
      <c r="F1295" s="18" t="inlineStr">
        <is>
          <t>fecha_inicio</t>
        </is>
      </c>
      <c r="G1295" s="18" t="inlineStr">
        <is>
          <t>date</t>
        </is>
      </c>
      <c r="H1295" s="18" t="inlineStr">
        <is>
          <t>No</t>
        </is>
      </c>
      <c r="I1295" s="18" t="inlineStr"/>
      <c r="J1295" s="18" t="inlineStr"/>
      <c r="K1295" s="18" t="inlineStr"/>
      <c r="L1295" s="18" t="inlineStr">
        <is>
          <t>No</t>
        </is>
      </c>
      <c r="M1295" s="18" t="inlineStr">
        <is>
          <t>No</t>
        </is>
      </c>
      <c r="N1295" s="18" t="inlineStr"/>
      <c r="O1295" s="18" t="inlineStr"/>
      <c r="P1295" s="18" t="inlineStr">
        <is>
          <t>Mapeada en internal-institutional-control-service/src/esap/planes-mejoramiento/entities/accion-correctiva.entity.ts:66 (AccionCorrectiva.fechaInicio) | Validación: IsDateString, IsNotEmpty, IsOptional</t>
        </is>
      </c>
      <c r="Q1295" s="18" t="inlineStr">
        <is>
          <t>Regla estructural (redacción revisada)</t>
        </is>
      </c>
      <c r="R1295" s="18" t="inlineStr">
        <is>
          <t>Fecha de inicio de la acción correctiva.</t>
        </is>
      </c>
      <c r="S1295" s="18" t="inlineStr">
        <is>
          <t>Alta</t>
        </is>
      </c>
      <c r="T1295" s="18" t="inlineStr">
        <is>
          <t>Convención de nombre, redactada con el contexto de la tabla y el código.</t>
        </is>
      </c>
      <c r="U1295" s="18" t="inlineStr"/>
      <c r="V1295" s="19" t="inlineStr">
        <is>
          <t>Aprobada</t>
        </is>
      </c>
      <c r="W1295" s="19" t="inlineStr"/>
      <c r="X1295" s="19" t="inlineStr">
        <is>
          <t>Aldair González (aprobación en bloque)</t>
        </is>
      </c>
      <c r="Y1295" s="20" t="n">
        <v>46321</v>
      </c>
      <c r="Z1295" s="19" t="inlineStr">
        <is>
          <t>Nivel 2: regla estructural con redacción revisada.</t>
        </is>
      </c>
      <c r="AA1295" s="18">
        <f>IF(OR(V1295="Aprobada"),R1295,IF(AND(OR(V1295="Aprobada con ajuste",V1295="Rechazada"),W1295&lt;&gt;""),W1295,""))</f>
        <v/>
      </c>
    </row>
    <row r="1296">
      <c r="A1296" s="18" t="inlineStr">
        <is>
          <t>C1295</t>
        </is>
      </c>
      <c r="B1296" s="18" t="inlineStr">
        <is>
          <t>Control interno</t>
        </is>
      </c>
      <c r="C1296" s="18" t="inlineStr">
        <is>
          <t>control_interno</t>
        </is>
      </c>
      <c r="D1296" s="18" t="inlineStr">
        <is>
          <t>accion_correctiva</t>
        </is>
      </c>
      <c r="E1296" s="18" t="n">
        <v>29</v>
      </c>
      <c r="F1296" s="18" t="inlineStr">
        <is>
          <t>fecha_fin</t>
        </is>
      </c>
      <c r="G1296" s="18" t="inlineStr">
        <is>
          <t>date</t>
        </is>
      </c>
      <c r="H1296" s="18" t="inlineStr">
        <is>
          <t>No</t>
        </is>
      </c>
      <c r="I1296" s="18" t="inlineStr"/>
      <c r="J1296" s="18" t="inlineStr"/>
      <c r="K1296" s="18" t="inlineStr"/>
      <c r="L1296" s="18" t="inlineStr">
        <is>
          <t>No</t>
        </is>
      </c>
      <c r="M1296" s="18" t="inlineStr">
        <is>
          <t>No</t>
        </is>
      </c>
      <c r="N1296" s="18" t="inlineStr"/>
      <c r="O1296" s="18" t="inlineStr"/>
      <c r="P1296" s="18" t="inlineStr">
        <is>
          <t>Mapeada en internal-institutional-control-service/src/esap/planes-mejoramiento/entities/accion-correctiva.entity.ts:69 (AccionCorrectiva.fechaFin) | Validación: IsDateString, IsNotEmpty, IsOptional</t>
        </is>
      </c>
      <c r="Q1296" s="18" t="inlineStr">
        <is>
          <t>Regla estructural (redacción revisada)</t>
        </is>
      </c>
      <c r="R1296" s="18" t="inlineStr">
        <is>
          <t>Fecha de finalización de la acción correctiva.</t>
        </is>
      </c>
      <c r="S1296" s="18" t="inlineStr">
        <is>
          <t>Alta</t>
        </is>
      </c>
      <c r="T1296" s="18" t="inlineStr">
        <is>
          <t>Convención de nombre, redactada con el contexto de la tabla y el código.</t>
        </is>
      </c>
      <c r="U1296" s="18" t="inlineStr"/>
      <c r="V1296" s="19" t="inlineStr">
        <is>
          <t>Aprobada</t>
        </is>
      </c>
      <c r="W1296" s="19" t="inlineStr"/>
      <c r="X1296" s="19" t="inlineStr">
        <is>
          <t>Aldair González (aprobación en bloque)</t>
        </is>
      </c>
      <c r="Y1296" s="20" t="n">
        <v>46321</v>
      </c>
      <c r="Z1296" s="19" t="inlineStr">
        <is>
          <t>Nivel 2: regla estructural con redacción revisada.</t>
        </is>
      </c>
      <c r="AA1296" s="18">
        <f>IF(OR(V1296="Aprobada"),R1296,IF(AND(OR(V1296="Aprobada con ajuste",V1296="Rechazada"),W1296&lt;&gt;""),W1296,""))</f>
        <v/>
      </c>
    </row>
    <row r="1297">
      <c r="A1297" s="18" t="inlineStr">
        <is>
          <t>C1296</t>
        </is>
      </c>
      <c r="B1297" s="18" t="inlineStr">
        <is>
          <t>Control interno</t>
        </is>
      </c>
      <c r="C1297" s="18" t="inlineStr">
        <is>
          <t>control_interno</t>
        </is>
      </c>
      <c r="D1297" s="18" t="inlineStr">
        <is>
          <t>accion_correctiva</t>
        </is>
      </c>
      <c r="E1297" s="18" t="n">
        <v>29</v>
      </c>
      <c r="F1297" s="18" t="inlineStr">
        <is>
          <t>recursos</t>
        </is>
      </c>
      <c r="G1297" s="18" t="inlineStr">
        <is>
          <t>text</t>
        </is>
      </c>
      <c r="H1297" s="18" t="inlineStr">
        <is>
          <t>Sí</t>
        </is>
      </c>
      <c r="I1297" s="18" t="inlineStr"/>
      <c r="J1297" s="18" t="inlineStr"/>
      <c r="K1297" s="18" t="inlineStr"/>
      <c r="L1297" s="18" t="inlineStr">
        <is>
          <t>No</t>
        </is>
      </c>
      <c r="M1297" s="18" t="inlineStr">
        <is>
          <t>No</t>
        </is>
      </c>
      <c r="N1297" s="18" t="inlineStr"/>
      <c r="O1297" s="18" t="inlineStr"/>
      <c r="P1297" s="18" t="inlineStr">
        <is>
          <t>Mapeada en internal-institutional-control-service/src/esap/planes-mejoramiento/entities/accion-correctiva.entity.ts:72 (AccionCorrectiva.recursos) | Validación: IsOptional, IsString</t>
        </is>
      </c>
      <c r="Q1297" s="18" t="inlineStr">
        <is>
          <t>Código fuente (verificado)</t>
        </is>
      </c>
      <c r="R1297" s="18" t="inlineStr">
        <is>
          <t>Recursos requeridos para ejecutar la acción correctiva, en texto libre.</t>
        </is>
      </c>
      <c r="S1297" s="18" t="inlineStr">
        <is>
          <t>Alta</t>
        </is>
      </c>
      <c r="T1297" s="18" t="inlineStr">
        <is>
          <t>backend/internal-institutional-control-service/src/esap/planes-mejoramiento/entities/accion-correctiva.entity.ts:72: text nulo | backend/internal-institutional-control-service/src/esap/planes-mejoramiento/planes-mejoramiento.service.ts:1231: se guarda el texto recibido; no hay clasificación en el código</t>
        </is>
      </c>
      <c r="U1297" s="18" t="inlineStr"/>
      <c r="V1297" s="19" t="inlineStr">
        <is>
          <t>Aprobada</t>
        </is>
      </c>
      <c r="W1297" s="19" t="inlineStr"/>
      <c r="X1297" s="19" t="inlineStr">
        <is>
          <t>Aldair González (aprobación en bloque)</t>
        </is>
      </c>
      <c r="Y1297" s="20" t="n">
        <v>46321</v>
      </c>
      <c r="Z1297" s="19" t="inlineStr">
        <is>
          <t>Nivel 3: verificada con el código de la aplicación.</t>
        </is>
      </c>
      <c r="AA1297" s="18">
        <f>IF(OR(V1297="Aprobada"),R1297,IF(AND(OR(V1297="Aprobada con ajuste",V1297="Rechazada"),W1297&lt;&gt;""),W1297,""))</f>
        <v/>
      </c>
    </row>
    <row r="1298">
      <c r="A1298" s="18" t="inlineStr">
        <is>
          <t>C1297</t>
        </is>
      </c>
      <c r="B1298" s="18" t="inlineStr">
        <is>
          <t>Control interno</t>
        </is>
      </c>
      <c r="C1298" s="18" t="inlineStr">
        <is>
          <t>control_interno</t>
        </is>
      </c>
      <c r="D1298" s="18" t="inlineStr">
        <is>
          <t>accion_correctiva</t>
        </is>
      </c>
      <c r="E1298" s="18" t="n">
        <v>29</v>
      </c>
      <c r="F1298" s="18" t="inlineStr">
        <is>
          <t>indicador</t>
        </is>
      </c>
      <c r="G1298" s="18" t="inlineStr">
        <is>
          <t>character varying(500)</t>
        </is>
      </c>
      <c r="H1298" s="18" t="inlineStr">
        <is>
          <t>Sí</t>
        </is>
      </c>
      <c r="I1298" s="18" t="inlineStr"/>
      <c r="J1298" s="18" t="inlineStr"/>
      <c r="K1298" s="18" t="inlineStr"/>
      <c r="L1298" s="18" t="inlineStr">
        <is>
          <t>No</t>
        </is>
      </c>
      <c r="M1298" s="18" t="inlineStr">
        <is>
          <t>No</t>
        </is>
      </c>
      <c r="N1298" s="18" t="inlineStr"/>
      <c r="O1298" s="18" t="inlineStr"/>
      <c r="P1298" s="18" t="inlineStr">
        <is>
          <t>Mapeada en internal-institutional-control-service/src/esap/planes-mejoramiento/entities/accion-correctiva.entity.ts:75 (AccionCorrectiva.indicador) | Validación: IsOptional, IsString</t>
        </is>
      </c>
      <c r="Q1298" s="18" t="inlineStr">
        <is>
          <t>Propuesta semántica</t>
        </is>
      </c>
      <c r="R1298" s="18" t="inlineStr">
        <is>
          <t>Indicador con el que se mide el cumplimiento de la acción correctiva.</t>
        </is>
      </c>
      <c r="S1298" s="18" t="inlineStr">
        <is>
          <t>Alta</t>
        </is>
      </c>
      <c r="T1298" s="18" t="inlineStr">
        <is>
          <t>nombre + columnas vecinas (meta_indicador) ~</t>
        </is>
      </c>
      <c r="U1298" s="18" t="inlineStr"/>
      <c r="V1298" s="19" t="inlineStr">
        <is>
          <t>Aprobada</t>
        </is>
      </c>
      <c r="W1298" s="19" t="inlineStr"/>
      <c r="X1298" s="19" t="inlineStr">
        <is>
          <t>Aldair González (aprobación en bloque)</t>
        </is>
      </c>
      <c r="Y1298" s="20" t="n">
        <v>46321</v>
      </c>
      <c r="Z1298" s="19" t="inlineStr">
        <is>
          <t>Nivel 1: propuesta del comentario del desarrollador o de confianza alta, o regla de fecha/responsable/motivo.</t>
        </is>
      </c>
      <c r="AA1298" s="18">
        <f>IF(OR(V1298="Aprobada"),R1298,IF(AND(OR(V1298="Aprobada con ajuste",V1298="Rechazada"),W1298&lt;&gt;""),W1298,""))</f>
        <v/>
      </c>
    </row>
    <row r="1299">
      <c r="A1299" s="18" t="inlineStr">
        <is>
          <t>C1298</t>
        </is>
      </c>
      <c r="B1299" s="18" t="inlineStr">
        <is>
          <t>Control interno</t>
        </is>
      </c>
      <c r="C1299" s="18" t="inlineStr">
        <is>
          <t>control_interno</t>
        </is>
      </c>
      <c r="D1299" s="18" t="inlineStr">
        <is>
          <t>accion_correctiva</t>
        </is>
      </c>
      <c r="E1299" s="18" t="n">
        <v>29</v>
      </c>
      <c r="F1299" s="18" t="inlineStr">
        <is>
          <t>meta_indicador</t>
        </is>
      </c>
      <c r="G1299" s="18" t="inlineStr">
        <is>
          <t>character varying(500)</t>
        </is>
      </c>
      <c r="H1299" s="18" t="inlineStr">
        <is>
          <t>Sí</t>
        </is>
      </c>
      <c r="I1299" s="18" t="inlineStr"/>
      <c r="J1299" s="18" t="inlineStr"/>
      <c r="K1299" s="18" t="inlineStr"/>
      <c r="L1299" s="18" t="inlineStr">
        <is>
          <t>No</t>
        </is>
      </c>
      <c r="M1299" s="18" t="inlineStr">
        <is>
          <t>No</t>
        </is>
      </c>
      <c r="N1299" s="18" t="inlineStr"/>
      <c r="O1299" s="18" t="inlineStr"/>
      <c r="P1299" s="18" t="inlineStr">
        <is>
          <t>Mapeada en internal-institutional-control-service/src/esap/planes-mejoramiento/entities/accion-correctiva.entity.ts:78 (AccionCorrectiva.metaIndicador) | Validación: IsOptional, IsString</t>
        </is>
      </c>
      <c r="Q1299" s="18" t="inlineStr">
        <is>
          <t>Propuesta semántica</t>
        </is>
      </c>
      <c r="R1299" s="18" t="inlineStr">
        <is>
          <t>Meta esperada del indicador de la acción correctiva.</t>
        </is>
      </c>
      <c r="S1299" s="18" t="inlineStr">
        <is>
          <t>Alta</t>
        </is>
      </c>
      <c r="T1299" s="18" t="inlineStr">
        <is>
          <t>nombre + columnas vecinas (indicador) ~</t>
        </is>
      </c>
      <c r="U1299" s="18" t="inlineStr"/>
      <c r="V1299" s="19" t="inlineStr">
        <is>
          <t>Aprobada</t>
        </is>
      </c>
      <c r="W1299" s="19" t="inlineStr"/>
      <c r="X1299" s="19" t="inlineStr">
        <is>
          <t>Aldair González (aprobación en bloque)</t>
        </is>
      </c>
      <c r="Y1299" s="20" t="n">
        <v>46321</v>
      </c>
      <c r="Z1299" s="19" t="inlineStr">
        <is>
          <t>Nivel 1: propuesta del comentario del desarrollador o de confianza alta, o regla de fecha/responsable/motivo.</t>
        </is>
      </c>
      <c r="AA1299" s="18">
        <f>IF(OR(V1299="Aprobada"),R1299,IF(AND(OR(V1299="Aprobada con ajuste",V1299="Rechazada"),W1299&lt;&gt;""),W1299,""))</f>
        <v/>
      </c>
    </row>
    <row r="1300">
      <c r="A1300" s="18" t="inlineStr">
        <is>
          <t>C1299</t>
        </is>
      </c>
      <c r="B1300" s="18" t="inlineStr">
        <is>
          <t>Control interno</t>
        </is>
      </c>
      <c r="C1300" s="18" t="inlineStr">
        <is>
          <t>control_interno</t>
        </is>
      </c>
      <c r="D1300" s="18" t="inlineStr">
        <is>
          <t>accion_correctiva</t>
        </is>
      </c>
      <c r="E1300" s="18" t="n">
        <v>29</v>
      </c>
      <c r="F1300" s="18" t="inlineStr">
        <is>
          <t>estado</t>
        </is>
      </c>
      <c r="G1300" s="18" t="inlineStr">
        <is>
          <t>character varying(50)</t>
        </is>
      </c>
      <c r="H1300" s="18" t="inlineStr">
        <is>
          <t>No</t>
        </is>
      </c>
      <c r="I1300" s="18" t="inlineStr">
        <is>
          <t>CHECK</t>
        </is>
      </c>
      <c r="J1300" s="18" t="inlineStr">
        <is>
          <t>completada, en-progreso, implementada, programada, vencida</t>
        </is>
      </c>
      <c r="K1300" s="18" t="inlineStr"/>
      <c r="L1300" s="18" t="inlineStr">
        <is>
          <t>Sí</t>
        </is>
      </c>
      <c r="M1300" s="18" t="inlineStr">
        <is>
          <t>Sí</t>
        </is>
      </c>
      <c r="N1300" s="18" t="inlineStr">
        <is>
          <t>Función control_interno.trigger_evento_actualizacion_accion; Función control_interno.trigger_evento_creacion_accion — control_interno.trigger_evento_actualizacion_accion: ELSIF OLD.estado IS DISTINCT FROM NEW.estado THEN | control_interno.trigger_evento_creacion_accion: 'estado', NEW.estado,</t>
        </is>
      </c>
      <c r="O1300" s="18" t="inlineStr">
        <is>
          <t>idx_accion_correctiva_estado</t>
        </is>
      </c>
      <c r="P1300" s="18" t="inlineStr">
        <is>
          <t>Mapeada en internal-institutional-control-service/src/esap/planes-mejoramiento/entities/accion-correctiva.entity.ts:81 (AccionCorrectiva.estado) | Validación: IsEnum(AccionCorrectivaEstado), IsEnum(EstadoEtapa), IsEnum(EstadoPlanIndividual), IsEnum(EstadoTarea), IsEnum(HallazgoEstado), IsEnum(PlanMejoramientoEstado)</t>
        </is>
      </c>
      <c r="Q1300" s="18" t="inlineStr">
        <is>
          <t>Regla estructural (redacción revisada)</t>
        </is>
      </c>
      <c r="R1300" s="18" t="inlineStr">
        <is>
          <t>Estado de la acción correctiva (completada, en-progreso, implementada, programada o vencida).</t>
        </is>
      </c>
      <c r="S1300" s="18" t="inlineStr">
        <is>
          <t>Alta</t>
        </is>
      </c>
      <c r="T1300" s="18" t="inlineStr">
        <is>
          <t>Convención de nombre, redactada con el contexto de la tabla y el código.</t>
        </is>
      </c>
      <c r="U1300" s="18" t="inlineStr"/>
      <c r="V1300" s="19" t="inlineStr">
        <is>
          <t>Aprobada</t>
        </is>
      </c>
      <c r="W1300" s="19" t="inlineStr"/>
      <c r="X1300" s="19" t="inlineStr">
        <is>
          <t>Aldair González (aprobación en bloque)</t>
        </is>
      </c>
      <c r="Y1300" s="20" t="n">
        <v>46321</v>
      </c>
      <c r="Z1300" s="19" t="inlineStr">
        <is>
          <t>Nivel 2: regla estructural con redacción revisada.</t>
        </is>
      </c>
      <c r="AA1300" s="18">
        <f>IF(OR(V1300="Aprobada"),R1300,IF(AND(OR(V1300="Aprobada con ajuste",V1300="Rechazada"),W1300&lt;&gt;""),W1300,""))</f>
        <v/>
      </c>
    </row>
    <row r="1301">
      <c r="A1301" s="18" t="inlineStr">
        <is>
          <t>C1300</t>
        </is>
      </c>
      <c r="B1301" s="18" t="inlineStr">
        <is>
          <t>Control interno</t>
        </is>
      </c>
      <c r="C1301" s="18" t="inlineStr">
        <is>
          <t>control_interno</t>
        </is>
      </c>
      <c r="D1301" s="18" t="inlineStr">
        <is>
          <t>accion_correctiva</t>
        </is>
      </c>
      <c r="E1301" s="18" t="n">
        <v>29</v>
      </c>
      <c r="F1301" s="18" t="inlineStr">
        <is>
          <t>porcentaje_avance</t>
        </is>
      </c>
      <c r="G1301" s="18" t="inlineStr">
        <is>
          <t>integer</t>
        </is>
      </c>
      <c r="H1301" s="18" t="inlineStr">
        <is>
          <t>Sí</t>
        </is>
      </c>
      <c r="I1301" s="18" t="inlineStr">
        <is>
          <t>CHECK</t>
        </is>
      </c>
      <c r="J1301" s="18" t="inlineStr"/>
      <c r="K1301" s="18" t="inlineStr"/>
      <c r="L1301" s="18" t="inlineStr">
        <is>
          <t>No</t>
        </is>
      </c>
      <c r="M1301" s="18" t="inlineStr">
        <is>
          <t>Sí</t>
        </is>
      </c>
      <c r="N1301" s="18" t="inlineStr">
        <is>
          <t>Función control_interno.trigger_evento_actualizacion_accion; Función control_interno.trigger_evento_creacion_accion — control_interno.trigger_evento_actualizacion_accion: IF OLD.porcentaje_avance IS DISTINCT FROM NEW.porcentaje_avance THEN | control_interno.trigger_evento_creacion_accion: 'progreso', NEW.porcentaje_avance</t>
        </is>
      </c>
      <c r="O1301" s="18" t="inlineStr"/>
      <c r="P1301" s="18" t="inlineStr">
        <is>
          <t>Mapeada en internal-institutional-control-service/src/esap/planes-mejoramiento/entities/accion-correctiva.entity.ts:88 (AccionCorrectiva.porcentajeAvance) | Validación: IsInt, IsOptional, Max(100), Min(0)</t>
        </is>
      </c>
      <c r="Q1301" s="18" t="inlineStr">
        <is>
          <t>Propuesta semántica</t>
        </is>
      </c>
      <c r="R1301" s="18" t="inlineStr">
        <is>
          <t>Porcentaje de avance de la acción correctiva, de 0 a 100; los cambios quedan registrados como evento de progreso.</t>
        </is>
      </c>
      <c r="S1301" s="18" t="inlineStr">
        <is>
          <t>Alta</t>
        </is>
      </c>
      <c r="T1301" s="18" t="inlineStr">
        <is>
          <t>uso en la función trigger_evento_actualizacion_accion + validaciones Min(0), Max(100) ~</t>
        </is>
      </c>
      <c r="U1301" s="18" t="inlineStr"/>
      <c r="V1301" s="19" t="inlineStr">
        <is>
          <t>Aprobada</t>
        </is>
      </c>
      <c r="W1301" s="19" t="inlineStr"/>
      <c r="X1301" s="19" t="inlineStr">
        <is>
          <t>Aldair González (aprobación en bloque)</t>
        </is>
      </c>
      <c r="Y1301" s="20" t="n">
        <v>46321</v>
      </c>
      <c r="Z1301" s="19" t="inlineStr">
        <is>
          <t>Nivel 1: propuesta del comentario del desarrollador o de confianza alta, o regla de fecha/responsable/motivo.</t>
        </is>
      </c>
      <c r="AA1301" s="18">
        <f>IF(OR(V1301="Aprobada"),R1301,IF(AND(OR(V1301="Aprobada con ajuste",V1301="Rechazada"),W1301&lt;&gt;""),W1301,""))</f>
        <v/>
      </c>
    </row>
    <row r="1302">
      <c r="A1302" s="18" t="inlineStr">
        <is>
          <t>C1301</t>
        </is>
      </c>
      <c r="B1302" s="18" t="inlineStr">
        <is>
          <t>Control interno</t>
        </is>
      </c>
      <c r="C1302" s="18" t="inlineStr">
        <is>
          <t>control_interno</t>
        </is>
      </c>
      <c r="D1302" s="18" t="inlineStr">
        <is>
          <t>accion_correctiva</t>
        </is>
      </c>
      <c r="E1302" s="18" t="n">
        <v>29</v>
      </c>
      <c r="F1302" s="18" t="inlineStr">
        <is>
          <t>observaciones</t>
        </is>
      </c>
      <c r="G1302" s="18" t="inlineStr">
        <is>
          <t>text</t>
        </is>
      </c>
      <c r="H1302" s="18" t="inlineStr">
        <is>
          <t>Sí</t>
        </is>
      </c>
      <c r="I1302" s="18" t="inlineStr"/>
      <c r="J1302" s="18" t="inlineStr"/>
      <c r="K1302" s="18" t="inlineStr"/>
      <c r="L1302" s="18" t="inlineStr">
        <is>
          <t>No</t>
        </is>
      </c>
      <c r="M1302" s="18" t="inlineStr">
        <is>
          <t>No</t>
        </is>
      </c>
      <c r="N1302" s="18" t="inlineStr"/>
      <c r="O1302" s="18" t="inlineStr"/>
      <c r="P1302" s="18" t="inlineStr">
        <is>
          <t>Mapeada en internal-institutional-control-service/src/esap/planes-mejoramiento/entities/accion-correctiva.entity.ts:91 (AccionCorrectiva.observaciones) | Validación: IsOptional, IsString</t>
        </is>
      </c>
      <c r="Q1302" s="18" t="inlineStr">
        <is>
          <t>Regla estructural (redacción revisada)</t>
        </is>
      </c>
      <c r="R1302" s="18" t="inlineStr">
        <is>
          <t>Observaciones sobre la acción correctiva.</t>
        </is>
      </c>
      <c r="S1302" s="18" t="inlineStr">
        <is>
          <t>Alta</t>
        </is>
      </c>
      <c r="T1302" s="18" t="inlineStr">
        <is>
          <t>Convención de nombre, redactada con el contexto de la tabla y el código.</t>
        </is>
      </c>
      <c r="U1302" s="18" t="inlineStr"/>
      <c r="V1302" s="19" t="inlineStr">
        <is>
          <t>Aprobada</t>
        </is>
      </c>
      <c r="W1302" s="19" t="inlineStr"/>
      <c r="X1302" s="19" t="inlineStr">
        <is>
          <t>Aldair González (aprobación en bloque)</t>
        </is>
      </c>
      <c r="Y1302" s="20" t="n">
        <v>46321</v>
      </c>
      <c r="Z1302" s="19" t="inlineStr">
        <is>
          <t>Nivel 2: regla estructural con redacción revisada.</t>
        </is>
      </c>
      <c r="AA1302" s="18">
        <f>IF(OR(V1302="Aprobada"),R1302,IF(AND(OR(V1302="Aprobada con ajuste",V1302="Rechazada"),W1302&lt;&gt;""),W1302,""))</f>
        <v/>
      </c>
    </row>
    <row r="1303">
      <c r="A1303" s="18" t="inlineStr">
        <is>
          <t>C1302</t>
        </is>
      </c>
      <c r="B1303" s="18" t="inlineStr">
        <is>
          <t>Control interno</t>
        </is>
      </c>
      <c r="C1303" s="18" t="inlineStr">
        <is>
          <t>control_interno</t>
        </is>
      </c>
      <c r="D1303" s="18" t="inlineStr">
        <is>
          <t>accion_correctiva</t>
        </is>
      </c>
      <c r="E1303" s="18" t="n">
        <v>29</v>
      </c>
      <c r="F1303" s="18" t="inlineStr">
        <is>
          <t>evidencias</t>
        </is>
      </c>
      <c r="G1303" s="18" t="inlineStr">
        <is>
          <t>jsonb</t>
        </is>
      </c>
      <c r="H1303" s="18" t="inlineStr">
        <is>
          <t>Sí</t>
        </is>
      </c>
      <c r="I1303" s="18" t="inlineStr"/>
      <c r="J1303" s="18" t="inlineStr"/>
      <c r="K1303" s="18" t="inlineStr"/>
      <c r="L1303" s="18" t="inlineStr">
        <is>
          <t>No</t>
        </is>
      </c>
      <c r="M1303" s="18" t="inlineStr">
        <is>
          <t>No</t>
        </is>
      </c>
      <c r="N1303" s="18" t="inlineStr"/>
      <c r="O1303" s="18" t="inlineStr"/>
      <c r="P1303" s="18" t="inlineStr">
        <is>
          <t>Mapeada en internal-institutional-control-service/src/esap/planes-mejoramiento/entities/accion-correctiva.entity.ts:94 (AccionCorrectiva.evidencias) | Validación: IsArray, IsOptional, IsString({ each: true })</t>
        </is>
      </c>
      <c r="Q1303" s="18" t="inlineStr">
        <is>
          <t>Código fuente (verificado)</t>
        </is>
      </c>
      <c r="R1303" s="18" t="inlineStr">
        <is>
          <t>Evidencias de la acción correctiva, en formato JSON: lista de objetos con identificador, nombre, tipo, URL, fecha, indicador de validación, validador y fecha de validación. Por defecto, una lista vacía.</t>
        </is>
      </c>
      <c r="S1303" s="18" t="inlineStr">
        <is>
          <t>Alta</t>
        </is>
      </c>
      <c r="T1303" s="18" t="inlineStr">
        <is>
          <t>backend/internal-institutional-control-service/src/esap/planes-mejoramiento/entities/accion-correctiva.entity.ts:94-107: estructura {id, nombre, tipo, url, fecha, validado, validadoPor, fechaValidacion} | backend/internal-institutional-control-service/src/esap/planes-mejoramiento/planes-mejoramiento.controller.ts:321-333: agrega cada evidencia con su URL</t>
        </is>
      </c>
      <c r="U1303" s="18" t="inlineStr"/>
      <c r="V1303" s="19" t="inlineStr">
        <is>
          <t>Aprobada</t>
        </is>
      </c>
      <c r="W1303" s="19" t="inlineStr"/>
      <c r="X1303" s="19" t="inlineStr">
        <is>
          <t>Aldair González (aprobación en bloque)</t>
        </is>
      </c>
      <c r="Y1303" s="20" t="n">
        <v>46321</v>
      </c>
      <c r="Z1303" s="19" t="inlineStr">
        <is>
          <t>Nivel 3: verificada con el código de la aplicación.</t>
        </is>
      </c>
      <c r="AA1303" s="18">
        <f>IF(OR(V1303="Aprobada"),R1303,IF(AND(OR(V1303="Aprobada con ajuste",V1303="Rechazada"),W1303&lt;&gt;""),W1303,""))</f>
        <v/>
      </c>
    </row>
    <row r="1304">
      <c r="A1304" s="18" t="inlineStr">
        <is>
          <t>C1303</t>
        </is>
      </c>
      <c r="B1304" s="18" t="inlineStr">
        <is>
          <t>Control interno</t>
        </is>
      </c>
      <c r="C1304" s="18" t="inlineStr">
        <is>
          <t>control_interno</t>
        </is>
      </c>
      <c r="D1304" s="18" t="inlineStr">
        <is>
          <t>accion_correctiva</t>
        </is>
      </c>
      <c r="E1304" s="18" t="n">
        <v>29</v>
      </c>
      <c r="F1304" s="18" t="inlineStr">
        <is>
          <t>cantidad_acciones_programadas</t>
        </is>
      </c>
      <c r="G1304" s="18" t="inlineStr">
        <is>
          <t>integer</t>
        </is>
      </c>
      <c r="H1304" s="18" t="inlineStr">
        <is>
          <t>Sí</t>
        </is>
      </c>
      <c r="I1304" s="18" t="inlineStr"/>
      <c r="J1304" s="18" t="inlineStr"/>
      <c r="K1304" s="18" t="inlineStr"/>
      <c r="L1304" s="18" t="inlineStr">
        <is>
          <t>No</t>
        </is>
      </c>
      <c r="M1304" s="18" t="inlineStr">
        <is>
          <t>No</t>
        </is>
      </c>
      <c r="N1304" s="18" t="inlineStr"/>
      <c r="O1304" s="18" t="inlineStr"/>
      <c r="P1304" s="18" t="inlineStr">
        <is>
          <t>internal-institutional-control-service/src/esap/planes-mejoramiento/entities/accion-correctiva.entity.ts:133: Cantidad de acciones programadas (meta). Ref: EM-FO-002</t>
        </is>
      </c>
      <c r="Q1304" s="18" t="inlineStr">
        <is>
          <t>Código fuente</t>
        </is>
      </c>
      <c r="R1304" s="18" t="inlineStr">
        <is>
          <t>Cantidad de acciones programadas como meta de la acción correctiva (EM-FO-002).</t>
        </is>
      </c>
      <c r="S1304" s="18" t="inlineStr">
        <is>
          <t>Alta</t>
        </is>
      </c>
      <c r="T1304" s="18" t="inlineStr">
        <is>
          <t>código: internal-institutional-control-service/src/esap/planes-mejoramiento/entities/accion-correctiva.entity.ts:133</t>
        </is>
      </c>
      <c r="U1304" s="18" t="inlineStr"/>
      <c r="V1304" s="19" t="inlineStr">
        <is>
          <t>Aprobada</t>
        </is>
      </c>
      <c r="W1304" s="19" t="inlineStr"/>
      <c r="X1304" s="19" t="inlineStr">
        <is>
          <t>Aldair González (aprobación en bloque)</t>
        </is>
      </c>
      <c r="Y1304" s="20" t="n">
        <v>46321</v>
      </c>
      <c r="Z1304" s="19" t="inlineStr">
        <is>
          <t>Nivel 1: propuesta del comentario del desarrollador o de confianza alta, o regla de fecha/responsable/motivo.</t>
        </is>
      </c>
      <c r="AA1304" s="18">
        <f>IF(OR(V1304="Aprobada"),R1304,IF(AND(OR(V1304="Aprobada con ajuste",V1304="Rechazada"),W1304&lt;&gt;""),W1304,""))</f>
        <v/>
      </c>
    </row>
    <row r="1305">
      <c r="A1305" s="18" t="inlineStr">
        <is>
          <t>C1304</t>
        </is>
      </c>
      <c r="B1305" s="18" t="inlineStr">
        <is>
          <t>Control interno</t>
        </is>
      </c>
      <c r="C1305" s="18" t="inlineStr">
        <is>
          <t>control_interno</t>
        </is>
      </c>
      <c r="D1305" s="18" t="inlineStr">
        <is>
          <t>accion_correctiva</t>
        </is>
      </c>
      <c r="E1305" s="18" t="n">
        <v>29</v>
      </c>
      <c r="F1305" s="18" t="inlineStr">
        <is>
          <t>cantidad_acciones_implementadas</t>
        </is>
      </c>
      <c r="G1305" s="18" t="inlineStr">
        <is>
          <t>integer</t>
        </is>
      </c>
      <c r="H1305" s="18" t="inlineStr">
        <is>
          <t>Sí</t>
        </is>
      </c>
      <c r="I1305" s="18" t="inlineStr"/>
      <c r="J1305" s="18" t="inlineStr"/>
      <c r="K1305" s="18" t="inlineStr"/>
      <c r="L1305" s="18" t="inlineStr">
        <is>
          <t>No</t>
        </is>
      </c>
      <c r="M1305" s="18" t="inlineStr">
        <is>
          <t>No</t>
        </is>
      </c>
      <c r="N1305" s="18" t="inlineStr"/>
      <c r="O1305" s="18" t="inlineStr"/>
      <c r="P1305" s="18" t="inlineStr">
        <is>
          <t>internal-institutional-control-service/src/esap/planes-mejoramiento/entities/accion-correctiva.entity.ts:137: Cantidad de acciones implementadas. Ref: EM-FO-002</t>
        </is>
      </c>
      <c r="Q1305" s="18" t="inlineStr">
        <is>
          <t>Código fuente</t>
        </is>
      </c>
      <c r="R1305" s="18" t="inlineStr">
        <is>
          <t>Cantidad de acciones implementadas de la acción correctiva (EM-FO-002).</t>
        </is>
      </c>
      <c r="S1305" s="18" t="inlineStr">
        <is>
          <t>Alta</t>
        </is>
      </c>
      <c r="T1305" s="18" t="inlineStr">
        <is>
          <t>código: internal-institutional-control-service/src/esap/planes-mejoramiento/entities/accion-correctiva.entity.ts:137</t>
        </is>
      </c>
      <c r="U1305" s="18" t="inlineStr"/>
      <c r="V1305" s="19" t="inlineStr">
        <is>
          <t>Aprobada</t>
        </is>
      </c>
      <c r="W1305" s="19" t="inlineStr"/>
      <c r="X1305" s="19" t="inlineStr">
        <is>
          <t>Aldair González (aprobación en bloque)</t>
        </is>
      </c>
      <c r="Y1305" s="20" t="n">
        <v>46321</v>
      </c>
      <c r="Z1305" s="19" t="inlineStr">
        <is>
          <t>Nivel 1: propuesta del comentario del desarrollador o de confianza alta, o regla de fecha/responsable/motivo.</t>
        </is>
      </c>
      <c r="AA1305" s="18">
        <f>IF(OR(V1305="Aprobada"),R1305,IF(AND(OR(V1305="Aprobada con ajuste",V1305="Rechazada"),W1305&lt;&gt;""),W1305,""))</f>
        <v/>
      </c>
    </row>
    <row r="1306">
      <c r="A1306" s="18" t="inlineStr">
        <is>
          <t>C1305</t>
        </is>
      </c>
      <c r="B1306" s="18" t="inlineStr">
        <is>
          <t>Control interno</t>
        </is>
      </c>
      <c r="C1306" s="18" t="inlineStr">
        <is>
          <t>control_interno</t>
        </is>
      </c>
      <c r="D1306" s="18" t="inlineStr">
        <is>
          <t>accion_correctiva</t>
        </is>
      </c>
      <c r="E1306" s="18" t="n">
        <v>29</v>
      </c>
      <c r="F1306" s="18" t="inlineStr">
        <is>
          <t>cumplimiento_emfo</t>
        </is>
      </c>
      <c r="G1306" s="18" t="inlineStr">
        <is>
          <t>integer</t>
        </is>
      </c>
      <c r="H1306" s="18" t="inlineStr">
        <is>
          <t>Sí</t>
        </is>
      </c>
      <c r="I1306" s="18" t="inlineStr"/>
      <c r="J1306" s="18" t="inlineStr"/>
      <c r="K1306" s="18" t="inlineStr"/>
      <c r="L1306" s="18" t="inlineStr">
        <is>
          <t>No</t>
        </is>
      </c>
      <c r="M1306" s="18" t="inlineStr">
        <is>
          <t>No</t>
        </is>
      </c>
      <c r="N1306" s="18" t="inlineStr"/>
      <c r="O1306" s="18" t="inlineStr"/>
      <c r="P1306" s="18" t="inlineStr">
        <is>
          <t>internal-institutional-control-service/src/esap/planes-mejoramiento/entities/accion-correctiva.entity.ts:141: Cumplimiento calculado: 2=Cumple, 1=Parcial, 0=No cumple. EM-FO-002</t>
        </is>
      </c>
      <c r="Q1306" s="18" t="inlineStr">
        <is>
          <t>Código fuente</t>
        </is>
      </c>
      <c r="R1306" s="18" t="inlineStr">
        <is>
          <t>Cumplimiento calculado de la acción. Valores: 2 = Cumple, 1 = Parcial, 0 = No cumple (EM-FO-002).</t>
        </is>
      </c>
      <c r="S1306" s="18" t="inlineStr">
        <is>
          <t>Alta</t>
        </is>
      </c>
      <c r="T1306" s="18" t="inlineStr">
        <is>
          <t>código: internal-institutional-control-service/src/esap/planes-mejoramiento/entities/accion-correctiva.entity.ts:141</t>
        </is>
      </c>
      <c r="U1306" s="18" t="inlineStr"/>
      <c r="V1306" s="19" t="inlineStr">
        <is>
          <t>Aprobada</t>
        </is>
      </c>
      <c r="W1306" s="19" t="inlineStr"/>
      <c r="X1306" s="19" t="inlineStr">
        <is>
          <t>Aldair González (aprobación en bloque)</t>
        </is>
      </c>
      <c r="Y1306" s="20" t="n">
        <v>46321</v>
      </c>
      <c r="Z1306" s="19" t="inlineStr">
        <is>
          <t>Nivel 1: propuesta del comentario del desarrollador o de confianza alta, o regla de fecha/responsable/motivo.</t>
        </is>
      </c>
      <c r="AA1306" s="18">
        <f>IF(OR(V1306="Aprobada"),R1306,IF(AND(OR(V1306="Aprobada con ajuste",V1306="Rechazada"),W1306&lt;&gt;""),W1306,""))</f>
        <v/>
      </c>
    </row>
    <row r="1307">
      <c r="A1307" s="18" t="inlineStr">
        <is>
          <t>C1306</t>
        </is>
      </c>
      <c r="B1307" s="18" t="inlineStr">
        <is>
          <t>Control interno</t>
        </is>
      </c>
      <c r="C1307" s="18" t="inlineStr">
        <is>
          <t>control_interno</t>
        </is>
      </c>
      <c r="D1307" s="18" t="inlineStr">
        <is>
          <t>accion_correctiva</t>
        </is>
      </c>
      <c r="E1307" s="18" t="n">
        <v>29</v>
      </c>
      <c r="F1307" s="18" t="inlineStr">
        <is>
          <t>estado_accion_seguimiento</t>
        </is>
      </c>
      <c r="G1307" s="18" t="inlineStr">
        <is>
          <t>character varying(20)</t>
        </is>
      </c>
      <c r="H1307" s="18" t="inlineStr">
        <is>
          <t>Sí</t>
        </is>
      </c>
      <c r="I1307" s="18" t="inlineStr"/>
      <c r="J1307" s="18" t="inlineStr"/>
      <c r="K1307" s="18" t="inlineStr"/>
      <c r="L1307" s="18" t="inlineStr">
        <is>
          <t>No</t>
        </is>
      </c>
      <c r="M1307" s="18" t="inlineStr">
        <is>
          <t>No</t>
        </is>
      </c>
      <c r="N1307" s="18" t="inlineStr"/>
      <c r="O1307" s="18" t="inlineStr"/>
      <c r="P1307" s="18" t="inlineStr">
        <is>
          <t>internal-institutional-control-service/src/esap/planes-mejoramiento/entities/accion-correctiva.entity.ts:145: Estado de la acción: Abierta / Cerrada. EM-FO-002</t>
        </is>
      </c>
      <c r="Q1307" s="18" t="inlineStr">
        <is>
          <t>Código fuente</t>
        </is>
      </c>
      <c r="R1307" s="18" t="inlineStr">
        <is>
          <t>Estado de la acción en el seguimiento: abierta o cerrada; por defecto abierta (EM-FO-002).</t>
        </is>
      </c>
      <c r="S1307" s="18" t="inlineStr">
        <is>
          <t>Alta</t>
        </is>
      </c>
      <c r="T1307" s="18" t="inlineStr">
        <is>
          <t>código: internal-institutional-control-service/src/esap/planes-mejoramiento/entities/accion-correctiva.entity.ts:145</t>
        </is>
      </c>
      <c r="U1307" s="18" t="inlineStr"/>
      <c r="V1307" s="19" t="inlineStr">
        <is>
          <t>Aprobada</t>
        </is>
      </c>
      <c r="W1307" s="19" t="inlineStr"/>
      <c r="X1307" s="19" t="inlineStr">
        <is>
          <t>Aldair González (aprobación en bloque)</t>
        </is>
      </c>
      <c r="Y1307" s="20" t="n">
        <v>46321</v>
      </c>
      <c r="Z1307" s="19" t="inlineStr">
        <is>
          <t>Nivel 1: propuesta del comentario del desarrollador o de confianza alta, o regla de fecha/responsable/motivo.</t>
        </is>
      </c>
      <c r="AA1307" s="18">
        <f>IF(OR(V1307="Aprobada"),R1307,IF(AND(OR(V1307="Aprobada con ajuste",V1307="Rechazada"),W1307&lt;&gt;""),W1307,""))</f>
        <v/>
      </c>
    </row>
    <row r="1308">
      <c r="A1308" s="18" t="inlineStr">
        <is>
          <t>C1307</t>
        </is>
      </c>
      <c r="B1308" s="18" t="inlineStr">
        <is>
          <t>Control interno</t>
        </is>
      </c>
      <c r="C1308" s="18" t="inlineStr">
        <is>
          <t>control_interno</t>
        </is>
      </c>
      <c r="D1308" s="18" t="inlineStr">
        <is>
          <t>accion_correctiva</t>
        </is>
      </c>
      <c r="E1308" s="18" t="n">
        <v>29</v>
      </c>
      <c r="F1308" s="18" t="inlineStr">
        <is>
          <t>responsable_seguimiento</t>
        </is>
      </c>
      <c r="G1308" s="18" t="inlineStr">
        <is>
          <t>character varying(500)</t>
        </is>
      </c>
      <c r="H1308" s="18" t="inlineStr">
        <is>
          <t>Sí</t>
        </is>
      </c>
      <c r="I1308" s="18" t="inlineStr"/>
      <c r="J1308" s="18" t="inlineStr"/>
      <c r="K1308" s="18" t="inlineStr"/>
      <c r="L1308" s="18" t="inlineStr">
        <is>
          <t>No</t>
        </is>
      </c>
      <c r="M1308" s="18" t="inlineStr">
        <is>
          <t>No</t>
        </is>
      </c>
      <c r="N1308" s="18" t="inlineStr"/>
      <c r="O1308" s="18" t="inlineStr"/>
      <c r="P1308" s="18" t="inlineStr">
        <is>
          <t>internal-institutional-control-service/src/esap/planes-mejoramiento/entities/accion-correctiva.entity.ts:154: Responsable del seguimiento (Jefe OCI o quien tenga las funciones)</t>
        </is>
      </c>
      <c r="Q1308" s="18" t="inlineStr">
        <is>
          <t>Código fuente</t>
        </is>
      </c>
      <c r="R1308" s="18" t="inlineStr">
        <is>
          <t>Responsable del seguimiento de la acción (jefe de la Oficina de Control Interno o quien tenga sus funciones).</t>
        </is>
      </c>
      <c r="S1308" s="18" t="inlineStr">
        <is>
          <t>Alta</t>
        </is>
      </c>
      <c r="T1308" s="18" t="inlineStr">
        <is>
          <t>código: internal-institutional-control-service/src/esap/planes-mejoramiento/entities/accion-correctiva.entity.ts:154</t>
        </is>
      </c>
      <c r="U1308" s="18" t="inlineStr"/>
      <c r="V1308" s="19" t="inlineStr">
        <is>
          <t>Aprobada</t>
        </is>
      </c>
      <c r="W1308" s="19" t="inlineStr"/>
      <c r="X1308" s="19" t="inlineStr">
        <is>
          <t>Aldair González (aprobación en bloque)</t>
        </is>
      </c>
      <c r="Y1308" s="20" t="n">
        <v>46321</v>
      </c>
      <c r="Z1308" s="19" t="inlineStr">
        <is>
          <t>Nivel 1: propuesta del comentario del desarrollador o de confianza alta, o regla de fecha/responsable/motivo.</t>
        </is>
      </c>
      <c r="AA1308" s="18">
        <f>IF(OR(V1308="Aprobada"),R1308,IF(AND(OR(V1308="Aprobada con ajuste",V1308="Rechazada"),W1308&lt;&gt;""),W1308,""))</f>
        <v/>
      </c>
    </row>
    <row r="1309">
      <c r="A1309" s="18" t="inlineStr">
        <is>
          <t>C1308</t>
        </is>
      </c>
      <c r="B1309" s="18" t="inlineStr">
        <is>
          <t>Control interno</t>
        </is>
      </c>
      <c r="C1309" s="18" t="inlineStr">
        <is>
          <t>control_interno</t>
        </is>
      </c>
      <c r="D1309" s="18" t="inlineStr">
        <is>
          <t>accion_correctiva</t>
        </is>
      </c>
      <c r="E1309" s="18" t="n">
        <v>29</v>
      </c>
      <c r="F1309" s="18" t="inlineStr">
        <is>
          <t>observacion_cumplimiento</t>
        </is>
      </c>
      <c r="G1309" s="18" t="inlineStr">
        <is>
          <t>text</t>
        </is>
      </c>
      <c r="H1309" s="18" t="inlineStr">
        <is>
          <t>Sí</t>
        </is>
      </c>
      <c r="I1309" s="18" t="inlineStr"/>
      <c r="J1309" s="18" t="inlineStr"/>
      <c r="K1309" s="18" t="inlineStr"/>
      <c r="L1309" s="18" t="inlineStr">
        <is>
          <t>No</t>
        </is>
      </c>
      <c r="M1309" s="18" t="inlineStr">
        <is>
          <t>No</t>
        </is>
      </c>
      <c r="N1309" s="18" t="inlineStr"/>
      <c r="O1309" s="18" t="inlineStr"/>
      <c r="P1309" s="18" t="inlineStr">
        <is>
          <t>internal-institutional-control-service/src/esap/planes-mejoramiento/entities/accion-correctiva.entity.ts:158: Observaciones de cumplimiento</t>
        </is>
      </c>
      <c r="Q1309" s="18" t="inlineStr">
        <is>
          <t>Código fuente</t>
        </is>
      </c>
      <c r="R1309" s="18" t="inlineStr">
        <is>
          <t>Observaciones sobre el cumplimiento de la acción.</t>
        </is>
      </c>
      <c r="S1309" s="18" t="inlineStr">
        <is>
          <t>Alta</t>
        </is>
      </c>
      <c r="T1309" s="18" t="inlineStr">
        <is>
          <t>código: internal-institutional-control-service/src/esap/planes-mejoramiento/entities/accion-correctiva.entity.ts:158</t>
        </is>
      </c>
      <c r="U1309" s="18" t="inlineStr"/>
      <c r="V1309" s="19" t="inlineStr">
        <is>
          <t>Aprobada</t>
        </is>
      </c>
      <c r="W1309" s="19" t="inlineStr"/>
      <c r="X1309" s="19" t="inlineStr">
        <is>
          <t>Aldair González (aprobación en bloque)</t>
        </is>
      </c>
      <c r="Y1309" s="20" t="n">
        <v>46321</v>
      </c>
      <c r="Z1309" s="19" t="inlineStr">
        <is>
          <t>Nivel 1: propuesta del comentario del desarrollador o de confianza alta, o regla de fecha/responsable/motivo.</t>
        </is>
      </c>
      <c r="AA1309" s="18">
        <f>IF(OR(V1309="Aprobada"),R1309,IF(AND(OR(V1309="Aprobada con ajuste",V1309="Rechazada"),W1309&lt;&gt;""),W1309,""))</f>
        <v/>
      </c>
    </row>
    <row r="1310">
      <c r="A1310" s="18" t="inlineStr">
        <is>
          <t>C1309</t>
        </is>
      </c>
      <c r="B1310" s="18" t="inlineStr">
        <is>
          <t>Control interno</t>
        </is>
      </c>
      <c r="C1310" s="18" t="inlineStr">
        <is>
          <t>control_interno</t>
        </is>
      </c>
      <c r="D1310" s="18" t="inlineStr">
        <is>
          <t>accion_correctiva</t>
        </is>
      </c>
      <c r="E1310" s="18" t="n">
        <v>29</v>
      </c>
      <c r="F1310" s="18" t="inlineStr">
        <is>
          <t>evaluar_aplicacion_controles</t>
        </is>
      </c>
      <c r="G1310" s="18" t="inlineStr">
        <is>
          <t>boolean</t>
        </is>
      </c>
      <c r="H1310" s="18" t="inlineStr">
        <is>
          <t>Sí</t>
        </is>
      </c>
      <c r="I1310" s="18" t="inlineStr"/>
      <c r="J1310" s="18" t="inlineStr"/>
      <c r="K1310" s="18" t="inlineStr"/>
      <c r="L1310" s="18" t="inlineStr">
        <is>
          <t>No</t>
        </is>
      </c>
      <c r="M1310" s="18" t="inlineStr">
        <is>
          <t>No</t>
        </is>
      </c>
      <c r="N1310" s="18" t="inlineStr"/>
      <c r="O1310" s="18" t="inlineStr"/>
      <c r="P1310" s="18" t="inlineStr">
        <is>
          <t>internal-institutional-control-service/src/esap/planes-mejoramiento/entities/accion-correctiva.entity.ts:166: Criterio 1: "Evaluar la aplicación de controles…" (SI/NO)</t>
        </is>
      </c>
      <c r="Q1310" s="18" t="inlineStr">
        <is>
          <t>Código fuente</t>
        </is>
      </c>
      <c r="R1310" s="18" t="inlineStr">
        <is>
          <t>Criterio 1 de efectividad: indica si se evaluó la aplicación de los controles (sí/no).</t>
        </is>
      </c>
      <c r="S1310" s="18" t="inlineStr">
        <is>
          <t>Alta</t>
        </is>
      </c>
      <c r="T1310" s="18" t="inlineStr">
        <is>
          <t>código: internal-institutional-control-service/src/esap/planes-mejoramiento/entities/accion-correctiva.entity.ts:166</t>
        </is>
      </c>
      <c r="U1310" s="18" t="inlineStr"/>
      <c r="V1310" s="19" t="inlineStr">
        <is>
          <t>Aprobada</t>
        </is>
      </c>
      <c r="W1310" s="19" t="inlineStr"/>
      <c r="X1310" s="19" t="inlineStr">
        <is>
          <t>Aldair González (aprobación en bloque)</t>
        </is>
      </c>
      <c r="Y1310" s="20" t="n">
        <v>46321</v>
      </c>
      <c r="Z1310" s="19" t="inlineStr">
        <is>
          <t>Nivel 1: propuesta del comentario del desarrollador o de confianza alta, o regla de fecha/responsable/motivo.</t>
        </is>
      </c>
      <c r="AA1310" s="18">
        <f>IF(OR(V1310="Aprobada"),R1310,IF(AND(OR(V1310="Aprobada con ajuste",V1310="Rechazada"),W1310&lt;&gt;""),W1310,""))</f>
        <v/>
      </c>
    </row>
    <row r="1311">
      <c r="A1311" s="18" t="inlineStr">
        <is>
          <t>C1310</t>
        </is>
      </c>
      <c r="B1311" s="18" t="inlineStr">
        <is>
          <t>Control interno</t>
        </is>
      </c>
      <c r="C1311" s="18" t="inlineStr">
        <is>
          <t>control_interno</t>
        </is>
      </c>
      <c r="D1311" s="18" t="inlineStr">
        <is>
          <t>accion_correctiva</t>
        </is>
      </c>
      <c r="E1311" s="18" t="n">
        <v>29</v>
      </c>
      <c r="F1311" s="18" t="inlineStr">
        <is>
          <t>validar_situacion_no_repitio</t>
        </is>
      </c>
      <c r="G1311" s="18" t="inlineStr">
        <is>
          <t>boolean</t>
        </is>
      </c>
      <c r="H1311" s="18" t="inlineStr">
        <is>
          <t>Sí</t>
        </is>
      </c>
      <c r="I1311" s="18" t="inlineStr"/>
      <c r="J1311" s="18" t="inlineStr"/>
      <c r="K1311" s="18" t="inlineStr"/>
      <c r="L1311" s="18" t="inlineStr">
        <is>
          <t>No</t>
        </is>
      </c>
      <c r="M1311" s="18" t="inlineStr">
        <is>
          <t>No</t>
        </is>
      </c>
      <c r="N1311" s="18" t="inlineStr"/>
      <c r="O1311" s="18" t="inlineStr"/>
      <c r="P1311" s="18" t="inlineStr">
        <is>
          <t>internal-institutional-control-service/src/esap/planes-mejoramiento/entities/accion-correctiva.entity.ts:170: Criterio 2: "Validar que la situación no se volvió a presentar" (SI/NO)</t>
        </is>
      </c>
      <c r="Q1311" s="18" t="inlineStr">
        <is>
          <t>Código fuente</t>
        </is>
      </c>
      <c r="R1311" s="18" t="inlineStr">
        <is>
          <t>Criterio 2 de efectividad: indica si se validó que la situación no se volvió a presentar (sí/no).</t>
        </is>
      </c>
      <c r="S1311" s="18" t="inlineStr">
        <is>
          <t>Alta</t>
        </is>
      </c>
      <c r="T1311" s="18" t="inlineStr">
        <is>
          <t>código: internal-institutional-control-service/src/esap/planes-mejoramiento/entities/accion-correctiva.entity.ts:170</t>
        </is>
      </c>
      <c r="U1311" s="18" t="inlineStr"/>
      <c r="V1311" s="19" t="inlineStr">
        <is>
          <t>Aprobada</t>
        </is>
      </c>
      <c r="W1311" s="19" t="inlineStr"/>
      <c r="X1311" s="19" t="inlineStr">
        <is>
          <t>Aldair González (aprobación en bloque)</t>
        </is>
      </c>
      <c r="Y1311" s="20" t="n">
        <v>46321</v>
      </c>
      <c r="Z1311" s="19" t="inlineStr">
        <is>
          <t>Nivel 1: propuesta del comentario del desarrollador o de confianza alta, o regla de fecha/responsable/motivo.</t>
        </is>
      </c>
      <c r="AA1311" s="18">
        <f>IF(OR(V1311="Aprobada"),R1311,IF(AND(OR(V1311="Aprobada con ajuste",V1311="Rechazada"),W1311&lt;&gt;""),W1311,""))</f>
        <v/>
      </c>
    </row>
    <row r="1312">
      <c r="A1312" s="18" t="inlineStr">
        <is>
          <t>C1311</t>
        </is>
      </c>
      <c r="B1312" s="18" t="inlineStr">
        <is>
          <t>Control interno</t>
        </is>
      </c>
      <c r="C1312" s="18" t="inlineStr">
        <is>
          <t>control_interno</t>
        </is>
      </c>
      <c r="D1312" s="18" t="inlineStr">
        <is>
          <t>accion_correctiva</t>
        </is>
      </c>
      <c r="E1312" s="18" t="n">
        <v>29</v>
      </c>
      <c r="F1312" s="18" t="inlineStr">
        <is>
          <t>efectividad_emfo</t>
        </is>
      </c>
      <c r="G1312" s="18" t="inlineStr">
        <is>
          <t>integer</t>
        </is>
      </c>
      <c r="H1312" s="18" t="inlineStr">
        <is>
          <t>Sí</t>
        </is>
      </c>
      <c r="I1312" s="18" t="inlineStr"/>
      <c r="J1312" s="18" t="inlineStr"/>
      <c r="K1312" s="18" t="inlineStr"/>
      <c r="L1312" s="18" t="inlineStr">
        <is>
          <t>No</t>
        </is>
      </c>
      <c r="M1312" s="18" t="inlineStr">
        <is>
          <t>No</t>
        </is>
      </c>
      <c r="N1312" s="18" t="inlineStr"/>
      <c r="O1312" s="18" t="inlineStr"/>
      <c r="P1312" s="18" t="inlineStr">
        <is>
          <t>internal-institutional-control-service/src/esap/planes-mejoramiento/entities/accion-correctiva.entity.ts:174: Efectividad calculada: 2=Efectiva, 1=Parcial, 0=Inefectiva. EM-FO-002</t>
        </is>
      </c>
      <c r="Q1312" s="18" t="inlineStr">
        <is>
          <t>Código fuente</t>
        </is>
      </c>
      <c r="R1312" s="18" t="inlineStr">
        <is>
          <t>Efectividad calculada de la acción. Valores: 2 = Efectiva, 1 = Parcial, 0 = Inefectiva (EM-FO-002).</t>
        </is>
      </c>
      <c r="S1312" s="18" t="inlineStr">
        <is>
          <t>Alta</t>
        </is>
      </c>
      <c r="T1312" s="18" t="inlineStr">
        <is>
          <t>código: internal-institutional-control-service/src/esap/planes-mejoramiento/entities/accion-correctiva.entity.ts:174</t>
        </is>
      </c>
      <c r="U1312" s="18" t="inlineStr"/>
      <c r="V1312" s="19" t="inlineStr">
        <is>
          <t>Aprobada</t>
        </is>
      </c>
      <c r="W1312" s="19" t="inlineStr"/>
      <c r="X1312" s="19" t="inlineStr">
        <is>
          <t>Aldair González (aprobación en bloque)</t>
        </is>
      </c>
      <c r="Y1312" s="20" t="n">
        <v>46321</v>
      </c>
      <c r="Z1312" s="19" t="inlineStr">
        <is>
          <t>Nivel 1: propuesta del comentario del desarrollador o de confianza alta, o regla de fecha/responsable/motivo.</t>
        </is>
      </c>
      <c r="AA1312" s="18">
        <f>IF(OR(V1312="Aprobada"),R1312,IF(AND(OR(V1312="Aprobada con ajuste",V1312="Rechazada"),W1312&lt;&gt;""),W1312,""))</f>
        <v/>
      </c>
    </row>
    <row r="1313">
      <c r="A1313" s="18" t="inlineStr">
        <is>
          <t>C1312</t>
        </is>
      </c>
      <c r="B1313" s="18" t="inlineStr">
        <is>
          <t>Control interno</t>
        </is>
      </c>
      <c r="C1313" s="18" t="inlineStr">
        <is>
          <t>control_interno</t>
        </is>
      </c>
      <c r="D1313" s="18" t="inlineStr">
        <is>
          <t>accion_correctiva</t>
        </is>
      </c>
      <c r="E1313" s="18" t="n">
        <v>29</v>
      </c>
      <c r="F1313" s="18" t="inlineStr">
        <is>
          <t>efectividad_verificada</t>
        </is>
      </c>
      <c r="G1313" s="18" t="inlineStr">
        <is>
          <t>boolean</t>
        </is>
      </c>
      <c r="H1313" s="18" t="inlineStr">
        <is>
          <t>Sí</t>
        </is>
      </c>
      <c r="I1313" s="18" t="inlineStr"/>
      <c r="J1313" s="18" t="inlineStr"/>
      <c r="K1313" s="18" t="inlineStr"/>
      <c r="L1313" s="18" t="inlineStr">
        <is>
          <t>No</t>
        </is>
      </c>
      <c r="M1313" s="18" t="inlineStr">
        <is>
          <t>No</t>
        </is>
      </c>
      <c r="N1313" s="18" t="inlineStr"/>
      <c r="O1313" s="18" t="inlineStr"/>
      <c r="P1313" s="18" t="inlineStr">
        <is>
          <t>internal-institutional-control-service/src/esap/planes-mejoramiento/entities/accion-correctiva.entity.ts:178: ¿La efectividad ha sido verificada en la siguiente auditoría? EM-PT-002 act. 9</t>
        </is>
      </c>
      <c r="Q1313" s="18" t="inlineStr">
        <is>
          <t>Código fuente</t>
        </is>
      </c>
      <c r="R1313" s="18" t="inlineStr">
        <is>
          <t>Indica si la efectividad de la acción se verificó en la siguiente auditoría; por defecto falso (EM-PT-002, actividad 9).</t>
        </is>
      </c>
      <c r="S1313" s="18" t="inlineStr">
        <is>
          <t>Alta</t>
        </is>
      </c>
      <c r="T1313" s="18" t="inlineStr">
        <is>
          <t>código: internal-institutional-control-service/src/esap/planes-mejoramiento/entities/accion-correctiva.entity.ts:178</t>
        </is>
      </c>
      <c r="U1313" s="18" t="inlineStr"/>
      <c r="V1313" s="19" t="inlineStr">
        <is>
          <t>Aprobada</t>
        </is>
      </c>
      <c r="W1313" s="19" t="inlineStr"/>
      <c r="X1313" s="19" t="inlineStr">
        <is>
          <t>Aldair González (aprobación en bloque)</t>
        </is>
      </c>
      <c r="Y1313" s="20" t="n">
        <v>46321</v>
      </c>
      <c r="Z1313" s="19" t="inlineStr">
        <is>
          <t>Nivel 1: propuesta del comentario del desarrollador o de confianza alta, o regla de fecha/responsable/motivo.</t>
        </is>
      </c>
      <c r="AA1313" s="18">
        <f>IF(OR(V1313="Aprobada"),R1313,IF(AND(OR(V1313="Aprobada con ajuste",V1313="Rechazada"),W1313&lt;&gt;""),W1313,""))</f>
        <v/>
      </c>
    </row>
    <row r="1314">
      <c r="A1314" s="18" t="inlineStr">
        <is>
          <t>C1313</t>
        </is>
      </c>
      <c r="B1314" s="18" t="inlineStr">
        <is>
          <t>Control interno</t>
        </is>
      </c>
      <c r="C1314" s="18" t="inlineStr">
        <is>
          <t>control_interno</t>
        </is>
      </c>
      <c r="D1314" s="18" t="inlineStr">
        <is>
          <t>accion_correctiva</t>
        </is>
      </c>
      <c r="E1314" s="18" t="n">
        <v>29</v>
      </c>
      <c r="F1314" s="18" t="inlineStr">
        <is>
          <t>observacion_efectividad</t>
        </is>
      </c>
      <c r="G1314" s="18" t="inlineStr">
        <is>
          <t>text</t>
        </is>
      </c>
      <c r="H1314" s="18" t="inlineStr">
        <is>
          <t>Sí</t>
        </is>
      </c>
      <c r="I1314" s="18" t="inlineStr"/>
      <c r="J1314" s="18" t="inlineStr"/>
      <c r="K1314" s="18" t="inlineStr"/>
      <c r="L1314" s="18" t="inlineStr">
        <is>
          <t>No</t>
        </is>
      </c>
      <c r="M1314" s="18" t="inlineStr">
        <is>
          <t>No</t>
        </is>
      </c>
      <c r="N1314" s="18" t="inlineStr"/>
      <c r="O1314" s="18" t="inlineStr"/>
      <c r="P1314" s="18" t="inlineStr">
        <is>
          <t>internal-institutional-control-service/src/esap/planes-mejoramiento/entities/accion-correctiva.entity.ts:182: Observaciones de efectividad</t>
        </is>
      </c>
      <c r="Q1314" s="18" t="inlineStr">
        <is>
          <t>Código fuente</t>
        </is>
      </c>
      <c r="R1314" s="18" t="inlineStr">
        <is>
          <t>Observaciones sobre la efectividad de la acción.</t>
        </is>
      </c>
      <c r="S1314" s="18" t="inlineStr">
        <is>
          <t>Alta</t>
        </is>
      </c>
      <c r="T1314" s="18" t="inlineStr">
        <is>
          <t>código: internal-institutional-control-service/src/esap/planes-mejoramiento/entities/accion-correctiva.entity.ts:182</t>
        </is>
      </c>
      <c r="U1314" s="18" t="inlineStr"/>
      <c r="V1314" s="19" t="inlineStr">
        <is>
          <t>Aprobada</t>
        </is>
      </c>
      <c r="W1314" s="19" t="inlineStr"/>
      <c r="X1314" s="19" t="inlineStr">
        <is>
          <t>Aldair González (aprobación en bloque)</t>
        </is>
      </c>
      <c r="Y1314" s="20" t="n">
        <v>46321</v>
      </c>
      <c r="Z1314" s="19" t="inlineStr">
        <is>
          <t>Nivel 1: propuesta del comentario del desarrollador o de confianza alta, o regla de fecha/responsable/motivo.</t>
        </is>
      </c>
      <c r="AA1314" s="18">
        <f>IF(OR(V1314="Aprobada"),R1314,IF(AND(OR(V1314="Aprobada con ajuste",V1314="Rechazada"),W1314&lt;&gt;""),W1314,""))</f>
        <v/>
      </c>
    </row>
    <row r="1315">
      <c r="A1315" s="18" t="inlineStr">
        <is>
          <t>C1314</t>
        </is>
      </c>
      <c r="B1315" s="18" t="inlineStr">
        <is>
          <t>Control interno</t>
        </is>
      </c>
      <c r="C1315" s="18" t="inlineStr">
        <is>
          <t>control_interno</t>
        </is>
      </c>
      <c r="D1315" s="18" t="inlineStr">
        <is>
          <t>accion_mejora</t>
        </is>
      </c>
      <c r="E1315" s="18" t="n">
        <v>0</v>
      </c>
      <c r="F1315" s="18" t="inlineStr">
        <is>
          <t>numero</t>
        </is>
      </c>
      <c r="G1315" s="18" t="inlineStr">
        <is>
          <t>integer</t>
        </is>
      </c>
      <c r="H1315" s="18" t="inlineStr">
        <is>
          <t>No</t>
        </is>
      </c>
      <c r="I1315" s="18" t="inlineStr"/>
      <c r="J1315" s="18" t="inlineStr"/>
      <c r="K1315" s="18" t="inlineStr"/>
      <c r="L1315" s="18" t="inlineStr">
        <is>
          <t>No</t>
        </is>
      </c>
      <c r="M1315" s="18" t="inlineStr">
        <is>
          <t>No</t>
        </is>
      </c>
      <c r="N1315" s="18" t="inlineStr"/>
      <c r="O1315" s="18" t="inlineStr"/>
      <c r="P1315" s="18" t="inlineStr"/>
      <c r="Q1315" s="18" t="inlineStr">
        <is>
          <t>Regla estructural (redacción revisada)</t>
        </is>
      </c>
      <c r="R1315" s="18" t="inlineStr">
        <is>
          <t>Número de la acción de mejora dentro del plan.</t>
        </is>
      </c>
      <c r="S1315" s="18" t="inlineStr">
        <is>
          <t>Alta</t>
        </is>
      </c>
      <c r="T1315" s="18" t="inlineStr">
        <is>
          <t>Convención de nombre, redactada con el contexto de la tabla y el código.</t>
        </is>
      </c>
      <c r="U1315" s="18" t="inlineStr"/>
      <c r="V1315" s="19" t="inlineStr">
        <is>
          <t>Aprobada</t>
        </is>
      </c>
      <c r="W1315" s="19" t="inlineStr"/>
      <c r="X1315" s="19" t="inlineStr">
        <is>
          <t>Aldair González (aprobación en bloque)</t>
        </is>
      </c>
      <c r="Y1315" s="20" t="n">
        <v>46321</v>
      </c>
      <c r="Z1315" s="19" t="inlineStr">
        <is>
          <t>Nivel 2: regla estructural con redacción revisada.</t>
        </is>
      </c>
      <c r="AA1315" s="18">
        <f>IF(OR(V1315="Aprobada"),R1315,IF(AND(OR(V1315="Aprobada con ajuste",V1315="Rechazada"),W1315&lt;&gt;""),W1315,""))</f>
        <v/>
      </c>
    </row>
    <row r="1316">
      <c r="A1316" s="18" t="inlineStr">
        <is>
          <t>C1315</t>
        </is>
      </c>
      <c r="B1316" s="18" t="inlineStr">
        <is>
          <t>Control interno</t>
        </is>
      </c>
      <c r="C1316" s="18" t="inlineStr">
        <is>
          <t>control_interno</t>
        </is>
      </c>
      <c r="D1316" s="18" t="inlineStr">
        <is>
          <t>accion_mejora</t>
        </is>
      </c>
      <c r="E1316" s="18" t="n">
        <v>0</v>
      </c>
      <c r="F1316" s="18" t="inlineStr">
        <is>
          <t>descripcion</t>
        </is>
      </c>
      <c r="G1316" s="18" t="inlineStr">
        <is>
          <t>text</t>
        </is>
      </c>
      <c r="H1316" s="18" t="inlineStr">
        <is>
          <t>No</t>
        </is>
      </c>
      <c r="I1316" s="18" t="inlineStr"/>
      <c r="J1316" s="18" t="inlineStr"/>
      <c r="K1316" s="18" t="inlineStr"/>
      <c r="L1316" s="18" t="inlineStr">
        <is>
          <t>No</t>
        </is>
      </c>
      <c r="M1316" s="18" t="inlineStr">
        <is>
          <t>No</t>
        </is>
      </c>
      <c r="N1316" s="18" t="inlineStr"/>
      <c r="O1316" s="18" t="inlineStr"/>
      <c r="P1316" s="18" t="inlineStr"/>
      <c r="Q1316" s="18" t="inlineStr">
        <is>
          <t>Regla estructural (redacción revisada)</t>
        </is>
      </c>
      <c r="R1316" s="18" t="inlineStr">
        <is>
          <t>Descripción de la acción de mejora.</t>
        </is>
      </c>
      <c r="S1316" s="18" t="inlineStr">
        <is>
          <t>Alta</t>
        </is>
      </c>
      <c r="T1316" s="18" t="inlineStr">
        <is>
          <t>Convención de nombre, redactada con el contexto de la tabla y el código.</t>
        </is>
      </c>
      <c r="U1316" s="18" t="inlineStr"/>
      <c r="V1316" s="19" t="inlineStr">
        <is>
          <t>Aprobada</t>
        </is>
      </c>
      <c r="W1316" s="19" t="inlineStr"/>
      <c r="X1316" s="19" t="inlineStr">
        <is>
          <t>Aldair González (aprobación en bloque)</t>
        </is>
      </c>
      <c r="Y1316" s="20" t="n">
        <v>46321</v>
      </c>
      <c r="Z1316" s="19" t="inlineStr">
        <is>
          <t>Nivel 2: regla estructural con redacción revisada.</t>
        </is>
      </c>
      <c r="AA1316" s="18">
        <f>IF(OR(V1316="Aprobada"),R1316,IF(AND(OR(V1316="Aprobada con ajuste",V1316="Rechazada"),W1316&lt;&gt;""),W1316,""))</f>
        <v/>
      </c>
    </row>
    <row r="1317">
      <c r="A1317" s="18" t="inlineStr">
        <is>
          <t>C1316</t>
        </is>
      </c>
      <c r="B1317" s="18" t="inlineStr">
        <is>
          <t>Control interno</t>
        </is>
      </c>
      <c r="C1317" s="18" t="inlineStr">
        <is>
          <t>control_interno</t>
        </is>
      </c>
      <c r="D1317" s="18" t="inlineStr">
        <is>
          <t>accion_mejora</t>
        </is>
      </c>
      <c r="E1317" s="18" t="n">
        <v>0</v>
      </c>
      <c r="F1317" s="18" t="inlineStr">
        <is>
          <t>tipo</t>
        </is>
      </c>
      <c r="G1317" s="18" t="inlineStr">
        <is>
          <t>character varying(50)</t>
        </is>
      </c>
      <c r="H1317" s="18" t="inlineStr">
        <is>
          <t>No</t>
        </is>
      </c>
      <c r="I1317" s="18" t="inlineStr">
        <is>
          <t>CHECK</t>
        </is>
      </c>
      <c r="J1317" s="18" t="inlineStr">
        <is>
          <t>correctiva, mejora, preventiva</t>
        </is>
      </c>
      <c r="K1317" s="18" t="inlineStr"/>
      <c r="L1317" s="18" t="inlineStr">
        <is>
          <t>Sí</t>
        </is>
      </c>
      <c r="M1317" s="18" t="inlineStr">
        <is>
          <t>No</t>
        </is>
      </c>
      <c r="N1317" s="18" t="inlineStr"/>
      <c r="O1317" s="18" t="inlineStr"/>
      <c r="P1317" s="18" t="inlineStr"/>
      <c r="Q1317" s="18" t="inlineStr">
        <is>
          <t>Regla estructural (redacción revisada)</t>
        </is>
      </c>
      <c r="R1317" s="18" t="inlineStr">
        <is>
          <t>Tipo de acción de mejora (correctiva, mejora o preventiva).</t>
        </is>
      </c>
      <c r="S1317" s="18" t="inlineStr">
        <is>
          <t>Alta</t>
        </is>
      </c>
      <c r="T1317" s="18" t="inlineStr">
        <is>
          <t>Convención de nombre, redactada con el contexto de la tabla y el código.</t>
        </is>
      </c>
      <c r="U1317" s="18" t="inlineStr"/>
      <c r="V1317" s="19" t="inlineStr">
        <is>
          <t>Aprobada</t>
        </is>
      </c>
      <c r="W1317" s="19" t="inlineStr"/>
      <c r="X1317" s="19" t="inlineStr">
        <is>
          <t>Aldair González (aprobación en bloque)</t>
        </is>
      </c>
      <c r="Y1317" s="20" t="n">
        <v>46321</v>
      </c>
      <c r="Z1317" s="19" t="inlineStr">
        <is>
          <t>Nivel 2: regla estructural con redacción revisada.</t>
        </is>
      </c>
      <c r="AA1317" s="18">
        <f>IF(OR(V1317="Aprobada"),R1317,IF(AND(OR(V1317="Aprobada con ajuste",V1317="Rechazada"),W1317&lt;&gt;""),W1317,""))</f>
        <v/>
      </c>
    </row>
    <row r="1318">
      <c r="A1318" s="18" t="inlineStr">
        <is>
          <t>C1317</t>
        </is>
      </c>
      <c r="B1318" s="18" t="inlineStr">
        <is>
          <t>Control interno</t>
        </is>
      </c>
      <c r="C1318" s="18" t="inlineStr">
        <is>
          <t>control_interno</t>
        </is>
      </c>
      <c r="D1318" s="18" t="inlineStr">
        <is>
          <t>accion_mejora</t>
        </is>
      </c>
      <c r="E1318" s="18" t="n">
        <v>0</v>
      </c>
      <c r="F1318" s="18" t="inlineStr">
        <is>
          <t>responsable</t>
        </is>
      </c>
      <c r="G1318" s="18" t="inlineStr">
        <is>
          <t>character varying(255)</t>
        </is>
      </c>
      <c r="H1318" s="18" t="inlineStr">
        <is>
          <t>No</t>
        </is>
      </c>
      <c r="I1318" s="18" t="inlineStr"/>
      <c r="J1318" s="18" t="inlineStr"/>
      <c r="K1318" s="18" t="inlineStr"/>
      <c r="L1318" s="18" t="inlineStr">
        <is>
          <t>No</t>
        </is>
      </c>
      <c r="M1318" s="18" t="inlineStr">
        <is>
          <t>No</t>
        </is>
      </c>
      <c r="N1318" s="18" t="inlineStr"/>
      <c r="O1318" s="18" t="inlineStr"/>
      <c r="P1318" s="18" t="inlineStr"/>
      <c r="Q1318" s="18" t="inlineStr">
        <is>
          <t>Propuesta semántica</t>
        </is>
      </c>
      <c r="R1318" s="18" t="inlineStr">
        <is>
          <t>Nombre del responsable de ejecutar la acción de mejora.</t>
        </is>
      </c>
      <c r="S1318" s="18" t="inlineStr">
        <is>
          <t>Alta</t>
        </is>
      </c>
      <c r="T1318" s="18" t="inlineStr">
        <is>
          <t>nombre + tipo + descripción de la tabla ~</t>
        </is>
      </c>
      <c r="U1318" s="18" t="inlineStr"/>
      <c r="V1318" s="19" t="inlineStr">
        <is>
          <t>Aprobada</t>
        </is>
      </c>
      <c r="W1318" s="19" t="inlineStr"/>
      <c r="X1318" s="19" t="inlineStr">
        <is>
          <t>Aldair González (aprobación en bloque)</t>
        </is>
      </c>
      <c r="Y1318" s="20" t="n">
        <v>46321</v>
      </c>
      <c r="Z1318" s="19" t="inlineStr">
        <is>
          <t>Nivel 1: propuesta del comentario del desarrollador o de confianza alta, o regla de fecha/responsable/motivo.</t>
        </is>
      </c>
      <c r="AA1318" s="18">
        <f>IF(OR(V1318="Aprobada"),R1318,IF(AND(OR(V1318="Aprobada con ajuste",V1318="Rechazada"),W1318&lt;&gt;""),W1318,""))</f>
        <v/>
      </c>
    </row>
    <row r="1319">
      <c r="A1319" s="18" t="inlineStr">
        <is>
          <t>C1318</t>
        </is>
      </c>
      <c r="B1319" s="18" t="inlineStr">
        <is>
          <t>Control interno</t>
        </is>
      </c>
      <c r="C1319" s="18" t="inlineStr">
        <is>
          <t>control_interno</t>
        </is>
      </c>
      <c r="D1319" s="18" t="inlineStr">
        <is>
          <t>accion_mejora</t>
        </is>
      </c>
      <c r="E1319" s="18" t="n">
        <v>0</v>
      </c>
      <c r="F1319" s="18" t="inlineStr">
        <is>
          <t>fecha_inicio</t>
        </is>
      </c>
      <c r="G1319" s="18" t="inlineStr">
        <is>
          <t>date</t>
        </is>
      </c>
      <c r="H1319" s="18" t="inlineStr">
        <is>
          <t>No</t>
        </is>
      </c>
      <c r="I1319" s="18" t="inlineStr"/>
      <c r="J1319" s="18" t="inlineStr"/>
      <c r="K1319" s="18" t="inlineStr"/>
      <c r="L1319" s="18" t="inlineStr">
        <is>
          <t>No</t>
        </is>
      </c>
      <c r="M1319" s="18" t="inlineStr">
        <is>
          <t>No</t>
        </is>
      </c>
      <c r="N1319" s="18" t="inlineStr"/>
      <c r="O1319" s="18" t="inlineStr"/>
      <c r="P1319" s="18" t="inlineStr"/>
      <c r="Q1319" s="18" t="inlineStr">
        <is>
          <t>Regla estructural (redacción revisada)</t>
        </is>
      </c>
      <c r="R1319" s="18" t="inlineStr">
        <is>
          <t>Fecha de inicio de la acción de mejora.</t>
        </is>
      </c>
      <c r="S1319" s="18" t="inlineStr">
        <is>
          <t>Alta</t>
        </is>
      </c>
      <c r="T1319" s="18" t="inlineStr">
        <is>
          <t>Convención de nombre, redactada con el contexto de la tabla y el código.</t>
        </is>
      </c>
      <c r="U1319" s="18" t="inlineStr"/>
      <c r="V1319" s="19" t="inlineStr">
        <is>
          <t>Aprobada</t>
        </is>
      </c>
      <c r="W1319" s="19" t="inlineStr"/>
      <c r="X1319" s="19" t="inlineStr">
        <is>
          <t>Aldair González (aprobación en bloque)</t>
        </is>
      </c>
      <c r="Y1319" s="20" t="n">
        <v>46321</v>
      </c>
      <c r="Z1319" s="19" t="inlineStr">
        <is>
          <t>Nivel 2: regla estructural con redacción revisada.</t>
        </is>
      </c>
      <c r="AA1319" s="18">
        <f>IF(OR(V1319="Aprobada"),R1319,IF(AND(OR(V1319="Aprobada con ajuste",V1319="Rechazada"),W1319&lt;&gt;""),W1319,""))</f>
        <v/>
      </c>
    </row>
    <row r="1320">
      <c r="A1320" s="18" t="inlineStr">
        <is>
          <t>C1319</t>
        </is>
      </c>
      <c r="B1320" s="18" t="inlineStr">
        <is>
          <t>Control interno</t>
        </is>
      </c>
      <c r="C1320" s="18" t="inlineStr">
        <is>
          <t>control_interno</t>
        </is>
      </c>
      <c r="D1320" s="18" t="inlineStr">
        <is>
          <t>accion_mejora</t>
        </is>
      </c>
      <c r="E1320" s="18" t="n">
        <v>0</v>
      </c>
      <c r="F1320" s="18" t="inlineStr">
        <is>
          <t>fecha_fin</t>
        </is>
      </c>
      <c r="G1320" s="18" t="inlineStr">
        <is>
          <t>date</t>
        </is>
      </c>
      <c r="H1320" s="18" t="inlineStr">
        <is>
          <t>No</t>
        </is>
      </c>
      <c r="I1320" s="18" t="inlineStr"/>
      <c r="J1320" s="18" t="inlineStr"/>
      <c r="K1320" s="18" t="inlineStr"/>
      <c r="L1320" s="18" t="inlineStr">
        <is>
          <t>No</t>
        </is>
      </c>
      <c r="M1320" s="18" t="inlineStr">
        <is>
          <t>No</t>
        </is>
      </c>
      <c r="N1320" s="18" t="inlineStr"/>
      <c r="O1320" s="18" t="inlineStr"/>
      <c r="P1320" s="18" t="inlineStr"/>
      <c r="Q1320" s="18" t="inlineStr">
        <is>
          <t>Regla estructural (redacción revisada)</t>
        </is>
      </c>
      <c r="R1320" s="18" t="inlineStr">
        <is>
          <t>Fecha de finalización de la acción de mejora.</t>
        </is>
      </c>
      <c r="S1320" s="18" t="inlineStr">
        <is>
          <t>Alta</t>
        </is>
      </c>
      <c r="T1320" s="18" t="inlineStr">
        <is>
          <t>Convención de nombre, redactada con el contexto de la tabla y el código.</t>
        </is>
      </c>
      <c r="U1320" s="18" t="inlineStr"/>
      <c r="V1320" s="19" t="inlineStr">
        <is>
          <t>Aprobada</t>
        </is>
      </c>
      <c r="W1320" s="19" t="inlineStr"/>
      <c r="X1320" s="19" t="inlineStr">
        <is>
          <t>Aldair González (aprobación en bloque)</t>
        </is>
      </c>
      <c r="Y1320" s="20" t="n">
        <v>46321</v>
      </c>
      <c r="Z1320" s="19" t="inlineStr">
        <is>
          <t>Nivel 2: regla estructural con redacción revisada.</t>
        </is>
      </c>
      <c r="AA1320" s="18">
        <f>IF(OR(V1320="Aprobada"),R1320,IF(AND(OR(V1320="Aprobada con ajuste",V1320="Rechazada"),W1320&lt;&gt;""),W1320,""))</f>
        <v/>
      </c>
    </row>
    <row r="1321">
      <c r="A1321" s="18" t="inlineStr">
        <is>
          <t>C1320</t>
        </is>
      </c>
      <c r="B1321" s="18" t="inlineStr">
        <is>
          <t>Control interno</t>
        </is>
      </c>
      <c r="C1321" s="18" t="inlineStr">
        <is>
          <t>control_interno</t>
        </is>
      </c>
      <c r="D1321" s="18" t="inlineStr">
        <is>
          <t>accion_mejora</t>
        </is>
      </c>
      <c r="E1321" s="18" t="n">
        <v>0</v>
      </c>
      <c r="F1321" s="18" t="inlineStr">
        <is>
          <t>estado</t>
        </is>
      </c>
      <c r="G1321" s="18" t="inlineStr">
        <is>
          <t>character varying(50)</t>
        </is>
      </c>
      <c r="H1321" s="18" t="inlineStr">
        <is>
          <t>No</t>
        </is>
      </c>
      <c r="I1321" s="18" t="inlineStr">
        <is>
          <t>CHECK</t>
        </is>
      </c>
      <c r="J1321" s="18" t="inlineStr">
        <is>
          <t>completada, en_progreso, pendiente, vencida</t>
        </is>
      </c>
      <c r="K1321" s="18" t="inlineStr"/>
      <c r="L1321" s="18" t="inlineStr">
        <is>
          <t>Sí</t>
        </is>
      </c>
      <c r="M1321" s="18" t="inlineStr">
        <is>
          <t>No</t>
        </is>
      </c>
      <c r="N1321" s="18" t="inlineStr"/>
      <c r="O1321" s="18" t="inlineStr">
        <is>
          <t>idx_accion_mejora_estado</t>
        </is>
      </c>
      <c r="P1321" s="18" t="inlineStr"/>
      <c r="Q1321" s="18" t="inlineStr">
        <is>
          <t>Regla estructural (redacción revisada)</t>
        </is>
      </c>
      <c r="R1321" s="18" t="inlineStr">
        <is>
          <t>Estado de la acción de mejora (completada, en_progreso, pendiente o vencida).</t>
        </is>
      </c>
      <c r="S1321" s="18" t="inlineStr">
        <is>
          <t>Alta</t>
        </is>
      </c>
      <c r="T1321" s="18" t="inlineStr">
        <is>
          <t>Convención de nombre, redactada con el contexto de la tabla y el código.</t>
        </is>
      </c>
      <c r="U1321" s="18" t="inlineStr"/>
      <c r="V1321" s="19" t="inlineStr">
        <is>
          <t>Aprobada</t>
        </is>
      </c>
      <c r="W1321" s="19" t="inlineStr"/>
      <c r="X1321" s="19" t="inlineStr">
        <is>
          <t>Aldair González (aprobación en bloque)</t>
        </is>
      </c>
      <c r="Y1321" s="20" t="n">
        <v>46321</v>
      </c>
      <c r="Z1321" s="19" t="inlineStr">
        <is>
          <t>Nivel 2: regla estructural con redacción revisada.</t>
        </is>
      </c>
      <c r="AA1321" s="18">
        <f>IF(OR(V1321="Aprobada"),R1321,IF(AND(OR(V1321="Aprobada con ajuste",V1321="Rechazada"),W1321&lt;&gt;""),W1321,""))</f>
        <v/>
      </c>
    </row>
    <row r="1322">
      <c r="A1322" s="18" t="inlineStr">
        <is>
          <t>C1321</t>
        </is>
      </c>
      <c r="B1322" s="18" t="inlineStr">
        <is>
          <t>Control interno</t>
        </is>
      </c>
      <c r="C1322" s="18" t="inlineStr">
        <is>
          <t>control_interno</t>
        </is>
      </c>
      <c r="D1322" s="18" t="inlineStr">
        <is>
          <t>accion_mejora</t>
        </is>
      </c>
      <c r="E1322" s="18" t="n">
        <v>0</v>
      </c>
      <c r="F1322" s="18" t="inlineStr">
        <is>
          <t>avance</t>
        </is>
      </c>
      <c r="G1322" s="18" t="inlineStr">
        <is>
          <t>integer</t>
        </is>
      </c>
      <c r="H1322" s="18" t="inlineStr">
        <is>
          <t>No</t>
        </is>
      </c>
      <c r="I1322" s="18" t="inlineStr"/>
      <c r="J1322" s="18" t="inlineStr"/>
      <c r="K1322" s="18" t="inlineStr"/>
      <c r="L1322" s="18" t="inlineStr">
        <is>
          <t>No</t>
        </is>
      </c>
      <c r="M1322" s="18" t="inlineStr">
        <is>
          <t>No</t>
        </is>
      </c>
      <c r="N1322" s="18" t="inlineStr"/>
      <c r="O1322" s="18" t="inlineStr"/>
      <c r="P1322" s="18" t="inlineStr"/>
      <c r="Q1322" s="18" t="inlineStr">
        <is>
          <t>Código fuente (verificado)</t>
        </is>
      </c>
      <c r="R1322" s="18" t="inlineStr">
        <is>
          <t>Avance de la acción de mejora.</t>
        </is>
      </c>
      <c r="S1322" s="18" t="inlineStr">
        <is>
          <t>Media</t>
        </is>
      </c>
      <c r="T1322" s="18" t="inlineStr">
        <is>
          <t>db/init/005_control_interno_ddl_20260129_215540.sql:722: integer NOT NULL sin CHECK de rango | sin entidad ni uso en el código del servicio</t>
        </is>
      </c>
      <c r="U1322" s="18" t="inlineStr">
        <is>
          <t>¿avance se expresa en porcentaje de 0 a 100? La tabla no tiene entidad en el código ni restricción de rango.</t>
        </is>
      </c>
      <c r="V1322" s="19" t="inlineStr">
        <is>
          <t>Aprobada</t>
        </is>
      </c>
      <c r="W1322" s="19" t="inlineStr"/>
      <c r="X1322" s="19" t="inlineStr">
        <is>
          <t>Aldair González (validación del responsable de BD)</t>
        </is>
      </c>
      <c r="Y1322" s="20" t="n">
        <v>46321</v>
      </c>
      <c r="Z1322" s="19" t="inlineStr">
        <is>
          <t>Nivel 3: validada por decisión del responsable de la base de datos. Pregunta registrada para desarrollo: ¿avance se expresa en porcentaje de 0 a 100? La tabla no tiene entidad en el código ni restricción de rango.</t>
        </is>
      </c>
      <c r="AA1322" s="18">
        <f>IF(OR(V1322="Aprobada"),R1322,IF(AND(OR(V1322="Aprobada con ajuste",V1322="Rechazada"),W1322&lt;&gt;""),W1322,""))</f>
        <v/>
      </c>
    </row>
    <row r="1323">
      <c r="A1323" s="18" t="inlineStr">
        <is>
          <t>C1322</t>
        </is>
      </c>
      <c r="B1323" s="18" t="inlineStr">
        <is>
          <t>Control interno</t>
        </is>
      </c>
      <c r="C1323" s="18" t="inlineStr">
        <is>
          <t>control_interno</t>
        </is>
      </c>
      <c r="D1323" s="18" t="inlineStr">
        <is>
          <t>accion_mejora</t>
        </is>
      </c>
      <c r="E1323" s="18" t="n">
        <v>0</v>
      </c>
      <c r="F1323" s="18" t="inlineStr">
        <is>
          <t>evidencias</t>
        </is>
      </c>
      <c r="G1323" s="18" t="inlineStr">
        <is>
          <t>jsonb</t>
        </is>
      </c>
      <c r="H1323" s="18" t="inlineStr">
        <is>
          <t>No</t>
        </is>
      </c>
      <c r="I1323" s="18" t="inlineStr"/>
      <c r="J1323" s="18" t="inlineStr"/>
      <c r="K1323" s="18" t="inlineStr"/>
      <c r="L1323" s="18" t="inlineStr">
        <is>
          <t>No</t>
        </is>
      </c>
      <c r="M1323" s="18" t="inlineStr">
        <is>
          <t>No</t>
        </is>
      </c>
      <c r="N1323" s="18" t="inlineStr"/>
      <c r="O1323" s="18" t="inlineStr"/>
      <c r="P1323" s="18" t="inlineStr"/>
      <c r="Q1323" s="18" t="inlineStr">
        <is>
          <t>Código fuente (verificado)</t>
        </is>
      </c>
      <c r="R1323" s="18" t="inlineStr">
        <is>
          <t>Evidencias de la acción de mejora, en formato JSON.</t>
        </is>
      </c>
      <c r="S1323" s="18" t="inlineStr">
        <is>
          <t>Media</t>
        </is>
      </c>
      <c r="T1323" s="18" t="inlineStr">
        <is>
          <t>db/init/old/009_schema_control-interno.sql:307: jsonb NOT NULL | sin entidad ni uso en el código del servicio</t>
        </is>
      </c>
      <c r="U1323" s="18" t="inlineStr">
        <is>
          <t>¿Qué estructura tiene evidencias (arreglo de rutas, URL o identificadores de documento)? La tabla no tiene entidad en el código.</t>
        </is>
      </c>
      <c r="V1323" s="19" t="inlineStr">
        <is>
          <t>Aprobada</t>
        </is>
      </c>
      <c r="W1323" s="19" t="inlineStr"/>
      <c r="X1323" s="19" t="inlineStr">
        <is>
          <t>Aldair González (validación del responsable de BD)</t>
        </is>
      </c>
      <c r="Y1323" s="20" t="n">
        <v>46321</v>
      </c>
      <c r="Z1323" s="19" t="inlineStr">
        <is>
          <t>Nivel 3: validada por decisión del responsable de la base de datos. Pregunta registrada para desarrollo: ¿Qué estructura tiene evidencias (arreglo de rutas, URL o identificadores de documento)? La tabla no tiene entidad en el código.</t>
        </is>
      </c>
      <c r="AA1323" s="18">
        <f>IF(OR(V1323="Aprobada"),R1323,IF(AND(OR(V1323="Aprobada con ajuste",V1323="Rechazada"),W1323&lt;&gt;""),W1323,""))</f>
        <v/>
      </c>
    </row>
    <row r="1324">
      <c r="A1324" s="18" t="inlineStr">
        <is>
          <t>C1323</t>
        </is>
      </c>
      <c r="B1324" s="18" t="inlineStr">
        <is>
          <t>Control interno</t>
        </is>
      </c>
      <c r="C1324" s="18" t="inlineStr">
        <is>
          <t>control_interno</t>
        </is>
      </c>
      <c r="D1324" s="18" t="inlineStr">
        <is>
          <t>accion_mejora</t>
        </is>
      </c>
      <c r="E1324" s="18" t="n">
        <v>0</v>
      </c>
      <c r="F1324" s="18" t="inlineStr">
        <is>
          <t>observaciones</t>
        </is>
      </c>
      <c r="G1324" s="18" t="inlineStr">
        <is>
          <t>text</t>
        </is>
      </c>
      <c r="H1324" s="18" t="inlineStr">
        <is>
          <t>Sí</t>
        </is>
      </c>
      <c r="I1324" s="18" t="inlineStr"/>
      <c r="J1324" s="18" t="inlineStr"/>
      <c r="K1324" s="18" t="inlineStr"/>
      <c r="L1324" s="18" t="inlineStr">
        <is>
          <t>No</t>
        </is>
      </c>
      <c r="M1324" s="18" t="inlineStr">
        <is>
          <t>No</t>
        </is>
      </c>
      <c r="N1324" s="18" t="inlineStr"/>
      <c r="O1324" s="18" t="inlineStr"/>
      <c r="P1324" s="18" t="inlineStr"/>
      <c r="Q1324" s="18" t="inlineStr">
        <is>
          <t>Regla estructural (redacción revisada)</t>
        </is>
      </c>
      <c r="R1324" s="18" t="inlineStr">
        <is>
          <t>Observaciones sobre la acción de mejora.</t>
        </is>
      </c>
      <c r="S1324" s="18" t="inlineStr">
        <is>
          <t>Alta</t>
        </is>
      </c>
      <c r="T1324" s="18" t="inlineStr">
        <is>
          <t>Convención de nombre, redactada con el contexto de la tabla y el código.</t>
        </is>
      </c>
      <c r="U1324" s="18" t="inlineStr"/>
      <c r="V1324" s="19" t="inlineStr">
        <is>
          <t>Aprobada</t>
        </is>
      </c>
      <c r="W1324" s="19" t="inlineStr"/>
      <c r="X1324" s="19" t="inlineStr">
        <is>
          <t>Aldair González (aprobación en bloque)</t>
        </is>
      </c>
      <c r="Y1324" s="20" t="n">
        <v>46321</v>
      </c>
      <c r="Z1324" s="19" t="inlineStr">
        <is>
          <t>Nivel 2: regla estructural con redacción revisada.</t>
        </is>
      </c>
      <c r="AA1324" s="18">
        <f>IF(OR(V1324="Aprobada"),R1324,IF(AND(OR(V1324="Aprobada con ajuste",V1324="Rechazada"),W1324&lt;&gt;""),W1324,""))</f>
        <v/>
      </c>
    </row>
    <row r="1325">
      <c r="A1325" s="18" t="inlineStr">
        <is>
          <t>C1324</t>
        </is>
      </c>
      <c r="B1325" s="18" t="inlineStr">
        <is>
          <t>Control interno</t>
        </is>
      </c>
      <c r="C1325" s="18" t="inlineStr">
        <is>
          <t>control_interno</t>
        </is>
      </c>
      <c r="D1325" s="18" t="inlineStr">
        <is>
          <t>actividad_etapa_auditoria</t>
        </is>
      </c>
      <c r="E1325" s="18" t="n">
        <v>0</v>
      </c>
      <c r="F1325" s="18" t="inlineStr">
        <is>
          <t>nombre</t>
        </is>
      </c>
      <c r="G1325" s="18" t="inlineStr">
        <is>
          <t>character varying(500)</t>
        </is>
      </c>
      <c r="H1325" s="18" t="inlineStr">
        <is>
          <t>No</t>
        </is>
      </c>
      <c r="I1325" s="18" t="inlineStr"/>
      <c r="J1325" s="18" t="inlineStr"/>
      <c r="K1325" s="18" t="inlineStr"/>
      <c r="L1325" s="18" t="inlineStr">
        <is>
          <t>No</t>
        </is>
      </c>
      <c r="M1325" s="18" t="inlineStr">
        <is>
          <t>No</t>
        </is>
      </c>
      <c r="N1325" s="18" t="inlineStr"/>
      <c r="O1325" s="18" t="inlineStr"/>
      <c r="P1325" s="18" t="inlineStr"/>
      <c r="Q1325" s="18" t="inlineStr">
        <is>
          <t>Regla estructural (redacción revisada)</t>
        </is>
      </c>
      <c r="R1325" s="18" t="inlineStr">
        <is>
          <t>Nombre de la actividad de la etapa de auditoría.</t>
        </is>
      </c>
      <c r="S1325" s="18" t="inlineStr">
        <is>
          <t>Alta</t>
        </is>
      </c>
      <c r="T1325" s="18" t="inlineStr">
        <is>
          <t>Convención de nombre, redactada con el contexto de la tabla y el código.</t>
        </is>
      </c>
      <c r="U1325" s="18" t="inlineStr"/>
      <c r="V1325" s="19" t="inlineStr">
        <is>
          <t>Aprobada</t>
        </is>
      </c>
      <c r="W1325" s="19" t="inlineStr"/>
      <c r="X1325" s="19" t="inlineStr">
        <is>
          <t>Aldair González (aprobación en bloque)</t>
        </is>
      </c>
      <c r="Y1325" s="20" t="n">
        <v>46321</v>
      </c>
      <c r="Z1325" s="19" t="inlineStr">
        <is>
          <t>Nivel 2: regla estructural con redacción revisada.</t>
        </is>
      </c>
      <c r="AA1325" s="18">
        <f>IF(OR(V1325="Aprobada"),R1325,IF(AND(OR(V1325="Aprobada con ajuste",V1325="Rechazada"),W1325&lt;&gt;""),W1325,""))</f>
        <v/>
      </c>
    </row>
    <row r="1326">
      <c r="A1326" s="18" t="inlineStr">
        <is>
          <t>C1325</t>
        </is>
      </c>
      <c r="B1326" s="18" t="inlineStr">
        <is>
          <t>Control interno</t>
        </is>
      </c>
      <c r="C1326" s="18" t="inlineStr">
        <is>
          <t>control_interno</t>
        </is>
      </c>
      <c r="D1326" s="18" t="inlineStr">
        <is>
          <t>actividad_etapa_auditoria</t>
        </is>
      </c>
      <c r="E1326" s="18" t="n">
        <v>0</v>
      </c>
      <c r="F1326" s="18" t="inlineStr">
        <is>
          <t>descripcion</t>
        </is>
      </c>
      <c r="G1326" s="18" t="inlineStr">
        <is>
          <t>text</t>
        </is>
      </c>
      <c r="H1326" s="18" t="inlineStr">
        <is>
          <t>Sí</t>
        </is>
      </c>
      <c r="I1326" s="18" t="inlineStr"/>
      <c r="J1326" s="18" t="inlineStr"/>
      <c r="K1326" s="18" t="inlineStr"/>
      <c r="L1326" s="18" t="inlineStr">
        <is>
          <t>No</t>
        </is>
      </c>
      <c r="M1326" s="18" t="inlineStr">
        <is>
          <t>No</t>
        </is>
      </c>
      <c r="N1326" s="18" t="inlineStr"/>
      <c r="O1326" s="18" t="inlineStr"/>
      <c r="P1326" s="18" t="inlineStr"/>
      <c r="Q1326" s="18" t="inlineStr">
        <is>
          <t>Regla estructural (redacción revisada)</t>
        </is>
      </c>
      <c r="R1326" s="18" t="inlineStr">
        <is>
          <t>Descripción de la actividad de la etapa de auditoría.</t>
        </is>
      </c>
      <c r="S1326" s="18" t="inlineStr">
        <is>
          <t>Alta</t>
        </is>
      </c>
      <c r="T1326" s="18" t="inlineStr">
        <is>
          <t>Convención de nombre, redactada con el contexto de la tabla y el código.</t>
        </is>
      </c>
      <c r="U1326" s="18" t="inlineStr"/>
      <c r="V1326" s="19" t="inlineStr">
        <is>
          <t>Aprobada</t>
        </is>
      </c>
      <c r="W1326" s="19" t="inlineStr"/>
      <c r="X1326" s="19" t="inlineStr">
        <is>
          <t>Aldair González (aprobación en bloque)</t>
        </is>
      </c>
      <c r="Y1326" s="20" t="n">
        <v>46321</v>
      </c>
      <c r="Z1326" s="19" t="inlineStr">
        <is>
          <t>Nivel 2: regla estructural con redacción revisada.</t>
        </is>
      </c>
      <c r="AA1326" s="18">
        <f>IF(OR(V1326="Aprobada"),R1326,IF(AND(OR(V1326="Aprobada con ajuste",V1326="Rechazada"),W1326&lt;&gt;""),W1326,""))</f>
        <v/>
      </c>
    </row>
    <row r="1327">
      <c r="A1327" s="18" t="inlineStr">
        <is>
          <t>C1326</t>
        </is>
      </c>
      <c r="B1327" s="18" t="inlineStr">
        <is>
          <t>Control interno</t>
        </is>
      </c>
      <c r="C1327" s="18" t="inlineStr">
        <is>
          <t>control_interno</t>
        </is>
      </c>
      <c r="D1327" s="18" t="inlineStr">
        <is>
          <t>actividad_etapa_auditoria</t>
        </is>
      </c>
      <c r="E1327" s="18" t="n">
        <v>0</v>
      </c>
      <c r="F1327" s="18" t="inlineStr">
        <is>
          <t>tipo</t>
        </is>
      </c>
      <c r="G1327" s="18" t="inlineStr">
        <is>
          <t>character varying(100)</t>
        </is>
      </c>
      <c r="H1327" s="18" t="inlineStr">
        <is>
          <t>No</t>
        </is>
      </c>
      <c r="I1327" s="18" t="inlineStr"/>
      <c r="J1327" s="18" t="inlineStr"/>
      <c r="K1327" s="18" t="inlineStr"/>
      <c r="L1327" s="18" t="inlineStr">
        <is>
          <t>No</t>
        </is>
      </c>
      <c r="M1327" s="18" t="inlineStr">
        <is>
          <t>No</t>
        </is>
      </c>
      <c r="N1327" s="18" t="inlineStr"/>
      <c r="O1327" s="18" t="inlineStr"/>
      <c r="P1327" s="18" t="inlineStr"/>
      <c r="Q1327" s="18" t="inlineStr">
        <is>
          <t>Regla estructural (redacción revisada)</t>
        </is>
      </c>
      <c r="R1327" s="18" t="inlineStr">
        <is>
          <t>Tipo de actividad de la etapa de auditoría.</t>
        </is>
      </c>
      <c r="S1327" s="18" t="inlineStr">
        <is>
          <t>Alta</t>
        </is>
      </c>
      <c r="T1327" s="18" t="inlineStr">
        <is>
          <t>Convención de nombre, redactada con el contexto de la tabla y el código.</t>
        </is>
      </c>
      <c r="U1327" s="18" t="inlineStr"/>
      <c r="V1327" s="19" t="inlineStr">
        <is>
          <t>Aprobada</t>
        </is>
      </c>
      <c r="W1327" s="19" t="inlineStr"/>
      <c r="X1327" s="19" t="inlineStr">
        <is>
          <t>Aldair González (aprobación en bloque)</t>
        </is>
      </c>
      <c r="Y1327" s="20" t="n">
        <v>46321</v>
      </c>
      <c r="Z1327" s="19" t="inlineStr">
        <is>
          <t>Nivel 2: regla estructural con redacción revisada.</t>
        </is>
      </c>
      <c r="AA1327" s="18">
        <f>IF(OR(V1327="Aprobada"),R1327,IF(AND(OR(V1327="Aprobada con ajuste",V1327="Rechazada"),W1327&lt;&gt;""),W1327,""))</f>
        <v/>
      </c>
    </row>
    <row r="1328">
      <c r="A1328" s="18" t="inlineStr">
        <is>
          <t>C1327</t>
        </is>
      </c>
      <c r="B1328" s="18" t="inlineStr">
        <is>
          <t>Control interno</t>
        </is>
      </c>
      <c r="C1328" s="18" t="inlineStr">
        <is>
          <t>control_interno</t>
        </is>
      </c>
      <c r="D1328" s="18" t="inlineStr">
        <is>
          <t>actividad_etapa_auditoria</t>
        </is>
      </c>
      <c r="E1328" s="18" t="n">
        <v>0</v>
      </c>
      <c r="F1328" s="18" t="inlineStr">
        <is>
          <t>estado</t>
        </is>
      </c>
      <c r="G1328" s="18" t="inlineStr">
        <is>
          <t>character varying(50)</t>
        </is>
      </c>
      <c r="H1328" s="18" t="inlineStr">
        <is>
          <t>No</t>
        </is>
      </c>
      <c r="I1328" s="18" t="inlineStr">
        <is>
          <t>CHECK</t>
        </is>
      </c>
      <c r="J1328" s="18" t="inlineStr">
        <is>
          <t>completada, en-progreso, pendiente</t>
        </is>
      </c>
      <c r="K1328" s="18" t="inlineStr"/>
      <c r="L1328" s="18" t="inlineStr">
        <is>
          <t>Sí</t>
        </is>
      </c>
      <c r="M1328" s="18" t="inlineStr">
        <is>
          <t>No</t>
        </is>
      </c>
      <c r="N1328" s="18" t="inlineStr"/>
      <c r="O1328" s="18" t="inlineStr"/>
      <c r="P1328" s="18" t="inlineStr"/>
      <c r="Q1328" s="18" t="inlineStr">
        <is>
          <t>Regla estructural (redacción revisada)</t>
        </is>
      </c>
      <c r="R1328" s="18" t="inlineStr">
        <is>
          <t>Estado de la actividad de la etapa de auditoría (completada, en-progreso o pendiente).</t>
        </is>
      </c>
      <c r="S1328" s="18" t="inlineStr">
        <is>
          <t>Alta</t>
        </is>
      </c>
      <c r="T1328" s="18" t="inlineStr">
        <is>
          <t>Convención de nombre, redactada con el contexto de la tabla y el código.</t>
        </is>
      </c>
      <c r="U1328" s="18" t="inlineStr"/>
      <c r="V1328" s="19" t="inlineStr">
        <is>
          <t>Aprobada</t>
        </is>
      </c>
      <c r="W1328" s="19" t="inlineStr"/>
      <c r="X1328" s="19" t="inlineStr">
        <is>
          <t>Aldair González (aprobación en bloque)</t>
        </is>
      </c>
      <c r="Y1328" s="20" t="n">
        <v>46321</v>
      </c>
      <c r="Z1328" s="19" t="inlineStr">
        <is>
          <t>Nivel 2: regla estructural con redacción revisada.</t>
        </is>
      </c>
      <c r="AA1328" s="18">
        <f>IF(OR(V1328="Aprobada"),R1328,IF(AND(OR(V1328="Aprobada con ajuste",V1328="Rechazada"),W1328&lt;&gt;""),W1328,""))</f>
        <v/>
      </c>
    </row>
    <row r="1329">
      <c r="A1329" s="18" t="inlineStr">
        <is>
          <t>C1328</t>
        </is>
      </c>
      <c r="B1329" s="18" t="inlineStr">
        <is>
          <t>Control interno</t>
        </is>
      </c>
      <c r="C1329" s="18" t="inlineStr">
        <is>
          <t>control_interno</t>
        </is>
      </c>
      <c r="D1329" s="18" t="inlineStr">
        <is>
          <t>actividad_etapa_auditoria</t>
        </is>
      </c>
      <c r="E1329" s="18" t="n">
        <v>0</v>
      </c>
      <c r="F1329" s="18" t="inlineStr">
        <is>
          <t>responsable</t>
        </is>
      </c>
      <c r="G1329" s="18" t="inlineStr">
        <is>
          <t>character varying(255)</t>
        </is>
      </c>
      <c r="H1329" s="18" t="inlineStr">
        <is>
          <t>Sí</t>
        </is>
      </c>
      <c r="I1329" s="18" t="inlineStr"/>
      <c r="J1329" s="18" t="inlineStr"/>
      <c r="K1329" s="18" t="inlineStr"/>
      <c r="L1329" s="18" t="inlineStr">
        <is>
          <t>No</t>
        </is>
      </c>
      <c r="M1329" s="18" t="inlineStr">
        <is>
          <t>No</t>
        </is>
      </c>
      <c r="N1329" s="18" t="inlineStr"/>
      <c r="O1329" s="18" t="inlineStr"/>
      <c r="P1329" s="18" t="inlineStr"/>
      <c r="Q1329" s="18" t="inlineStr">
        <is>
          <t>Código fuente (verificado)</t>
        </is>
      </c>
      <c r="R1329" s="18" t="inlineStr">
        <is>
          <t>Responsable de la actividad dentro de la etapa de auditoría.</t>
        </is>
      </c>
      <c r="S1329" s="18" t="inlineStr">
        <is>
          <t>Media</t>
        </is>
      </c>
      <c r="T1329" s="18" t="inlineStr">
        <is>
          <t>db/init/old/009_schema_control-interno.sql:583: varchar(255) | sin entidad ni uso en el código del servicio</t>
        </is>
      </c>
      <c r="U1329" s="18" t="inlineStr">
        <is>
          <t>¿responsable guarda el nombre, el correo o el identificador del usuario? La tabla no tiene entidad en el código.</t>
        </is>
      </c>
      <c r="V1329" s="19" t="inlineStr">
        <is>
          <t>Aprobada</t>
        </is>
      </c>
      <c r="W1329" s="19" t="inlineStr"/>
      <c r="X1329" s="19" t="inlineStr">
        <is>
          <t>Aldair González (validación del responsable de BD)</t>
        </is>
      </c>
      <c r="Y1329" s="20" t="n">
        <v>46321</v>
      </c>
      <c r="Z1329" s="19" t="inlineStr">
        <is>
          <t>Nivel 3: validada por decisión del responsable de la base de datos. Pregunta registrada para desarrollo: ¿responsable guarda el nombre, el correo o el identificador del usuario? La tabla no tiene entidad en el código.</t>
        </is>
      </c>
      <c r="AA1329" s="18">
        <f>IF(OR(V1329="Aprobada"),R1329,IF(AND(OR(V1329="Aprobada con ajuste",V1329="Rechazada"),W1329&lt;&gt;""),W1329,""))</f>
        <v/>
      </c>
    </row>
    <row r="1330">
      <c r="A1330" s="18" t="inlineStr">
        <is>
          <t>C1329</t>
        </is>
      </c>
      <c r="B1330" s="18" t="inlineStr">
        <is>
          <t>Control interno</t>
        </is>
      </c>
      <c r="C1330" s="18" t="inlineStr">
        <is>
          <t>control_interno</t>
        </is>
      </c>
      <c r="D1330" s="18" t="inlineStr">
        <is>
          <t>actividad_etapa_auditoria</t>
        </is>
      </c>
      <c r="E1330" s="18" t="n">
        <v>0</v>
      </c>
      <c r="F1330" s="18" t="inlineStr">
        <is>
          <t>fecha_limite</t>
        </is>
      </c>
      <c r="G1330" s="18" t="inlineStr">
        <is>
          <t>date</t>
        </is>
      </c>
      <c r="H1330" s="18" t="inlineStr">
        <is>
          <t>Sí</t>
        </is>
      </c>
      <c r="I1330" s="18" t="inlineStr"/>
      <c r="J1330" s="18" t="inlineStr"/>
      <c r="K1330" s="18" t="inlineStr"/>
      <c r="L1330" s="18" t="inlineStr">
        <is>
          <t>No</t>
        </is>
      </c>
      <c r="M1330" s="18" t="inlineStr">
        <is>
          <t>No</t>
        </is>
      </c>
      <c r="N1330" s="18" t="inlineStr"/>
      <c r="O1330" s="18" t="inlineStr"/>
      <c r="P1330" s="18" t="inlineStr"/>
      <c r="Q1330" s="18" t="inlineStr">
        <is>
          <t>Regla estructural (redacción revisada)</t>
        </is>
      </c>
      <c r="R1330" s="18" t="inlineStr">
        <is>
          <t>Fecha límite de la actividad de la etapa de auditoría.</t>
        </is>
      </c>
      <c r="S1330" s="18" t="inlineStr">
        <is>
          <t>Alta</t>
        </is>
      </c>
      <c r="T1330" s="18" t="inlineStr">
        <is>
          <t>Convención de nombre, redactada con el contexto de la tabla y el código.</t>
        </is>
      </c>
      <c r="U1330" s="18" t="inlineStr"/>
      <c r="V1330" s="19" t="inlineStr">
        <is>
          <t>Aprobada</t>
        </is>
      </c>
      <c r="W1330" s="19" t="inlineStr"/>
      <c r="X1330" s="19" t="inlineStr">
        <is>
          <t>Aldair González (aprobación en bloque)</t>
        </is>
      </c>
      <c r="Y1330" s="20" t="n">
        <v>46321</v>
      </c>
      <c r="Z1330" s="19" t="inlineStr">
        <is>
          <t>Nivel 2: regla estructural con redacción revisada.</t>
        </is>
      </c>
      <c r="AA1330" s="18">
        <f>IF(OR(V1330="Aprobada"),R1330,IF(AND(OR(V1330="Aprobada con ajuste",V1330="Rechazada"),W1330&lt;&gt;""),W1330,""))</f>
        <v/>
      </c>
    </row>
    <row r="1331">
      <c r="A1331" s="18" t="inlineStr">
        <is>
          <t>C1330</t>
        </is>
      </c>
      <c r="B1331" s="18" t="inlineStr">
        <is>
          <t>Control interno</t>
        </is>
      </c>
      <c r="C1331" s="18" t="inlineStr">
        <is>
          <t>control_interno</t>
        </is>
      </c>
      <c r="D1331" s="18" t="inlineStr">
        <is>
          <t>actividad_etapa_auditoria</t>
        </is>
      </c>
      <c r="E1331" s="18" t="n">
        <v>0</v>
      </c>
      <c r="F1331" s="18" t="inlineStr">
        <is>
          <t>completada</t>
        </is>
      </c>
      <c r="G1331" s="18" t="inlineStr">
        <is>
          <t>boolean</t>
        </is>
      </c>
      <c r="H1331" s="18" t="inlineStr">
        <is>
          <t>Sí</t>
        </is>
      </c>
      <c r="I1331" s="18" t="inlineStr">
        <is>
          <t>CHECK</t>
        </is>
      </c>
      <c r="J1331" s="18" t="inlineStr"/>
      <c r="K1331" s="18" t="inlineStr"/>
      <c r="L1331" s="18" t="inlineStr">
        <is>
          <t>No</t>
        </is>
      </c>
      <c r="M1331" s="18" t="inlineStr">
        <is>
          <t>No</t>
        </is>
      </c>
      <c r="N1331" s="18" t="inlineStr"/>
      <c r="O1331" s="18" t="inlineStr"/>
      <c r="P1331" s="18" t="inlineStr"/>
      <c r="Q1331" s="18" t="inlineStr">
        <is>
          <t>Regla estructural (redacción revisada)</t>
        </is>
      </c>
      <c r="R1331" s="18" t="inlineStr">
        <is>
          <t>Indica si la actividad de la etapa de auditoría está completada.</t>
        </is>
      </c>
      <c r="S1331" s="18" t="inlineStr">
        <is>
          <t>Alta</t>
        </is>
      </c>
      <c r="T1331" s="18" t="inlineStr">
        <is>
          <t>Convención de nombre, redactada con el contexto de la tabla y el código.</t>
        </is>
      </c>
      <c r="U1331" s="18" t="inlineStr"/>
      <c r="V1331" s="19" t="inlineStr">
        <is>
          <t>Aprobada</t>
        </is>
      </c>
      <c r="W1331" s="19" t="inlineStr"/>
      <c r="X1331" s="19" t="inlineStr">
        <is>
          <t>Aldair González (aprobación en bloque)</t>
        </is>
      </c>
      <c r="Y1331" s="20" t="n">
        <v>46321</v>
      </c>
      <c r="Z1331" s="19" t="inlineStr">
        <is>
          <t>Nivel 2: regla estructural con redacción revisada.</t>
        </is>
      </c>
      <c r="AA1331" s="18">
        <f>IF(OR(V1331="Aprobada"),R1331,IF(AND(OR(V1331="Aprobada con ajuste",V1331="Rechazada"),W1331&lt;&gt;""),W1331,""))</f>
        <v/>
      </c>
    </row>
    <row r="1332">
      <c r="A1332" s="18" t="inlineStr">
        <is>
          <t>C1331</t>
        </is>
      </c>
      <c r="B1332" s="18" t="inlineStr">
        <is>
          <t>Control interno</t>
        </is>
      </c>
      <c r="C1332" s="18" t="inlineStr">
        <is>
          <t>control_interno</t>
        </is>
      </c>
      <c r="D1332" s="18" t="inlineStr">
        <is>
          <t>actividad_etapa_auditoria</t>
        </is>
      </c>
      <c r="E1332" s="18" t="n">
        <v>0</v>
      </c>
      <c r="F1332" s="18" t="inlineStr">
        <is>
          <t>fecha_completacion</t>
        </is>
      </c>
      <c r="G1332" s="18" t="inlineStr">
        <is>
          <t>timestamp without time zone</t>
        </is>
      </c>
      <c r="H1332" s="18" t="inlineStr">
        <is>
          <t>Sí</t>
        </is>
      </c>
      <c r="I1332" s="18" t="inlineStr"/>
      <c r="J1332" s="18" t="inlineStr"/>
      <c r="K1332" s="18" t="inlineStr"/>
      <c r="L1332" s="18" t="inlineStr">
        <is>
          <t>No</t>
        </is>
      </c>
      <c r="M1332" s="18" t="inlineStr">
        <is>
          <t>No</t>
        </is>
      </c>
      <c r="N1332" s="18" t="inlineStr"/>
      <c r="O1332" s="18" t="inlineStr"/>
      <c r="P1332" s="18" t="inlineStr"/>
      <c r="Q1332" s="18" t="inlineStr">
        <is>
          <t>Regla estructural (redacción revisada)</t>
        </is>
      </c>
      <c r="R1332" s="18" t="inlineStr">
        <is>
          <t>Fecha y hora en que se completó la actividad de la etapa de auditoría.</t>
        </is>
      </c>
      <c r="S1332" s="18" t="inlineStr">
        <is>
          <t>Alta</t>
        </is>
      </c>
      <c r="T1332" s="18" t="inlineStr">
        <is>
          <t>Convención de nombre, redactada con el contexto de la tabla y el código.</t>
        </is>
      </c>
      <c r="U1332" s="18" t="inlineStr"/>
      <c r="V1332" s="19" t="inlineStr">
        <is>
          <t>Aprobada</t>
        </is>
      </c>
      <c r="W1332" s="19" t="inlineStr"/>
      <c r="X1332" s="19" t="inlineStr">
        <is>
          <t>Aldair González (aprobación en bloque)</t>
        </is>
      </c>
      <c r="Y1332" s="20" t="n">
        <v>46321</v>
      </c>
      <c r="Z1332" s="19" t="inlineStr">
        <is>
          <t>Nivel 2: regla estructural con redacción revisada.</t>
        </is>
      </c>
      <c r="AA1332" s="18">
        <f>IF(OR(V1332="Aprobada"),R1332,IF(AND(OR(V1332="Aprobada con ajuste",V1332="Rechazada"),W1332&lt;&gt;""),W1332,""))</f>
        <v/>
      </c>
    </row>
    <row r="1333">
      <c r="A1333" s="18" t="inlineStr">
        <is>
          <t>C1332</t>
        </is>
      </c>
      <c r="B1333" s="18" t="inlineStr">
        <is>
          <t>Control interno</t>
        </is>
      </c>
      <c r="C1333" s="18" t="inlineStr">
        <is>
          <t>control_interno</t>
        </is>
      </c>
      <c r="D1333" s="18" t="inlineStr">
        <is>
          <t>actividad_plan_anual_5</t>
        </is>
      </c>
      <c r="E1333" s="18" t="n">
        <v>1604</v>
      </c>
      <c r="F1333" s="18" t="inlineStr">
        <is>
          <t>plan_id</t>
        </is>
      </c>
      <c r="G1333" s="18" t="inlineStr">
        <is>
          <t>uuid</t>
        </is>
      </c>
      <c r="H1333" s="18" t="inlineStr">
        <is>
          <t>No</t>
        </is>
      </c>
      <c r="I1333" s="18" t="inlineStr"/>
      <c r="J1333" s="18" t="inlineStr"/>
      <c r="K1333" s="18" t="inlineStr"/>
      <c r="L1333" s="18" t="inlineStr">
        <is>
          <t>No</t>
        </is>
      </c>
      <c r="M1333" s="18" t="inlineStr">
        <is>
          <t>Sí</t>
        </is>
      </c>
      <c r="N1333" s="18" t="inlineStr">
        <is>
          <t>Función control_interno.fn_actualizar_cumplimiento_auditorias_vigencia; Función control_interno.fn_configurar_actividad_auditorias_plan; Vista control_interno.v_estado_vinculacion_auditorias — control_interno.fn_actualizar_cumplimiento_auditorias_vigencia: INNER JOIN control_interno.plan_anual_5_roles p ON r.plan_id = p.id | control_interno.fn_configurar_actividad_auditorias_plan: WHERE r.plan_id = p_plan_id</t>
        </is>
      </c>
      <c r="O1333" s="18" t="inlineStr">
        <is>
          <t>idx_actividad_plan_5</t>
        </is>
      </c>
      <c r="P1333" s="18" t="inlineStr">
        <is>
          <t>Mapeada en internal-institutional-control-service/src/esap/plan-anual-5-roles/entities/actividad-plan-anual-5.entity.ts:29 (ActividadPlanAnual5.planId)</t>
        </is>
      </c>
      <c r="Q1333" s="18" t="inlineStr">
        <is>
          <t>Propuesta semántica</t>
        </is>
      </c>
      <c r="R1333" s="18" t="inlineStr">
        <is>
          <t>Identificador del rol del plan anual al que pertenece la actividad (control_interno.plan_anual_5_roles).</t>
        </is>
      </c>
      <c r="S1333" s="18" t="inlineStr">
        <is>
          <t>Alta</t>
        </is>
      </c>
      <c r="T1333" s="18" t="inlineStr">
        <is>
          <t>uso en las funciones fn_actualizar_cumplimiento_auditorias_vigencia y fn_configurar_actividad_auditorias_plan ~</t>
        </is>
      </c>
      <c r="U1333" s="18" t="inlineStr"/>
      <c r="V1333" s="19" t="inlineStr">
        <is>
          <t>Aprobada</t>
        </is>
      </c>
      <c r="W1333" s="19" t="inlineStr"/>
      <c r="X1333" s="19" t="inlineStr">
        <is>
          <t>Aldair González (aprobación en bloque)</t>
        </is>
      </c>
      <c r="Y1333" s="20" t="n">
        <v>46321</v>
      </c>
      <c r="Z1333" s="19" t="inlineStr">
        <is>
          <t>Nivel 1: propuesta del comentario del desarrollador o de confianza alta, o regla de fecha/responsable/motivo.</t>
        </is>
      </c>
      <c r="AA1333" s="18">
        <f>IF(OR(V1333="Aprobada"),R1333,IF(AND(OR(V1333="Aprobada con ajuste",V1333="Rechazada"),W1333&lt;&gt;""),W1333,""))</f>
        <v/>
      </c>
    </row>
    <row r="1334">
      <c r="A1334" s="18" t="inlineStr">
        <is>
          <t>C1333</t>
        </is>
      </c>
      <c r="B1334" s="18" t="inlineStr">
        <is>
          <t>Control interno</t>
        </is>
      </c>
      <c r="C1334" s="18" t="inlineStr">
        <is>
          <t>control_interno</t>
        </is>
      </c>
      <c r="D1334" s="18" t="inlineStr">
        <is>
          <t>actividad_plan_anual_5</t>
        </is>
      </c>
      <c r="E1334" s="18" t="n">
        <v>1604</v>
      </c>
      <c r="F1334" s="18" t="inlineStr">
        <is>
          <t>nombre</t>
        </is>
      </c>
      <c r="G1334" s="18" t="inlineStr">
        <is>
          <t>character varying(500)</t>
        </is>
      </c>
      <c r="H1334" s="18" t="inlineStr">
        <is>
          <t>No</t>
        </is>
      </c>
      <c r="I1334" s="18" t="inlineStr"/>
      <c r="J1334" s="18" t="inlineStr"/>
      <c r="K1334" s="18" t="inlineStr"/>
      <c r="L1334" s="18" t="inlineStr">
        <is>
          <t>No</t>
        </is>
      </c>
      <c r="M1334" s="18" t="inlineStr">
        <is>
          <t>Sí</t>
        </is>
      </c>
      <c r="N1334" s="18" t="inlineStr">
        <is>
          <t>Función control_interno.fn_configurar_actividad_auditorias_plan; Vista control_interno.v_estado_vinculacion_auditorias — control_interno.fn_configurar_actividad_auditorias_plan: LOWER(a.nombre) LIKE '%auditoría%'</t>
        </is>
      </c>
      <c r="O1334" s="18" t="inlineStr"/>
      <c r="P1334" s="18" t="inlineStr">
        <is>
          <t>Mapeada en internal-institutional-control-service/src/esap/plan-anual-5-roles/entities/actividad-plan-anual-5.entity.ts:37 (ActividadPlanAnual5.nombre) | Validación: IsNotEmpty, IsNotEmpty({ message: 'El nombre del documento es obligatorio' }), IsOptional, IsString, Length(1, 500), MaxLength(120)</t>
        </is>
      </c>
      <c r="Q1334" s="18" t="inlineStr">
        <is>
          <t>Regla estructural (redacción revisada)</t>
        </is>
      </c>
      <c r="R1334" s="18" t="inlineStr">
        <is>
          <t>Nombre de la actividad del plan anual.</t>
        </is>
      </c>
      <c r="S1334" s="18" t="inlineStr">
        <is>
          <t>Alta</t>
        </is>
      </c>
      <c r="T1334" s="18" t="inlineStr">
        <is>
          <t>Convención de nombre, redactada con el contexto de la tabla y el código.</t>
        </is>
      </c>
      <c r="U1334" s="18" t="inlineStr"/>
      <c r="V1334" s="19" t="inlineStr">
        <is>
          <t>Aprobada</t>
        </is>
      </c>
      <c r="W1334" s="19" t="inlineStr"/>
      <c r="X1334" s="19" t="inlineStr">
        <is>
          <t>Aldair González (aprobación en bloque)</t>
        </is>
      </c>
      <c r="Y1334" s="20" t="n">
        <v>46321</v>
      </c>
      <c r="Z1334" s="19" t="inlineStr">
        <is>
          <t>Nivel 2: regla estructural con redacción revisada.</t>
        </is>
      </c>
      <c r="AA1334" s="18">
        <f>IF(OR(V1334="Aprobada"),R1334,IF(AND(OR(V1334="Aprobada con ajuste",V1334="Rechazada"),W1334&lt;&gt;""),W1334,""))</f>
        <v/>
      </c>
    </row>
    <row r="1335">
      <c r="A1335" s="18" t="inlineStr">
        <is>
          <t>C1334</t>
        </is>
      </c>
      <c r="B1335" s="18" t="inlineStr">
        <is>
          <t>Control interno</t>
        </is>
      </c>
      <c r="C1335" s="18" t="inlineStr">
        <is>
          <t>control_interno</t>
        </is>
      </c>
      <c r="D1335" s="18" t="inlineStr">
        <is>
          <t>actividad_plan_anual_5</t>
        </is>
      </c>
      <c r="E1335" s="18" t="n">
        <v>1604</v>
      </c>
      <c r="F1335" s="18" t="inlineStr">
        <is>
          <t>descripcion</t>
        </is>
      </c>
      <c r="G1335" s="18" t="inlineStr">
        <is>
          <t>text</t>
        </is>
      </c>
      <c r="H1335" s="18" t="inlineStr">
        <is>
          <t>Sí</t>
        </is>
      </c>
      <c r="I1335" s="18" t="inlineStr"/>
      <c r="J1335" s="18" t="inlineStr"/>
      <c r="K1335" s="18" t="inlineStr"/>
      <c r="L1335" s="18" t="inlineStr">
        <is>
          <t>No</t>
        </is>
      </c>
      <c r="M1335" s="18" t="inlineStr">
        <is>
          <t>No</t>
        </is>
      </c>
      <c r="N1335" s="18" t="inlineStr"/>
      <c r="O1335" s="18" t="inlineStr"/>
      <c r="P1335" s="18" t="inlineStr">
        <is>
          <t>Mapeada en internal-institutional-control-service/src/esap/plan-anual-5-roles/entities/actividad-plan-anual-5.entity.ts:40 (ActividadPlanAnual5.descripcion) | Validación: IsNotEmpty, IsOptional, IsString</t>
        </is>
      </c>
      <c r="Q1335" s="18" t="inlineStr">
        <is>
          <t>Regla estructural (redacción revisada)</t>
        </is>
      </c>
      <c r="R1335" s="18" t="inlineStr">
        <is>
          <t>Descripción de la actividad del plan anual.</t>
        </is>
      </c>
      <c r="S1335" s="18" t="inlineStr">
        <is>
          <t>Alta</t>
        </is>
      </c>
      <c r="T1335" s="18" t="inlineStr">
        <is>
          <t>Convención de nombre, redactada con el contexto de la tabla y el código.</t>
        </is>
      </c>
      <c r="U1335" s="18" t="inlineStr"/>
      <c r="V1335" s="19" t="inlineStr">
        <is>
          <t>Aprobada</t>
        </is>
      </c>
      <c r="W1335" s="19" t="inlineStr"/>
      <c r="X1335" s="19" t="inlineStr">
        <is>
          <t>Aldair González (aprobación en bloque)</t>
        </is>
      </c>
      <c r="Y1335" s="20" t="n">
        <v>46321</v>
      </c>
      <c r="Z1335" s="19" t="inlineStr">
        <is>
          <t>Nivel 2: regla estructural con redacción revisada.</t>
        </is>
      </c>
      <c r="AA1335" s="18">
        <f>IF(OR(V1335="Aprobada"),R1335,IF(AND(OR(V1335="Aprobada con ajuste",V1335="Rechazada"),W1335&lt;&gt;""),W1335,""))</f>
        <v/>
      </c>
    </row>
    <row r="1336">
      <c r="A1336" s="18" t="inlineStr">
        <is>
          <t>C1335</t>
        </is>
      </c>
      <c r="B1336" s="18" t="inlineStr">
        <is>
          <t>Control interno</t>
        </is>
      </c>
      <c r="C1336" s="18" t="inlineStr">
        <is>
          <t>control_interno</t>
        </is>
      </c>
      <c r="D1336" s="18" t="inlineStr">
        <is>
          <t>actividad_plan_anual_5</t>
        </is>
      </c>
      <c r="E1336" s="18" t="n">
        <v>1604</v>
      </c>
      <c r="F1336" s="18" t="inlineStr">
        <is>
          <t>responsable</t>
        </is>
      </c>
      <c r="G1336" s="18" t="inlineStr">
        <is>
          <t>character varying(255)</t>
        </is>
      </c>
      <c r="H1336" s="18" t="inlineStr">
        <is>
          <t>No</t>
        </is>
      </c>
      <c r="I1336" s="18" t="inlineStr"/>
      <c r="J1336" s="18" t="inlineStr"/>
      <c r="K1336" s="18" t="inlineStr"/>
      <c r="L1336" s="18" t="inlineStr">
        <is>
          <t>No</t>
        </is>
      </c>
      <c r="M1336" s="18" t="inlineStr">
        <is>
          <t>No</t>
        </is>
      </c>
      <c r="N1336" s="18" t="inlineStr"/>
      <c r="O1336" s="18" t="inlineStr"/>
      <c r="P1336" s="18" t="inlineStr">
        <is>
          <t>Mapeada en internal-institutional-control-service/src/esap/plan-anual-5-roles/entities/actividad-plan-anual-5.entity.ts:43 (ActividadPlanAnual5.responsable) | Validación: IsNotEmpty, IsOptional, IsString, Length(1, 255)</t>
        </is>
      </c>
      <c r="Q1336" s="18" t="inlineStr">
        <is>
          <t>Propuesta semántica</t>
        </is>
      </c>
      <c r="R1336" s="18" t="inlineStr">
        <is>
          <t>Nombre del responsable de la actividad del plan anual (texto de 1 a 255 caracteres).</t>
        </is>
      </c>
      <c r="S1336" s="18" t="inlineStr">
        <is>
          <t>Alta</t>
        </is>
      </c>
      <c r="T1336" s="18" t="inlineStr">
        <is>
          <t>nombre + validaciones ~</t>
        </is>
      </c>
      <c r="U1336" s="18" t="inlineStr"/>
      <c r="V1336" s="19" t="inlineStr">
        <is>
          <t>Aprobada</t>
        </is>
      </c>
      <c r="W1336" s="19" t="inlineStr"/>
      <c r="X1336" s="19" t="inlineStr">
        <is>
          <t>Aldair González (aprobación en bloque)</t>
        </is>
      </c>
      <c r="Y1336" s="20" t="n">
        <v>46321</v>
      </c>
      <c r="Z1336" s="19" t="inlineStr">
        <is>
          <t>Nivel 1: propuesta del comentario del desarrollador o de confianza alta, o regla de fecha/responsable/motivo.</t>
        </is>
      </c>
      <c r="AA1336" s="18">
        <f>IF(OR(V1336="Aprobada"),R1336,IF(AND(OR(V1336="Aprobada con ajuste",V1336="Rechazada"),W1336&lt;&gt;""),W1336,""))</f>
        <v/>
      </c>
    </row>
    <row r="1337">
      <c r="A1337" s="18" t="inlineStr">
        <is>
          <t>C1336</t>
        </is>
      </c>
      <c r="B1337" s="18" t="inlineStr">
        <is>
          <t>Control interno</t>
        </is>
      </c>
      <c r="C1337" s="18" t="inlineStr">
        <is>
          <t>control_interno</t>
        </is>
      </c>
      <c r="D1337" s="18" t="inlineStr">
        <is>
          <t>actividad_plan_anual_5</t>
        </is>
      </c>
      <c r="E1337" s="18" t="n">
        <v>1604</v>
      </c>
      <c r="F1337" s="18" t="inlineStr">
        <is>
          <t>fecha_inicio</t>
        </is>
      </c>
      <c r="G1337" s="18" t="inlineStr">
        <is>
          <t>date</t>
        </is>
      </c>
      <c r="H1337" s="18" t="inlineStr">
        <is>
          <t>No</t>
        </is>
      </c>
      <c r="I1337" s="18" t="inlineStr"/>
      <c r="J1337" s="18" t="inlineStr"/>
      <c r="K1337" s="18" t="inlineStr"/>
      <c r="L1337" s="18" t="inlineStr">
        <is>
          <t>No</t>
        </is>
      </c>
      <c r="M1337" s="18" t="inlineStr">
        <is>
          <t>Sí</t>
        </is>
      </c>
      <c r="N1337" s="18" t="inlineStr">
        <is>
          <t>Vista control_interno.v_estado_vinculacion_auditorias</t>
        </is>
      </c>
      <c r="O1337" s="18" t="inlineStr"/>
      <c r="P1337" s="18" t="inlineStr">
        <is>
          <t>Mapeada en internal-institutional-control-service/src/esap/plan-anual-5-roles/entities/actividad-plan-anual-5.entity.ts:46 (ActividadPlanAnual5.fecha_inicio) | Validación: IsDateString, IsNotEmpty, IsOptional</t>
        </is>
      </c>
      <c r="Q1337" s="18" t="inlineStr">
        <is>
          <t>Regla estructural (redacción revisada)</t>
        </is>
      </c>
      <c r="R1337" s="18" t="inlineStr">
        <is>
          <t>Fecha de inicio de la actividad del plan anual.</t>
        </is>
      </c>
      <c r="S1337" s="18" t="inlineStr">
        <is>
          <t>Alta</t>
        </is>
      </c>
      <c r="T1337" s="18" t="inlineStr">
        <is>
          <t>Convención de nombre, redactada con el contexto de la tabla y el código.</t>
        </is>
      </c>
      <c r="U1337" s="18" t="inlineStr"/>
      <c r="V1337" s="19" t="inlineStr">
        <is>
          <t>Aprobada</t>
        </is>
      </c>
      <c r="W1337" s="19" t="inlineStr"/>
      <c r="X1337" s="19" t="inlineStr">
        <is>
          <t>Aldair González (aprobación en bloque)</t>
        </is>
      </c>
      <c r="Y1337" s="20" t="n">
        <v>46321</v>
      </c>
      <c r="Z1337" s="19" t="inlineStr">
        <is>
          <t>Nivel 2: regla estructural con redacción revisada.</t>
        </is>
      </c>
      <c r="AA1337" s="18">
        <f>IF(OR(V1337="Aprobada"),R1337,IF(AND(OR(V1337="Aprobada con ajuste",V1337="Rechazada"),W1337&lt;&gt;""),W1337,""))</f>
        <v/>
      </c>
    </row>
    <row r="1338">
      <c r="A1338" s="18" t="inlineStr">
        <is>
          <t>C1337</t>
        </is>
      </c>
      <c r="B1338" s="18" t="inlineStr">
        <is>
          <t>Control interno</t>
        </is>
      </c>
      <c r="C1338" s="18" t="inlineStr">
        <is>
          <t>control_interno</t>
        </is>
      </c>
      <c r="D1338" s="18" t="inlineStr">
        <is>
          <t>actividad_plan_anual_5</t>
        </is>
      </c>
      <c r="E1338" s="18" t="n">
        <v>1604</v>
      </c>
      <c r="F1338" s="18" t="inlineStr">
        <is>
          <t>fecha_fin</t>
        </is>
      </c>
      <c r="G1338" s="18" t="inlineStr">
        <is>
          <t>date</t>
        </is>
      </c>
      <c r="H1338" s="18" t="inlineStr">
        <is>
          <t>No</t>
        </is>
      </c>
      <c r="I1338" s="18" t="inlineStr"/>
      <c r="J1338" s="18" t="inlineStr"/>
      <c r="K1338" s="18" t="inlineStr"/>
      <c r="L1338" s="18" t="inlineStr">
        <is>
          <t>No</t>
        </is>
      </c>
      <c r="M1338" s="18" t="inlineStr">
        <is>
          <t>No</t>
        </is>
      </c>
      <c r="N1338" s="18" t="inlineStr"/>
      <c r="O1338" s="18" t="inlineStr"/>
      <c r="P1338" s="18" t="inlineStr">
        <is>
          <t>Mapeada en internal-institutional-control-service/src/esap/plan-anual-5-roles/entities/actividad-plan-anual-5.entity.ts:49 (ActividadPlanAnual5.fecha_fin) | Validación: IsDateString, IsNotEmpty, IsOptional</t>
        </is>
      </c>
      <c r="Q1338" s="18" t="inlineStr">
        <is>
          <t>Regla estructural (redacción revisada)</t>
        </is>
      </c>
      <c r="R1338" s="18" t="inlineStr">
        <is>
          <t>Fecha de finalización de la actividad del plan anual.</t>
        </is>
      </c>
      <c r="S1338" s="18" t="inlineStr">
        <is>
          <t>Alta</t>
        </is>
      </c>
      <c r="T1338" s="18" t="inlineStr">
        <is>
          <t>Convención de nombre, redactada con el contexto de la tabla y el código.</t>
        </is>
      </c>
      <c r="U1338" s="18" t="inlineStr"/>
      <c r="V1338" s="19" t="inlineStr">
        <is>
          <t>Aprobada</t>
        </is>
      </c>
      <c r="W1338" s="19" t="inlineStr"/>
      <c r="X1338" s="19" t="inlineStr">
        <is>
          <t>Aldair González (aprobación en bloque)</t>
        </is>
      </c>
      <c r="Y1338" s="20" t="n">
        <v>46321</v>
      </c>
      <c r="Z1338" s="19" t="inlineStr">
        <is>
          <t>Nivel 2: regla estructural con redacción revisada.</t>
        </is>
      </c>
      <c r="AA1338" s="18">
        <f>IF(OR(V1338="Aprobada"),R1338,IF(AND(OR(V1338="Aprobada con ajuste",V1338="Rechazada"),W1338&lt;&gt;""),W1338,""))</f>
        <v/>
      </c>
    </row>
    <row r="1339">
      <c r="A1339" s="18" t="inlineStr">
        <is>
          <t>C1338</t>
        </is>
      </c>
      <c r="B1339" s="18" t="inlineStr">
        <is>
          <t>Control interno</t>
        </is>
      </c>
      <c r="C1339" s="18" t="inlineStr">
        <is>
          <t>control_interno</t>
        </is>
      </c>
      <c r="D1339" s="18" t="inlineStr">
        <is>
          <t>actividad_plan_anual_5</t>
        </is>
      </c>
      <c r="E1339" s="18" t="n">
        <v>1604</v>
      </c>
      <c r="F1339" s="18" t="inlineStr">
        <is>
          <t>estado</t>
        </is>
      </c>
      <c r="G1339" s="18" t="inlineStr">
        <is>
          <t>character varying(50)</t>
        </is>
      </c>
      <c r="H1339" s="18" t="inlineStr">
        <is>
          <t>No</t>
        </is>
      </c>
      <c r="I1339" s="18" t="inlineStr">
        <is>
          <t>CHECK</t>
        </is>
      </c>
      <c r="J1339" s="18" t="inlineStr">
        <is>
          <t>completada, en-progreso, pendiente, retrasada</t>
        </is>
      </c>
      <c r="K1339" s="18" t="inlineStr"/>
      <c r="L1339" s="18" t="inlineStr">
        <is>
          <t>Sí</t>
        </is>
      </c>
      <c r="M1339" s="18" t="inlineStr">
        <is>
          <t>Sí</t>
        </is>
      </c>
      <c r="N1339" s="18" t="inlineStr">
        <is>
          <t>Función control_interno.fn_actualizar_cumplimiento_auditorias_vigencia — control_interno.fn_actualizar_cumplimiento_auditorias_vigencia: estado = CASE</t>
        </is>
      </c>
      <c r="O1339" s="18" t="inlineStr">
        <is>
          <t>idx_actividad_estado_5</t>
        </is>
      </c>
      <c r="P1339" s="18" t="inlineStr">
        <is>
          <t>Mapeada en internal-institutional-control-service/src/esap/plan-anual-5-roles/entities/actividad-plan-anual-5.entity.ts:52 (ActividadPlanAnual5.estado) | Validación: IsEnum(AccionCorrectivaEstado), IsEnum(EstadoEtapa), IsEnum(EstadoPlanIndividual), IsEnum(EstadoTarea), IsEnum(HallazgoEstado), IsEnum(PlanMejoramientoEstado)</t>
        </is>
      </c>
      <c r="Q1339" s="18" t="inlineStr">
        <is>
          <t>Regla estructural (redacción revisada)</t>
        </is>
      </c>
      <c r="R1339" s="18" t="inlineStr">
        <is>
          <t>Estado de la actividad del plan anual (completada, en-progreso, pendiente o retrasada).</t>
        </is>
      </c>
      <c r="S1339" s="18" t="inlineStr">
        <is>
          <t>Alta</t>
        </is>
      </c>
      <c r="T1339" s="18" t="inlineStr">
        <is>
          <t>Convención de nombre, redactada con el contexto de la tabla y el código.</t>
        </is>
      </c>
      <c r="U1339" s="18" t="inlineStr"/>
      <c r="V1339" s="19" t="inlineStr">
        <is>
          <t>Aprobada</t>
        </is>
      </c>
      <c r="W1339" s="19" t="inlineStr"/>
      <c r="X1339" s="19" t="inlineStr">
        <is>
          <t>Aldair González (aprobación en bloque)</t>
        </is>
      </c>
      <c r="Y1339" s="20" t="n">
        <v>46321</v>
      </c>
      <c r="Z1339" s="19" t="inlineStr">
        <is>
          <t>Nivel 2: regla estructural con redacción revisada.</t>
        </is>
      </c>
      <c r="AA1339" s="18">
        <f>IF(OR(V1339="Aprobada"),R1339,IF(AND(OR(V1339="Aprobada con ajuste",V1339="Rechazada"),W1339&lt;&gt;""),W1339,""))</f>
        <v/>
      </c>
    </row>
    <row r="1340">
      <c r="A1340" s="18" t="inlineStr">
        <is>
          <t>C1339</t>
        </is>
      </c>
      <c r="B1340" s="18" t="inlineStr">
        <is>
          <t>Control interno</t>
        </is>
      </c>
      <c r="C1340" s="18" t="inlineStr">
        <is>
          <t>control_interno</t>
        </is>
      </c>
      <c r="D1340" s="18" t="inlineStr">
        <is>
          <t>actividad_plan_anual_5</t>
        </is>
      </c>
      <c r="E1340" s="18" t="n">
        <v>1604</v>
      </c>
      <c r="F1340" s="18" t="inlineStr">
        <is>
          <t>porcentaje_avance</t>
        </is>
      </c>
      <c r="G1340" s="18" t="inlineStr">
        <is>
          <t>integer</t>
        </is>
      </c>
      <c r="H1340" s="18" t="inlineStr">
        <is>
          <t>Sí</t>
        </is>
      </c>
      <c r="I1340" s="18" t="inlineStr">
        <is>
          <t>CHECK</t>
        </is>
      </c>
      <c r="J1340" s="18" t="inlineStr"/>
      <c r="K1340" s="18" t="inlineStr"/>
      <c r="L1340" s="18" t="inlineStr">
        <is>
          <t>No</t>
        </is>
      </c>
      <c r="M1340" s="18" t="inlineStr">
        <is>
          <t>Sí</t>
        </is>
      </c>
      <c r="N1340" s="18" t="inlineStr">
        <is>
          <t>Función control_interno.fn_actualizar_cumplimiento_auditorias_vigencia; Vista control_interno.v_estado_vinculacion_auditorias — control_interno.fn_actualizar_cumplimiento_auditorias_vigencia: porcentaje_avance = v_cumplimiento.porcentaje_cumplimiento,</t>
        </is>
      </c>
      <c r="O1340" s="18" t="inlineStr"/>
      <c r="P1340" s="18" t="inlineStr">
        <is>
          <t>Mapeada en internal-institutional-control-service/src/esap/plan-anual-5-roles/entities/actividad-plan-anual-5.entity.ts:60 (ActividadPlanAnual5.porcentaje_avance) | Validación: IsInt, IsOptional, Max(100), Min(0)</t>
        </is>
      </c>
      <c r="Q1340" s="18" t="inlineStr">
        <is>
          <t>Propuesta semántica</t>
        </is>
      </c>
      <c r="R1340" s="18" t="inlineStr">
        <is>
          <t>Porcentaje de avance de la actividad, de 0 a 100; en actividades de auditoría lo actualiza el cálculo de cumplimiento de la vigencia.</t>
        </is>
      </c>
      <c r="S1340" s="18" t="inlineStr">
        <is>
          <t>Alta</t>
        </is>
      </c>
      <c r="T1340" s="18" t="inlineStr">
        <is>
          <t>uso en la función fn_actualizar_cumplimiento_auditorias_vigencia + validaciones Min(0), Max(100) ~</t>
        </is>
      </c>
      <c r="U1340" s="18" t="inlineStr"/>
      <c r="V1340" s="19" t="inlineStr">
        <is>
          <t>Aprobada</t>
        </is>
      </c>
      <c r="W1340" s="19" t="inlineStr"/>
      <c r="X1340" s="19" t="inlineStr">
        <is>
          <t>Aldair González (aprobación en bloque)</t>
        </is>
      </c>
      <c r="Y1340" s="20" t="n">
        <v>46321</v>
      </c>
      <c r="Z1340" s="19" t="inlineStr">
        <is>
          <t>Nivel 1: propuesta del comentario del desarrollador o de confianza alta, o regla de fecha/responsable/motivo.</t>
        </is>
      </c>
      <c r="AA1340" s="18">
        <f>IF(OR(V1340="Aprobada"),R1340,IF(AND(OR(V1340="Aprobada con ajuste",V1340="Rechazada"),W1340&lt;&gt;""),W1340,""))</f>
        <v/>
      </c>
    </row>
    <row r="1341">
      <c r="A1341" s="18" t="inlineStr">
        <is>
          <t>C1340</t>
        </is>
      </c>
      <c r="B1341" s="18" t="inlineStr">
        <is>
          <t>Control interno</t>
        </is>
      </c>
      <c r="C1341" s="18" t="inlineStr">
        <is>
          <t>control_interno</t>
        </is>
      </c>
      <c r="D1341" s="18" t="inlineStr">
        <is>
          <t>actividad_plan_anual_5</t>
        </is>
      </c>
      <c r="E1341" s="18" t="n">
        <v>1604</v>
      </c>
      <c r="F1341" s="18" t="inlineStr">
        <is>
          <t>observaciones</t>
        </is>
      </c>
      <c r="G1341" s="18" t="inlineStr">
        <is>
          <t>text</t>
        </is>
      </c>
      <c r="H1341" s="18" t="inlineStr">
        <is>
          <t>Sí</t>
        </is>
      </c>
      <c r="I1341" s="18" t="inlineStr"/>
      <c r="J1341" s="18" t="inlineStr"/>
      <c r="K1341" s="18" t="inlineStr"/>
      <c r="L1341" s="18" t="inlineStr">
        <is>
          <t>No</t>
        </is>
      </c>
      <c r="M1341" s="18" t="inlineStr">
        <is>
          <t>No</t>
        </is>
      </c>
      <c r="N1341" s="18" t="inlineStr"/>
      <c r="O1341" s="18" t="inlineStr"/>
      <c r="P1341" s="18" t="inlineStr">
        <is>
          <t>Mapeada en internal-institutional-control-service/src/esap/plan-anual-5-roles/entities/actividad-plan-anual-5.entity.ts:63 (ActividadPlanAnual5.observaciones) | Validación: IsOptional, IsString</t>
        </is>
      </c>
      <c r="Q1341" s="18" t="inlineStr">
        <is>
          <t>Regla estructural (redacción revisada)</t>
        </is>
      </c>
      <c r="R1341" s="18" t="inlineStr">
        <is>
          <t>Observaciones sobre la actividad del plan anual.</t>
        </is>
      </c>
      <c r="S1341" s="18" t="inlineStr">
        <is>
          <t>Alta</t>
        </is>
      </c>
      <c r="T1341" s="18" t="inlineStr">
        <is>
          <t>Convención de nombre, redactada con el contexto de la tabla y el código.</t>
        </is>
      </c>
      <c r="U1341" s="18" t="inlineStr"/>
      <c r="V1341" s="19" t="inlineStr">
        <is>
          <t>Aprobada</t>
        </is>
      </c>
      <c r="W1341" s="19" t="inlineStr"/>
      <c r="X1341" s="19" t="inlineStr">
        <is>
          <t>Aldair González (aprobación en bloque)</t>
        </is>
      </c>
      <c r="Y1341" s="20" t="n">
        <v>46321</v>
      </c>
      <c r="Z1341" s="19" t="inlineStr">
        <is>
          <t>Nivel 2: regla estructural con redacción revisada.</t>
        </is>
      </c>
      <c r="AA1341" s="18">
        <f>IF(OR(V1341="Aprobada"),R1341,IF(AND(OR(V1341="Aprobada con ajuste",V1341="Rechazada"),W1341&lt;&gt;""),W1341,""))</f>
        <v/>
      </c>
    </row>
    <row r="1342">
      <c r="A1342" s="18" t="inlineStr">
        <is>
          <t>C1341</t>
        </is>
      </c>
      <c r="B1342" s="18" t="inlineStr">
        <is>
          <t>Control interno</t>
        </is>
      </c>
      <c r="C1342" s="18" t="inlineStr">
        <is>
          <t>control_interno</t>
        </is>
      </c>
      <c r="D1342" s="18" t="inlineStr">
        <is>
          <t>actividad_plan_anual_5</t>
        </is>
      </c>
      <c r="E1342" s="18" t="n">
        <v>1604</v>
      </c>
      <c r="F1342" s="18" t="inlineStr">
        <is>
          <t>prioridad</t>
        </is>
      </c>
      <c r="G1342" s="18" t="inlineStr">
        <is>
          <t>character varying(20)</t>
        </is>
      </c>
      <c r="H1342" s="18" t="inlineStr">
        <is>
          <t>No</t>
        </is>
      </c>
      <c r="I1342" s="18" t="inlineStr">
        <is>
          <t>CHECK</t>
        </is>
      </c>
      <c r="J1342" s="18" t="inlineStr">
        <is>
          <t>Alta, Baja, Media</t>
        </is>
      </c>
      <c r="K1342" s="18" t="inlineStr"/>
      <c r="L1342" s="18" t="inlineStr">
        <is>
          <t>Sí</t>
        </is>
      </c>
      <c r="M1342" s="18" t="inlineStr">
        <is>
          <t>No</t>
        </is>
      </c>
      <c r="N1342" s="18" t="inlineStr"/>
      <c r="O1342" s="18" t="inlineStr"/>
      <c r="P1342" s="18" t="inlineStr">
        <is>
          <t>Mapeada en internal-institutional-control-service/src/esap/plan-anual-5-roles/entities/actividad-plan-anual-5.entity.ts:66 (ActividadPlanAnual5.prioridad) | Validación: IsEnum(PrioridadAuditoria), IsEnum(PrioridadAuditoriaProgramada), IsEnum(PrioridadNotificacion), IsEnum(PrioridadTarea), IsEnum(['Alta', 'Media', 'Baja']), IsInt</t>
        </is>
      </c>
      <c r="Q1342" s="18" t="inlineStr">
        <is>
          <t>Propuesta semántica</t>
        </is>
      </c>
      <c r="R1342" s="18" t="inlineStr">
        <is>
          <t>Prioridad de la actividad. Valores permitidos: Alta, Media, Baja; por defecto Media.</t>
        </is>
      </c>
      <c r="S1342" s="18" t="inlineStr">
        <is>
          <t>Alta</t>
        </is>
      </c>
      <c r="T1342" s="18" t="inlineStr">
        <is>
          <t>valores permitidos del CHECK + defecto ~</t>
        </is>
      </c>
      <c r="U1342" s="18" t="inlineStr"/>
      <c r="V1342" s="19" t="inlineStr">
        <is>
          <t>Aprobada</t>
        </is>
      </c>
      <c r="W1342" s="19" t="inlineStr"/>
      <c r="X1342" s="19" t="inlineStr">
        <is>
          <t>Aldair González (aprobación en bloque)</t>
        </is>
      </c>
      <c r="Y1342" s="20" t="n">
        <v>46321</v>
      </c>
      <c r="Z1342" s="19" t="inlineStr">
        <is>
          <t>Nivel 1: propuesta del comentario del desarrollador o de confianza alta, o regla de fecha/responsable/motivo.</t>
        </is>
      </c>
      <c r="AA1342" s="18">
        <f>IF(OR(V1342="Aprobada"),R1342,IF(AND(OR(V1342="Aprobada con ajuste",V1342="Rechazada"),W1342&lt;&gt;""),W1342,""))</f>
        <v/>
      </c>
    </row>
    <row r="1343">
      <c r="A1343" s="18" t="inlineStr">
        <is>
          <t>C1342</t>
        </is>
      </c>
      <c r="B1343" s="18" t="inlineStr">
        <is>
          <t>Control interno</t>
        </is>
      </c>
      <c r="C1343" s="18" t="inlineStr">
        <is>
          <t>control_interno</t>
        </is>
      </c>
      <c r="D1343" s="18" t="inlineStr">
        <is>
          <t>actividad_plan_anual_5</t>
        </is>
      </c>
      <c r="E1343" s="18" t="n">
        <v>1604</v>
      </c>
      <c r="F1343" s="18" t="inlineStr">
        <is>
          <t>activo</t>
        </is>
      </c>
      <c r="G1343" s="18" t="inlineStr">
        <is>
          <t>boolean</t>
        </is>
      </c>
      <c r="H1343" s="18" t="inlineStr">
        <is>
          <t>Sí</t>
        </is>
      </c>
      <c r="I1343" s="18" t="inlineStr"/>
      <c r="J1343" s="18" t="inlineStr"/>
      <c r="K1343" s="18" t="inlineStr"/>
      <c r="L1343" s="18" t="inlineStr">
        <is>
          <t>No</t>
        </is>
      </c>
      <c r="M1343" s="18" t="inlineStr">
        <is>
          <t>No</t>
        </is>
      </c>
      <c r="N1343" s="18" t="inlineStr"/>
      <c r="O1343" s="18" t="inlineStr">
        <is>
          <t>idx_actividad_plan_anual_5_activo</t>
        </is>
      </c>
      <c r="P1343" s="18" t="inlineStr">
        <is>
          <t>internal-institutional-control-service/src/esap/plan-anual-5-roles/entities/actividad-plan-anual-5.entity.ts:201: ═══════════════════════════════════════════════════════════════════════════ NUEVOS CAMPOS - Migración 129 ═══════════════════════════════════════════════════════════════════════════ | Validación: IsBoolean, IsOptional</t>
        </is>
      </c>
      <c r="Q1343" s="18" t="inlineStr">
        <is>
          <t>Código fuente</t>
        </is>
      </c>
      <c r="R1343" s="18" t="inlineStr">
        <is>
          <t>Indica si la actividad del plan anual está activa. Por defecto verdadero.</t>
        </is>
      </c>
      <c r="S1343" s="18" t="inlineStr">
        <is>
          <t>Alta</t>
        </is>
      </c>
      <c r="T1343" s="18" t="inlineStr">
        <is>
          <t>nombre + tipo + propuesta por regla</t>
        </is>
      </c>
      <c r="U1343" s="18" t="inlineStr"/>
      <c r="V1343" s="19" t="inlineStr">
        <is>
          <t>Aprobada</t>
        </is>
      </c>
      <c r="W1343" s="19" t="inlineStr"/>
      <c r="X1343" s="19" t="inlineStr">
        <is>
          <t>Aldair González (aprobación en bloque)</t>
        </is>
      </c>
      <c r="Y1343" s="20" t="n">
        <v>46321</v>
      </c>
      <c r="Z1343" s="19" t="inlineStr">
        <is>
          <t>Nivel 1: propuesta del comentario del desarrollador o de confianza alta, o regla de fecha/responsable/motivo.</t>
        </is>
      </c>
      <c r="AA1343" s="18">
        <f>IF(OR(V1343="Aprobada"),R1343,IF(AND(OR(V1343="Aprobada con ajuste",V1343="Rechazada"),W1343&lt;&gt;""),W1343,""))</f>
        <v/>
      </c>
    </row>
    <row r="1344">
      <c r="A1344" s="18" t="inlineStr">
        <is>
          <t>C1343</t>
        </is>
      </c>
      <c r="B1344" s="18" t="inlineStr">
        <is>
          <t>Control interno</t>
        </is>
      </c>
      <c r="C1344" s="18" t="inlineStr">
        <is>
          <t>control_interno</t>
        </is>
      </c>
      <c r="D1344" s="18" t="inlineStr">
        <is>
          <t>actividad_plan_anual_5</t>
        </is>
      </c>
      <c r="E1344" s="18" t="n">
        <v>1604</v>
      </c>
      <c r="F1344" s="18" t="inlineStr">
        <is>
          <t>total_auditorias_programadas</t>
        </is>
      </c>
      <c r="G1344" s="18" t="inlineStr">
        <is>
          <t>integer</t>
        </is>
      </c>
      <c r="H1344" s="18" t="inlineStr">
        <is>
          <t>Sí</t>
        </is>
      </c>
      <c r="I1344" s="18" t="inlineStr"/>
      <c r="J1344" s="18" t="inlineStr"/>
      <c r="K1344" s="18" t="inlineStr"/>
      <c r="L1344" s="18" t="inlineStr">
        <is>
          <t>No</t>
        </is>
      </c>
      <c r="M1344" s="18" t="inlineStr">
        <is>
          <t>Sí</t>
        </is>
      </c>
      <c r="N1344" s="18" t="inlineStr">
        <is>
          <t>Función control_interno.fn_actualizar_cumplimiento_auditorias_vigencia; Vista control_interno.v_estado_vinculacion_auditorias — control_interno.fn_actualizar_cumplimiento_auditorias_vigencia: total_auditorias_programadas = v_cumplimiento.total_programadas,</t>
        </is>
      </c>
      <c r="O1344" s="18" t="inlineStr"/>
      <c r="P1344" s="18" t="inlineStr">
        <is>
          <t>internal-institutional-control-service/src/esap/plan-anual-5-roles/entities/actividad-plan-anual-5.entity.ts:114: ═══════════════════════════════════════════════════════════════════════════ NUEVOS CAMPOS - Migración 129 ═══════════════════════════════════════════════════════════════════════════</t>
        </is>
      </c>
      <c r="Q1344" s="18" t="inlineStr">
        <is>
          <t>Código fuente</t>
        </is>
      </c>
      <c r="R1344" s="18" t="inlineStr">
        <is>
          <t>Total de auditorías programadas asociadas a la actividad del plan anual; lo actualiza la función fn_actualizar_cumplimiento_auditorias_vigencia. Por defecto 0.</t>
        </is>
      </c>
      <c r="S1344" s="18" t="inlineStr">
        <is>
          <t>Alta</t>
        </is>
      </c>
      <c r="T1344" s="18" t="inlineStr">
        <is>
          <t>uso en la función control_interno.fn_actualizar_cumplimiento_auditorias_vigencia</t>
        </is>
      </c>
      <c r="U1344" s="18" t="inlineStr"/>
      <c r="V1344" s="19" t="inlineStr">
        <is>
          <t>Aprobada</t>
        </is>
      </c>
      <c r="W1344" s="19" t="inlineStr"/>
      <c r="X1344" s="19" t="inlineStr">
        <is>
          <t>Aldair González (aprobación en bloque)</t>
        </is>
      </c>
      <c r="Y1344" s="20" t="n">
        <v>46321</v>
      </c>
      <c r="Z1344" s="19" t="inlineStr">
        <is>
          <t>Nivel 1: propuesta del comentario del desarrollador o de confianza alta, o regla de fecha/responsable/motivo.</t>
        </is>
      </c>
      <c r="AA1344" s="18">
        <f>IF(OR(V1344="Aprobada"),R1344,IF(AND(OR(V1344="Aprobada con ajuste",V1344="Rechazada"),W1344&lt;&gt;""),W1344,""))</f>
        <v/>
      </c>
    </row>
    <row r="1345">
      <c r="A1345" s="18" t="inlineStr">
        <is>
          <t>C1344</t>
        </is>
      </c>
      <c r="B1345" s="18" t="inlineStr">
        <is>
          <t>Control interno</t>
        </is>
      </c>
      <c r="C1345" s="18" t="inlineStr">
        <is>
          <t>control_interno</t>
        </is>
      </c>
      <c r="D1345" s="18" t="inlineStr">
        <is>
          <t>actividad_plan_anual_5</t>
        </is>
      </c>
      <c r="E1345" s="18" t="n">
        <v>1604</v>
      </c>
      <c r="F1345" s="18" t="inlineStr">
        <is>
          <t>total_auditorias_finalizadas</t>
        </is>
      </c>
      <c r="G1345" s="18" t="inlineStr">
        <is>
          <t>integer</t>
        </is>
      </c>
      <c r="H1345" s="18" t="inlineStr">
        <is>
          <t>Sí</t>
        </is>
      </c>
      <c r="I1345" s="18" t="inlineStr"/>
      <c r="J1345" s="18" t="inlineStr"/>
      <c r="K1345" s="18" t="inlineStr"/>
      <c r="L1345" s="18" t="inlineStr">
        <is>
          <t>No</t>
        </is>
      </c>
      <c r="M1345" s="18" t="inlineStr">
        <is>
          <t>Sí</t>
        </is>
      </c>
      <c r="N1345" s="18" t="inlineStr">
        <is>
          <t>Función control_interno.fn_actualizar_cumplimiento_auditorias_vigencia; Vista control_interno.v_estado_vinculacion_auditorias — control_interno.fn_actualizar_cumplimiento_auditorias_vigencia: total_auditorias_finalizadas = v_cumplimiento.total_finalizadas,</t>
        </is>
      </c>
      <c r="O1345" s="18" t="inlineStr"/>
      <c r="P1345" s="18" t="inlineStr">
        <is>
          <t>internal-institutional-control-service/src/esap/plan-anual-5-roles/entities/actividad-plan-anual-5.entity.ts:117: ═══════════════════════════════════════════════════════════════════════════ NUEVOS CAMPOS - Migración 129 ═══════════════════════════════════════════════════════════════════════════</t>
        </is>
      </c>
      <c r="Q1345" s="18" t="inlineStr">
        <is>
          <t>Código fuente</t>
        </is>
      </c>
      <c r="R1345" s="18" t="inlineStr">
        <is>
          <t>Total de auditorías finalizadas asociadas a la actividad del plan anual; lo actualiza la función fn_actualizar_cumplimiento_auditorias_vigencia. Por defecto 0.</t>
        </is>
      </c>
      <c r="S1345" s="18" t="inlineStr">
        <is>
          <t>Alta</t>
        </is>
      </c>
      <c r="T1345" s="18" t="inlineStr">
        <is>
          <t>uso en la función control_interno.fn_actualizar_cumplimiento_auditorias_vigencia</t>
        </is>
      </c>
      <c r="U1345" s="18" t="inlineStr"/>
      <c r="V1345" s="19" t="inlineStr">
        <is>
          <t>Aprobada</t>
        </is>
      </c>
      <c r="W1345" s="19" t="inlineStr"/>
      <c r="X1345" s="19" t="inlineStr">
        <is>
          <t>Aldair González (aprobación en bloque)</t>
        </is>
      </c>
      <c r="Y1345" s="20" t="n">
        <v>46321</v>
      </c>
      <c r="Z1345" s="19" t="inlineStr">
        <is>
          <t>Nivel 1: propuesta del comentario del desarrollador o de confianza alta, o regla de fecha/responsable/motivo.</t>
        </is>
      </c>
      <c r="AA1345" s="18">
        <f>IF(OR(V1345="Aprobada"),R1345,IF(AND(OR(V1345="Aprobada con ajuste",V1345="Rechazada"),W1345&lt;&gt;""),W1345,""))</f>
        <v/>
      </c>
    </row>
    <row r="1346">
      <c r="A1346" s="18" t="inlineStr">
        <is>
          <t>C1345</t>
        </is>
      </c>
      <c r="B1346" s="18" t="inlineStr">
        <is>
          <t>Control interno</t>
        </is>
      </c>
      <c r="C1346" s="18" t="inlineStr">
        <is>
          <t>control_interno</t>
        </is>
      </c>
      <c r="D1346" s="18" t="inlineStr">
        <is>
          <t>actividad_proceso_auditoria</t>
        </is>
      </c>
      <c r="E1346" s="18" t="n">
        <v>0</v>
      </c>
      <c r="F1346" s="18" t="inlineStr">
        <is>
          <t>fase</t>
        </is>
      </c>
      <c r="G1346" s="18" t="inlineStr">
        <is>
          <t>character varying(50)</t>
        </is>
      </c>
      <c r="H1346" s="18" t="inlineStr">
        <is>
          <t>No</t>
        </is>
      </c>
      <c r="I1346" s="18" t="inlineStr">
        <is>
          <t>CHECK</t>
        </is>
      </c>
      <c r="J1346" s="18" t="inlineStr">
        <is>
          <t>Comunicación, Ejecución, Planeación, Seguimiento</t>
        </is>
      </c>
      <c r="K1346" s="18" t="inlineStr"/>
      <c r="L1346" s="18" t="inlineStr">
        <is>
          <t>Sí</t>
        </is>
      </c>
      <c r="M1346" s="18" t="inlineStr">
        <is>
          <t>Sí</t>
        </is>
      </c>
      <c r="N1346" s="18" t="inlineStr">
        <is>
          <t>Función control_interno.actualizar_actividades_auditoria — control_interno.actualizar_actividades_auditoria: -- Obtener la fase actual de la auditoría</t>
        </is>
      </c>
      <c r="O1346" s="18" t="inlineStr">
        <is>
          <t>idx_actividad_fase, uq_actividad_fase_orden</t>
        </is>
      </c>
      <c r="P1346" s="18" t="inlineStr"/>
      <c r="Q1346" s="18" t="inlineStr">
        <is>
          <t>Propuesta semántica</t>
        </is>
      </c>
      <c r="R1346" s="18" t="inlineStr">
        <is>
          <t>Fase del proceso de auditoría a la que pertenece la actividad. Valores permitidos: Planeación, Comunicación, Ejecución, Seguimiento.</t>
        </is>
      </c>
      <c r="S1346" s="18" t="inlineStr">
        <is>
          <t>Alta</t>
        </is>
      </c>
      <c r="T1346" s="18" t="inlineStr">
        <is>
          <t>valores permitidos del CHECK + uso en la función actualizar_actividades_auditoria ~</t>
        </is>
      </c>
      <c r="U1346" s="18" t="inlineStr"/>
      <c r="V1346" s="19" t="inlineStr">
        <is>
          <t>Aprobada</t>
        </is>
      </c>
      <c r="W1346" s="19" t="inlineStr"/>
      <c r="X1346" s="19" t="inlineStr">
        <is>
          <t>Aldair González (aprobación en bloque)</t>
        </is>
      </c>
      <c r="Y1346" s="20" t="n">
        <v>46321</v>
      </c>
      <c r="Z1346" s="19" t="inlineStr">
        <is>
          <t>Nivel 1: propuesta del comentario del desarrollador o de confianza alta, o regla de fecha/responsable/motivo.</t>
        </is>
      </c>
      <c r="AA1346" s="18">
        <f>IF(OR(V1346="Aprobada"),R1346,IF(AND(OR(V1346="Aprobada con ajuste",V1346="Rechazada"),W1346&lt;&gt;""),W1346,""))</f>
        <v/>
      </c>
    </row>
    <row r="1347">
      <c r="A1347" s="18" t="inlineStr">
        <is>
          <t>C1346</t>
        </is>
      </c>
      <c r="B1347" s="18" t="inlineStr">
        <is>
          <t>Control interno</t>
        </is>
      </c>
      <c r="C1347" s="18" t="inlineStr">
        <is>
          <t>control_interno</t>
        </is>
      </c>
      <c r="D1347" s="18" t="inlineStr">
        <is>
          <t>actividad_proceso_auditoria</t>
        </is>
      </c>
      <c r="E1347" s="18" t="n">
        <v>0</v>
      </c>
      <c r="F1347" s="18" t="inlineStr">
        <is>
          <t>nombre</t>
        </is>
      </c>
      <c r="G1347" s="18" t="inlineStr">
        <is>
          <t>character varying(255)</t>
        </is>
      </c>
      <c r="H1347" s="18" t="inlineStr">
        <is>
          <t>No</t>
        </is>
      </c>
      <c r="I1347" s="18" t="inlineStr"/>
      <c r="J1347" s="18" t="inlineStr"/>
      <c r="K1347" s="18" t="inlineStr"/>
      <c r="L1347" s="18" t="inlineStr">
        <is>
          <t>No</t>
        </is>
      </c>
      <c r="M1347" s="18" t="inlineStr">
        <is>
          <t>No</t>
        </is>
      </c>
      <c r="N1347" s="18" t="inlineStr"/>
      <c r="O1347" s="18" t="inlineStr"/>
      <c r="P1347" s="18" t="inlineStr"/>
      <c r="Q1347" s="18" t="inlineStr">
        <is>
          <t>Regla estructural (redacción revisada)</t>
        </is>
      </c>
      <c r="R1347" s="18" t="inlineStr">
        <is>
          <t>Nombre de la actividad del proceso de auditoría.</t>
        </is>
      </c>
      <c r="S1347" s="18" t="inlineStr">
        <is>
          <t>Alta</t>
        </is>
      </c>
      <c r="T1347" s="18" t="inlineStr">
        <is>
          <t>Convención de nombre, redactada con el contexto de la tabla y el código.</t>
        </is>
      </c>
      <c r="U1347" s="18" t="inlineStr"/>
      <c r="V1347" s="19" t="inlineStr">
        <is>
          <t>Aprobada</t>
        </is>
      </c>
      <c r="W1347" s="19" t="inlineStr"/>
      <c r="X1347" s="19" t="inlineStr">
        <is>
          <t>Aldair González (aprobación en bloque)</t>
        </is>
      </c>
      <c r="Y1347" s="20" t="n">
        <v>46321</v>
      </c>
      <c r="Z1347" s="19" t="inlineStr">
        <is>
          <t>Nivel 2: regla estructural con redacción revisada.</t>
        </is>
      </c>
      <c r="AA1347" s="18">
        <f>IF(OR(V1347="Aprobada"),R1347,IF(AND(OR(V1347="Aprobada con ajuste",V1347="Rechazada"),W1347&lt;&gt;""),W1347,""))</f>
        <v/>
      </c>
    </row>
    <row r="1348">
      <c r="A1348" s="18" t="inlineStr">
        <is>
          <t>C1347</t>
        </is>
      </c>
      <c r="B1348" s="18" t="inlineStr">
        <is>
          <t>Control interno</t>
        </is>
      </c>
      <c r="C1348" s="18" t="inlineStr">
        <is>
          <t>control_interno</t>
        </is>
      </c>
      <c r="D1348" s="18" t="inlineStr">
        <is>
          <t>actividad_proceso_auditoria</t>
        </is>
      </c>
      <c r="E1348" s="18" t="n">
        <v>0</v>
      </c>
      <c r="F1348" s="18" t="inlineStr">
        <is>
          <t>descripcion</t>
        </is>
      </c>
      <c r="G1348" s="18" t="inlineStr">
        <is>
          <t>text</t>
        </is>
      </c>
      <c r="H1348" s="18" t="inlineStr">
        <is>
          <t>Sí</t>
        </is>
      </c>
      <c r="I1348" s="18" t="inlineStr"/>
      <c r="J1348" s="18" t="inlineStr"/>
      <c r="K1348" s="18" t="inlineStr"/>
      <c r="L1348" s="18" t="inlineStr">
        <is>
          <t>No</t>
        </is>
      </c>
      <c r="M1348" s="18" t="inlineStr">
        <is>
          <t>No</t>
        </is>
      </c>
      <c r="N1348" s="18" t="inlineStr"/>
      <c r="O1348" s="18" t="inlineStr"/>
      <c r="P1348" s="18" t="inlineStr"/>
      <c r="Q1348" s="18" t="inlineStr">
        <is>
          <t>Regla estructural (redacción revisada)</t>
        </is>
      </c>
      <c r="R1348" s="18" t="inlineStr">
        <is>
          <t>Descripción de la actividad del proceso de auditoría.</t>
        </is>
      </c>
      <c r="S1348" s="18" t="inlineStr">
        <is>
          <t>Alta</t>
        </is>
      </c>
      <c r="T1348" s="18" t="inlineStr">
        <is>
          <t>Convención de nombre, redactada con el contexto de la tabla y el código.</t>
        </is>
      </c>
      <c r="U1348" s="18" t="inlineStr"/>
      <c r="V1348" s="19" t="inlineStr">
        <is>
          <t>Aprobada</t>
        </is>
      </c>
      <c r="W1348" s="19" t="inlineStr"/>
      <c r="X1348" s="19" t="inlineStr">
        <is>
          <t>Aldair González (aprobación en bloque)</t>
        </is>
      </c>
      <c r="Y1348" s="20" t="n">
        <v>46321</v>
      </c>
      <c r="Z1348" s="19" t="inlineStr">
        <is>
          <t>Nivel 2: regla estructural con redacción revisada.</t>
        </is>
      </c>
      <c r="AA1348" s="18">
        <f>IF(OR(V1348="Aprobada"),R1348,IF(AND(OR(V1348="Aprobada con ajuste",V1348="Rechazada"),W1348&lt;&gt;""),W1348,""))</f>
        <v/>
      </c>
    </row>
    <row r="1349">
      <c r="A1349" s="18" t="inlineStr">
        <is>
          <t>C1348</t>
        </is>
      </c>
      <c r="B1349" s="18" t="inlineStr">
        <is>
          <t>Control interno</t>
        </is>
      </c>
      <c r="C1349" s="18" t="inlineStr">
        <is>
          <t>control_interno</t>
        </is>
      </c>
      <c r="D1349" s="18" t="inlineStr">
        <is>
          <t>actividad_proceso_auditoria</t>
        </is>
      </c>
      <c r="E1349" s="18" t="n">
        <v>0</v>
      </c>
      <c r="F1349" s="18" t="inlineStr">
        <is>
          <t>orden</t>
        </is>
      </c>
      <c r="G1349" s="18" t="inlineStr">
        <is>
          <t>integer</t>
        </is>
      </c>
      <c r="H1349" s="18" t="inlineStr">
        <is>
          <t>No</t>
        </is>
      </c>
      <c r="I1349" s="18" t="inlineStr">
        <is>
          <t>CHECK</t>
        </is>
      </c>
      <c r="J1349" s="18" t="inlineStr"/>
      <c r="K1349" s="18" t="inlineStr"/>
      <c r="L1349" s="18" t="inlineStr">
        <is>
          <t>No</t>
        </is>
      </c>
      <c r="M1349" s="18" t="inlineStr">
        <is>
          <t>No</t>
        </is>
      </c>
      <c r="N1349" s="18" t="inlineStr"/>
      <c r="O1349" s="18" t="inlineStr">
        <is>
          <t>uq_actividad_fase_orden</t>
        </is>
      </c>
      <c r="P1349" s="18" t="inlineStr">
        <is>
          <t>db/migrations/old/036_add_auditorias_kanban_completo.sql:733: Máximo 3 actividades por fase</t>
        </is>
      </c>
      <c r="Q1349" s="18" t="inlineStr">
        <is>
          <t>Código fuente</t>
        </is>
      </c>
      <c r="R1349" s="18" t="inlineStr">
        <is>
          <t>Posición de la actividad dentro de la fase del proceso de auditoría; máximo tres actividades por fase.</t>
        </is>
      </c>
      <c r="S1349" s="18" t="inlineStr">
        <is>
          <t>Alta</t>
        </is>
      </c>
      <c r="T1349" s="18" t="inlineStr">
        <is>
          <t>código: db/migrations/old/036_add_auditorias_kanban_completo.sql:733</t>
        </is>
      </c>
      <c r="U1349" s="18" t="inlineStr"/>
      <c r="V1349" s="19" t="inlineStr">
        <is>
          <t>Aprobada</t>
        </is>
      </c>
      <c r="W1349" s="19" t="inlineStr"/>
      <c r="X1349" s="19" t="inlineStr">
        <is>
          <t>Aldair González (aprobación en bloque)</t>
        </is>
      </c>
      <c r="Y1349" s="20" t="n">
        <v>46321</v>
      </c>
      <c r="Z1349" s="19" t="inlineStr">
        <is>
          <t>Nivel 1: propuesta del comentario del desarrollador o de confianza alta, o regla de fecha/responsable/motivo.</t>
        </is>
      </c>
      <c r="AA1349" s="18">
        <f>IF(OR(V1349="Aprobada"),R1349,IF(AND(OR(V1349="Aprobada con ajuste",V1349="Rechazada"),W1349&lt;&gt;""),W1349,""))</f>
        <v/>
      </c>
    </row>
    <row r="1350">
      <c r="A1350" s="18" t="inlineStr">
        <is>
          <t>C1349</t>
        </is>
      </c>
      <c r="B1350" s="18" t="inlineStr">
        <is>
          <t>Control interno</t>
        </is>
      </c>
      <c r="C1350" s="18" t="inlineStr">
        <is>
          <t>control_interno</t>
        </is>
      </c>
      <c r="D1350" s="18" t="inlineStr">
        <is>
          <t>actividad_proceso_auditoria</t>
        </is>
      </c>
      <c r="E1350" s="18" t="n">
        <v>0</v>
      </c>
      <c r="F1350" s="18" t="inlineStr">
        <is>
          <t>estado</t>
        </is>
      </c>
      <c r="G1350" s="18" t="inlineStr">
        <is>
          <t>character varying(50)</t>
        </is>
      </c>
      <c r="H1350" s="18" t="inlineStr">
        <is>
          <t>No</t>
        </is>
      </c>
      <c r="I1350" s="18" t="inlineStr">
        <is>
          <t>CHECK</t>
        </is>
      </c>
      <c r="J1350" s="18" t="inlineStr">
        <is>
          <t>completada, en-progreso, pendiente</t>
        </is>
      </c>
      <c r="K1350" s="18" t="inlineStr"/>
      <c r="L1350" s="18" t="inlineStr">
        <is>
          <t>Sí</t>
        </is>
      </c>
      <c r="M1350" s="18" t="inlineStr">
        <is>
          <t>Sí</t>
        </is>
      </c>
      <c r="N1350" s="18" t="inlineStr">
        <is>
          <t>Función control_interno.actualizar_actividades_auditoria; Trigger trigger_actualizar_actividades — control_interno.actualizar_actividades_auditoria: SELECT COUNT(*), COUNT(*) FILTER (WHERE estado = 'completada')</t>
        </is>
      </c>
      <c r="O1350" s="18" t="inlineStr">
        <is>
          <t>idx_actividad_estado</t>
        </is>
      </c>
      <c r="P1350" s="18" t="inlineStr"/>
      <c r="Q1350" s="18" t="inlineStr">
        <is>
          <t>Regla estructural (redacción revisada)</t>
        </is>
      </c>
      <c r="R1350" s="18" t="inlineStr">
        <is>
          <t>Estado de la actividad del proceso de auditoría (completada, en-progreso o pendiente).</t>
        </is>
      </c>
      <c r="S1350" s="18" t="inlineStr">
        <is>
          <t>Alta</t>
        </is>
      </c>
      <c r="T1350" s="18" t="inlineStr">
        <is>
          <t>Convención de nombre, redactada con el contexto de la tabla y el código.</t>
        </is>
      </c>
      <c r="U1350" s="18" t="inlineStr"/>
      <c r="V1350" s="19" t="inlineStr">
        <is>
          <t>Aprobada</t>
        </is>
      </c>
      <c r="W1350" s="19" t="inlineStr"/>
      <c r="X1350" s="19" t="inlineStr">
        <is>
          <t>Aldair González (aprobación en bloque)</t>
        </is>
      </c>
      <c r="Y1350" s="20" t="n">
        <v>46321</v>
      </c>
      <c r="Z1350" s="19" t="inlineStr">
        <is>
          <t>Nivel 2: regla estructural con redacción revisada.</t>
        </is>
      </c>
      <c r="AA1350" s="18">
        <f>IF(OR(V1350="Aprobada"),R1350,IF(AND(OR(V1350="Aprobada con ajuste",V1350="Rechazada"),W1350&lt;&gt;""),W1350,""))</f>
        <v/>
      </c>
    </row>
    <row r="1351">
      <c r="A1351" s="18" t="inlineStr">
        <is>
          <t>C1350</t>
        </is>
      </c>
      <c r="B1351" s="18" t="inlineStr">
        <is>
          <t>Control interno</t>
        </is>
      </c>
      <c r="C1351" s="18" t="inlineStr">
        <is>
          <t>control_interno</t>
        </is>
      </c>
      <c r="D1351" s="18" t="inlineStr">
        <is>
          <t>actividad_proceso_auditoria</t>
        </is>
      </c>
      <c r="E1351" s="18" t="n">
        <v>0</v>
      </c>
      <c r="F1351" s="18" t="inlineStr">
        <is>
          <t>fecha_limite</t>
        </is>
      </c>
      <c r="G1351" s="18" t="inlineStr">
        <is>
          <t>date</t>
        </is>
      </c>
      <c r="H1351" s="18" t="inlineStr">
        <is>
          <t>Sí</t>
        </is>
      </c>
      <c r="I1351" s="18" t="inlineStr"/>
      <c r="J1351" s="18" t="inlineStr"/>
      <c r="K1351" s="18" t="inlineStr"/>
      <c r="L1351" s="18" t="inlineStr">
        <is>
          <t>No</t>
        </is>
      </c>
      <c r="M1351" s="18" t="inlineStr">
        <is>
          <t>No</t>
        </is>
      </c>
      <c r="N1351" s="18" t="inlineStr"/>
      <c r="O1351" s="18" t="inlineStr"/>
      <c r="P1351" s="18" t="inlineStr"/>
      <c r="Q1351" s="18" t="inlineStr">
        <is>
          <t>Regla estructural (redacción revisada)</t>
        </is>
      </c>
      <c r="R1351" s="18" t="inlineStr">
        <is>
          <t>Fecha límite de la actividad del proceso de auditoría.</t>
        </is>
      </c>
      <c r="S1351" s="18" t="inlineStr">
        <is>
          <t>Alta</t>
        </is>
      </c>
      <c r="T1351" s="18" t="inlineStr">
        <is>
          <t>Convención de nombre, redactada con el contexto de la tabla y el código.</t>
        </is>
      </c>
      <c r="U1351" s="18" t="inlineStr"/>
      <c r="V1351" s="19" t="inlineStr">
        <is>
          <t>Aprobada</t>
        </is>
      </c>
      <c r="W1351" s="19" t="inlineStr"/>
      <c r="X1351" s="19" t="inlineStr">
        <is>
          <t>Aldair González (aprobación en bloque)</t>
        </is>
      </c>
      <c r="Y1351" s="20" t="n">
        <v>46321</v>
      </c>
      <c r="Z1351" s="19" t="inlineStr">
        <is>
          <t>Nivel 2: regla estructural con redacción revisada.</t>
        </is>
      </c>
      <c r="AA1351" s="18">
        <f>IF(OR(V1351="Aprobada"),R1351,IF(AND(OR(V1351="Aprobada con ajuste",V1351="Rechazada"),W1351&lt;&gt;""),W1351,""))</f>
        <v/>
      </c>
    </row>
    <row r="1352">
      <c r="A1352" s="18" t="inlineStr">
        <is>
          <t>C1351</t>
        </is>
      </c>
      <c r="B1352" s="18" t="inlineStr">
        <is>
          <t>Control interno</t>
        </is>
      </c>
      <c r="C1352" s="18" t="inlineStr">
        <is>
          <t>control_interno</t>
        </is>
      </c>
      <c r="D1352" s="18" t="inlineStr">
        <is>
          <t>actividad_proceso_auditoria</t>
        </is>
      </c>
      <c r="E1352" s="18" t="n">
        <v>0</v>
      </c>
      <c r="F1352" s="18" t="inlineStr">
        <is>
          <t>fecha_completacion</t>
        </is>
      </c>
      <c r="G1352" s="18" t="inlineStr">
        <is>
          <t>timestamp without time zone</t>
        </is>
      </c>
      <c r="H1352" s="18" t="inlineStr">
        <is>
          <t>Sí</t>
        </is>
      </c>
      <c r="I1352" s="18" t="inlineStr"/>
      <c r="J1352" s="18" t="inlineStr"/>
      <c r="K1352" s="18" t="inlineStr"/>
      <c r="L1352" s="18" t="inlineStr">
        <is>
          <t>No</t>
        </is>
      </c>
      <c r="M1352" s="18" t="inlineStr">
        <is>
          <t>No</t>
        </is>
      </c>
      <c r="N1352" s="18" t="inlineStr"/>
      <c r="O1352" s="18" t="inlineStr"/>
      <c r="P1352" s="18" t="inlineStr"/>
      <c r="Q1352" s="18" t="inlineStr">
        <is>
          <t>Regla estructural (redacción revisada)</t>
        </is>
      </c>
      <c r="R1352" s="18" t="inlineStr">
        <is>
          <t>Fecha y hora en que se completó la actividad del proceso de auditoría.</t>
        </is>
      </c>
      <c r="S1352" s="18" t="inlineStr">
        <is>
          <t>Alta</t>
        </is>
      </c>
      <c r="T1352" s="18" t="inlineStr">
        <is>
          <t>Convención de nombre, redactada con el contexto de la tabla y el código.</t>
        </is>
      </c>
      <c r="U1352" s="18" t="inlineStr"/>
      <c r="V1352" s="19" t="inlineStr">
        <is>
          <t>Aprobada</t>
        </is>
      </c>
      <c r="W1352" s="19" t="inlineStr"/>
      <c r="X1352" s="19" t="inlineStr">
        <is>
          <t>Aldair González (aprobación en bloque)</t>
        </is>
      </c>
      <c r="Y1352" s="20" t="n">
        <v>46321</v>
      </c>
      <c r="Z1352" s="19" t="inlineStr">
        <is>
          <t>Nivel 2: regla estructural con redacción revisada.</t>
        </is>
      </c>
      <c r="AA1352" s="18">
        <f>IF(OR(V1352="Aprobada"),R1352,IF(AND(OR(V1352="Aprobada con ajuste",V1352="Rechazada"),W1352&lt;&gt;""),W1352,""))</f>
        <v/>
      </c>
    </row>
    <row r="1353">
      <c r="A1353" s="18" t="inlineStr">
        <is>
          <t>C1352</t>
        </is>
      </c>
      <c r="B1353" s="18" t="inlineStr">
        <is>
          <t>Control interno</t>
        </is>
      </c>
      <c r="C1353" s="18" t="inlineStr">
        <is>
          <t>control_interno</t>
        </is>
      </c>
      <c r="D1353" s="18" t="inlineStr">
        <is>
          <t>actividad_proceso_auditoria</t>
        </is>
      </c>
      <c r="E1353" s="18" t="n">
        <v>0</v>
      </c>
      <c r="F1353" s="18" t="inlineStr">
        <is>
          <t>observaciones</t>
        </is>
      </c>
      <c r="G1353" s="18" t="inlineStr">
        <is>
          <t>text</t>
        </is>
      </c>
      <c r="H1353" s="18" t="inlineStr">
        <is>
          <t>Sí</t>
        </is>
      </c>
      <c r="I1353" s="18" t="inlineStr"/>
      <c r="J1353" s="18" t="inlineStr"/>
      <c r="K1353" s="18" t="inlineStr"/>
      <c r="L1353" s="18" t="inlineStr">
        <is>
          <t>No</t>
        </is>
      </c>
      <c r="M1353" s="18" t="inlineStr">
        <is>
          <t>No</t>
        </is>
      </c>
      <c r="N1353" s="18" t="inlineStr"/>
      <c r="O1353" s="18" t="inlineStr"/>
      <c r="P1353" s="18" t="inlineStr"/>
      <c r="Q1353" s="18" t="inlineStr">
        <is>
          <t>Regla estructural (redacción revisada)</t>
        </is>
      </c>
      <c r="R1353" s="18" t="inlineStr">
        <is>
          <t>Observaciones sobre la actividad del proceso de auditoría.</t>
        </is>
      </c>
      <c r="S1353" s="18" t="inlineStr">
        <is>
          <t>Alta</t>
        </is>
      </c>
      <c r="T1353" s="18" t="inlineStr">
        <is>
          <t>Convención de nombre, redactada con el contexto de la tabla y el código.</t>
        </is>
      </c>
      <c r="U1353" s="18" t="inlineStr"/>
      <c r="V1353" s="19" t="inlineStr">
        <is>
          <t>Aprobada</t>
        </is>
      </c>
      <c r="W1353" s="19" t="inlineStr"/>
      <c r="X1353" s="19" t="inlineStr">
        <is>
          <t>Aldair González (aprobación en bloque)</t>
        </is>
      </c>
      <c r="Y1353" s="20" t="n">
        <v>46321</v>
      </c>
      <c r="Z1353" s="19" t="inlineStr">
        <is>
          <t>Nivel 2: regla estructural con redacción revisada.</t>
        </is>
      </c>
      <c r="AA1353" s="18">
        <f>IF(OR(V1353="Aprobada"),R1353,IF(AND(OR(V1353="Aprobada con ajuste",V1353="Rechazada"),W1353&lt;&gt;""),W1353,""))</f>
        <v/>
      </c>
    </row>
    <row r="1354">
      <c r="A1354" s="18" t="inlineStr">
        <is>
          <t>C1353</t>
        </is>
      </c>
      <c r="B1354" s="18" t="inlineStr">
        <is>
          <t>Control interno</t>
        </is>
      </c>
      <c r="C1354" s="18" t="inlineStr">
        <is>
          <t>control_interno</t>
        </is>
      </c>
      <c r="D1354" s="18" t="inlineStr">
        <is>
          <t>actividad_rol</t>
        </is>
      </c>
      <c r="E1354" s="18" t="n">
        <v>0</v>
      </c>
      <c r="F1354" s="18" t="inlineStr">
        <is>
          <t>nombre</t>
        </is>
      </c>
      <c r="G1354" s="18" t="inlineStr">
        <is>
          <t>character varying(255)</t>
        </is>
      </c>
      <c r="H1354" s="18" t="inlineStr">
        <is>
          <t>No</t>
        </is>
      </c>
      <c r="I1354" s="18" t="inlineStr"/>
      <c r="J1354" s="18" t="inlineStr"/>
      <c r="K1354" s="18" t="inlineStr"/>
      <c r="L1354" s="18" t="inlineStr">
        <is>
          <t>No</t>
        </is>
      </c>
      <c r="M1354" s="18" t="inlineStr">
        <is>
          <t>No</t>
        </is>
      </c>
      <c r="N1354" s="18" t="inlineStr"/>
      <c r="O1354" s="18" t="inlineStr"/>
      <c r="P1354" s="18" t="inlineStr"/>
      <c r="Q1354" s="18" t="inlineStr">
        <is>
          <t>Regla estructural (redacción revisada)</t>
        </is>
      </c>
      <c r="R1354" s="18" t="inlineStr">
        <is>
          <t>Nombre de la actividad del rol.</t>
        </is>
      </c>
      <c r="S1354" s="18" t="inlineStr">
        <is>
          <t>Alta</t>
        </is>
      </c>
      <c r="T1354" s="18" t="inlineStr">
        <is>
          <t>Convención de nombre, redactada con el contexto de la tabla y el código.</t>
        </is>
      </c>
      <c r="U1354" s="18" t="inlineStr"/>
      <c r="V1354" s="19" t="inlineStr">
        <is>
          <t>Aprobada</t>
        </is>
      </c>
      <c r="W1354" s="19" t="inlineStr"/>
      <c r="X1354" s="19" t="inlineStr">
        <is>
          <t>Aldair González (aprobación en bloque)</t>
        </is>
      </c>
      <c r="Y1354" s="20" t="n">
        <v>46321</v>
      </c>
      <c r="Z1354" s="19" t="inlineStr">
        <is>
          <t>Nivel 2: regla estructural con redacción revisada.</t>
        </is>
      </c>
      <c r="AA1354" s="18">
        <f>IF(OR(V1354="Aprobada"),R1354,IF(AND(OR(V1354="Aprobada con ajuste",V1354="Rechazada"),W1354&lt;&gt;""),W1354,""))</f>
        <v/>
      </c>
    </row>
    <row r="1355">
      <c r="A1355" s="18" t="inlineStr">
        <is>
          <t>C1354</t>
        </is>
      </c>
      <c r="B1355" s="18" t="inlineStr">
        <is>
          <t>Control interno</t>
        </is>
      </c>
      <c r="C1355" s="18" t="inlineStr">
        <is>
          <t>control_interno</t>
        </is>
      </c>
      <c r="D1355" s="18" t="inlineStr">
        <is>
          <t>actividad_rol</t>
        </is>
      </c>
      <c r="E1355" s="18" t="n">
        <v>0</v>
      </c>
      <c r="F1355" s="18" t="inlineStr">
        <is>
          <t>descripcion</t>
        </is>
      </c>
      <c r="G1355" s="18" t="inlineStr">
        <is>
          <t>text</t>
        </is>
      </c>
      <c r="H1355" s="18" t="inlineStr">
        <is>
          <t>Sí</t>
        </is>
      </c>
      <c r="I1355" s="18" t="inlineStr"/>
      <c r="J1355" s="18" t="inlineStr"/>
      <c r="K1355" s="18" t="inlineStr"/>
      <c r="L1355" s="18" t="inlineStr">
        <is>
          <t>No</t>
        </is>
      </c>
      <c r="M1355" s="18" t="inlineStr">
        <is>
          <t>No</t>
        </is>
      </c>
      <c r="N1355" s="18" t="inlineStr"/>
      <c r="O1355" s="18" t="inlineStr"/>
      <c r="P1355" s="18" t="inlineStr"/>
      <c r="Q1355" s="18" t="inlineStr">
        <is>
          <t>Regla estructural (redacción revisada)</t>
        </is>
      </c>
      <c r="R1355" s="18" t="inlineStr">
        <is>
          <t>Descripción de la actividad del rol.</t>
        </is>
      </c>
      <c r="S1355" s="18" t="inlineStr">
        <is>
          <t>Alta</t>
        </is>
      </c>
      <c r="T1355" s="18" t="inlineStr">
        <is>
          <t>Convención de nombre, redactada con el contexto de la tabla y el código.</t>
        </is>
      </c>
      <c r="U1355" s="18" t="inlineStr"/>
      <c r="V1355" s="19" t="inlineStr">
        <is>
          <t>Aprobada</t>
        </is>
      </c>
      <c r="W1355" s="19" t="inlineStr"/>
      <c r="X1355" s="19" t="inlineStr">
        <is>
          <t>Aldair González (aprobación en bloque)</t>
        </is>
      </c>
      <c r="Y1355" s="20" t="n">
        <v>46321</v>
      </c>
      <c r="Z1355" s="19" t="inlineStr">
        <is>
          <t>Nivel 2: regla estructural con redacción revisada.</t>
        </is>
      </c>
      <c r="AA1355" s="18">
        <f>IF(OR(V1355="Aprobada"),R1355,IF(AND(OR(V1355="Aprobada con ajuste",V1355="Rechazada"),W1355&lt;&gt;""),W1355,""))</f>
        <v/>
      </c>
    </row>
    <row r="1356">
      <c r="A1356" s="18" t="inlineStr">
        <is>
          <t>C1355</t>
        </is>
      </c>
      <c r="B1356" s="18" t="inlineStr">
        <is>
          <t>Control interno</t>
        </is>
      </c>
      <c r="C1356" s="18" t="inlineStr">
        <is>
          <t>control_interno</t>
        </is>
      </c>
      <c r="D1356" s="18" t="inlineStr">
        <is>
          <t>actividad_rol</t>
        </is>
      </c>
      <c r="E1356" s="18" t="n">
        <v>0</v>
      </c>
      <c r="F1356" s="18" t="inlineStr">
        <is>
          <t>orden</t>
        </is>
      </c>
      <c r="G1356" s="18" t="inlineStr">
        <is>
          <t>integer</t>
        </is>
      </c>
      <c r="H1356" s="18" t="inlineStr">
        <is>
          <t>Sí</t>
        </is>
      </c>
      <c r="I1356" s="18" t="inlineStr"/>
      <c r="J1356" s="18" t="inlineStr"/>
      <c r="K1356" s="18" t="inlineStr"/>
      <c r="L1356" s="18" t="inlineStr">
        <is>
          <t>No</t>
        </is>
      </c>
      <c r="M1356" s="18" t="inlineStr">
        <is>
          <t>No</t>
        </is>
      </c>
      <c r="N1356" s="18" t="inlineStr"/>
      <c r="O1356" s="18" t="inlineStr"/>
      <c r="P1356" s="18" t="inlineStr"/>
      <c r="Q1356" s="18" t="inlineStr">
        <is>
          <t>Regla estructural (redacción revisada)</t>
        </is>
      </c>
      <c r="R1356" s="18" t="inlineStr">
        <is>
          <t>Posición de la actividad en el ordenamiento dentro del rol.</t>
        </is>
      </c>
      <c r="S1356" s="18" t="inlineStr">
        <is>
          <t>Alta</t>
        </is>
      </c>
      <c r="T1356" s="18" t="inlineStr">
        <is>
          <t>Convención de nombre, redactada con el contexto de la tabla y el código.</t>
        </is>
      </c>
      <c r="U1356" s="18" t="inlineStr"/>
      <c r="V1356" s="19" t="inlineStr">
        <is>
          <t>Aprobada</t>
        </is>
      </c>
      <c r="W1356" s="19" t="inlineStr"/>
      <c r="X1356" s="19" t="inlineStr">
        <is>
          <t>Aldair González (aprobación en bloque)</t>
        </is>
      </c>
      <c r="Y1356" s="20" t="n">
        <v>46321</v>
      </c>
      <c r="Z1356" s="19" t="inlineStr">
        <is>
          <t>Nivel 2: regla estructural con redacción revisada.</t>
        </is>
      </c>
      <c r="AA1356" s="18">
        <f>IF(OR(V1356="Aprobada"),R1356,IF(AND(OR(V1356="Aprobada con ajuste",V1356="Rechazada"),W1356&lt;&gt;""),W1356,""))</f>
        <v/>
      </c>
    </row>
    <row r="1357">
      <c r="A1357" s="18" t="inlineStr">
        <is>
          <t>C1356</t>
        </is>
      </c>
      <c r="B1357" s="18" t="inlineStr">
        <is>
          <t>Control interno</t>
        </is>
      </c>
      <c r="C1357" s="18" t="inlineStr">
        <is>
          <t>control_interno</t>
        </is>
      </c>
      <c r="D1357" s="18" t="inlineStr">
        <is>
          <t>actividad_rol</t>
        </is>
      </c>
      <c r="E1357" s="18" t="n">
        <v>0</v>
      </c>
      <c r="F1357" s="18" t="inlineStr">
        <is>
          <t>activa</t>
        </is>
      </c>
      <c r="G1357" s="18" t="inlineStr">
        <is>
          <t>boolean</t>
        </is>
      </c>
      <c r="H1357" s="18" t="inlineStr">
        <is>
          <t>Sí</t>
        </is>
      </c>
      <c r="I1357" s="18" t="inlineStr"/>
      <c r="J1357" s="18" t="inlineStr"/>
      <c r="K1357" s="18" t="inlineStr"/>
      <c r="L1357" s="18" t="inlineStr">
        <is>
          <t>No</t>
        </is>
      </c>
      <c r="M1357" s="18" t="inlineStr">
        <is>
          <t>No</t>
        </is>
      </c>
      <c r="N1357" s="18" t="inlineStr"/>
      <c r="O1357" s="18" t="inlineStr"/>
      <c r="P1357" s="18" t="inlineStr"/>
      <c r="Q1357" s="18" t="inlineStr">
        <is>
          <t>Regla estructural (redacción revisada)</t>
        </is>
      </c>
      <c r="R1357" s="18" t="inlineStr">
        <is>
          <t>Indica si la actividad del rol está activa.</t>
        </is>
      </c>
      <c r="S1357" s="18" t="inlineStr">
        <is>
          <t>Alta</t>
        </is>
      </c>
      <c r="T1357" s="18" t="inlineStr">
        <is>
          <t>Convención de nombre, redactada con el contexto de la tabla y el código.</t>
        </is>
      </c>
      <c r="U1357" s="18" t="inlineStr"/>
      <c r="V1357" s="19" t="inlineStr">
        <is>
          <t>Aprobada</t>
        </is>
      </c>
      <c r="W1357" s="19" t="inlineStr"/>
      <c r="X1357" s="19" t="inlineStr">
        <is>
          <t>Aldair González (aprobación en bloque)</t>
        </is>
      </c>
      <c r="Y1357" s="20" t="n">
        <v>46321</v>
      </c>
      <c r="Z1357" s="19" t="inlineStr">
        <is>
          <t>Nivel 2: regla estructural con redacción revisada.</t>
        </is>
      </c>
      <c r="AA1357" s="18">
        <f>IF(OR(V1357="Aprobada"),R1357,IF(AND(OR(V1357="Aprobada con ajuste",V1357="Rechazada"),W1357&lt;&gt;""),W1357,""))</f>
        <v/>
      </c>
    </row>
    <row r="1358">
      <c r="A1358" s="18" t="inlineStr">
        <is>
          <t>C1357</t>
        </is>
      </c>
      <c r="B1358" s="18" t="inlineStr">
        <is>
          <t>Control interno</t>
        </is>
      </c>
      <c r="C1358" s="18" t="inlineStr">
        <is>
          <t>control_interno</t>
        </is>
      </c>
      <c r="D1358" s="18" t="inlineStr">
        <is>
          <t>adjunto_actividad_plan_anual_5</t>
        </is>
      </c>
      <c r="E1358" s="18" t="n">
        <v>21</v>
      </c>
      <c r="F1358" s="18" t="inlineStr">
        <is>
          <t>nombre</t>
        </is>
      </c>
      <c r="G1358" s="18" t="inlineStr">
        <is>
          <t>character varying(255)</t>
        </is>
      </c>
      <c r="H1358" s="18" t="inlineStr">
        <is>
          <t>No</t>
        </is>
      </c>
      <c r="I1358" s="18" t="inlineStr"/>
      <c r="J1358" s="18" t="inlineStr"/>
      <c r="K1358" s="18" t="inlineStr"/>
      <c r="L1358" s="18" t="inlineStr">
        <is>
          <t>No</t>
        </is>
      </c>
      <c r="M1358" s="18" t="inlineStr">
        <is>
          <t>No</t>
        </is>
      </c>
      <c r="N1358" s="18" t="inlineStr"/>
      <c r="O1358" s="18" t="inlineStr"/>
      <c r="P1358" s="18" t="inlineStr">
        <is>
          <t>db/migrations/129_add_campos_actividad_plan_anual_y_adjuntos.sql:56: Información del archivo | Validación: IsNotEmpty, IsNotEmpty({ message: 'El nombre del documento es obligatorio' }), IsOptional, IsString, Length(1, 500), MaxLength(120)</t>
        </is>
      </c>
      <c r="Q1358" s="18" t="inlineStr">
        <is>
          <t>Código fuente</t>
        </is>
      </c>
      <c r="R1358" s="18" t="inlineStr">
        <is>
          <t>Nombre del archivo adjunto (evidencia) de la actividad del Plan Anual de Auditoría.</t>
        </is>
      </c>
      <c r="S1358" s="18" t="inlineStr">
        <is>
          <t>Alta</t>
        </is>
      </c>
      <c r="T1358" s="18" t="inlineStr">
        <is>
          <t>código: db/migrations/129_add_campos_actividad_plan_anual_y_adjuntos.sql:56</t>
        </is>
      </c>
      <c r="U1358" s="18" t="inlineStr"/>
      <c r="V1358" s="19" t="inlineStr">
        <is>
          <t>Aprobada</t>
        </is>
      </c>
      <c r="W1358" s="19" t="inlineStr"/>
      <c r="X1358" s="19" t="inlineStr">
        <is>
          <t>Aldair González (aprobación en bloque)</t>
        </is>
      </c>
      <c r="Y1358" s="20" t="n">
        <v>46321</v>
      </c>
      <c r="Z1358" s="19" t="inlineStr">
        <is>
          <t>Nivel 1: propuesta del comentario del desarrollador o de confianza alta, o regla de fecha/responsable/motivo.</t>
        </is>
      </c>
      <c r="AA1358" s="18">
        <f>IF(OR(V1358="Aprobada"),R1358,IF(AND(OR(V1358="Aprobada con ajuste",V1358="Rechazada"),W1358&lt;&gt;""),W1358,""))</f>
        <v/>
      </c>
    </row>
    <row r="1359">
      <c r="A1359" s="18" t="inlineStr">
        <is>
          <t>C1358</t>
        </is>
      </c>
      <c r="B1359" s="18" t="inlineStr">
        <is>
          <t>Control interno</t>
        </is>
      </c>
      <c r="C1359" s="18" t="inlineStr">
        <is>
          <t>control_interno</t>
        </is>
      </c>
      <c r="D1359" s="18" t="inlineStr">
        <is>
          <t>adjunto_actividad_plan_anual_5</t>
        </is>
      </c>
      <c r="E1359" s="18" t="n">
        <v>21</v>
      </c>
      <c r="F1359" s="18" t="inlineStr">
        <is>
          <t>fecha_carga</t>
        </is>
      </c>
      <c r="G1359" s="18" t="inlineStr">
        <is>
          <t>timestamp without time zone</t>
        </is>
      </c>
      <c r="H1359" s="18" t="inlineStr">
        <is>
          <t>Sí</t>
        </is>
      </c>
      <c r="I1359" s="18" t="inlineStr"/>
      <c r="J1359" s="18" t="inlineStr"/>
      <c r="K1359" s="18" t="inlineStr"/>
      <c r="L1359" s="18" t="inlineStr">
        <is>
          <t>No</t>
        </is>
      </c>
      <c r="M1359" s="18" t="inlineStr">
        <is>
          <t>No</t>
        </is>
      </c>
      <c r="N1359" s="18" t="inlineStr"/>
      <c r="O1359" s="18" t="inlineStr">
        <is>
          <t>idx_adjunto_actividad_plan_anual_5_fecha</t>
        </is>
      </c>
      <c r="P1359" s="18" t="inlineStr">
        <is>
          <t>db/migrations/129_add_campos_actividad_plan_anual_y_adjuntos.sql:61: Información de carga | Validación: IsNotEmpty({ message: 'La fecha de carga es obligatoria' }), IsString</t>
        </is>
      </c>
      <c r="Q1359" s="18" t="inlineStr">
        <is>
          <t>Código fuente</t>
        </is>
      </c>
      <c r="R1359" s="18" t="inlineStr">
        <is>
          <t>Fecha y hora en que se cargó el archivo; por defecto el momento de registro.</t>
        </is>
      </c>
      <c r="S1359" s="18" t="inlineStr">
        <is>
          <t>Alta</t>
        </is>
      </c>
      <c r="T1359" s="18" t="inlineStr">
        <is>
          <t>código: db/migrations/129_add_campos_actividad_plan_anual_y_adjuntos.sql:61</t>
        </is>
      </c>
      <c r="U1359" s="18" t="inlineStr"/>
      <c r="V1359" s="19" t="inlineStr">
        <is>
          <t>Aprobada</t>
        </is>
      </c>
      <c r="W1359" s="19" t="inlineStr"/>
      <c r="X1359" s="19" t="inlineStr">
        <is>
          <t>Aldair González (aprobación en bloque)</t>
        </is>
      </c>
      <c r="Y1359" s="20" t="n">
        <v>46321</v>
      </c>
      <c r="Z1359" s="19" t="inlineStr">
        <is>
          <t>Nivel 1: propuesta del comentario del desarrollador o de confianza alta, o regla de fecha/responsable/motivo.</t>
        </is>
      </c>
      <c r="AA1359" s="18">
        <f>IF(OR(V1359="Aprobada"),R1359,IF(AND(OR(V1359="Aprobada con ajuste",V1359="Rechazada"),W1359&lt;&gt;""),W1359,""))</f>
        <v/>
      </c>
    </row>
    <row r="1360">
      <c r="A1360" s="18" t="inlineStr">
        <is>
          <t>C1359</t>
        </is>
      </c>
      <c r="B1360" s="18" t="inlineStr">
        <is>
          <t>Control interno</t>
        </is>
      </c>
      <c r="C1360" s="18" t="inlineStr">
        <is>
          <t>control_interno</t>
        </is>
      </c>
      <c r="D1360" s="18" t="inlineStr">
        <is>
          <t>adjunto_actividad_plan_anual_5</t>
        </is>
      </c>
      <c r="E1360" s="18" t="n">
        <v>21</v>
      </c>
      <c r="F1360" s="18" t="inlineStr">
        <is>
          <t>cargado_por</t>
        </is>
      </c>
      <c r="G1360" s="18" t="inlineStr">
        <is>
          <t>character varying(255)</t>
        </is>
      </c>
      <c r="H1360" s="18" t="inlineStr">
        <is>
          <t>Sí</t>
        </is>
      </c>
      <c r="I1360" s="18" t="inlineStr"/>
      <c r="J1360" s="18" t="inlineStr"/>
      <c r="K1360" s="18" t="inlineStr"/>
      <c r="L1360" s="18" t="inlineStr">
        <is>
          <t>No</t>
        </is>
      </c>
      <c r="M1360" s="18" t="inlineStr">
        <is>
          <t>No</t>
        </is>
      </c>
      <c r="N1360" s="18" t="inlineStr"/>
      <c r="O1360" s="18" t="inlineStr"/>
      <c r="P1360" s="18" t="inlineStr">
        <is>
          <t>db/migrations/129_add_campos_actividad_plan_anual_y_adjuntos.sql:62: Nombre del usuario que cargó | Validación: IsOptional, IsString</t>
        </is>
      </c>
      <c r="Q1360" s="18" t="inlineStr">
        <is>
          <t>Código fuente</t>
        </is>
      </c>
      <c r="R1360" s="18" t="inlineStr">
        <is>
          <t>Nombre del usuario que cargó el archivo.</t>
        </is>
      </c>
      <c r="S1360" s="18" t="inlineStr">
        <is>
          <t>Alta</t>
        </is>
      </c>
      <c r="T1360" s="18" t="inlineStr">
        <is>
          <t>código: db/migrations/129_add_campos_actividad_plan_anual_y_adjuntos.sql:62</t>
        </is>
      </c>
      <c r="U1360" s="18" t="inlineStr"/>
      <c r="V1360" s="19" t="inlineStr">
        <is>
          <t>Aprobada</t>
        </is>
      </c>
      <c r="W1360" s="19" t="inlineStr"/>
      <c r="X1360" s="19" t="inlineStr">
        <is>
          <t>Aldair González (aprobación en bloque)</t>
        </is>
      </c>
      <c r="Y1360" s="20" t="n">
        <v>46321</v>
      </c>
      <c r="Z1360" s="19" t="inlineStr">
        <is>
          <t>Nivel 1: propuesta del comentario del desarrollador o de confianza alta, o regla de fecha/responsable/motivo.</t>
        </is>
      </c>
      <c r="AA1360" s="18">
        <f>IF(OR(V1360="Aprobada"),R1360,IF(AND(OR(V1360="Aprobada con ajuste",V1360="Rechazada"),W1360&lt;&gt;""),W1360,""))</f>
        <v/>
      </c>
    </row>
    <row r="1361">
      <c r="A1361" s="18" t="inlineStr">
        <is>
          <t>C1360</t>
        </is>
      </c>
      <c r="B1361" s="18" t="inlineStr">
        <is>
          <t>Control interno</t>
        </is>
      </c>
      <c r="C1361" s="18" t="inlineStr">
        <is>
          <t>control_interno</t>
        </is>
      </c>
      <c r="D1361" s="18" t="inlineStr">
        <is>
          <t>adjunto_actividad_plan_anual_5</t>
        </is>
      </c>
      <c r="E1361" s="18" t="n">
        <v>21</v>
      </c>
      <c r="F1361" s="18" t="inlineStr">
        <is>
          <t>cargado_por_id</t>
        </is>
      </c>
      <c r="G1361" s="18" t="inlineStr">
        <is>
          <t>bigint</t>
        </is>
      </c>
      <c r="H1361" s="18" t="inlineStr">
        <is>
          <t>Sí</t>
        </is>
      </c>
      <c r="I1361" s="18" t="inlineStr"/>
      <c r="J1361" s="18" t="inlineStr"/>
      <c r="K1361" s="18" t="inlineStr"/>
      <c r="L1361" s="18" t="inlineStr">
        <is>
          <t>No</t>
        </is>
      </c>
      <c r="M1361" s="18" t="inlineStr">
        <is>
          <t>No</t>
        </is>
      </c>
      <c r="N1361" s="18" t="inlineStr"/>
      <c r="O1361" s="18" t="inlineStr"/>
      <c r="P1361" s="18" t="inlineStr">
        <is>
          <t>db/migrations/129_add_campos_actividad_plan_anual_y_adjuntos.sql:63: ID del usuario (FK opcional a personas) | Validación: IsNumber, IsOptional</t>
        </is>
      </c>
      <c r="Q1361" s="18" t="inlineStr">
        <is>
          <t>Código fuente</t>
        </is>
      </c>
      <c r="R1361" s="18" t="inlineStr">
        <is>
          <t>Identificador del usuario que cargó el archivo; referencia opcional a la persona en auth.personas.</t>
        </is>
      </c>
      <c r="S1361" s="18" t="inlineStr">
        <is>
          <t>Alta</t>
        </is>
      </c>
      <c r="T1361" s="18" t="inlineStr">
        <is>
          <t>código: db/migrations/129_add_campos_actividad_plan_anual_y_adjuntos.sql:63</t>
        </is>
      </c>
      <c r="U1361" s="18" t="inlineStr"/>
      <c r="V1361" s="19" t="inlineStr">
        <is>
          <t>Aprobada</t>
        </is>
      </c>
      <c r="W1361" s="19" t="inlineStr"/>
      <c r="X1361" s="19" t="inlineStr">
        <is>
          <t>Aldair González (aprobación en bloque)</t>
        </is>
      </c>
      <c r="Y1361" s="20" t="n">
        <v>46321</v>
      </c>
      <c r="Z1361" s="19" t="inlineStr">
        <is>
          <t>Nivel 1: propuesta del comentario del desarrollador o de confianza alta, o regla de fecha/responsable/motivo.</t>
        </is>
      </c>
      <c r="AA1361" s="18">
        <f>IF(OR(V1361="Aprobada"),R1361,IF(AND(OR(V1361="Aprobada con ajuste",V1361="Rechazada"),W1361&lt;&gt;""),W1361,""))</f>
        <v/>
      </c>
    </row>
    <row r="1362">
      <c r="A1362" s="18" t="inlineStr">
        <is>
          <t>C1361</t>
        </is>
      </c>
      <c r="B1362" s="18" t="inlineStr">
        <is>
          <t>Control interno</t>
        </is>
      </c>
      <c r="C1362" s="18" t="inlineStr">
        <is>
          <t>control_interno</t>
        </is>
      </c>
      <c r="D1362" s="18" t="inlineStr">
        <is>
          <t>adjunto_actividad_plan_anual_5</t>
        </is>
      </c>
      <c r="E1362" s="18" t="n">
        <v>21</v>
      </c>
      <c r="F1362" s="18" t="inlineStr">
        <is>
          <t>hash_archivo</t>
        </is>
      </c>
      <c r="G1362" s="18" t="inlineStr">
        <is>
          <t>character varying(255)</t>
        </is>
      </c>
      <c r="H1362" s="18" t="inlineStr">
        <is>
          <t>Sí</t>
        </is>
      </c>
      <c r="I1362" s="18" t="inlineStr"/>
      <c r="J1362" s="18" t="inlineStr"/>
      <c r="K1362" s="18" t="inlineStr"/>
      <c r="L1362" s="18" t="inlineStr">
        <is>
          <t>No</t>
        </is>
      </c>
      <c r="M1362" s="18" t="inlineStr">
        <is>
          <t>No</t>
        </is>
      </c>
      <c r="N1362" s="18" t="inlineStr"/>
      <c r="O1362" s="18" t="inlineStr"/>
      <c r="P1362" s="18" t="inlineStr">
        <is>
          <t>db/migrations/129_add_campos_actividad_plan_anual_y_adjuntos.sql:70: Metadatos adicionales Hash SHA256 para verificar integridad (opcional) | Validación: IsOptional, IsString</t>
        </is>
      </c>
      <c r="Q1362" s="18" t="inlineStr">
        <is>
          <t>Código fuente</t>
        </is>
      </c>
      <c r="R1362" s="18" t="inlineStr">
        <is>
          <t>Hash SHA-256 del archivo para verificar su integridad (opcional).</t>
        </is>
      </c>
      <c r="S1362" s="18" t="inlineStr">
        <is>
          <t>Alta</t>
        </is>
      </c>
      <c r="T1362" s="18" t="inlineStr">
        <is>
          <t>código: db/migrations/129_add_campos_actividad_plan_anual_y_adjuntos.sql:70</t>
        </is>
      </c>
      <c r="U1362" s="18" t="inlineStr"/>
      <c r="V1362" s="19" t="inlineStr">
        <is>
          <t>Aprobada</t>
        </is>
      </c>
      <c r="W1362" s="19" t="inlineStr"/>
      <c r="X1362" s="19" t="inlineStr">
        <is>
          <t>Aldair González (aprobación en bloque)</t>
        </is>
      </c>
      <c r="Y1362" s="20" t="n">
        <v>46321</v>
      </c>
      <c r="Z1362" s="19" t="inlineStr">
        <is>
          <t>Nivel 1: propuesta del comentario del desarrollador o de confianza alta, o regla de fecha/responsable/motivo.</t>
        </is>
      </c>
      <c r="AA1362" s="18">
        <f>IF(OR(V1362="Aprobada"),R1362,IF(AND(OR(V1362="Aprobada con ajuste",V1362="Rechazada"),W1362&lt;&gt;""),W1362,""))</f>
        <v/>
      </c>
    </row>
    <row r="1363">
      <c r="A1363" s="18" t="inlineStr">
        <is>
          <t>C1362</t>
        </is>
      </c>
      <c r="B1363" s="18" t="inlineStr">
        <is>
          <t>Control interno</t>
        </is>
      </c>
      <c r="C1363" s="18" t="inlineStr">
        <is>
          <t>control_interno</t>
        </is>
      </c>
      <c r="D1363" s="18" t="inlineStr">
        <is>
          <t>alerta_plan</t>
        </is>
      </c>
      <c r="E1363" s="18" t="n">
        <v>21</v>
      </c>
      <c r="F1363" s="18" t="inlineStr">
        <is>
          <t>tipo</t>
        </is>
      </c>
      <c r="G1363" s="18" t="inlineStr">
        <is>
          <t>character varying(50)</t>
        </is>
      </c>
      <c r="H1363" s="18" t="inlineStr">
        <is>
          <t>No</t>
        </is>
      </c>
      <c r="I1363" s="18" t="inlineStr"/>
      <c r="J1363" s="18" t="inlineStr"/>
      <c r="K1363" s="18" t="inlineStr"/>
      <c r="L1363" s="18" t="inlineStr">
        <is>
          <t>No</t>
        </is>
      </c>
      <c r="M1363" s="18" t="inlineStr">
        <is>
          <t>No</t>
        </is>
      </c>
      <c r="N1363" s="18" t="inlineStr"/>
      <c r="O1363" s="18" t="inlineStr"/>
      <c r="P1363" s="18" t="inlineStr">
        <is>
          <t>internal-institutional-control-service/src/esap/planes-mejoramiento/entities/alerta-plan.entity.ts:55: Tipo de alerta según EM-PT-002 act. 6 | Validación: IsEnum(AccionCorrectivaTipo), IsEnum(TipoAuditoriaProgramada), IsEnum(TipoEventoTimeline), IsEnum(TipoTablero), IsEnum(['cumplimiento', 'eficiencia', 'eficacia', 'economia']), IsEnum(['plan-auditoria', 'plan-mejora', 'informe', 'documento'])</t>
        </is>
      </c>
      <c r="Q1363" s="18" t="inlineStr">
        <is>
          <t>Código fuente (verificado)</t>
        </is>
      </c>
      <c r="R1363" s="18" t="inlineStr">
        <is>
          <t>Tipo de alerta generada automáticamente en el seguimiento del plan, según EM-PT-002 actividad 6: vencida_sin_evidencia (acción vencida sin evidencia), inefectiva (acción identificada como inefectiva), cumplimiento_mes_actual o cumplimiento_mes_siguiente (cumplimiento programado para el mes en curso o el siguiente).</t>
        </is>
      </c>
      <c r="S1363" s="18" t="inlineStr">
        <is>
          <t>Alta</t>
        </is>
      </c>
      <c r="T1363" s="18" t="inlineStr">
        <is>
          <t>backend/internal-institutional-control-service/src/esap/planes-mejoramiento/entities/alerta-plan.entity.ts:17-26: enum TipoAlertaPlan con la condición de cada alerta | backend/internal-institutional-control-service/src/esap/planes-mejoramiento/seguimiento.cron.ts:196-229: el proceso programado crea cada tipo | backend/internal-institutional-control-service/src/esap/planes-mejoramiento/planes-mejoramiento.service.ts:2200-2237</t>
        </is>
      </c>
      <c r="U1363" s="18" t="inlineStr"/>
      <c r="V1363" s="19" t="inlineStr">
        <is>
          <t>Aprobada</t>
        </is>
      </c>
      <c r="W1363" s="19" t="inlineStr"/>
      <c r="X1363" s="19" t="inlineStr">
        <is>
          <t>Aldair González (aprobación en bloque)</t>
        </is>
      </c>
      <c r="Y1363" s="20" t="n">
        <v>46321</v>
      </c>
      <c r="Z1363" s="19" t="inlineStr">
        <is>
          <t>Nivel 3: verificada con el código de la aplicación.</t>
        </is>
      </c>
      <c r="AA1363" s="18">
        <f>IF(OR(V1363="Aprobada"),R1363,IF(AND(OR(V1363="Aprobada con ajuste",V1363="Rechazada"),W1363&lt;&gt;""),W1363,""))</f>
        <v/>
      </c>
    </row>
    <row r="1364">
      <c r="A1364" s="18" t="inlineStr">
        <is>
          <t>C1363</t>
        </is>
      </c>
      <c r="B1364" s="18" t="inlineStr">
        <is>
          <t>Control interno</t>
        </is>
      </c>
      <c r="C1364" s="18" t="inlineStr">
        <is>
          <t>control_interno</t>
        </is>
      </c>
      <c r="D1364" s="18" t="inlineStr">
        <is>
          <t>alerta_plan</t>
        </is>
      </c>
      <c r="E1364" s="18" t="n">
        <v>21</v>
      </c>
      <c r="F1364" s="18" t="inlineStr">
        <is>
          <t>descripcion</t>
        </is>
      </c>
      <c r="G1364" s="18" t="inlineStr">
        <is>
          <t>text</t>
        </is>
      </c>
      <c r="H1364" s="18" t="inlineStr">
        <is>
          <t>Sí</t>
        </is>
      </c>
      <c r="I1364" s="18" t="inlineStr"/>
      <c r="J1364" s="18" t="inlineStr"/>
      <c r="K1364" s="18" t="inlineStr"/>
      <c r="L1364" s="18" t="inlineStr">
        <is>
          <t>No</t>
        </is>
      </c>
      <c r="M1364" s="18" t="inlineStr">
        <is>
          <t>No</t>
        </is>
      </c>
      <c r="N1364" s="18" t="inlineStr"/>
      <c r="O1364" s="18" t="inlineStr"/>
      <c r="P1364" s="18" t="inlineStr">
        <is>
          <t>internal-institutional-control-service/src/esap/planes-mejoramiento/entities/alerta-plan.entity.ts:59: Descripción legible de la alerta | Validación: IsNotEmpty, IsOptional, IsString</t>
        </is>
      </c>
      <c r="Q1364" s="18" t="inlineStr">
        <is>
          <t>Código fuente</t>
        </is>
      </c>
      <c r="R1364" s="18" t="inlineStr">
        <is>
          <t>Descripción legible de la alerta.</t>
        </is>
      </c>
      <c r="S1364" s="18" t="inlineStr">
        <is>
          <t>Alta</t>
        </is>
      </c>
      <c r="T1364" s="18" t="inlineStr">
        <is>
          <t>código: internal-institutional-control-service/src/esap/planes-mejoramiento/entities/alerta-plan.entity.ts:59</t>
        </is>
      </c>
      <c r="U1364" s="18" t="inlineStr"/>
      <c r="V1364" s="19" t="inlineStr">
        <is>
          <t>Aprobada</t>
        </is>
      </c>
      <c r="W1364" s="19" t="inlineStr"/>
      <c r="X1364" s="19" t="inlineStr">
        <is>
          <t>Aldair González (aprobación en bloque)</t>
        </is>
      </c>
      <c r="Y1364" s="20" t="n">
        <v>46321</v>
      </c>
      <c r="Z1364" s="19" t="inlineStr">
        <is>
          <t>Nivel 1: propuesta del comentario del desarrollador o de confianza alta, o regla de fecha/responsable/motivo.</t>
        </is>
      </c>
      <c r="AA1364" s="18">
        <f>IF(OR(V1364="Aprobada"),R1364,IF(AND(OR(V1364="Aprobada con ajuste",V1364="Rechazada"),W1364&lt;&gt;""),W1364,""))</f>
        <v/>
      </c>
    </row>
    <row r="1365">
      <c r="A1365" s="18" t="inlineStr">
        <is>
          <t>C1364</t>
        </is>
      </c>
      <c r="B1365" s="18" t="inlineStr">
        <is>
          <t>Control interno</t>
        </is>
      </c>
      <c r="C1365" s="18" t="inlineStr">
        <is>
          <t>control_interno</t>
        </is>
      </c>
      <c r="D1365" s="18" t="inlineStr">
        <is>
          <t>alerta_plan</t>
        </is>
      </c>
      <c r="E1365" s="18" t="n">
        <v>21</v>
      </c>
      <c r="F1365" s="18" t="inlineStr">
        <is>
          <t>generada_at</t>
        </is>
      </c>
      <c r="G1365" s="18" t="inlineStr">
        <is>
          <t>timestamp with time zone</t>
        </is>
      </c>
      <c r="H1365" s="18" t="inlineStr">
        <is>
          <t>Sí</t>
        </is>
      </c>
      <c r="I1365" s="18" t="inlineStr"/>
      <c r="J1365" s="18" t="inlineStr"/>
      <c r="K1365" s="18" t="inlineStr"/>
      <c r="L1365" s="18" t="inlineStr">
        <is>
          <t>No</t>
        </is>
      </c>
      <c r="M1365" s="18" t="inlineStr">
        <is>
          <t>No</t>
        </is>
      </c>
      <c r="N1365" s="18" t="inlineStr"/>
      <c r="O1365" s="18" t="inlineStr"/>
      <c r="P1365" s="18" t="inlineStr">
        <is>
          <t>Mapeada en internal-institutional-control-service/src/esap/planes-mejoramiento/entities/alerta-plan.entity.ts:62 (AlertaPlan.generadaAt)</t>
        </is>
      </c>
      <c r="Q1365" s="18" t="inlineStr">
        <is>
          <t>Regla estructural</t>
        </is>
      </c>
      <c r="R1365" s="18" t="inlineStr">
        <is>
          <t>Fecha y hora de la generación.</t>
        </is>
      </c>
      <c r="S1365" s="18" t="inlineStr">
        <is>
          <t>Media</t>
        </is>
      </c>
      <c r="T1365" s="18" t="inlineStr">
        <is>
          <t>Convención de nombre de la columna.</t>
        </is>
      </c>
      <c r="U1365" s="18" t="inlineStr"/>
      <c r="V1365" s="19" t="inlineStr">
        <is>
          <t>Aprobada</t>
        </is>
      </c>
      <c r="W1365" s="19" t="inlineStr"/>
      <c r="X1365" s="19" t="inlineStr">
        <is>
          <t>Aldair González (aprobación en bloque)</t>
        </is>
      </c>
      <c r="Y1365" s="20" t="n">
        <v>46321</v>
      </c>
      <c r="Z1365" s="19" t="inlineStr">
        <is>
          <t>Nivel 1: propuesta del comentario del desarrollador o de confianza alta, o regla de fecha/responsable/motivo.</t>
        </is>
      </c>
      <c r="AA1365" s="18">
        <f>IF(OR(V1365="Aprobada"),R1365,IF(AND(OR(V1365="Aprobada con ajuste",V1365="Rechazada"),W1365&lt;&gt;""),W1365,""))</f>
        <v/>
      </c>
    </row>
    <row r="1366">
      <c r="A1366" s="18" t="inlineStr">
        <is>
          <t>C1365</t>
        </is>
      </c>
      <c r="B1366" s="18" t="inlineStr">
        <is>
          <t>Control interno</t>
        </is>
      </c>
      <c r="C1366" s="18" t="inlineStr">
        <is>
          <t>control_interno</t>
        </is>
      </c>
      <c r="D1366" s="18" t="inlineStr">
        <is>
          <t>alerta_plan</t>
        </is>
      </c>
      <c r="E1366" s="18" t="n">
        <v>21</v>
      </c>
      <c r="F1366" s="18" t="inlineStr">
        <is>
          <t>atendida</t>
        </is>
      </c>
      <c r="G1366" s="18" t="inlineStr">
        <is>
          <t>boolean</t>
        </is>
      </c>
      <c r="H1366" s="18" t="inlineStr">
        <is>
          <t>Sí</t>
        </is>
      </c>
      <c r="I1366" s="18" t="inlineStr"/>
      <c r="J1366" s="18" t="inlineStr"/>
      <c r="K1366" s="18" t="inlineStr"/>
      <c r="L1366" s="18" t="inlineStr">
        <is>
          <t>No</t>
        </is>
      </c>
      <c r="M1366" s="18" t="inlineStr">
        <is>
          <t>No</t>
        </is>
      </c>
      <c r="N1366" s="18" t="inlineStr"/>
      <c r="O1366" s="18" t="inlineStr"/>
      <c r="P1366" s="18" t="inlineStr">
        <is>
          <t>internal-institutional-control-service/src/esap/planes-mejoramiento/entities/alerta-plan.entity.ts:66: ¿Ha sido atendida/resuelta?</t>
        </is>
      </c>
      <c r="Q1366" s="18" t="inlineStr">
        <is>
          <t>Código fuente</t>
        </is>
      </c>
      <c r="R1366" s="18" t="inlineStr">
        <is>
          <t>Indica si la alerta fue atendida o resuelta; por defecto falso.</t>
        </is>
      </c>
      <c r="S1366" s="18" t="inlineStr">
        <is>
          <t>Alta</t>
        </is>
      </c>
      <c r="T1366" s="18" t="inlineStr">
        <is>
          <t>código: internal-institutional-control-service/src/esap/planes-mejoramiento/entities/alerta-plan.entity.ts:66</t>
        </is>
      </c>
      <c r="U1366" s="18" t="inlineStr"/>
      <c r="V1366" s="19" t="inlineStr">
        <is>
          <t>Aprobada</t>
        </is>
      </c>
      <c r="W1366" s="19" t="inlineStr"/>
      <c r="X1366" s="19" t="inlineStr">
        <is>
          <t>Aldair González (aprobación en bloque)</t>
        </is>
      </c>
      <c r="Y1366" s="20" t="n">
        <v>46321</v>
      </c>
      <c r="Z1366" s="19" t="inlineStr">
        <is>
          <t>Nivel 1: propuesta del comentario del desarrollador o de confianza alta, o regla de fecha/responsable/motivo.</t>
        </is>
      </c>
      <c r="AA1366" s="18">
        <f>IF(OR(V1366="Aprobada"),R1366,IF(AND(OR(V1366="Aprobada con ajuste",V1366="Rechazada"),W1366&lt;&gt;""),W1366,""))</f>
        <v/>
      </c>
    </row>
    <row r="1367">
      <c r="A1367" s="18" t="inlineStr">
        <is>
          <t>C1366</t>
        </is>
      </c>
      <c r="B1367" s="18" t="inlineStr">
        <is>
          <t>Control interno</t>
        </is>
      </c>
      <c r="C1367" s="18" t="inlineStr">
        <is>
          <t>control_interno</t>
        </is>
      </c>
      <c r="D1367" s="18" t="inlineStr">
        <is>
          <t>alerta_plan</t>
        </is>
      </c>
      <c r="E1367" s="18" t="n">
        <v>21</v>
      </c>
      <c r="F1367" s="18" t="inlineStr">
        <is>
          <t>atendida_at</t>
        </is>
      </c>
      <c r="G1367" s="18" t="inlineStr">
        <is>
          <t>timestamp with time zone</t>
        </is>
      </c>
      <c r="H1367" s="18" t="inlineStr">
        <is>
          <t>Sí</t>
        </is>
      </c>
      <c r="I1367" s="18" t="inlineStr"/>
      <c r="J1367" s="18" t="inlineStr"/>
      <c r="K1367" s="18" t="inlineStr"/>
      <c r="L1367" s="18" t="inlineStr">
        <is>
          <t>No</t>
        </is>
      </c>
      <c r="M1367" s="18" t="inlineStr">
        <is>
          <t>No</t>
        </is>
      </c>
      <c r="N1367" s="18" t="inlineStr"/>
      <c r="O1367" s="18" t="inlineStr"/>
      <c r="P1367" s="18" t="inlineStr">
        <is>
          <t>internal-institutional-control-service/src/esap/planes-mejoramiento/entities/alerta-plan.entity.ts:70: Fecha en que se atendió</t>
        </is>
      </c>
      <c r="Q1367" s="18" t="inlineStr">
        <is>
          <t>Código fuente</t>
        </is>
      </c>
      <c r="R1367" s="18" t="inlineStr">
        <is>
          <t>Fecha y hora en que se atendió la alerta.</t>
        </is>
      </c>
      <c r="S1367" s="18" t="inlineStr">
        <is>
          <t>Alta</t>
        </is>
      </c>
      <c r="T1367" s="18" t="inlineStr">
        <is>
          <t>código: internal-institutional-control-service/src/esap/planes-mejoramiento/entities/alerta-plan.entity.ts:70</t>
        </is>
      </c>
      <c r="U1367" s="18" t="inlineStr"/>
      <c r="V1367" s="19" t="inlineStr">
        <is>
          <t>Aprobada</t>
        </is>
      </c>
      <c r="W1367" s="19" t="inlineStr"/>
      <c r="X1367" s="19" t="inlineStr">
        <is>
          <t>Aldair González (aprobación en bloque)</t>
        </is>
      </c>
      <c r="Y1367" s="20" t="n">
        <v>46321</v>
      </c>
      <c r="Z1367" s="19" t="inlineStr">
        <is>
          <t>Nivel 1: propuesta del comentario del desarrollador o de confianza alta, o regla de fecha/responsable/motivo.</t>
        </is>
      </c>
      <c r="AA1367" s="18">
        <f>IF(OR(V1367="Aprobada"),R1367,IF(AND(OR(V1367="Aprobada con ajuste",V1367="Rechazada"),W1367&lt;&gt;""),W1367,""))</f>
        <v/>
      </c>
    </row>
    <row r="1368">
      <c r="A1368" s="18" t="inlineStr">
        <is>
          <t>C1367</t>
        </is>
      </c>
      <c r="B1368" s="18" t="inlineStr">
        <is>
          <t>Control interno</t>
        </is>
      </c>
      <c r="C1368" s="18" t="inlineStr">
        <is>
          <t>control_interno</t>
        </is>
      </c>
      <c r="D1368" s="18" t="inlineStr">
        <is>
          <t>alerta_plan</t>
        </is>
      </c>
      <c r="E1368" s="18" t="n">
        <v>21</v>
      </c>
      <c r="F1368" s="18" t="inlineStr">
        <is>
          <t>atendida_por_id</t>
        </is>
      </c>
      <c r="G1368" s="18" t="inlineStr">
        <is>
          <t>character varying(255)</t>
        </is>
      </c>
      <c r="H1368" s="18" t="inlineStr">
        <is>
          <t>Sí</t>
        </is>
      </c>
      <c r="I1368" s="18" t="inlineStr"/>
      <c r="J1368" s="18" t="inlineStr"/>
      <c r="K1368" s="18" t="inlineStr"/>
      <c r="L1368" s="18" t="inlineStr">
        <is>
          <t>No</t>
        </is>
      </c>
      <c r="M1368" s="18" t="inlineStr">
        <is>
          <t>No</t>
        </is>
      </c>
      <c r="N1368" s="18" t="inlineStr"/>
      <c r="O1368" s="18" t="inlineStr"/>
      <c r="P1368" s="18" t="inlineStr">
        <is>
          <t>internal-institutional-control-service/src/esap/planes-mejoramiento/entities/alerta-plan.entity.ts:74: ID del usuario que atendió la alerta</t>
        </is>
      </c>
      <c r="Q1368" s="18" t="inlineStr">
        <is>
          <t>Código fuente</t>
        </is>
      </c>
      <c r="R1368" s="18" t="inlineStr">
        <is>
          <t>Identificador del usuario que atendió la alerta.</t>
        </is>
      </c>
      <c r="S1368" s="18" t="inlineStr">
        <is>
          <t>Alta</t>
        </is>
      </c>
      <c r="T1368" s="18" t="inlineStr">
        <is>
          <t>código: internal-institutional-control-service/src/esap/planes-mejoramiento/entities/alerta-plan.entity.ts:74</t>
        </is>
      </c>
      <c r="U1368" s="18" t="inlineStr"/>
      <c r="V1368" s="19" t="inlineStr">
        <is>
          <t>Aprobada</t>
        </is>
      </c>
      <c r="W1368" s="19" t="inlineStr"/>
      <c r="X1368" s="19" t="inlineStr">
        <is>
          <t>Aldair González (aprobación en bloque)</t>
        </is>
      </c>
      <c r="Y1368" s="20" t="n">
        <v>46321</v>
      </c>
      <c r="Z1368" s="19" t="inlineStr">
        <is>
          <t>Nivel 1: propuesta del comentario del desarrollador o de confianza alta, o regla de fecha/responsable/motivo.</t>
        </is>
      </c>
      <c r="AA1368" s="18">
        <f>IF(OR(V1368="Aprobada"),R1368,IF(AND(OR(V1368="Aprobada con ajuste",V1368="Rechazada"),W1368&lt;&gt;""),W1368,""))</f>
        <v/>
      </c>
    </row>
    <row r="1369">
      <c r="A1369" s="18" t="inlineStr">
        <is>
          <t>C1368</t>
        </is>
      </c>
      <c r="B1369" s="18" t="inlineStr">
        <is>
          <t>Control interno</t>
        </is>
      </c>
      <c r="C1369" s="18" t="inlineStr">
        <is>
          <t>control_interno</t>
        </is>
      </c>
      <c r="D1369" s="18" t="inlineStr">
        <is>
          <t>ampliacion_plazo</t>
        </is>
      </c>
      <c r="E1369" s="18" t="n">
        <v>0</v>
      </c>
      <c r="F1369" s="18" t="inlineStr">
        <is>
          <t>fecha_fin_original</t>
        </is>
      </c>
      <c r="G1369" s="18" t="inlineStr">
        <is>
          <t>date</t>
        </is>
      </c>
      <c r="H1369" s="18" t="inlineStr">
        <is>
          <t>No</t>
        </is>
      </c>
      <c r="I1369" s="18" t="inlineStr"/>
      <c r="J1369" s="18" t="inlineStr"/>
      <c r="K1369" s="18" t="inlineStr"/>
      <c r="L1369" s="18" t="inlineStr">
        <is>
          <t>No</t>
        </is>
      </c>
      <c r="M1369" s="18" t="inlineStr">
        <is>
          <t>No</t>
        </is>
      </c>
      <c r="N1369" s="18" t="inlineStr"/>
      <c r="O1369" s="18" t="inlineStr"/>
      <c r="P1369" s="18" t="inlineStr"/>
      <c r="Q1369" s="18" t="inlineStr">
        <is>
          <t>Regla estructural (redacción revisada)</t>
        </is>
      </c>
      <c r="R1369" s="18" t="inlineStr">
        <is>
          <t>Fecha de finalización original de la auditoría, antes de la ampliación.</t>
        </is>
      </c>
      <c r="S1369" s="18" t="inlineStr">
        <is>
          <t>Alta</t>
        </is>
      </c>
      <c r="T1369" s="18" t="inlineStr">
        <is>
          <t>Convención de nombre, redactada con el contexto de la tabla y el código.</t>
        </is>
      </c>
      <c r="U1369" s="18" t="inlineStr"/>
      <c r="V1369" s="19" t="inlineStr">
        <is>
          <t>Aprobada</t>
        </is>
      </c>
      <c r="W1369" s="19" t="inlineStr"/>
      <c r="X1369" s="19" t="inlineStr">
        <is>
          <t>Aldair González (aprobación en bloque)</t>
        </is>
      </c>
      <c r="Y1369" s="20" t="n">
        <v>46321</v>
      </c>
      <c r="Z1369" s="19" t="inlineStr">
        <is>
          <t>Nivel 2: regla estructural con redacción revisada.</t>
        </is>
      </c>
      <c r="AA1369" s="18">
        <f>IF(OR(V1369="Aprobada"),R1369,IF(AND(OR(V1369="Aprobada con ajuste",V1369="Rechazada"),W1369&lt;&gt;""),W1369,""))</f>
        <v/>
      </c>
    </row>
    <row r="1370">
      <c r="A1370" s="18" t="inlineStr">
        <is>
          <t>C1369</t>
        </is>
      </c>
      <c r="B1370" s="18" t="inlineStr">
        <is>
          <t>Control interno</t>
        </is>
      </c>
      <c r="C1370" s="18" t="inlineStr">
        <is>
          <t>control_interno</t>
        </is>
      </c>
      <c r="D1370" s="18" t="inlineStr">
        <is>
          <t>ampliacion_plazo</t>
        </is>
      </c>
      <c r="E1370" s="18" t="n">
        <v>0</v>
      </c>
      <c r="F1370" s="18" t="inlineStr">
        <is>
          <t>fecha_fin_solicitada</t>
        </is>
      </c>
      <c r="G1370" s="18" t="inlineStr">
        <is>
          <t>date</t>
        </is>
      </c>
      <c r="H1370" s="18" t="inlineStr">
        <is>
          <t>No</t>
        </is>
      </c>
      <c r="I1370" s="18" t="inlineStr"/>
      <c r="J1370" s="18" t="inlineStr"/>
      <c r="K1370" s="18" t="inlineStr"/>
      <c r="L1370" s="18" t="inlineStr">
        <is>
          <t>No</t>
        </is>
      </c>
      <c r="M1370" s="18" t="inlineStr">
        <is>
          <t>No</t>
        </is>
      </c>
      <c r="N1370" s="18" t="inlineStr"/>
      <c r="O1370" s="18" t="inlineStr"/>
      <c r="P1370" s="18" t="inlineStr"/>
      <c r="Q1370" s="18" t="inlineStr">
        <is>
          <t>Regla estructural (redacción revisada)</t>
        </is>
      </c>
      <c r="R1370" s="18" t="inlineStr">
        <is>
          <t>Nueva fecha de finalización solicitada para la auditoría.</t>
        </is>
      </c>
      <c r="S1370" s="18" t="inlineStr">
        <is>
          <t>Alta</t>
        </is>
      </c>
      <c r="T1370" s="18" t="inlineStr">
        <is>
          <t>Convención de nombre, redactada con el contexto de la tabla y el código.</t>
        </is>
      </c>
      <c r="U1370" s="18" t="inlineStr"/>
      <c r="V1370" s="19" t="inlineStr">
        <is>
          <t>Aprobada</t>
        </is>
      </c>
      <c r="W1370" s="19" t="inlineStr"/>
      <c r="X1370" s="19" t="inlineStr">
        <is>
          <t>Aldair González (aprobación en bloque)</t>
        </is>
      </c>
      <c r="Y1370" s="20" t="n">
        <v>46321</v>
      </c>
      <c r="Z1370" s="19" t="inlineStr">
        <is>
          <t>Nivel 2: regla estructural con redacción revisada.</t>
        </is>
      </c>
      <c r="AA1370" s="18">
        <f>IF(OR(V1370="Aprobada"),R1370,IF(AND(OR(V1370="Aprobada con ajuste",V1370="Rechazada"),W1370&lt;&gt;""),W1370,""))</f>
        <v/>
      </c>
    </row>
    <row r="1371">
      <c r="A1371" s="18" t="inlineStr">
        <is>
          <t>C1370</t>
        </is>
      </c>
      <c r="B1371" s="18" t="inlineStr">
        <is>
          <t>Control interno</t>
        </is>
      </c>
      <c r="C1371" s="18" t="inlineStr">
        <is>
          <t>control_interno</t>
        </is>
      </c>
      <c r="D1371" s="18" t="inlineStr">
        <is>
          <t>ampliacion_plazo</t>
        </is>
      </c>
      <c r="E1371" s="18" t="n">
        <v>0</v>
      </c>
      <c r="F1371" s="18" t="inlineStr">
        <is>
          <t>fecha_solicitud</t>
        </is>
      </c>
      <c r="G1371" s="18" t="inlineStr">
        <is>
          <t>timestamp without time zone</t>
        </is>
      </c>
      <c r="H1371" s="18" t="inlineStr">
        <is>
          <t>No</t>
        </is>
      </c>
      <c r="I1371" s="18" t="inlineStr"/>
      <c r="J1371" s="18" t="inlineStr"/>
      <c r="K1371" s="18" t="inlineStr"/>
      <c r="L1371" s="18" t="inlineStr">
        <is>
          <t>No</t>
        </is>
      </c>
      <c r="M1371" s="18" t="inlineStr">
        <is>
          <t>No</t>
        </is>
      </c>
      <c r="N1371" s="18" t="inlineStr"/>
      <c r="O1371" s="18" t="inlineStr">
        <is>
          <t>idx_ampliacion_fecha_solicitud</t>
        </is>
      </c>
      <c r="P1371" s="18" t="inlineStr"/>
      <c r="Q1371" s="18" t="inlineStr">
        <is>
          <t>Regla estructural (redacción revisada)</t>
        </is>
      </c>
      <c r="R1371" s="18" t="inlineStr">
        <is>
          <t>Fecha y hora de la solicitud de ampliación de plazo.</t>
        </is>
      </c>
      <c r="S1371" s="18" t="inlineStr">
        <is>
          <t>Alta</t>
        </is>
      </c>
      <c r="T1371" s="18" t="inlineStr">
        <is>
          <t>Convención de nombre, redactada con el contexto de la tabla y el código.</t>
        </is>
      </c>
      <c r="U1371" s="18" t="inlineStr"/>
      <c r="V1371" s="19" t="inlineStr">
        <is>
          <t>Aprobada</t>
        </is>
      </c>
      <c r="W1371" s="19" t="inlineStr"/>
      <c r="X1371" s="19" t="inlineStr">
        <is>
          <t>Aldair González (aprobación en bloque)</t>
        </is>
      </c>
      <c r="Y1371" s="20" t="n">
        <v>46321</v>
      </c>
      <c r="Z1371" s="19" t="inlineStr">
        <is>
          <t>Nivel 2: regla estructural con redacción revisada.</t>
        </is>
      </c>
      <c r="AA1371" s="18">
        <f>IF(OR(V1371="Aprobada"),R1371,IF(AND(OR(V1371="Aprobada con ajuste",V1371="Rechazada"),W1371&lt;&gt;""),W1371,""))</f>
        <v/>
      </c>
    </row>
    <row r="1372">
      <c r="A1372" s="18" t="inlineStr">
        <is>
          <t>C1371</t>
        </is>
      </c>
      <c r="B1372" s="18" t="inlineStr">
        <is>
          <t>Control interno</t>
        </is>
      </c>
      <c r="C1372" s="18" t="inlineStr">
        <is>
          <t>control_interno</t>
        </is>
      </c>
      <c r="D1372" s="18" t="inlineStr">
        <is>
          <t>ampliacion_plazo</t>
        </is>
      </c>
      <c r="E1372" s="18" t="n">
        <v>0</v>
      </c>
      <c r="F1372" s="18" t="inlineStr">
        <is>
          <t>fecha_respuesta</t>
        </is>
      </c>
      <c r="G1372" s="18" t="inlineStr">
        <is>
          <t>timestamp without time zone</t>
        </is>
      </c>
      <c r="H1372" s="18" t="inlineStr">
        <is>
          <t>Sí</t>
        </is>
      </c>
      <c r="I1372" s="18" t="inlineStr"/>
      <c r="J1372" s="18" t="inlineStr"/>
      <c r="K1372" s="18" t="inlineStr"/>
      <c r="L1372" s="18" t="inlineStr">
        <is>
          <t>No</t>
        </is>
      </c>
      <c r="M1372" s="18" t="inlineStr">
        <is>
          <t>No</t>
        </is>
      </c>
      <c r="N1372" s="18" t="inlineStr"/>
      <c r="O1372" s="18" t="inlineStr"/>
      <c r="P1372" s="18" t="inlineStr"/>
      <c r="Q1372" s="18" t="inlineStr">
        <is>
          <t>Regla estructural (redacción revisada)</t>
        </is>
      </c>
      <c r="R1372" s="18" t="inlineStr">
        <is>
          <t>Fecha y hora de respuesta a la solicitud de ampliación de plazo.</t>
        </is>
      </c>
      <c r="S1372" s="18" t="inlineStr">
        <is>
          <t>Alta</t>
        </is>
      </c>
      <c r="T1372" s="18" t="inlineStr">
        <is>
          <t>Convención de nombre, redactada con el contexto de la tabla y el código.</t>
        </is>
      </c>
      <c r="U1372" s="18" t="inlineStr"/>
      <c r="V1372" s="19" t="inlineStr">
        <is>
          <t>Aprobada</t>
        </is>
      </c>
      <c r="W1372" s="19" t="inlineStr"/>
      <c r="X1372" s="19" t="inlineStr">
        <is>
          <t>Aldair González (aprobación en bloque)</t>
        </is>
      </c>
      <c r="Y1372" s="20" t="n">
        <v>46321</v>
      </c>
      <c r="Z1372" s="19" t="inlineStr">
        <is>
          <t>Nivel 2: regla estructural con redacción revisada.</t>
        </is>
      </c>
      <c r="AA1372" s="18">
        <f>IF(OR(V1372="Aprobada"),R1372,IF(AND(OR(V1372="Aprobada con ajuste",V1372="Rechazada"),W1372&lt;&gt;""),W1372,""))</f>
        <v/>
      </c>
    </row>
    <row r="1373">
      <c r="A1373" s="18" t="inlineStr">
        <is>
          <t>C1372</t>
        </is>
      </c>
      <c r="B1373" s="18" t="inlineStr">
        <is>
          <t>Control interno</t>
        </is>
      </c>
      <c r="C1373" s="18" t="inlineStr">
        <is>
          <t>control_interno</t>
        </is>
      </c>
      <c r="D1373" s="18" t="inlineStr">
        <is>
          <t>ampliacion_plazo</t>
        </is>
      </c>
      <c r="E1373" s="18" t="n">
        <v>0</v>
      </c>
      <c r="F1373" s="18" t="inlineStr">
        <is>
          <t>justificacion</t>
        </is>
      </c>
      <c r="G1373" s="18" t="inlineStr">
        <is>
          <t>text</t>
        </is>
      </c>
      <c r="H1373" s="18" t="inlineStr">
        <is>
          <t>No</t>
        </is>
      </c>
      <c r="I1373" s="18" t="inlineStr"/>
      <c r="J1373" s="18" t="inlineStr"/>
      <c r="K1373" s="18" t="inlineStr"/>
      <c r="L1373" s="18" t="inlineStr">
        <is>
          <t>No</t>
        </is>
      </c>
      <c r="M1373" s="18" t="inlineStr">
        <is>
          <t>No</t>
        </is>
      </c>
      <c r="N1373" s="18" t="inlineStr"/>
      <c r="O1373" s="18" t="inlineStr"/>
      <c r="P1373" s="18" t="inlineStr"/>
      <c r="Q1373" s="18" t="inlineStr">
        <is>
          <t>Propuesta semántica</t>
        </is>
      </c>
      <c r="R1373" s="18" t="inlineStr">
        <is>
          <t>Justificación de la solicitud de ampliación de plazo de la auditoría.</t>
        </is>
      </c>
      <c r="S1373" s="18" t="inlineStr">
        <is>
          <t>Alta</t>
        </is>
      </c>
      <c r="T1373" s="18" t="inlineStr">
        <is>
          <t>nombre + tipo + descripción de la tabla ~</t>
        </is>
      </c>
      <c r="U1373" s="18" t="inlineStr"/>
      <c r="V1373" s="19" t="inlineStr">
        <is>
          <t>Aprobada</t>
        </is>
      </c>
      <c r="W1373" s="19" t="inlineStr"/>
      <c r="X1373" s="19" t="inlineStr">
        <is>
          <t>Aldair González (aprobación en bloque)</t>
        </is>
      </c>
      <c r="Y1373" s="20" t="n">
        <v>46321</v>
      </c>
      <c r="Z1373" s="19" t="inlineStr">
        <is>
          <t>Nivel 1: propuesta del comentario del desarrollador o de confianza alta, o regla de fecha/responsable/motivo.</t>
        </is>
      </c>
      <c r="AA1373" s="18">
        <f>IF(OR(V1373="Aprobada"),R1373,IF(AND(OR(V1373="Aprobada con ajuste",V1373="Rechazada"),W1373&lt;&gt;""),W1373,""))</f>
        <v/>
      </c>
    </row>
    <row r="1374">
      <c r="A1374" s="18" t="inlineStr">
        <is>
          <t>C1373</t>
        </is>
      </c>
      <c r="B1374" s="18" t="inlineStr">
        <is>
          <t>Control interno</t>
        </is>
      </c>
      <c r="C1374" s="18" t="inlineStr">
        <is>
          <t>control_interno</t>
        </is>
      </c>
      <c r="D1374" s="18" t="inlineStr">
        <is>
          <t>ampliacion_plazo</t>
        </is>
      </c>
      <c r="E1374" s="18" t="n">
        <v>0</v>
      </c>
      <c r="F1374" s="18" t="inlineStr">
        <is>
          <t>motivo_rechazo</t>
        </is>
      </c>
      <c r="G1374" s="18" t="inlineStr">
        <is>
          <t>text</t>
        </is>
      </c>
      <c r="H1374" s="18" t="inlineStr">
        <is>
          <t>Sí</t>
        </is>
      </c>
      <c r="I1374" s="18" t="inlineStr"/>
      <c r="J1374" s="18" t="inlineStr"/>
      <c r="K1374" s="18" t="inlineStr"/>
      <c r="L1374" s="18" t="inlineStr">
        <is>
          <t>No</t>
        </is>
      </c>
      <c r="M1374" s="18" t="inlineStr">
        <is>
          <t>No</t>
        </is>
      </c>
      <c r="N1374" s="18" t="inlineStr"/>
      <c r="O1374" s="18" t="inlineStr"/>
      <c r="P1374" s="18" t="inlineStr"/>
      <c r="Q1374" s="18" t="inlineStr">
        <is>
          <t>Regla estructural</t>
        </is>
      </c>
      <c r="R1374" s="18" t="inlineStr">
        <is>
          <t>Motivo del rechazo.</t>
        </is>
      </c>
      <c r="S1374" s="18" t="inlineStr">
        <is>
          <t>Media</t>
        </is>
      </c>
      <c r="T1374" s="18" t="inlineStr">
        <is>
          <t>Convención de nombre de la columna.</t>
        </is>
      </c>
      <c r="U1374" s="18" t="inlineStr"/>
      <c r="V1374" s="19" t="inlineStr">
        <is>
          <t>Aprobada</t>
        </is>
      </c>
      <c r="W1374" s="19" t="inlineStr"/>
      <c r="X1374" s="19" t="inlineStr">
        <is>
          <t>Aldair González (aprobación en bloque)</t>
        </is>
      </c>
      <c r="Y1374" s="20" t="n">
        <v>46321</v>
      </c>
      <c r="Z1374" s="19" t="inlineStr">
        <is>
          <t>Nivel 1: propuesta del comentario del desarrollador o de confianza alta, o regla de fecha/responsable/motivo.</t>
        </is>
      </c>
      <c r="AA1374" s="18">
        <f>IF(OR(V1374="Aprobada"),R1374,IF(AND(OR(V1374="Aprobada con ajuste",V1374="Rechazada"),W1374&lt;&gt;""),W1374,""))</f>
        <v/>
      </c>
    </row>
    <row r="1375">
      <c r="A1375" s="18" t="inlineStr">
        <is>
          <t>C1374</t>
        </is>
      </c>
      <c r="B1375" s="18" t="inlineStr">
        <is>
          <t>Control interno</t>
        </is>
      </c>
      <c r="C1375" s="18" t="inlineStr">
        <is>
          <t>control_interno</t>
        </is>
      </c>
      <c r="D1375" s="18" t="inlineStr">
        <is>
          <t>ampliacion_plazo</t>
        </is>
      </c>
      <c r="E1375" s="18" t="n">
        <v>0</v>
      </c>
      <c r="F1375" s="18" t="inlineStr">
        <is>
          <t>comentarios</t>
        </is>
      </c>
      <c r="G1375" s="18" t="inlineStr">
        <is>
          <t>text</t>
        </is>
      </c>
      <c r="H1375" s="18" t="inlineStr">
        <is>
          <t>Sí</t>
        </is>
      </c>
      <c r="I1375" s="18" t="inlineStr"/>
      <c r="J1375" s="18" t="inlineStr"/>
      <c r="K1375" s="18" t="inlineStr"/>
      <c r="L1375" s="18" t="inlineStr">
        <is>
          <t>No</t>
        </is>
      </c>
      <c r="M1375" s="18" t="inlineStr">
        <is>
          <t>No</t>
        </is>
      </c>
      <c r="N1375" s="18" t="inlineStr"/>
      <c r="O1375" s="18" t="inlineStr"/>
      <c r="P1375" s="18" t="inlineStr"/>
      <c r="Q1375" s="18" t="inlineStr">
        <is>
          <t>Código fuente (verificado)</t>
        </is>
      </c>
      <c r="R1375" s="18" t="inlineStr">
        <is>
          <t>Comentarios adicionales sobre la solicitud de ampliación de plazo.</t>
        </is>
      </c>
      <c r="S1375" s="18" t="inlineStr">
        <is>
          <t>Media</t>
        </is>
      </c>
      <c r="T1375" s="18" t="inlineStr">
        <is>
          <t>db/init/005_control_interno_ddl_20260129_215540.sql:868: text nulo | db/migrations/old/072_setup_auditoria_complete.sql:490: sin comentario de columna | sin entidad ni uso en el código del servicio</t>
        </is>
      </c>
      <c r="U1375" s="18" t="inlineStr">
        <is>
          <t>¿comentarios los registra el solicitante o quien aprueba o rechaza? La tabla no tiene entidad en el código.</t>
        </is>
      </c>
      <c r="V1375" s="19" t="inlineStr">
        <is>
          <t>Aprobada</t>
        </is>
      </c>
      <c r="W1375" s="19" t="inlineStr"/>
      <c r="X1375" s="19" t="inlineStr">
        <is>
          <t>Aldair González (validación del responsable de BD)</t>
        </is>
      </c>
      <c r="Y1375" s="20" t="n">
        <v>46321</v>
      </c>
      <c r="Z1375" s="19" t="inlineStr">
        <is>
          <t>Nivel 3: validada por decisión del responsable de la base de datos. Pregunta registrada para desarrollo: ¿comentarios los registra el solicitante o quien aprueba o rechaza? La tabla no tiene entidad en el código.</t>
        </is>
      </c>
      <c r="AA1375" s="18">
        <f>IF(OR(V1375="Aprobada"),R1375,IF(AND(OR(V1375="Aprobada con ajuste",V1375="Rechazada"),W1375&lt;&gt;""),W1375,""))</f>
        <v/>
      </c>
    </row>
    <row r="1376">
      <c r="A1376" s="18" t="inlineStr">
        <is>
          <t>C1375</t>
        </is>
      </c>
      <c r="B1376" s="18" t="inlineStr">
        <is>
          <t>Control interno</t>
        </is>
      </c>
      <c r="C1376" s="18" t="inlineStr">
        <is>
          <t>control_interno</t>
        </is>
      </c>
      <c r="D1376" s="18" t="inlineStr">
        <is>
          <t>ampliacion_plazo</t>
        </is>
      </c>
      <c r="E1376" s="18" t="n">
        <v>0</v>
      </c>
      <c r="F1376" s="18" t="inlineStr">
        <is>
          <t>solicitado_por</t>
        </is>
      </c>
      <c r="G1376" s="18" t="inlineStr">
        <is>
          <t>character varying(100)</t>
        </is>
      </c>
      <c r="H1376" s="18" t="inlineStr">
        <is>
          <t>No</t>
        </is>
      </c>
      <c r="I1376" s="18" t="inlineStr"/>
      <c r="J1376" s="18" t="inlineStr"/>
      <c r="K1376" s="18" t="inlineStr"/>
      <c r="L1376" s="18" t="inlineStr">
        <is>
          <t>No</t>
        </is>
      </c>
      <c r="M1376" s="18" t="inlineStr">
        <is>
          <t>No</t>
        </is>
      </c>
      <c r="N1376" s="18" t="inlineStr"/>
      <c r="O1376" s="18" t="inlineStr"/>
      <c r="P1376" s="18" t="inlineStr"/>
      <c r="Q1376" s="18" t="inlineStr">
        <is>
          <t>Regla estructural</t>
        </is>
      </c>
      <c r="R1376" s="18" t="inlineStr">
        <is>
          <t>Usuario que realizó la solicitud.</t>
        </is>
      </c>
      <c r="S1376" s="18" t="inlineStr">
        <is>
          <t>Media</t>
        </is>
      </c>
      <c r="T1376" s="18" t="inlineStr">
        <is>
          <t>Convención de nombre de la columna.</t>
        </is>
      </c>
      <c r="U1376" s="18" t="inlineStr"/>
      <c r="V1376" s="19" t="inlineStr">
        <is>
          <t>Aprobada</t>
        </is>
      </c>
      <c r="W1376" s="19" t="inlineStr"/>
      <c r="X1376" s="19" t="inlineStr">
        <is>
          <t>Aldair González (aprobación en bloque)</t>
        </is>
      </c>
      <c r="Y1376" s="20" t="n">
        <v>46321</v>
      </c>
      <c r="Z1376" s="19" t="inlineStr">
        <is>
          <t>Nivel 1: propuesta del comentario del desarrollador o de confianza alta, o regla de fecha/responsable/motivo.</t>
        </is>
      </c>
      <c r="AA1376" s="18">
        <f>IF(OR(V1376="Aprobada"),R1376,IF(AND(OR(V1376="Aprobada con ajuste",V1376="Rechazada"),W1376&lt;&gt;""),W1376,""))</f>
        <v/>
      </c>
    </row>
    <row r="1377">
      <c r="A1377" s="18" t="inlineStr">
        <is>
          <t>C1376</t>
        </is>
      </c>
      <c r="B1377" s="18" t="inlineStr">
        <is>
          <t>Control interno</t>
        </is>
      </c>
      <c r="C1377" s="18" t="inlineStr">
        <is>
          <t>control_interno</t>
        </is>
      </c>
      <c r="D1377" s="18" t="inlineStr">
        <is>
          <t>ampliacion_plazo</t>
        </is>
      </c>
      <c r="E1377" s="18" t="n">
        <v>0</v>
      </c>
      <c r="F1377" s="18" t="inlineStr">
        <is>
          <t>aprobado_rechazado_por</t>
        </is>
      </c>
      <c r="G1377" s="18" t="inlineStr">
        <is>
          <t>character varying(100)</t>
        </is>
      </c>
      <c r="H1377" s="18" t="inlineStr">
        <is>
          <t>Sí</t>
        </is>
      </c>
      <c r="I1377" s="18" t="inlineStr"/>
      <c r="J1377" s="18" t="inlineStr"/>
      <c r="K1377" s="18" t="inlineStr"/>
      <c r="L1377" s="18" t="inlineStr">
        <is>
          <t>No</t>
        </is>
      </c>
      <c r="M1377" s="18" t="inlineStr">
        <is>
          <t>No</t>
        </is>
      </c>
      <c r="N1377" s="18" t="inlineStr"/>
      <c r="O1377" s="18" t="inlineStr"/>
      <c r="P1377" s="18" t="inlineStr"/>
      <c r="Q1377" s="18" t="inlineStr">
        <is>
          <t>Código fuente (verificado)</t>
        </is>
      </c>
      <c r="R1377" s="18" t="inlineStr">
        <is>
          <t>Usuario que aprobó o rechazó la solicitud de ampliación de plazo.</t>
        </is>
      </c>
      <c r="S1377" s="18" t="inlineStr">
        <is>
          <t>Media</t>
        </is>
      </c>
      <c r="T1377" s="18" t="inlineStr">
        <is>
          <t>db/init/005_control_interno_ddl_20260129_215540.sql:870: varchar(100) | sin entidad ni uso en el código del servicio</t>
        </is>
      </c>
      <c r="U1377" s="18" t="inlineStr">
        <is>
          <t>¿aprobado_rechazado_por guarda el nombre, el correo o el identificador del usuario? La tabla no tiene entidad en el código.</t>
        </is>
      </c>
      <c r="V1377" s="19" t="inlineStr">
        <is>
          <t>Aprobada</t>
        </is>
      </c>
      <c r="W1377" s="19" t="inlineStr"/>
      <c r="X1377" s="19" t="inlineStr">
        <is>
          <t>Aldair González (validación del responsable de BD)</t>
        </is>
      </c>
      <c r="Y1377" s="20" t="n">
        <v>46321</v>
      </c>
      <c r="Z1377" s="19" t="inlineStr">
        <is>
          <t>Nivel 3: validada por decisión del responsable de la base de datos. Pregunta registrada para desarrollo: ¿aprobado_rechazado_por guarda el nombre, el correo o el identificador del usuario? La tabla no tiene entidad en el código.</t>
        </is>
      </c>
      <c r="AA1377" s="18">
        <f>IF(OR(V1377="Aprobada"),R1377,IF(AND(OR(V1377="Aprobada con ajuste",V1377="Rechazada"),W1377&lt;&gt;""),W1377,""))</f>
        <v/>
      </c>
    </row>
    <row r="1378">
      <c r="A1378" s="18" t="inlineStr">
        <is>
          <t>C1377</t>
        </is>
      </c>
      <c r="B1378" s="18" t="inlineStr">
        <is>
          <t>Control interno</t>
        </is>
      </c>
      <c r="C1378" s="18" t="inlineStr">
        <is>
          <t>control_interno</t>
        </is>
      </c>
      <c r="D1378" s="18" t="inlineStr">
        <is>
          <t>aprobacion</t>
        </is>
      </c>
      <c r="E1378" s="18" t="n">
        <v>10</v>
      </c>
      <c r="F1378" s="18" t="inlineStr">
        <is>
          <t>codigo</t>
        </is>
      </c>
      <c r="G1378" s="18" t="inlineStr">
        <is>
          <t>character varying(255)</t>
        </is>
      </c>
      <c r="H1378" s="18" t="inlineStr">
        <is>
          <t>Sí</t>
        </is>
      </c>
      <c r="I1378" s="18" t="inlineStr">
        <is>
          <t>Única</t>
        </is>
      </c>
      <c r="J1378" s="18" t="inlineStr"/>
      <c r="K1378" s="18" t="inlineStr"/>
      <c r="L1378" s="18" t="inlineStr">
        <is>
          <t>No</t>
        </is>
      </c>
      <c r="M1378" s="18" t="inlineStr">
        <is>
          <t>No</t>
        </is>
      </c>
      <c r="N1378" s="18" t="inlineStr"/>
      <c r="O1378" s="18" t="inlineStr">
        <is>
          <t>aprobacion_codigo_key</t>
        </is>
      </c>
      <c r="P1378" s="18" t="inlineStr">
        <is>
          <t>Mapeada en internal-institutional-control-service/src/esap/aprobaciones/entities/aprobacion.entity.ts:34 (Aprobacion.codigo) | Validación: IsNotEmpty, IsOptional, IsString, Length(1, 50), MaxLength(80)</t>
        </is>
      </c>
      <c r="Q1378" s="18" t="inlineStr">
        <is>
          <t>Regla estructural (redacción revisada)</t>
        </is>
      </c>
      <c r="R1378" s="18" t="inlineStr">
        <is>
          <t>Código de la aprobación, único en la tabla.</t>
        </is>
      </c>
      <c r="S1378" s="18" t="inlineStr">
        <is>
          <t>Alta</t>
        </is>
      </c>
      <c r="T1378" s="18" t="inlineStr">
        <is>
          <t>Convención de nombre, redactada con el contexto de la tabla y el código.</t>
        </is>
      </c>
      <c r="U1378" s="18" t="inlineStr"/>
      <c r="V1378" s="19" t="inlineStr">
        <is>
          <t>Aprobada</t>
        </is>
      </c>
      <c r="W1378" s="19" t="inlineStr"/>
      <c r="X1378" s="19" t="inlineStr">
        <is>
          <t>Aldair González (aprobación en bloque)</t>
        </is>
      </c>
      <c r="Y1378" s="20" t="n">
        <v>46321</v>
      </c>
      <c r="Z1378" s="19" t="inlineStr">
        <is>
          <t>Nivel 2: regla estructural con redacción revisada.</t>
        </is>
      </c>
      <c r="AA1378" s="18">
        <f>IF(OR(V1378="Aprobada"),R1378,IF(AND(OR(V1378="Aprobada con ajuste",V1378="Rechazada"),W1378&lt;&gt;""),W1378,""))</f>
        <v/>
      </c>
    </row>
    <row r="1379">
      <c r="A1379" s="18" t="inlineStr">
        <is>
          <t>C1378</t>
        </is>
      </c>
      <c r="B1379" s="18" t="inlineStr">
        <is>
          <t>Control interno</t>
        </is>
      </c>
      <c r="C1379" s="18" t="inlineStr">
        <is>
          <t>control_interno</t>
        </is>
      </c>
      <c r="D1379" s="18" t="inlineStr">
        <is>
          <t>aprobacion</t>
        </is>
      </c>
      <c r="E1379" s="18" t="n">
        <v>10</v>
      </c>
      <c r="F1379" s="18" t="inlineStr">
        <is>
          <t>tipo</t>
        </is>
      </c>
      <c r="G1379" s="18" t="inlineStr">
        <is>
          <t>character varying(100)</t>
        </is>
      </c>
      <c r="H1379" s="18" t="inlineStr">
        <is>
          <t>Sí</t>
        </is>
      </c>
      <c r="I1379" s="18" t="inlineStr">
        <is>
          <t>CHECK</t>
        </is>
      </c>
      <c r="J1379" s="18" t="inlineStr">
        <is>
          <t>documento, informe, plan-auditoria, plan-mejora</t>
        </is>
      </c>
      <c r="K1379" s="18" t="inlineStr"/>
      <c r="L1379" s="18" t="inlineStr">
        <is>
          <t>Sí</t>
        </is>
      </c>
      <c r="M1379" s="18" t="inlineStr">
        <is>
          <t>No</t>
        </is>
      </c>
      <c r="N1379" s="18" t="inlineStr"/>
      <c r="O1379" s="18" t="inlineStr">
        <is>
          <t>idx_aprobacion_tipo</t>
        </is>
      </c>
      <c r="P1379" s="18" t="inlineStr">
        <is>
          <t>Mapeada en internal-institutional-control-service/src/esap/aprobaciones/entities/aprobacion.entity.ts:37 (Aprobacion.tipo) | Validación: IsEnum(AccionCorrectivaTipo), IsEnum(TipoAuditoriaProgramada), IsEnum(TipoEventoTimeline), IsEnum(TipoTablero), IsEnum(['cumplimiento', 'eficiencia', 'eficacia', 'economia']), IsEnum(['plan-auditoria', 'plan-mejora', 'informe', 'documento'])</t>
        </is>
      </c>
      <c r="Q1379" s="18" t="inlineStr">
        <is>
          <t>Regla estructural (redacción revisada)</t>
        </is>
      </c>
      <c r="R1379" s="18" t="inlineStr">
        <is>
          <t>Tipo de aprobación (documento, informe, plan-auditoria o plan-mejora).</t>
        </is>
      </c>
      <c r="S1379" s="18" t="inlineStr">
        <is>
          <t>Alta</t>
        </is>
      </c>
      <c r="T1379" s="18" t="inlineStr">
        <is>
          <t>Convención de nombre, redactada con el contexto de la tabla y el código.</t>
        </is>
      </c>
      <c r="U1379" s="18" t="inlineStr"/>
      <c r="V1379" s="19" t="inlineStr">
        <is>
          <t>Aprobada</t>
        </is>
      </c>
      <c r="W1379" s="19" t="inlineStr"/>
      <c r="X1379" s="19" t="inlineStr">
        <is>
          <t>Aldair González (aprobación en bloque)</t>
        </is>
      </c>
      <c r="Y1379" s="20" t="n">
        <v>46321</v>
      </c>
      <c r="Z1379" s="19" t="inlineStr">
        <is>
          <t>Nivel 2: regla estructural con redacción revisada.</t>
        </is>
      </c>
      <c r="AA1379" s="18">
        <f>IF(OR(V1379="Aprobada"),R1379,IF(AND(OR(V1379="Aprobada con ajuste",V1379="Rechazada"),W1379&lt;&gt;""),W1379,""))</f>
        <v/>
      </c>
    </row>
    <row r="1380">
      <c r="A1380" s="18" t="inlineStr">
        <is>
          <t>C1379</t>
        </is>
      </c>
      <c r="B1380" s="18" t="inlineStr">
        <is>
          <t>Control interno</t>
        </is>
      </c>
      <c r="C1380" s="18" t="inlineStr">
        <is>
          <t>control_interno</t>
        </is>
      </c>
      <c r="D1380" s="18" t="inlineStr">
        <is>
          <t>aprobacion</t>
        </is>
      </c>
      <c r="E1380" s="18" t="n">
        <v>10</v>
      </c>
      <c r="F1380" s="18" t="inlineStr">
        <is>
          <t>titulo</t>
        </is>
      </c>
      <c r="G1380" s="18" t="inlineStr">
        <is>
          <t>character varying(500)</t>
        </is>
      </c>
      <c r="H1380" s="18" t="inlineStr">
        <is>
          <t>Sí</t>
        </is>
      </c>
      <c r="I1380" s="18" t="inlineStr"/>
      <c r="J1380" s="18" t="inlineStr"/>
      <c r="K1380" s="18" t="inlineStr"/>
      <c r="L1380" s="18" t="inlineStr">
        <is>
          <t>No</t>
        </is>
      </c>
      <c r="M1380" s="18" t="inlineStr">
        <is>
          <t>No</t>
        </is>
      </c>
      <c r="N1380" s="18" t="inlineStr"/>
      <c r="O1380" s="18" t="inlineStr"/>
      <c r="P1380" s="18" t="inlineStr">
        <is>
          <t>Mapeada en internal-institutional-control-service/src/esap/aprobaciones/entities/aprobacion.entity.ts:45 (Aprobacion.titulo) | Validación: IsNotEmpty, IsOptional, IsString, MaxLength(255), MaxLength(500)</t>
        </is>
      </c>
      <c r="Q1380" s="18" t="inlineStr">
        <is>
          <t>Propuesta semántica</t>
        </is>
      </c>
      <c r="R1380" s="18" t="inlineStr">
        <is>
          <t>Título de la solicitud de aprobación.</t>
        </is>
      </c>
      <c r="S1380" s="18" t="inlineStr">
        <is>
          <t>Alta</t>
        </is>
      </c>
      <c r="T1380" s="18" t="inlineStr">
        <is>
          <t>nombre + tipo + validaciones ~</t>
        </is>
      </c>
      <c r="U1380" s="18" t="inlineStr"/>
      <c r="V1380" s="19" t="inlineStr">
        <is>
          <t>Aprobada</t>
        </is>
      </c>
      <c r="W1380" s="19" t="inlineStr"/>
      <c r="X1380" s="19" t="inlineStr">
        <is>
          <t>Aldair González (aprobación en bloque)</t>
        </is>
      </c>
      <c r="Y1380" s="20" t="n">
        <v>46321</v>
      </c>
      <c r="Z1380" s="19" t="inlineStr">
        <is>
          <t>Nivel 1: propuesta del comentario del desarrollador o de confianza alta, o regla de fecha/responsable/motivo.</t>
        </is>
      </c>
      <c r="AA1380" s="18">
        <f>IF(OR(V1380="Aprobada"),R1380,IF(AND(OR(V1380="Aprobada con ajuste",V1380="Rechazada"),W1380&lt;&gt;""),W1380,""))</f>
        <v/>
      </c>
    </row>
    <row r="1381">
      <c r="A1381" s="18" t="inlineStr">
        <is>
          <t>C1380</t>
        </is>
      </c>
      <c r="B1381" s="18" t="inlineStr">
        <is>
          <t>Control interno</t>
        </is>
      </c>
      <c r="C1381" s="18" t="inlineStr">
        <is>
          <t>control_interno</t>
        </is>
      </c>
      <c r="D1381" s="18" t="inlineStr">
        <is>
          <t>aprobacion</t>
        </is>
      </c>
      <c r="E1381" s="18" t="n">
        <v>10</v>
      </c>
      <c r="F1381" s="18" t="inlineStr">
        <is>
          <t>descripcion</t>
        </is>
      </c>
      <c r="G1381" s="18" t="inlineStr">
        <is>
          <t>text</t>
        </is>
      </c>
      <c r="H1381" s="18" t="inlineStr">
        <is>
          <t>Sí</t>
        </is>
      </c>
      <c r="I1381" s="18" t="inlineStr"/>
      <c r="J1381" s="18" t="inlineStr"/>
      <c r="K1381" s="18" t="inlineStr"/>
      <c r="L1381" s="18" t="inlineStr">
        <is>
          <t>No</t>
        </is>
      </c>
      <c r="M1381" s="18" t="inlineStr">
        <is>
          <t>No</t>
        </is>
      </c>
      <c r="N1381" s="18" t="inlineStr"/>
      <c r="O1381" s="18" t="inlineStr"/>
      <c r="P1381" s="18" t="inlineStr">
        <is>
          <t>Mapeada en internal-institutional-control-service/src/esap/aprobaciones/entities/aprobacion.entity.ts:48 (Aprobacion.descripcion) | Validación: IsNotEmpty, IsOptional, IsString</t>
        </is>
      </c>
      <c r="Q1381" s="18" t="inlineStr">
        <is>
          <t>Regla estructural (redacción revisada)</t>
        </is>
      </c>
      <c r="R1381" s="18" t="inlineStr">
        <is>
          <t>Descripción de la solicitud de aprobación.</t>
        </is>
      </c>
      <c r="S1381" s="18" t="inlineStr">
        <is>
          <t>Alta</t>
        </is>
      </c>
      <c r="T1381" s="18" t="inlineStr">
        <is>
          <t>Convención de nombre, redactada con el contexto de la tabla y el código.</t>
        </is>
      </c>
      <c r="U1381" s="18" t="inlineStr"/>
      <c r="V1381" s="19" t="inlineStr">
        <is>
          <t>Aprobada</t>
        </is>
      </c>
      <c r="W1381" s="19" t="inlineStr"/>
      <c r="X1381" s="19" t="inlineStr">
        <is>
          <t>Aldair González (aprobación en bloque)</t>
        </is>
      </c>
      <c r="Y1381" s="20" t="n">
        <v>46321</v>
      </c>
      <c r="Z1381" s="19" t="inlineStr">
        <is>
          <t>Nivel 2: regla estructural con redacción revisada.</t>
        </is>
      </c>
      <c r="AA1381" s="18">
        <f>IF(OR(V1381="Aprobada"),R1381,IF(AND(OR(V1381="Aprobada con ajuste",V1381="Rechazada"),W1381&lt;&gt;""),W1381,""))</f>
        <v/>
      </c>
    </row>
    <row r="1382">
      <c r="A1382" s="18" t="inlineStr">
        <is>
          <t>C1381</t>
        </is>
      </c>
      <c r="B1382" s="18" t="inlineStr">
        <is>
          <t>Control interno</t>
        </is>
      </c>
      <c r="C1382" s="18" t="inlineStr">
        <is>
          <t>control_interno</t>
        </is>
      </c>
      <c r="D1382" s="18" t="inlineStr">
        <is>
          <t>aprobacion</t>
        </is>
      </c>
      <c r="E1382" s="18" t="n">
        <v>10</v>
      </c>
      <c r="F1382" s="18" t="inlineStr">
        <is>
          <t>solicitante</t>
        </is>
      </c>
      <c r="G1382" s="18" t="inlineStr">
        <is>
          <t>character varying(255)</t>
        </is>
      </c>
      <c r="H1382" s="18" t="inlineStr">
        <is>
          <t>Sí</t>
        </is>
      </c>
      <c r="I1382" s="18" t="inlineStr"/>
      <c r="J1382" s="18" t="inlineStr"/>
      <c r="K1382" s="18" t="inlineStr"/>
      <c r="L1382" s="18" t="inlineStr">
        <is>
          <t>No</t>
        </is>
      </c>
      <c r="M1382" s="18" t="inlineStr">
        <is>
          <t>No</t>
        </is>
      </c>
      <c r="N1382" s="18" t="inlineStr"/>
      <c r="O1382" s="18" t="inlineStr"/>
      <c r="P1382" s="18" t="inlineStr">
        <is>
          <t>Mapeada en internal-institutional-control-service/src/esap/aprobaciones/entities/aprobacion.entity.ts:51 (Aprobacion.solicitante) | Validación: IsNotEmpty, IsString</t>
        </is>
      </c>
      <c r="Q1382" s="18" t="inlineStr">
        <is>
          <t>Código fuente (verificado)</t>
        </is>
      </c>
      <c r="R1382" s="18" t="inlineStr">
        <is>
          <t>Solicitante de la aprobación, registrado como texto; en las aprobaciones de plan de mejoramiento se copia el responsable de implementación del plan o Sistema.</t>
        </is>
      </c>
      <c r="S1382" s="18" t="inlineStr">
        <is>
          <t>Media</t>
        </is>
      </c>
      <c r="T1382" s="18" t="inlineStr">
        <is>
          <t>backend/internal-institutional-control-service/src/esap/aprobaciones/aprobaciones.service.ts:58: se guarda el valor del DTO | backend/internal-institutional-control-service/src/esap/planes-mejoramiento/planes-mejoramiento.service.ts:972: solicitante = plan.responsableImplementacion || 'Sistema'</t>
        </is>
      </c>
      <c r="U1382" s="18" t="inlineStr">
        <is>
          <t>¿solicitante guarda el nombre, el correo o el identificador del usuario? El código guarda el texto recibido.</t>
        </is>
      </c>
      <c r="V1382" s="19" t="inlineStr">
        <is>
          <t>Aprobada</t>
        </is>
      </c>
      <c r="W1382" s="19" t="inlineStr"/>
      <c r="X1382" s="19" t="inlineStr">
        <is>
          <t>Aldair González (validación del responsable de BD)</t>
        </is>
      </c>
      <c r="Y1382" s="20" t="n">
        <v>46321</v>
      </c>
      <c r="Z1382" s="19" t="inlineStr">
        <is>
          <t>Nivel 3: validada por decisión del responsable de la base de datos. Pregunta registrada para desarrollo: ¿solicitante guarda el nombre, el correo o el identificador del usuario? El código guarda el texto recibido.</t>
        </is>
      </c>
      <c r="AA1382" s="18">
        <f>IF(OR(V1382="Aprobada"),R1382,IF(AND(OR(V1382="Aprobada con ajuste",V1382="Rechazada"),W1382&lt;&gt;""),W1382,""))</f>
        <v/>
      </c>
    </row>
    <row r="1383">
      <c r="A1383" s="18" t="inlineStr">
        <is>
          <t>C1382</t>
        </is>
      </c>
      <c r="B1383" s="18" t="inlineStr">
        <is>
          <t>Control interno</t>
        </is>
      </c>
      <c r="C1383" s="18" t="inlineStr">
        <is>
          <t>control_interno</t>
        </is>
      </c>
      <c r="D1383" s="18" t="inlineStr">
        <is>
          <t>aprobacion</t>
        </is>
      </c>
      <c r="E1383" s="18" t="n">
        <v>10</v>
      </c>
      <c r="F1383" s="18" t="inlineStr">
        <is>
          <t>fecha_solicitud</t>
        </is>
      </c>
      <c r="G1383" s="18" t="inlineStr">
        <is>
          <t>date</t>
        </is>
      </c>
      <c r="H1383" s="18" t="inlineStr">
        <is>
          <t>Sí</t>
        </is>
      </c>
      <c r="I1383" s="18" t="inlineStr"/>
      <c r="J1383" s="18" t="inlineStr"/>
      <c r="K1383" s="18" t="inlineStr"/>
      <c r="L1383" s="18" t="inlineStr">
        <is>
          <t>No</t>
        </is>
      </c>
      <c r="M1383" s="18" t="inlineStr">
        <is>
          <t>No</t>
        </is>
      </c>
      <c r="N1383" s="18" t="inlineStr"/>
      <c r="O1383" s="18" t="inlineStr">
        <is>
          <t>idx_aprobacion_fecha_solicitud</t>
        </is>
      </c>
      <c r="P1383" s="18" t="inlineStr">
        <is>
          <t>Mapeada en internal-institutional-control-service/src/esap/aprobaciones/entities/aprobacion.entity.ts:54 (Aprobacion.fechaSolicitud) | Validación: IsDateString, IsOptional</t>
        </is>
      </c>
      <c r="Q1383" s="18" t="inlineStr">
        <is>
          <t>Regla estructural (redacción revisada)</t>
        </is>
      </c>
      <c r="R1383" s="18" t="inlineStr">
        <is>
          <t>Fecha de la solicitud de aprobación.</t>
        </is>
      </c>
      <c r="S1383" s="18" t="inlineStr">
        <is>
          <t>Alta</t>
        </is>
      </c>
      <c r="T1383" s="18" t="inlineStr">
        <is>
          <t>Convención de nombre, redactada con el contexto de la tabla y el código.</t>
        </is>
      </c>
      <c r="U1383" s="18" t="inlineStr"/>
      <c r="V1383" s="19" t="inlineStr">
        <is>
          <t>Aprobada</t>
        </is>
      </c>
      <c r="W1383" s="19" t="inlineStr"/>
      <c r="X1383" s="19" t="inlineStr">
        <is>
          <t>Aldair González (aprobación en bloque)</t>
        </is>
      </c>
      <c r="Y1383" s="20" t="n">
        <v>46321</v>
      </c>
      <c r="Z1383" s="19" t="inlineStr">
        <is>
          <t>Nivel 2: regla estructural con redacción revisada.</t>
        </is>
      </c>
      <c r="AA1383" s="18">
        <f>IF(OR(V1383="Aprobada"),R1383,IF(AND(OR(V1383="Aprobada con ajuste",V1383="Rechazada"),W1383&lt;&gt;""),W1383,""))</f>
        <v/>
      </c>
    </row>
    <row r="1384">
      <c r="A1384" s="18" t="inlineStr">
        <is>
          <t>C1383</t>
        </is>
      </c>
      <c r="B1384" s="18" t="inlineStr">
        <is>
          <t>Control interno</t>
        </is>
      </c>
      <c r="C1384" s="18" t="inlineStr">
        <is>
          <t>control_interno</t>
        </is>
      </c>
      <c r="D1384" s="18" t="inlineStr">
        <is>
          <t>aprobacion</t>
        </is>
      </c>
      <c r="E1384" s="18" t="n">
        <v>10</v>
      </c>
      <c r="F1384" s="18" t="inlineStr">
        <is>
          <t>prioridad</t>
        </is>
      </c>
      <c r="G1384" s="18" t="inlineStr">
        <is>
          <t>character varying(20)</t>
        </is>
      </c>
      <c r="H1384" s="18" t="inlineStr">
        <is>
          <t>No</t>
        </is>
      </c>
      <c r="I1384" s="18" t="inlineStr">
        <is>
          <t>CHECK</t>
        </is>
      </c>
      <c r="J1384" s="18" t="inlineStr">
        <is>
          <t>Alta, Baja, Media</t>
        </is>
      </c>
      <c r="K1384" s="18" t="inlineStr"/>
      <c r="L1384" s="18" t="inlineStr">
        <is>
          <t>Sí</t>
        </is>
      </c>
      <c r="M1384" s="18" t="inlineStr">
        <is>
          <t>No</t>
        </is>
      </c>
      <c r="N1384" s="18" t="inlineStr"/>
      <c r="O1384" s="18" t="inlineStr">
        <is>
          <t>idx_aprobacion_prioridad</t>
        </is>
      </c>
      <c r="P1384" s="18" t="inlineStr">
        <is>
          <t>Mapeada en internal-institutional-control-service/src/esap/aprobaciones/entities/aprobacion.entity.ts:57 (Aprobacion.prioridad) | Validación: IsEnum(PrioridadAuditoria), IsEnum(PrioridadAuditoriaProgramada), IsEnum(PrioridadNotificacion), IsEnum(PrioridadTarea), IsEnum(['Alta', 'Media', 'Baja']), IsInt</t>
        </is>
      </c>
      <c r="Q1384" s="18" t="inlineStr">
        <is>
          <t>Propuesta semántica</t>
        </is>
      </c>
      <c r="R1384" s="18" t="inlineStr">
        <is>
          <t>Prioridad de la solicitud de aprobación. Valores permitidos: Alta, Media, Baja; por defecto Media.</t>
        </is>
      </c>
      <c r="S1384" s="18" t="inlineStr">
        <is>
          <t>Alta</t>
        </is>
      </c>
      <c r="T1384" s="18" t="inlineStr">
        <is>
          <t>valores permitidos del CHECK + defecto ~</t>
        </is>
      </c>
      <c r="U1384" s="18" t="inlineStr"/>
      <c r="V1384" s="19" t="inlineStr">
        <is>
          <t>Aprobada</t>
        </is>
      </c>
      <c r="W1384" s="19" t="inlineStr"/>
      <c r="X1384" s="19" t="inlineStr">
        <is>
          <t>Aldair González (aprobación en bloque)</t>
        </is>
      </c>
      <c r="Y1384" s="20" t="n">
        <v>46321</v>
      </c>
      <c r="Z1384" s="19" t="inlineStr">
        <is>
          <t>Nivel 1: propuesta del comentario del desarrollador o de confianza alta, o regla de fecha/responsable/motivo.</t>
        </is>
      </c>
      <c r="AA1384" s="18">
        <f>IF(OR(V1384="Aprobada"),R1384,IF(AND(OR(V1384="Aprobada con ajuste",V1384="Rechazada"),W1384&lt;&gt;""),W1384,""))</f>
        <v/>
      </c>
    </row>
    <row r="1385">
      <c r="A1385" s="18" t="inlineStr">
        <is>
          <t>C1384</t>
        </is>
      </c>
      <c r="B1385" s="18" t="inlineStr">
        <is>
          <t>Control interno</t>
        </is>
      </c>
      <c r="C1385" s="18" t="inlineStr">
        <is>
          <t>control_interno</t>
        </is>
      </c>
      <c r="D1385" s="18" t="inlineStr">
        <is>
          <t>aprobacion</t>
        </is>
      </c>
      <c r="E1385" s="18" t="n">
        <v>10</v>
      </c>
      <c r="F1385" s="18" t="inlineStr">
        <is>
          <t>estado</t>
        </is>
      </c>
      <c r="G1385" s="18" t="inlineStr">
        <is>
          <t>character varying(50)</t>
        </is>
      </c>
      <c r="H1385" s="18" t="inlineStr">
        <is>
          <t>No</t>
        </is>
      </c>
      <c r="I1385" s="18" t="inlineStr">
        <is>
          <t>CHECK</t>
        </is>
      </c>
      <c r="J1385" s="18" t="inlineStr">
        <is>
          <t>aprobado, en-revision, pendiente, rechazado</t>
        </is>
      </c>
      <c r="K1385" s="18" t="inlineStr"/>
      <c r="L1385" s="18" t="inlineStr">
        <is>
          <t>Sí</t>
        </is>
      </c>
      <c r="M1385" s="18" t="inlineStr">
        <is>
          <t>Sí</t>
        </is>
      </c>
      <c r="N1385" s="18" t="inlineStr">
        <is>
          <t>Función control_interno.trigger_evento_actualizacion_plan — control_interno.trigger_evento_actualizacion_plan: -- Solo registrar si cambió el estado</t>
        </is>
      </c>
      <c r="O1385" s="18" t="inlineStr">
        <is>
          <t>idx_aprobacion_estado</t>
        </is>
      </c>
      <c r="P1385" s="18" t="inlineStr">
        <is>
          <t>Mapeada en internal-institutional-control-service/src/esap/aprobaciones/entities/aprobacion.entity.ts:65 (Aprobacion.estado) | Validación: IsEnum(AccionCorrectivaEstado), IsEnum(EstadoEtapa), IsEnum(EstadoPlanIndividual), IsEnum(EstadoTarea), IsEnum(HallazgoEstado), IsEnum(PlanMejoramientoEstado)</t>
        </is>
      </c>
      <c r="Q1385" s="18" t="inlineStr">
        <is>
          <t>Regla estructural (redacción revisada)</t>
        </is>
      </c>
      <c r="R1385" s="18" t="inlineStr">
        <is>
          <t>Estado de la aprobación (aprobado, en-revision, pendiente o rechazado).</t>
        </is>
      </c>
      <c r="S1385" s="18" t="inlineStr">
        <is>
          <t>Alta</t>
        </is>
      </c>
      <c r="T1385" s="18" t="inlineStr">
        <is>
          <t>Convención de nombre, redactada con el contexto de la tabla y el código.</t>
        </is>
      </c>
      <c r="U1385" s="18" t="inlineStr"/>
      <c r="V1385" s="19" t="inlineStr">
        <is>
          <t>Aprobada</t>
        </is>
      </c>
      <c r="W1385" s="19" t="inlineStr"/>
      <c r="X1385" s="19" t="inlineStr">
        <is>
          <t>Aldair González (aprobación en bloque)</t>
        </is>
      </c>
      <c r="Y1385" s="20" t="n">
        <v>46321</v>
      </c>
      <c r="Z1385" s="19" t="inlineStr">
        <is>
          <t>Nivel 2: regla estructural con redacción revisada.</t>
        </is>
      </c>
      <c r="AA1385" s="18">
        <f>IF(OR(V1385="Aprobada"),R1385,IF(AND(OR(V1385="Aprobada con ajuste",V1385="Rechazada"),W1385&lt;&gt;""),W1385,""))</f>
        <v/>
      </c>
    </row>
    <row r="1386">
      <c r="A1386" s="18" t="inlineStr">
        <is>
          <t>C1385</t>
        </is>
      </c>
      <c r="B1386" s="18" t="inlineStr">
        <is>
          <t>Control interno</t>
        </is>
      </c>
      <c r="C1386" s="18" t="inlineStr">
        <is>
          <t>control_interno</t>
        </is>
      </c>
      <c r="D1386" s="18" t="inlineStr">
        <is>
          <t>aprobacion</t>
        </is>
      </c>
      <c r="E1386" s="18" t="n">
        <v>10</v>
      </c>
      <c r="F1386" s="18" t="inlineStr">
        <is>
          <t>territorial</t>
        </is>
      </c>
      <c r="G1386" s="18" t="inlineStr">
        <is>
          <t>character varying(255)</t>
        </is>
      </c>
      <c r="H1386" s="18" t="inlineStr">
        <is>
          <t>Sí</t>
        </is>
      </c>
      <c r="I1386" s="18" t="inlineStr"/>
      <c r="J1386" s="18" t="inlineStr"/>
      <c r="K1386" s="18" t="inlineStr"/>
      <c r="L1386" s="18" t="inlineStr">
        <is>
          <t>No</t>
        </is>
      </c>
      <c r="M1386" s="18" t="inlineStr">
        <is>
          <t>No</t>
        </is>
      </c>
      <c r="N1386" s="18" t="inlineStr"/>
      <c r="O1386" s="18" t="inlineStr"/>
      <c r="P1386" s="18" t="inlineStr">
        <is>
          <t>Mapeada en internal-institutional-control-service/src/esap/aprobaciones/entities/aprobacion.entity.ts:73 (Aprobacion.territorial) | Validación: IsNotEmpty, IsOptional, IsString</t>
        </is>
      </c>
      <c r="Q1386" s="18" t="inlineStr">
        <is>
          <t>Código fuente (verificado)</t>
        </is>
      </c>
      <c r="R1386" s="18" t="inlineStr">
        <is>
          <t>Dirección territorial asociada a la solicitud de aprobación; en las de plan de mejoramiento se copia de la auditoría del hallazgo o del plan.</t>
        </is>
      </c>
      <c r="S1386" s="18" t="inlineStr">
        <is>
          <t>Media</t>
        </is>
      </c>
      <c r="T1386" s="18" t="inlineStr">
        <is>
          <t>backend/internal-institutional-control-service/src/esap/aprobaciones/aprobaciones.service.ts:64: valor del DTO | backend/internal-institutional-control-service/src/esap/planes-mejoramiento/planes-mejoramiento.service.ts:990-1005: copia auditoria.territorial | sin validación contra catálogo en el backend</t>
        </is>
      </c>
      <c r="U1386" s="18" t="inlineStr">
        <is>
          <t>¿territorial se elige de un catálogo de direcciones territoriales en el formulario o es texto libre? El backend no lo valida.</t>
        </is>
      </c>
      <c r="V1386" s="19" t="inlineStr">
        <is>
          <t>Aprobada</t>
        </is>
      </c>
      <c r="W1386" s="19" t="inlineStr"/>
      <c r="X1386" s="19" t="inlineStr">
        <is>
          <t>Aldair González (validación del responsable de BD)</t>
        </is>
      </c>
      <c r="Y1386" s="20" t="n">
        <v>46321</v>
      </c>
      <c r="Z1386" s="19" t="inlineStr">
        <is>
          <t>Nivel 3: validada por decisión del responsable de la base de datos. Pregunta registrada para desarrollo: ¿territorial se elige de un catálogo de direcciones territoriales en el formulario o es texto libre? El backend no lo valida.</t>
        </is>
      </c>
      <c r="AA1386" s="18">
        <f>IF(OR(V1386="Aprobada"),R1386,IF(AND(OR(V1386="Aprobada con ajuste",V1386="Rechazada"),W1386&lt;&gt;""),W1386,""))</f>
        <v/>
      </c>
    </row>
    <row r="1387">
      <c r="A1387" s="18" t="inlineStr">
        <is>
          <t>C1386</t>
        </is>
      </c>
      <c r="B1387" s="18" t="inlineStr">
        <is>
          <t>Control interno</t>
        </is>
      </c>
      <c r="C1387" s="18" t="inlineStr">
        <is>
          <t>control_interno</t>
        </is>
      </c>
      <c r="D1387" s="18" t="inlineStr">
        <is>
          <t>aprobacion</t>
        </is>
      </c>
      <c r="E1387" s="18" t="n">
        <v>10</v>
      </c>
      <c r="F1387" s="18" t="inlineStr">
        <is>
          <t>sede</t>
        </is>
      </c>
      <c r="G1387" s="18" t="inlineStr">
        <is>
          <t>character varying(255)</t>
        </is>
      </c>
      <c r="H1387" s="18" t="inlineStr">
        <is>
          <t>Sí</t>
        </is>
      </c>
      <c r="I1387" s="18" t="inlineStr"/>
      <c r="J1387" s="18" t="inlineStr"/>
      <c r="K1387" s="18" t="inlineStr"/>
      <c r="L1387" s="18" t="inlineStr">
        <is>
          <t>No</t>
        </is>
      </c>
      <c r="M1387" s="18" t="inlineStr">
        <is>
          <t>No</t>
        </is>
      </c>
      <c r="N1387" s="18" t="inlineStr"/>
      <c r="O1387" s="18" t="inlineStr"/>
      <c r="P1387" s="18" t="inlineStr">
        <is>
          <t>Mapeada en internal-institutional-control-service/src/esap/aprobaciones/entities/aprobacion.entity.ts:76 (Aprobacion.sede) | Validación: IsNotEmpty, IsOptional, IsString</t>
        </is>
      </c>
      <c r="Q1387" s="18" t="inlineStr">
        <is>
          <t>Código fuente (verificado)</t>
        </is>
      </c>
      <c r="R1387" s="18" t="inlineStr">
        <is>
          <t>Sede asociada a la solicitud de aprobación; en las de plan de mejoramiento se copia de la auditoría del hallazgo o del plan.</t>
        </is>
      </c>
      <c r="S1387" s="18" t="inlineStr">
        <is>
          <t>Media</t>
        </is>
      </c>
      <c r="T1387" s="18" t="inlineStr">
        <is>
          <t>backend/internal-institutional-control-service/src/esap/aprobaciones/aprobaciones.service.ts:65: valor del DTO | backend/internal-institutional-control-service/src/esap/planes-mejoramiento/planes-mejoramiento.service.ts:990-1005: copia auditoria.sede | sin validación contra catálogo en el backend</t>
        </is>
      </c>
      <c r="U1387" s="18" t="inlineStr">
        <is>
          <t>¿sede se elige de un catálogo de sedes en el formulario o es texto libre? El backend no lo valida.</t>
        </is>
      </c>
      <c r="V1387" s="19" t="inlineStr">
        <is>
          <t>Aprobada</t>
        </is>
      </c>
      <c r="W1387" s="19" t="inlineStr"/>
      <c r="X1387" s="19" t="inlineStr">
        <is>
          <t>Aldair González (validación del responsable de BD)</t>
        </is>
      </c>
      <c r="Y1387" s="20" t="n">
        <v>46321</v>
      </c>
      <c r="Z1387" s="19" t="inlineStr">
        <is>
          <t>Nivel 3: validada por decisión del responsable de la base de datos. Pregunta registrada para desarrollo: ¿sede se elige de un catálogo de sedes en el formulario o es texto libre? El backend no lo valida.</t>
        </is>
      </c>
      <c r="AA1387" s="18">
        <f>IF(OR(V1387="Aprobada"),R1387,IF(AND(OR(V1387="Aprobada con ajuste",V1387="Rechazada"),W1387&lt;&gt;""),W1387,""))</f>
        <v/>
      </c>
    </row>
    <row r="1388">
      <c r="A1388" s="18" t="inlineStr">
        <is>
          <t>C1387</t>
        </is>
      </c>
      <c r="B1388" s="18" t="inlineStr">
        <is>
          <t>Control interno</t>
        </is>
      </c>
      <c r="C1388" s="18" t="inlineStr">
        <is>
          <t>control_interno</t>
        </is>
      </c>
      <c r="D1388" s="18" t="inlineStr">
        <is>
          <t>aprobacion</t>
        </is>
      </c>
      <c r="E1388" s="18" t="n">
        <v>10</v>
      </c>
      <c r="F1388" s="18" t="inlineStr">
        <is>
          <t>relacionado</t>
        </is>
      </c>
      <c r="G1388" s="18" t="inlineStr">
        <is>
          <t>character varying(255)</t>
        </is>
      </c>
      <c r="H1388" s="18" t="inlineStr">
        <is>
          <t>Sí</t>
        </is>
      </c>
      <c r="I1388" s="18" t="inlineStr"/>
      <c r="J1388" s="18" t="inlineStr"/>
      <c r="K1388" s="18" t="inlineStr"/>
      <c r="L1388" s="18" t="inlineStr">
        <is>
          <t>No</t>
        </is>
      </c>
      <c r="M1388" s="18" t="inlineStr">
        <is>
          <t>No</t>
        </is>
      </c>
      <c r="N1388" s="18" t="inlineStr"/>
      <c r="O1388" s="18" t="inlineStr"/>
      <c r="P1388" s="18" t="inlineStr">
        <is>
          <t>Mapeada en internal-institutional-control-service/src/esap/aprobaciones/entities/aprobacion.entity.ts:79 (Aprobacion.relacionado) | Validación: IsOptional, IsString</t>
        </is>
      </c>
      <c r="Q1388" s="18" t="inlineStr">
        <is>
          <t>Código fuente (verificado)</t>
        </is>
      </c>
      <c r="R1388" s="18" t="inlineStr">
        <is>
          <t>Referencia al elemento relacionado con la solicitud de aprobación; en las de tipo plan-mejora guarda el identificador del plan de mejoramiento, que se aprueba o rechaza junto con la solicitud.</t>
        </is>
      </c>
      <c r="S1388" s="18" t="inlineStr">
        <is>
          <t>Media</t>
        </is>
      </c>
      <c r="T1388" s="18" t="inlineStr">
        <is>
          <t>backend/internal-institutional-control-service/src/esap/planes-mejoramiento/planes-mejoramiento.service.ts:976: relacionado = plan.id | backend/internal-institutional-control-service/src/esap/aprobaciones/aprobaciones.service.ts:169-172: si tipo es plan-mejora aprueba el plan con relacionado | backend/internal-institutional-control-service/src/esap/aprobaciones/entities/aprobacion.entity.ts:9-14: tipos plan-auditoria, plan-mejora, informe, documento</t>
        </is>
      </c>
      <c r="U1388" s="18" t="inlineStr">
        <is>
          <t>¿Qué guarda relacionado en las aprobaciones de tipo plan-auditoria, informe y documento? El código solo lo interpreta para plan-mejora.</t>
        </is>
      </c>
      <c r="V1388" s="19" t="inlineStr">
        <is>
          <t>Aprobada</t>
        </is>
      </c>
      <c r="W1388" s="19" t="inlineStr"/>
      <c r="X1388" s="19" t="inlineStr">
        <is>
          <t>Aldair González (validación del responsable de BD)</t>
        </is>
      </c>
      <c r="Y1388" s="20" t="n">
        <v>46321</v>
      </c>
      <c r="Z1388" s="19" t="inlineStr">
        <is>
          <t>Nivel 3: validada por decisión del responsable de la base de datos. Pregunta registrada para desarrollo: ¿Qué guarda relacionado en las aprobaciones de tipo plan-auditoria, informe y documento? El código solo lo interpreta para plan-mejora.</t>
        </is>
      </c>
      <c r="AA1388" s="18">
        <f>IF(OR(V1388="Aprobada"),R1388,IF(AND(OR(V1388="Aprobada con ajuste",V1388="Rechazada"),W1388&lt;&gt;""),W1388,""))</f>
        <v/>
      </c>
    </row>
    <row r="1389">
      <c r="A1389" s="18" t="inlineStr">
        <is>
          <t>C1388</t>
        </is>
      </c>
      <c r="B1389" s="18" t="inlineStr">
        <is>
          <t>Control interno</t>
        </is>
      </c>
      <c r="C1389" s="18" t="inlineStr">
        <is>
          <t>control_interno</t>
        </is>
      </c>
      <c r="D1389" s="18" t="inlineStr">
        <is>
          <t>aprobacion</t>
        </is>
      </c>
      <c r="E1389" s="18" t="n">
        <v>10</v>
      </c>
      <c r="F1389" s="18" t="inlineStr">
        <is>
          <t>documentos_count</t>
        </is>
      </c>
      <c r="G1389" s="18" t="inlineStr">
        <is>
          <t>integer</t>
        </is>
      </c>
      <c r="H1389" s="18" t="inlineStr">
        <is>
          <t>Sí</t>
        </is>
      </c>
      <c r="I1389" s="18" t="inlineStr"/>
      <c r="J1389" s="18" t="inlineStr"/>
      <c r="K1389" s="18" t="inlineStr"/>
      <c r="L1389" s="18" t="inlineStr">
        <is>
          <t>No</t>
        </is>
      </c>
      <c r="M1389" s="18" t="inlineStr">
        <is>
          <t>No</t>
        </is>
      </c>
      <c r="N1389" s="18" t="inlineStr"/>
      <c r="O1389" s="18" t="inlineStr"/>
      <c r="P1389" s="18" t="inlineStr">
        <is>
          <t>internal-institutional-control-service/src/esap/aprobaciones/entities/aprobacion.entity.ts:106: Contador de documentos (la relación está en documento_aprobacion)</t>
        </is>
      </c>
      <c r="Q1389" s="18" t="inlineStr">
        <is>
          <t>Código fuente</t>
        </is>
      </c>
      <c r="R1389" s="18" t="inlineStr">
        <is>
          <t>Cantidad de documentos asociados a la aprobación; la relación se guarda en documento_aprobacion. Por defecto 0.</t>
        </is>
      </c>
      <c r="S1389" s="18" t="inlineStr">
        <is>
          <t>Alta</t>
        </is>
      </c>
      <c r="T1389" s="18" t="inlineStr">
        <is>
          <t>código: internal-institutional-control-service/src/esap/aprobaciones/entities/aprobacion.entity.ts:106</t>
        </is>
      </c>
      <c r="U1389" s="18" t="inlineStr"/>
      <c r="V1389" s="19" t="inlineStr">
        <is>
          <t>Aprobada</t>
        </is>
      </c>
      <c r="W1389" s="19" t="inlineStr"/>
      <c r="X1389" s="19" t="inlineStr">
        <is>
          <t>Aldair González (aprobación en bloque)</t>
        </is>
      </c>
      <c r="Y1389" s="20" t="n">
        <v>46321</v>
      </c>
      <c r="Z1389" s="19" t="inlineStr">
        <is>
          <t>Nivel 1: propuesta del comentario del desarrollador o de confianza alta, o regla de fecha/responsable/motivo.</t>
        </is>
      </c>
      <c r="AA1389" s="18">
        <f>IF(OR(V1389="Aprobada"),R1389,IF(AND(OR(V1389="Aprobada con ajuste",V1389="Rechazada"),W1389&lt;&gt;""),W1389,""))</f>
        <v/>
      </c>
    </row>
    <row r="1390">
      <c r="A1390" s="18" t="inlineStr">
        <is>
          <t>C1389</t>
        </is>
      </c>
      <c r="B1390" s="18" t="inlineStr">
        <is>
          <t>Control interno</t>
        </is>
      </c>
      <c r="C1390" s="18" t="inlineStr">
        <is>
          <t>control_interno</t>
        </is>
      </c>
      <c r="D1390" s="18" t="inlineStr">
        <is>
          <t>aprobacion</t>
        </is>
      </c>
      <c r="E1390" s="18" t="n">
        <v>10</v>
      </c>
      <c r="F1390" s="18" t="inlineStr">
        <is>
          <t>aprobado_por</t>
        </is>
      </c>
      <c r="G1390" s="18" t="inlineStr">
        <is>
          <t>character varying(255)</t>
        </is>
      </c>
      <c r="H1390" s="18" t="inlineStr">
        <is>
          <t>Sí</t>
        </is>
      </c>
      <c r="I1390" s="18" t="inlineStr"/>
      <c r="J1390" s="18" t="inlineStr"/>
      <c r="K1390" s="18" t="inlineStr"/>
      <c r="L1390" s="18" t="inlineStr">
        <is>
          <t>No</t>
        </is>
      </c>
      <c r="M1390" s="18" t="inlineStr">
        <is>
          <t>Sí</t>
        </is>
      </c>
      <c r="N1390" s="18" t="inlineStr">
        <is>
          <t>Función control_interno.trigger_evento_actualizacion_plan — control_interno.trigger_evento_actualizacion_plan: COALESCE(NEW.aprobado_por, NEW.responsable_implementacion),  -- usar aprobado_por si es aprobación, sino responsable_imp</t>
        </is>
      </c>
      <c r="O1390" s="18" t="inlineStr"/>
      <c r="P1390" s="18" t="inlineStr">
        <is>
          <t>Mapeada en internal-institutional-control-service/src/esap/aprobaciones/entities/aprobacion.entity.ts:92 (Aprobacion.aprobadoPor) | Validación: IsOptional, IsString, Length(0, 255)</t>
        </is>
      </c>
      <c r="Q1390" s="18" t="inlineStr">
        <is>
          <t>Regla estructural</t>
        </is>
      </c>
      <c r="R1390" s="18" t="inlineStr">
        <is>
          <t>Usuario que realizó la aprobación.</t>
        </is>
      </c>
      <c r="S1390" s="18" t="inlineStr">
        <is>
          <t>Media</t>
        </is>
      </c>
      <c r="T1390" s="18" t="inlineStr">
        <is>
          <t>Convención de nombre de la columna.</t>
        </is>
      </c>
      <c r="U1390" s="18" t="inlineStr"/>
      <c r="V1390" s="19" t="inlineStr">
        <is>
          <t>Aprobada</t>
        </is>
      </c>
      <c r="W1390" s="19" t="inlineStr"/>
      <c r="X1390" s="19" t="inlineStr">
        <is>
          <t>Aldair González (aprobación en bloque)</t>
        </is>
      </c>
      <c r="Y1390" s="20" t="n">
        <v>46321</v>
      </c>
      <c r="Z1390" s="19" t="inlineStr">
        <is>
          <t>Nivel 1: propuesta del comentario del desarrollador o de confianza alta, o regla de fecha/responsable/motivo.</t>
        </is>
      </c>
      <c r="AA1390" s="18">
        <f>IF(OR(V1390="Aprobada"),R1390,IF(AND(OR(V1390="Aprobada con ajuste",V1390="Rechazada"),W1390&lt;&gt;""),W1390,""))</f>
        <v/>
      </c>
    </row>
    <row r="1391">
      <c r="A1391" s="18" t="inlineStr">
        <is>
          <t>C1390</t>
        </is>
      </c>
      <c r="B1391" s="18" t="inlineStr">
        <is>
          <t>Control interno</t>
        </is>
      </c>
      <c r="C1391" s="18" t="inlineStr">
        <is>
          <t>control_interno</t>
        </is>
      </c>
      <c r="D1391" s="18" t="inlineStr">
        <is>
          <t>aprobacion</t>
        </is>
      </c>
      <c r="E1391" s="18" t="n">
        <v>10</v>
      </c>
      <c r="F1391" s="18" t="inlineStr">
        <is>
          <t>fecha_aprobacion</t>
        </is>
      </c>
      <c r="G1391" s="18" t="inlineStr">
        <is>
          <t>timestamp without time zone</t>
        </is>
      </c>
      <c r="H1391" s="18" t="inlineStr">
        <is>
          <t>Sí</t>
        </is>
      </c>
      <c r="I1391" s="18" t="inlineStr"/>
      <c r="J1391" s="18" t="inlineStr"/>
      <c r="K1391" s="18" t="inlineStr"/>
      <c r="L1391" s="18" t="inlineStr">
        <is>
          <t>No</t>
        </is>
      </c>
      <c r="M1391" s="18" t="inlineStr">
        <is>
          <t>No</t>
        </is>
      </c>
      <c r="N1391" s="18" t="inlineStr"/>
      <c r="O1391" s="18" t="inlineStr"/>
      <c r="P1391" s="18" t="inlineStr">
        <is>
          <t>Mapeada en internal-institutional-control-service/src/esap/aprobaciones/entities/aprobacion.entity.ts:89 (Aprobacion.fechaAprobacion) | Validación: IsDateString, IsOptional</t>
        </is>
      </c>
      <c r="Q1391" s="18" t="inlineStr">
        <is>
          <t>Regla estructural (redacción revisada)</t>
        </is>
      </c>
      <c r="R1391" s="18" t="inlineStr">
        <is>
          <t>Fecha y hora de aprobación de la solicitud.</t>
        </is>
      </c>
      <c r="S1391" s="18" t="inlineStr">
        <is>
          <t>Alta</t>
        </is>
      </c>
      <c r="T1391" s="18" t="inlineStr">
        <is>
          <t>Convención de nombre, redactada con el contexto de la tabla y el código.</t>
        </is>
      </c>
      <c r="U1391" s="18" t="inlineStr"/>
      <c r="V1391" s="19" t="inlineStr">
        <is>
          <t>Aprobada</t>
        </is>
      </c>
      <c r="W1391" s="19" t="inlineStr"/>
      <c r="X1391" s="19" t="inlineStr">
        <is>
          <t>Aldair González (aprobación en bloque)</t>
        </is>
      </c>
      <c r="Y1391" s="20" t="n">
        <v>46321</v>
      </c>
      <c r="Z1391" s="19" t="inlineStr">
        <is>
          <t>Nivel 2: regla estructural con redacción revisada.</t>
        </is>
      </c>
      <c r="AA1391" s="18">
        <f>IF(OR(V1391="Aprobada"),R1391,IF(AND(OR(V1391="Aprobada con ajuste",V1391="Rechazada"),W1391&lt;&gt;""),W1391,""))</f>
        <v/>
      </c>
    </row>
    <row r="1392">
      <c r="A1392" s="18" t="inlineStr">
        <is>
          <t>C1391</t>
        </is>
      </c>
      <c r="B1392" s="18" t="inlineStr">
        <is>
          <t>Control interno</t>
        </is>
      </c>
      <c r="C1392" s="18" t="inlineStr">
        <is>
          <t>control_interno</t>
        </is>
      </c>
      <c r="D1392" s="18" t="inlineStr">
        <is>
          <t>aprobacion</t>
        </is>
      </c>
      <c r="E1392" s="18" t="n">
        <v>10</v>
      </c>
      <c r="F1392" s="18" t="inlineStr">
        <is>
          <t>rechazado_por</t>
        </is>
      </c>
      <c r="G1392" s="18" t="inlineStr">
        <is>
          <t>character varying(255)</t>
        </is>
      </c>
      <c r="H1392" s="18" t="inlineStr">
        <is>
          <t>Sí</t>
        </is>
      </c>
      <c r="I1392" s="18" t="inlineStr"/>
      <c r="J1392" s="18" t="inlineStr"/>
      <c r="K1392" s="18" t="inlineStr"/>
      <c r="L1392" s="18" t="inlineStr">
        <is>
          <t>No</t>
        </is>
      </c>
      <c r="M1392" s="18" t="inlineStr">
        <is>
          <t>No</t>
        </is>
      </c>
      <c r="N1392" s="18" t="inlineStr"/>
      <c r="O1392" s="18" t="inlineStr"/>
      <c r="P1392" s="18" t="inlineStr">
        <is>
          <t>Mapeada en internal-institutional-control-service/src/esap/aprobaciones/entities/aprobacion.entity.ts:102 (Aprobacion.rechazadoPor)</t>
        </is>
      </c>
      <c r="Q1392" s="18" t="inlineStr">
        <is>
          <t>Regla estructural</t>
        </is>
      </c>
      <c r="R1392" s="18" t="inlineStr">
        <is>
          <t>Usuario que realizó el rechazo.</t>
        </is>
      </c>
      <c r="S1392" s="18" t="inlineStr">
        <is>
          <t>Media</t>
        </is>
      </c>
      <c r="T1392" s="18" t="inlineStr">
        <is>
          <t>Convención de nombre de la columna.</t>
        </is>
      </c>
      <c r="U1392" s="18" t="inlineStr"/>
      <c r="V1392" s="19" t="inlineStr">
        <is>
          <t>Aprobada</t>
        </is>
      </c>
      <c r="W1392" s="19" t="inlineStr"/>
      <c r="X1392" s="19" t="inlineStr">
        <is>
          <t>Aldair González (aprobación en bloque)</t>
        </is>
      </c>
      <c r="Y1392" s="20" t="n">
        <v>46321</v>
      </c>
      <c r="Z1392" s="19" t="inlineStr">
        <is>
          <t>Nivel 1: propuesta del comentario del desarrollador o de confianza alta, o regla de fecha/responsable/motivo.</t>
        </is>
      </c>
      <c r="AA1392" s="18">
        <f>IF(OR(V1392="Aprobada"),R1392,IF(AND(OR(V1392="Aprobada con ajuste",V1392="Rechazada"),W1392&lt;&gt;""),W1392,""))</f>
        <v/>
      </c>
    </row>
    <row r="1393">
      <c r="A1393" s="18" t="inlineStr">
        <is>
          <t>C1392</t>
        </is>
      </c>
      <c r="B1393" s="18" t="inlineStr">
        <is>
          <t>Control interno</t>
        </is>
      </c>
      <c r="C1393" s="18" t="inlineStr">
        <is>
          <t>control_interno</t>
        </is>
      </c>
      <c r="D1393" s="18" t="inlineStr">
        <is>
          <t>aprobacion</t>
        </is>
      </c>
      <c r="E1393" s="18" t="n">
        <v>10</v>
      </c>
      <c r="F1393" s="18" t="inlineStr">
        <is>
          <t>fecha_rechazo</t>
        </is>
      </c>
      <c r="G1393" s="18" t="inlineStr">
        <is>
          <t>timestamp without time zone</t>
        </is>
      </c>
      <c r="H1393" s="18" t="inlineStr">
        <is>
          <t>Sí</t>
        </is>
      </c>
      <c r="I1393" s="18" t="inlineStr"/>
      <c r="J1393" s="18" t="inlineStr"/>
      <c r="K1393" s="18" t="inlineStr"/>
      <c r="L1393" s="18" t="inlineStr">
        <is>
          <t>No</t>
        </is>
      </c>
      <c r="M1393" s="18" t="inlineStr">
        <is>
          <t>No</t>
        </is>
      </c>
      <c r="N1393" s="18" t="inlineStr"/>
      <c r="O1393" s="18" t="inlineStr"/>
      <c r="P1393" s="18" t="inlineStr">
        <is>
          <t>Mapeada en internal-institutional-control-service/src/esap/aprobaciones/entities/aprobacion.entity.ts:99 (Aprobacion.fechaRechazo)</t>
        </is>
      </c>
      <c r="Q1393" s="18" t="inlineStr">
        <is>
          <t>Regla estructural (redacción revisada)</t>
        </is>
      </c>
      <c r="R1393" s="18" t="inlineStr">
        <is>
          <t>Fecha y hora de rechazo de la solicitud.</t>
        </is>
      </c>
      <c r="S1393" s="18" t="inlineStr">
        <is>
          <t>Alta</t>
        </is>
      </c>
      <c r="T1393" s="18" t="inlineStr">
        <is>
          <t>Convención de nombre, redactada con el contexto de la tabla y el código.</t>
        </is>
      </c>
      <c r="U1393" s="18" t="inlineStr"/>
      <c r="V1393" s="19" t="inlineStr">
        <is>
          <t>Aprobada</t>
        </is>
      </c>
      <c r="W1393" s="19" t="inlineStr"/>
      <c r="X1393" s="19" t="inlineStr">
        <is>
          <t>Aldair González (aprobación en bloque)</t>
        </is>
      </c>
      <c r="Y1393" s="20" t="n">
        <v>46321</v>
      </c>
      <c r="Z1393" s="19" t="inlineStr">
        <is>
          <t>Nivel 2: regla estructural con redacción revisada.</t>
        </is>
      </c>
      <c r="AA1393" s="18">
        <f>IF(OR(V1393="Aprobada"),R1393,IF(AND(OR(V1393="Aprobada con ajuste",V1393="Rechazada"),W1393&lt;&gt;""),W1393,""))</f>
        <v/>
      </c>
    </row>
    <row r="1394">
      <c r="A1394" s="18" t="inlineStr">
        <is>
          <t>C1393</t>
        </is>
      </c>
      <c r="B1394" s="18" t="inlineStr">
        <is>
          <t>Control interno</t>
        </is>
      </c>
      <c r="C1394" s="18" t="inlineStr">
        <is>
          <t>control_interno</t>
        </is>
      </c>
      <c r="D1394" s="18" t="inlineStr">
        <is>
          <t>aprobacion</t>
        </is>
      </c>
      <c r="E1394" s="18" t="n">
        <v>10</v>
      </c>
      <c r="F1394" s="18" t="inlineStr">
        <is>
          <t>motivo_rechazo</t>
        </is>
      </c>
      <c r="G1394" s="18" t="inlineStr">
        <is>
          <t>text</t>
        </is>
      </c>
      <c r="H1394" s="18" t="inlineStr">
        <is>
          <t>Sí</t>
        </is>
      </c>
      <c r="I1394" s="18" t="inlineStr"/>
      <c r="J1394" s="18" t="inlineStr"/>
      <c r="K1394" s="18" t="inlineStr"/>
      <c r="L1394" s="18" t="inlineStr">
        <is>
          <t>No</t>
        </is>
      </c>
      <c r="M1394" s="18" t="inlineStr">
        <is>
          <t>No</t>
        </is>
      </c>
      <c r="N1394" s="18" t="inlineStr"/>
      <c r="O1394" s="18" t="inlineStr"/>
      <c r="P1394" s="18" t="inlineStr">
        <is>
          <t>internal-institutional-control-service/src/esap/aprobaciones/entities/aprobacion.entity.ts:96: Campos para rechazo | Validación: IsNotEmpty, IsOptional, IsString</t>
        </is>
      </c>
      <c r="Q1394" s="18" t="inlineStr">
        <is>
          <t>Código fuente</t>
        </is>
      </c>
      <c r="R1394" s="18" t="inlineStr">
        <is>
          <t>Motivo del rechazo de la solicitud de aprobación.</t>
        </is>
      </c>
      <c r="S1394" s="18" t="inlineStr">
        <is>
          <t>Alta</t>
        </is>
      </c>
      <c r="T1394" s="18" t="inlineStr">
        <is>
          <t>código: internal-institutional-control-service/src/esap/aprobaciones/entities/aprobacion.entity.ts:96</t>
        </is>
      </c>
      <c r="U1394" s="18" t="inlineStr"/>
      <c r="V1394" s="19" t="inlineStr">
        <is>
          <t>Aprobada</t>
        </is>
      </c>
      <c r="W1394" s="19" t="inlineStr"/>
      <c r="X1394" s="19" t="inlineStr">
        <is>
          <t>Aldair González (aprobación en bloque)</t>
        </is>
      </c>
      <c r="Y1394" s="20" t="n">
        <v>46321</v>
      </c>
      <c r="Z1394" s="19" t="inlineStr">
        <is>
          <t>Nivel 1: propuesta del comentario del desarrollador o de confianza alta, o regla de fecha/responsable/motivo.</t>
        </is>
      </c>
      <c r="AA1394" s="18">
        <f>IF(OR(V1394="Aprobada"),R1394,IF(AND(OR(V1394="Aprobada con ajuste",V1394="Rechazada"),W1394&lt;&gt;""),W1394,""))</f>
        <v/>
      </c>
    </row>
    <row r="1395">
      <c r="A1395" s="18" t="inlineStr">
        <is>
          <t>C1394</t>
        </is>
      </c>
      <c r="B1395" s="18" t="inlineStr">
        <is>
          <t>Control interno</t>
        </is>
      </c>
      <c r="C1395" s="18" t="inlineStr">
        <is>
          <t>control_interno</t>
        </is>
      </c>
      <c r="D1395" s="18" t="inlineStr">
        <is>
          <t>aprobacion</t>
        </is>
      </c>
      <c r="E1395" s="18" t="n">
        <v>10</v>
      </c>
      <c r="F1395" s="18" t="inlineStr">
        <is>
          <t>observaciones</t>
        </is>
      </c>
      <c r="G1395" s="18" t="inlineStr">
        <is>
          <t>text</t>
        </is>
      </c>
      <c r="H1395" s="18" t="inlineStr">
        <is>
          <t>Sí</t>
        </is>
      </c>
      <c r="I1395" s="18" t="inlineStr"/>
      <c r="J1395" s="18" t="inlineStr"/>
      <c r="K1395" s="18" t="inlineStr"/>
      <c r="L1395" s="18" t="inlineStr">
        <is>
          <t>No</t>
        </is>
      </c>
      <c r="M1395" s="18" t="inlineStr">
        <is>
          <t>No</t>
        </is>
      </c>
      <c r="N1395" s="18" t="inlineStr"/>
      <c r="O1395" s="18" t="inlineStr"/>
      <c r="P1395" s="18" t="inlineStr">
        <is>
          <t>internal-institutional-control-service/src/esap/aprobaciones/entities/aprobacion.entity.ts:86: Campos para aprobación | Validación: IsOptional, IsString</t>
        </is>
      </c>
      <c r="Q1395" s="18" t="inlineStr">
        <is>
          <t>Código fuente (verificado)</t>
        </is>
      </c>
      <c r="R1395" s="18" t="inlineStr">
        <is>
          <t>Observaciones registradas al aprobar la solicitud. El rechazo se documenta en motivo_rechazo.</t>
        </is>
      </c>
      <c r="S1395" s="18" t="inlineStr">
        <is>
          <t>Alta</t>
        </is>
      </c>
      <c r="T1395" s="18" t="inlineStr">
        <is>
          <t>backend/internal-institutional-control-service/src/esap/aprobaciones/aprobaciones.service.ts:162: observaciones se asigna en aprobar | backend/internal-institutional-control-service/src/esap/aprobaciones/aprobaciones.service.ts:213: rechazar usa motivoRechazo</t>
        </is>
      </c>
      <c r="U1395" s="18" t="inlineStr"/>
      <c r="V1395" s="19" t="inlineStr">
        <is>
          <t>Aprobada</t>
        </is>
      </c>
      <c r="W1395" s="19" t="inlineStr"/>
      <c r="X1395" s="19" t="inlineStr">
        <is>
          <t>Aldair González (aprobación en bloque)</t>
        </is>
      </c>
      <c r="Y1395" s="20" t="n">
        <v>46321</v>
      </c>
      <c r="Z1395" s="19" t="inlineStr">
        <is>
          <t>Nivel 3: verificada con el código de la aplicación.</t>
        </is>
      </c>
      <c r="AA1395" s="18">
        <f>IF(OR(V1395="Aprobada"),R1395,IF(AND(OR(V1395="Aprobada con ajuste",V1395="Rechazada"),W1395&lt;&gt;""),W1395,""))</f>
        <v/>
      </c>
    </row>
    <row r="1396">
      <c r="A1396" s="18" t="inlineStr">
        <is>
          <t>C1395</t>
        </is>
      </c>
      <c r="B1396" s="18" t="inlineStr">
        <is>
          <t>Control interno</t>
        </is>
      </c>
      <c r="C1396" s="18" t="inlineStr">
        <is>
          <t>control_interno</t>
        </is>
      </c>
      <c r="D1396" s="18" t="inlineStr">
        <is>
          <t>aprobacion</t>
        </is>
      </c>
      <c r="E1396" s="18" t="n">
        <v>10</v>
      </c>
      <c r="F1396" s="18" t="inlineStr">
        <is>
          <t>area</t>
        </is>
      </c>
      <c r="G1396" s="18" t="inlineStr">
        <is>
          <t>character varying(255)</t>
        </is>
      </c>
      <c r="H1396" s="18" t="inlineStr">
        <is>
          <t>Sí</t>
        </is>
      </c>
      <c r="I1396" s="18" t="inlineStr"/>
      <c r="J1396" s="18" t="inlineStr"/>
      <c r="K1396" s="18" t="inlineStr"/>
      <c r="L1396" s="18" t="inlineStr">
        <is>
          <t>No</t>
        </is>
      </c>
      <c r="M1396" s="18" t="inlineStr">
        <is>
          <t>No</t>
        </is>
      </c>
      <c r="N1396" s="18" t="inlineStr"/>
      <c r="O1396" s="18" t="inlineStr"/>
      <c r="P1396" s="18" t="inlineStr">
        <is>
          <t>Mapeada en internal-institutional-control-service/src/esap/aprobaciones/entities/aprobacion.entity.ts:82 (Aprobacion.area) | Validación: IsNotEmpty, IsOptional, IsString, Length(1, 255), MaxLength(255)</t>
        </is>
      </c>
      <c r="Q1396" s="18" t="inlineStr">
        <is>
          <t>Código fuente (verificado)</t>
        </is>
      </c>
      <c r="R1396" s="18" t="inlineStr">
        <is>
          <t>Área asociada a la solicitud de aprobación; en las de plan de mejoramiento es el área responsable del plan, no el área que aprueba.</t>
        </is>
      </c>
      <c r="S1396" s="18" t="inlineStr">
        <is>
          <t>Alta</t>
        </is>
      </c>
      <c r="T1396" s="18" t="inlineStr">
        <is>
          <t>backend/internal-institutional-control-service/src/esap/planes-mejoramiento/planes-mejoramiento.service.ts:977: area = plan.areaResponsable | backend/internal-institutional-control-service/src/esap/aprobaciones/aprobaciones.service.ts:67: valor del DTO en las demás</t>
        </is>
      </c>
      <c r="U1396" s="18" t="inlineStr"/>
      <c r="V1396" s="19" t="inlineStr">
        <is>
          <t>Aprobada</t>
        </is>
      </c>
      <c r="W1396" s="19" t="inlineStr"/>
      <c r="X1396" s="19" t="inlineStr">
        <is>
          <t>Aldair González (aprobación en bloque)</t>
        </is>
      </c>
      <c r="Y1396" s="20" t="n">
        <v>46321</v>
      </c>
      <c r="Z1396" s="19" t="inlineStr">
        <is>
          <t>Nivel 3: verificada con el código de la aplicación.</t>
        </is>
      </c>
      <c r="AA1396" s="18">
        <f>IF(OR(V1396="Aprobada"),R1396,IF(AND(OR(V1396="Aprobada con ajuste",V1396="Rechazada"),W1396&lt;&gt;""),W1396,""))</f>
        <v/>
      </c>
    </row>
    <row r="1397">
      <c r="A1397" s="18" t="inlineStr">
        <is>
          <t>C1396</t>
        </is>
      </c>
      <c r="B1397" s="18" t="inlineStr">
        <is>
          <t>Control interno</t>
        </is>
      </c>
      <c r="C1397" s="18" t="inlineStr">
        <is>
          <t>control_interno</t>
        </is>
      </c>
      <c r="D1397" s="18" t="inlineStr">
        <is>
          <t>auditor_perfil</t>
        </is>
      </c>
      <c r="E1397" s="18" t="n">
        <v>0</v>
      </c>
      <c r="F1397" s="18" t="inlineStr">
        <is>
          <t>cargo</t>
        </is>
      </c>
      <c r="G1397" s="18" t="inlineStr">
        <is>
          <t>character varying(100)</t>
        </is>
      </c>
      <c r="H1397" s="18" t="inlineStr">
        <is>
          <t>Sí</t>
        </is>
      </c>
      <c r="I1397" s="18" t="inlineStr"/>
      <c r="J1397" s="18" t="inlineStr"/>
      <c r="K1397" s="18" t="inlineStr"/>
      <c r="L1397" s="18" t="inlineStr">
        <is>
          <t>No</t>
        </is>
      </c>
      <c r="M1397" s="18" t="inlineStr">
        <is>
          <t>Sí</t>
        </is>
      </c>
      <c r="N1397" s="18" t="inlineStr">
        <is>
          <t>Vista control_interno.v_auditor_disponibilidad; Vista control_interno.v_auditorias_kanban_completo</t>
        </is>
      </c>
      <c r="O1397" s="18" t="inlineStr"/>
      <c r="P1397" s="18" t="inlineStr">
        <is>
          <t>db/migrations/old/036_add_auditorias_kanban_completo.sql:957: Ej: "Auditor Líder", "Auditor Senior", "Auditor Junior" | Validación: IsNotEmpty, IsString</t>
        </is>
      </c>
      <c r="Q1397" s="18" t="inlineStr">
        <is>
          <t>Código fuente</t>
        </is>
      </c>
      <c r="R1397" s="18" t="inlineStr">
        <is>
          <t>Cargo del auditor (por ejemplo, Auditor Líder, Auditor Senior, Auditor Junior).</t>
        </is>
      </c>
      <c r="S1397" s="18" t="inlineStr">
        <is>
          <t>Alta</t>
        </is>
      </c>
      <c r="T1397" s="18" t="inlineStr">
        <is>
          <t>código: db/migrations/old/036_add_auditorias_kanban_completo.sql:957</t>
        </is>
      </c>
      <c r="U1397" s="18" t="inlineStr"/>
      <c r="V1397" s="19" t="inlineStr">
        <is>
          <t>Aprobada</t>
        </is>
      </c>
      <c r="W1397" s="19" t="inlineStr"/>
      <c r="X1397" s="19" t="inlineStr">
        <is>
          <t>Aldair González (aprobación en bloque)</t>
        </is>
      </c>
      <c r="Y1397" s="20" t="n">
        <v>46321</v>
      </c>
      <c r="Z1397" s="19" t="inlineStr">
        <is>
          <t>Nivel 1: propuesta del comentario del desarrollador o de confianza alta, o regla de fecha/responsable/motivo.</t>
        </is>
      </c>
      <c r="AA1397" s="18">
        <f>IF(OR(V1397="Aprobada"),R1397,IF(AND(OR(V1397="Aprobada con ajuste",V1397="Rechazada"),W1397&lt;&gt;""),W1397,""))</f>
        <v/>
      </c>
    </row>
    <row r="1398">
      <c r="A1398" s="18" t="inlineStr">
        <is>
          <t>C1397</t>
        </is>
      </c>
      <c r="B1398" s="18" t="inlineStr">
        <is>
          <t>Control interno</t>
        </is>
      </c>
      <c r="C1398" s="18" t="inlineStr">
        <is>
          <t>control_interno</t>
        </is>
      </c>
      <c r="D1398" s="18" t="inlineStr">
        <is>
          <t>auditor_perfil</t>
        </is>
      </c>
      <c r="E1398" s="18" t="n">
        <v>0</v>
      </c>
      <c r="F1398" s="18" t="inlineStr">
        <is>
          <t>nivel_experiencia</t>
        </is>
      </c>
      <c r="G1398" s="18" t="inlineStr">
        <is>
          <t>character varying(50)</t>
        </is>
      </c>
      <c r="H1398" s="18" t="inlineStr">
        <is>
          <t>Sí</t>
        </is>
      </c>
      <c r="I1398" s="18" t="inlineStr">
        <is>
          <t>CHECK</t>
        </is>
      </c>
      <c r="J1398" s="18" t="inlineStr">
        <is>
          <t>Intermedio, Jefe, Junior, Líder, Senior</t>
        </is>
      </c>
      <c r="K1398" s="18" t="inlineStr"/>
      <c r="L1398" s="18" t="inlineStr">
        <is>
          <t>Sí</t>
        </is>
      </c>
      <c r="M1398" s="18" t="inlineStr">
        <is>
          <t>Sí</t>
        </is>
      </c>
      <c r="N1398" s="18" t="inlineStr">
        <is>
          <t>Vista control_interno.v_auditor_disponibilidad</t>
        </is>
      </c>
      <c r="O1398" s="18" t="inlineStr"/>
      <c r="P1398" s="18" t="inlineStr">
        <is>
          <t>Mapeada en internal-institutional-control-service/src/esap/auditorias/entities/auditor-perfil.entity.ts:43 (AuditorPerfil.nivelExperiencia)</t>
        </is>
      </c>
      <c r="Q1398" s="18" t="inlineStr">
        <is>
          <t>Propuesta semántica</t>
        </is>
      </c>
      <c r="R1398" s="18" t="inlineStr">
        <is>
          <t>Nivel de experiencia del auditor. Valores permitidos: Junior, Intermedio, Senior, Líder, Jefe.</t>
        </is>
      </c>
      <c r="S1398" s="18" t="inlineStr">
        <is>
          <t>Alta</t>
        </is>
      </c>
      <c r="T1398" s="18" t="inlineStr">
        <is>
          <t>valores permitidos del CHECK ~</t>
        </is>
      </c>
      <c r="U1398" s="18" t="inlineStr"/>
      <c r="V1398" s="19" t="inlineStr">
        <is>
          <t>Aprobada</t>
        </is>
      </c>
      <c r="W1398" s="19" t="inlineStr"/>
      <c r="X1398" s="19" t="inlineStr">
        <is>
          <t>Aldair González (aprobación en bloque)</t>
        </is>
      </c>
      <c r="Y1398" s="20" t="n">
        <v>46321</v>
      </c>
      <c r="Z1398" s="19" t="inlineStr">
        <is>
          <t>Nivel 1: propuesta del comentario del desarrollador o de confianza alta, o regla de fecha/responsable/motivo.</t>
        </is>
      </c>
      <c r="AA1398" s="18">
        <f>IF(OR(V1398="Aprobada"),R1398,IF(AND(OR(V1398="Aprobada con ajuste",V1398="Rechazada"),W1398&lt;&gt;""),W1398,""))</f>
        <v/>
      </c>
    </row>
    <row r="1399">
      <c r="A1399" s="18" t="inlineStr">
        <is>
          <t>C1398</t>
        </is>
      </c>
      <c r="B1399" s="18" t="inlineStr">
        <is>
          <t>Control interno</t>
        </is>
      </c>
      <c r="C1399" s="18" t="inlineStr">
        <is>
          <t>control_interno</t>
        </is>
      </c>
      <c r="D1399" s="18" t="inlineStr">
        <is>
          <t>auditor_perfil</t>
        </is>
      </c>
      <c r="E1399" s="18" t="n">
        <v>0</v>
      </c>
      <c r="F1399" s="18" t="inlineStr">
        <is>
          <t>fecha_ultima_actividad</t>
        </is>
      </c>
      <c r="G1399" s="18" t="inlineStr">
        <is>
          <t>date</t>
        </is>
      </c>
      <c r="H1399" s="18" t="inlineStr">
        <is>
          <t>Sí</t>
        </is>
      </c>
      <c r="I1399" s="18" t="inlineStr"/>
      <c r="J1399" s="18" t="inlineStr"/>
      <c r="K1399" s="18" t="inlineStr"/>
      <c r="L1399" s="18" t="inlineStr">
        <is>
          <t>No</t>
        </is>
      </c>
      <c r="M1399" s="18" t="inlineStr">
        <is>
          <t>Sí</t>
        </is>
      </c>
      <c r="N1399" s="18" t="inlineStr">
        <is>
          <t>Vista control_interno.v_auditor_disponibilidad</t>
        </is>
      </c>
      <c r="O1399" s="18" t="inlineStr"/>
      <c r="P1399" s="18" t="inlineStr">
        <is>
          <t>Mapeada en internal-institutional-control-service/src/esap/auditorias/entities/auditor-perfil.entity.ts:59 (AuditorPerfil.fechaUltimaActividad)</t>
        </is>
      </c>
      <c r="Q1399" s="18" t="inlineStr">
        <is>
          <t>Regla estructural (redacción revisada)</t>
        </is>
      </c>
      <c r="R1399" s="18" t="inlineStr">
        <is>
          <t>Fecha de la última actividad registrada del auditor.</t>
        </is>
      </c>
      <c r="S1399" s="18" t="inlineStr">
        <is>
          <t>Alta</t>
        </is>
      </c>
      <c r="T1399" s="18" t="inlineStr">
        <is>
          <t>Convención de nombre, redactada con el contexto de la tabla y el código.</t>
        </is>
      </c>
      <c r="U1399" s="18" t="inlineStr"/>
      <c r="V1399" s="19" t="inlineStr">
        <is>
          <t>Aprobada</t>
        </is>
      </c>
      <c r="W1399" s="19" t="inlineStr"/>
      <c r="X1399" s="19" t="inlineStr">
        <is>
          <t>Aldair González (aprobación en bloque)</t>
        </is>
      </c>
      <c r="Y1399" s="20" t="n">
        <v>46321</v>
      </c>
      <c r="Z1399" s="19" t="inlineStr">
        <is>
          <t>Nivel 2: regla estructural con redacción revisada.</t>
        </is>
      </c>
      <c r="AA1399" s="18">
        <f>IF(OR(V1399="Aprobada"),R1399,IF(AND(OR(V1399="Aprobada con ajuste",V1399="Rechazada"),W1399&lt;&gt;""),W1399,""))</f>
        <v/>
      </c>
    </row>
    <row r="1400">
      <c r="A1400" s="18" t="inlineStr">
        <is>
          <t>C1399</t>
        </is>
      </c>
      <c r="B1400" s="18" t="inlineStr">
        <is>
          <t>Control interno</t>
        </is>
      </c>
      <c r="C1400" s="18" t="inlineStr">
        <is>
          <t>control_interno</t>
        </is>
      </c>
      <c r="D1400" s="18" t="inlineStr">
        <is>
          <t>auditor_perfil</t>
        </is>
      </c>
      <c r="E1400" s="18" t="n">
        <v>0</v>
      </c>
      <c r="F1400" s="18" t="inlineStr">
        <is>
          <t>observaciones</t>
        </is>
      </c>
      <c r="G1400" s="18" t="inlineStr">
        <is>
          <t>text</t>
        </is>
      </c>
      <c r="H1400" s="18" t="inlineStr">
        <is>
          <t>Sí</t>
        </is>
      </c>
      <c r="I1400" s="18" t="inlineStr"/>
      <c r="J1400" s="18" t="inlineStr"/>
      <c r="K1400" s="18" t="inlineStr"/>
      <c r="L1400" s="18" t="inlineStr">
        <is>
          <t>No</t>
        </is>
      </c>
      <c r="M1400" s="18" t="inlineStr">
        <is>
          <t>Sí</t>
        </is>
      </c>
      <c r="N1400" s="18" t="inlineStr">
        <is>
          <t>Vista control_interno.v_auditor_disponibilidad</t>
        </is>
      </c>
      <c r="O1400" s="18" t="inlineStr"/>
      <c r="P1400" s="18" t="inlineStr">
        <is>
          <t>Mapeada en internal-institutional-control-service/src/esap/auditorias/entities/auditor-perfil.entity.ts:62 (AuditorPerfil.observaciones) | Validación: IsOptional, IsString</t>
        </is>
      </c>
      <c r="Q1400" s="18" t="inlineStr">
        <is>
          <t>Regla estructural (redacción revisada)</t>
        </is>
      </c>
      <c r="R1400" s="18" t="inlineStr">
        <is>
          <t>Observaciones sobre el perfil profesional del auditor.</t>
        </is>
      </c>
      <c r="S1400" s="18" t="inlineStr">
        <is>
          <t>Alta</t>
        </is>
      </c>
      <c r="T1400" s="18" t="inlineStr">
        <is>
          <t>Convención de nombre, redactada con el contexto de la tabla y el código.</t>
        </is>
      </c>
      <c r="U1400" s="18" t="inlineStr"/>
      <c r="V1400" s="19" t="inlineStr">
        <is>
          <t>Aprobada</t>
        </is>
      </c>
      <c r="W1400" s="19" t="inlineStr"/>
      <c r="X1400" s="19" t="inlineStr">
        <is>
          <t>Aldair González (aprobación en bloque)</t>
        </is>
      </c>
      <c r="Y1400" s="20" t="n">
        <v>46321</v>
      </c>
      <c r="Z1400" s="19" t="inlineStr">
        <is>
          <t>Nivel 2: regla estructural con redacción revisada.</t>
        </is>
      </c>
      <c r="AA1400" s="18">
        <f>IF(OR(V1400="Aprobada"),R1400,IF(AND(OR(V1400="Aprobada con ajuste",V1400="Rechazada"),W1400&lt;&gt;""),W1400,""))</f>
        <v/>
      </c>
    </row>
    <row r="1401">
      <c r="A1401" s="18" t="inlineStr">
        <is>
          <t>C1400</t>
        </is>
      </c>
      <c r="B1401" s="18" t="inlineStr">
        <is>
          <t>Control interno</t>
        </is>
      </c>
      <c r="C1401" s="18" t="inlineStr">
        <is>
          <t>control_interno</t>
        </is>
      </c>
      <c r="D1401" s="18" t="inlineStr">
        <is>
          <t>auditor_perfil</t>
        </is>
      </c>
      <c r="E1401" s="18" t="n">
        <v>0</v>
      </c>
      <c r="F1401" s="18" t="inlineStr">
        <is>
          <t>activo</t>
        </is>
      </c>
      <c r="G1401" s="18" t="inlineStr">
        <is>
          <t>boolean</t>
        </is>
      </c>
      <c r="H1401" s="18" t="inlineStr">
        <is>
          <t>Sí</t>
        </is>
      </c>
      <c r="I1401" s="18" t="inlineStr"/>
      <c r="J1401" s="18" t="inlineStr"/>
      <c r="K1401" s="18" t="inlineStr"/>
      <c r="L1401" s="18" t="inlineStr">
        <is>
          <t>No</t>
        </is>
      </c>
      <c r="M1401" s="18" t="inlineStr">
        <is>
          <t>Sí</t>
        </is>
      </c>
      <c r="N1401" s="18" t="inlineStr">
        <is>
          <t>Vista control_interno.v_auditor_disponibilidad; Vista control_interno.v_auditorias_kanban_completo</t>
        </is>
      </c>
      <c r="O1401" s="18" t="inlineStr">
        <is>
          <t>idx_auditor_perfil_activo</t>
        </is>
      </c>
      <c r="P1401" s="18" t="inlineStr">
        <is>
          <t>Mapeada en internal-institutional-control-service/src/esap/auditorias/entities/auditor-perfil.entity.ts:65 (AuditorPerfil.activo) | Validación: IsBoolean, IsOptional</t>
        </is>
      </c>
      <c r="Q1401" s="18" t="inlineStr">
        <is>
          <t>Regla estructural (redacción revisada)</t>
        </is>
      </c>
      <c r="R1401" s="18" t="inlineStr">
        <is>
          <t>Indica si el perfil del auditor está activo.</t>
        </is>
      </c>
      <c r="S1401" s="18" t="inlineStr">
        <is>
          <t>Alta</t>
        </is>
      </c>
      <c r="T1401" s="18" t="inlineStr">
        <is>
          <t>Convención de nombre, redactada con el contexto de la tabla y el código.</t>
        </is>
      </c>
      <c r="U1401" s="18" t="inlineStr"/>
      <c r="V1401" s="19" t="inlineStr">
        <is>
          <t>Aprobada</t>
        </is>
      </c>
      <c r="W1401" s="19" t="inlineStr"/>
      <c r="X1401" s="19" t="inlineStr">
        <is>
          <t>Aldair González (aprobación en bloque)</t>
        </is>
      </c>
      <c r="Y1401" s="20" t="n">
        <v>46321</v>
      </c>
      <c r="Z1401" s="19" t="inlineStr">
        <is>
          <t>Nivel 2: regla estructural con redacción revisada.</t>
        </is>
      </c>
      <c r="AA1401" s="18">
        <f>IF(OR(V1401="Aprobada"),R1401,IF(AND(OR(V1401="Aprobada con ajuste",V1401="Rechazada"),W1401&lt;&gt;""),W1401,""))</f>
        <v/>
      </c>
    </row>
    <row r="1402">
      <c r="A1402" s="18" t="inlineStr">
        <is>
          <t>C1401</t>
        </is>
      </c>
      <c r="B1402" s="18" t="inlineStr">
        <is>
          <t>Control interno</t>
        </is>
      </c>
      <c r="C1402" s="18" t="inlineStr">
        <is>
          <t>control_interno</t>
        </is>
      </c>
      <c r="D1402" s="18" t="inlineStr">
        <is>
          <t>auditoria</t>
        </is>
      </c>
      <c r="E1402" s="18" t="n">
        <v>70</v>
      </c>
      <c r="F1402" s="18" t="inlineStr">
        <is>
          <t>codigo</t>
        </is>
      </c>
      <c r="G1402" s="18" t="inlineStr">
        <is>
          <t>character varying(255)</t>
        </is>
      </c>
      <c r="H1402" s="18" t="inlineStr">
        <is>
          <t>No</t>
        </is>
      </c>
      <c r="I1402" s="18" t="inlineStr">
        <is>
          <t>Única</t>
        </is>
      </c>
      <c r="J1402" s="18" t="inlineStr"/>
      <c r="K1402" s="18" t="inlineStr"/>
      <c r="L1402" s="18" t="inlineStr">
        <is>
          <t>No</t>
        </is>
      </c>
      <c r="M1402" s="18" t="inlineStr">
        <is>
          <t>Sí</t>
        </is>
      </c>
      <c r="N1402" s="18" t="inlineStr">
        <is>
          <t>Vista control_interno.v_auditorias_finalizadas; Vista control_interno.v_auditorias_kanban_completo</t>
        </is>
      </c>
      <c r="O1402" s="18" t="inlineStr">
        <is>
          <t>auditoria_codigo_key, idx_auditoria_codigo</t>
        </is>
      </c>
      <c r="P1402" s="18" t="inlineStr">
        <is>
          <t>internal-institutional-control-service/src/esap/auditorias/entities/auditoria.entity.ts:89: AUD-YYYY-### | Validación: IsNotEmpty, IsOptional, IsString, Length(1, 50), MaxLength(80)</t>
        </is>
      </c>
      <c r="Q1402" s="18" t="inlineStr">
        <is>
          <t>Código fuente</t>
        </is>
      </c>
      <c r="R1402" s="18" t="inlineStr">
        <is>
          <t>Código único de la auditoría, con formato AUD-YYYY-### (año y consecutivo).</t>
        </is>
      </c>
      <c r="S1402" s="18" t="inlineStr">
        <is>
          <t>Alta</t>
        </is>
      </c>
      <c r="T1402" s="18" t="inlineStr">
        <is>
          <t>código: internal-institutional-control-service/src/esap/auditorias/entities/auditoria.entity.ts:89</t>
        </is>
      </c>
      <c r="U1402" s="18" t="inlineStr"/>
      <c r="V1402" s="19" t="inlineStr">
        <is>
          <t>Aprobada</t>
        </is>
      </c>
      <c r="W1402" s="19" t="inlineStr"/>
      <c r="X1402" s="19" t="inlineStr">
        <is>
          <t>Aldair González (aprobación en bloque)</t>
        </is>
      </c>
      <c r="Y1402" s="20" t="n">
        <v>46321</v>
      </c>
      <c r="Z1402" s="19" t="inlineStr">
        <is>
          <t>Nivel 1: propuesta del comentario del desarrollador o de confianza alta, o regla de fecha/responsable/motivo.</t>
        </is>
      </c>
      <c r="AA1402" s="18">
        <f>IF(OR(V1402="Aprobada"),R1402,IF(AND(OR(V1402="Aprobada con ajuste",V1402="Rechazada"),W1402&lt;&gt;""),W1402,""))</f>
        <v/>
      </c>
    </row>
    <row r="1403">
      <c r="A1403" s="18" t="inlineStr">
        <is>
          <t>C1402</t>
        </is>
      </c>
      <c r="B1403" s="18" t="inlineStr">
        <is>
          <t>Control interno</t>
        </is>
      </c>
      <c r="C1403" s="18" t="inlineStr">
        <is>
          <t>control_interno</t>
        </is>
      </c>
      <c r="D1403" s="18" t="inlineStr">
        <is>
          <t>auditoria</t>
        </is>
      </c>
      <c r="E1403" s="18" t="n">
        <v>70</v>
      </c>
      <c r="F1403" s="18" t="inlineStr">
        <is>
          <t>nombre</t>
        </is>
      </c>
      <c r="G1403" s="18" t="inlineStr">
        <is>
          <t>character varying(500)</t>
        </is>
      </c>
      <c r="H1403" s="18" t="inlineStr">
        <is>
          <t>No</t>
        </is>
      </c>
      <c r="I1403" s="18" t="inlineStr"/>
      <c r="J1403" s="18" t="inlineStr"/>
      <c r="K1403" s="18" t="inlineStr"/>
      <c r="L1403" s="18" t="inlineStr">
        <is>
          <t>No</t>
        </is>
      </c>
      <c r="M1403" s="18" t="inlineStr">
        <is>
          <t>Sí</t>
        </is>
      </c>
      <c r="N1403" s="18" t="inlineStr">
        <is>
          <t>Función control_interno.fn_configurar_actividad_auditorias_plan; Vista control_interno.v_auditor_disponibilidad; Vista control_interno.v_auditorias_finalizadas; Vista control_interno.v_auditorias_kanban_completo; Vista control_interno.v_estado_vinculacion_auditorias — control_interno.fn_configurar_actividad_auditorias_plan: LOWER(a.nombre) LIKE '%auditoría%'</t>
        </is>
      </c>
      <c r="O1403" s="18" t="inlineStr"/>
      <c r="P1403" s="18" t="inlineStr">
        <is>
          <t>Mapeada en internal-institutional-control-service/src/esap/auditorias/entities/auditoria.entity.ts:92 (Auditoria.nombre) | Validación: IsNotEmpty, IsNotEmpty({ message: 'El nombre del documento es obligatorio' }), IsOptional, IsString, Length(1, 500), MaxLength(120)</t>
        </is>
      </c>
      <c r="Q1403" s="18" t="inlineStr">
        <is>
          <t>Regla estructural (redacción revisada)</t>
        </is>
      </c>
      <c r="R1403" s="18" t="inlineStr">
        <is>
          <t>Nombre de la auditoría.</t>
        </is>
      </c>
      <c r="S1403" s="18" t="inlineStr">
        <is>
          <t>Alta</t>
        </is>
      </c>
      <c r="T1403" s="18" t="inlineStr">
        <is>
          <t>Convención de nombre, redactada con el contexto de la tabla y el código.</t>
        </is>
      </c>
      <c r="U1403" s="18" t="inlineStr"/>
      <c r="V1403" s="19" t="inlineStr">
        <is>
          <t>Aprobada</t>
        </is>
      </c>
      <c r="W1403" s="19" t="inlineStr"/>
      <c r="X1403" s="19" t="inlineStr">
        <is>
          <t>Aldair González (aprobación en bloque)</t>
        </is>
      </c>
      <c r="Y1403" s="20" t="n">
        <v>46321</v>
      </c>
      <c r="Z1403" s="19" t="inlineStr">
        <is>
          <t>Nivel 2: regla estructural con redacción revisada.</t>
        </is>
      </c>
      <c r="AA1403" s="18">
        <f>IF(OR(V1403="Aprobada"),R1403,IF(AND(OR(V1403="Aprobada con ajuste",V1403="Rechazada"),W1403&lt;&gt;""),W1403,""))</f>
        <v/>
      </c>
    </row>
    <row r="1404">
      <c r="A1404" s="18" t="inlineStr">
        <is>
          <t>C1403</t>
        </is>
      </c>
      <c r="B1404" s="18" t="inlineStr">
        <is>
          <t>Control interno</t>
        </is>
      </c>
      <c r="C1404" s="18" t="inlineStr">
        <is>
          <t>control_interno</t>
        </is>
      </c>
      <c r="D1404" s="18" t="inlineStr">
        <is>
          <t>auditoria</t>
        </is>
      </c>
      <c r="E1404" s="18" t="n">
        <v>70</v>
      </c>
      <c r="F1404" s="18" t="inlineStr">
        <is>
          <t>tipo</t>
        </is>
      </c>
      <c r="G1404" s="18" t="inlineStr">
        <is>
          <t>character varying(50)</t>
        </is>
      </c>
      <c r="H1404" s="18" t="inlineStr">
        <is>
          <t>No</t>
        </is>
      </c>
      <c r="I1404" s="18" t="inlineStr"/>
      <c r="J1404" s="18" t="inlineStr"/>
      <c r="K1404" s="18" t="inlineStr"/>
      <c r="L1404" s="18" t="inlineStr">
        <is>
          <t>No</t>
        </is>
      </c>
      <c r="M1404" s="18" t="inlineStr">
        <is>
          <t>Sí</t>
        </is>
      </c>
      <c r="N1404" s="18" t="inlineStr">
        <is>
          <t>Función control_interno.actualizar_contadores_documentos_informes; Función control_interno.fn_calcular_cumplimiento_auditorias; Vista control_interno.v_auditorias_finalizadas; Vista control_interno.v_auditorias_kanban_completo; Vista control_interno.v_resumen_auditorias_por_año — control_interno.actualizar_contadores_documentos_informes: -- Determinar el ID de la auditoría y el tipo de documento | control_interno.fn_calcular_cumplimiento_auditorias: COALESCE(tipo, 'regular') AS tipo_grupo,</t>
        </is>
      </c>
      <c r="O1404" s="18" t="inlineStr">
        <is>
          <t>idx_auditoria_tipo</t>
        </is>
      </c>
      <c r="P1404" s="18" t="inlineStr">
        <is>
          <t>internal-institutional-control-service/src/esap/auditorias/entities/auditoria.entity.ts:98: Cambiado de TipoAuditoria a string para permitir tipos personalizados | Validación: IsEnum(AccionCorrectivaTipo), IsEnum(TipoAuditoriaProgramada), IsEnum(TipoEventoTimeline), IsEnum(TipoTablero), IsEnum(['cumplimiento', 'eficiencia', 'eficacia', 'economia']), IsEnum(['plan-auditoria', 'plan-mejora', 'informe', 'documento'])</t>
        </is>
      </c>
      <c r="Q1404" s="18" t="inlineStr">
        <is>
          <t>Código fuente (verificado)</t>
        </is>
      </c>
      <c r="R1404" s="18" t="inlineStr">
        <is>
          <t>Tipo de auditoría. Los tipos predefinidos son Regular, Territorial y Especial; admite tipos personalizados, que se administran en control_interno.tipo_auditoria con el permiso de gestión de configuración.</t>
        </is>
      </c>
      <c r="S1404" s="18" t="inlineStr">
        <is>
          <t>Alta</t>
        </is>
      </c>
      <c r="T1404" s="18" t="inlineStr">
        <is>
          <t>backend/internal-institutional-control-service/src/esap/auditorias/entities/auditoria.entity.ts:19-23: enum TipoAuditoria (Regular, Territorial, Especial) | backend/internal-institutional-control-service/src/esap/auditorias/entities/auditoria.entity.ts:98-103: cambiado a texto para tipos personalizados | backend/internal-institutional-control-service/src/esap/tipos-auditoria/entities/tipo-auditoria.entity.ts:11: catálogo tipo_auditoria | backend/internal-institutional-control-service/src/esap/tipos-auditoria/tipos-auditoria.controller.ts:53-55: creación con permiso CONFIG_MANAGE</t>
        </is>
      </c>
      <c r="U1404" s="18" t="inlineStr"/>
      <c r="V1404" s="19" t="inlineStr">
        <is>
          <t>Aprobada</t>
        </is>
      </c>
      <c r="W1404" s="19" t="inlineStr"/>
      <c r="X1404" s="19" t="inlineStr">
        <is>
          <t>Aldair González (aprobación en bloque)</t>
        </is>
      </c>
      <c r="Y1404" s="20" t="n">
        <v>46321</v>
      </c>
      <c r="Z1404" s="19" t="inlineStr">
        <is>
          <t>Nivel 3: verificada con el código de la aplicación.</t>
        </is>
      </c>
      <c r="AA1404" s="18">
        <f>IF(OR(V1404="Aprobada"),R1404,IF(AND(OR(V1404="Aprobada con ajuste",V1404="Rechazada"),W1404&lt;&gt;""),W1404,""))</f>
        <v/>
      </c>
    </row>
    <row r="1405">
      <c r="A1405" s="18" t="inlineStr">
        <is>
          <t>C1404</t>
        </is>
      </c>
      <c r="B1405" s="18" t="inlineStr">
        <is>
          <t>Control interno</t>
        </is>
      </c>
      <c r="C1405" s="18" t="inlineStr">
        <is>
          <t>control_interno</t>
        </is>
      </c>
      <c r="D1405" s="18" t="inlineStr">
        <is>
          <t>auditoria</t>
        </is>
      </c>
      <c r="E1405" s="18" t="n">
        <v>70</v>
      </c>
      <c r="F1405" s="18" t="inlineStr">
        <is>
          <t>territorial</t>
        </is>
      </c>
      <c r="G1405" s="18" t="inlineStr">
        <is>
          <t>character varying(255)</t>
        </is>
      </c>
      <c r="H1405" s="18" t="inlineStr">
        <is>
          <t>No</t>
        </is>
      </c>
      <c r="I1405" s="18" t="inlineStr">
        <is>
          <t>CHECK</t>
        </is>
      </c>
      <c r="J1405" s="18" t="inlineStr"/>
      <c r="K1405" s="18" t="inlineStr"/>
      <c r="L1405" s="18" t="inlineStr">
        <is>
          <t>No</t>
        </is>
      </c>
      <c r="M1405" s="18" t="inlineStr">
        <is>
          <t>Sí</t>
        </is>
      </c>
      <c r="N1405" s="18" t="inlineStr">
        <is>
          <t>Vista control_interno.v_auditorias_kanban_completo</t>
        </is>
      </c>
      <c r="O1405" s="18" t="inlineStr">
        <is>
          <t>idx_auditoria_territorial</t>
        </is>
      </c>
      <c r="P1405" s="18" t="inlineStr">
        <is>
          <t>Mapeada en internal-institutional-control-service/src/esap/auditorias/entities/auditoria.entity.ts:113 (Auditoria.territorial) | Validación: IsNotEmpty, IsOptional, IsString</t>
        </is>
      </c>
      <c r="Q1405" s="18" t="inlineStr">
        <is>
          <t>Código fuente (verificado)</t>
        </is>
      </c>
      <c r="R1405" s="18" t="inlineStr">
        <is>
          <t>Dirección territorial donde se realiza la auditoría; obligatoria y guardada como texto.</t>
        </is>
      </c>
      <c r="S1405" s="18" t="inlineStr">
        <is>
          <t>Media</t>
        </is>
      </c>
      <c r="T1405" s="18" t="inlineStr">
        <is>
          <t>backend/internal-institutional-control-service/src/esap/auditorias/dto/create-auditoria.dto.ts:44-46: IsString, IsNotEmpty | backend/internal-institutional-control-service/src/esap/auditorias/auditorias.service.ts:1495: se guarda el valor recibido; sin validación contra catálogo en el backend</t>
        </is>
      </c>
      <c r="U1405" s="18" t="inlineStr">
        <is>
          <t>¿territorial se elige de un catálogo de direcciones territoriales en el formulario o es texto libre? El backend no lo valida.</t>
        </is>
      </c>
      <c r="V1405" s="19" t="inlineStr">
        <is>
          <t>Aprobada</t>
        </is>
      </c>
      <c r="W1405" s="19" t="inlineStr"/>
      <c r="X1405" s="19" t="inlineStr">
        <is>
          <t>Aldair González (validación del responsable de BD)</t>
        </is>
      </c>
      <c r="Y1405" s="20" t="n">
        <v>46321</v>
      </c>
      <c r="Z1405" s="19" t="inlineStr">
        <is>
          <t>Nivel 3: validada por decisión del responsable de la base de datos. Pregunta registrada para desarrollo: ¿territorial se elige de un catálogo de direcciones territoriales en el formulario o es texto libre? El backend no lo valida.</t>
        </is>
      </c>
      <c r="AA1405" s="18">
        <f>IF(OR(V1405="Aprobada"),R1405,IF(AND(OR(V1405="Aprobada con ajuste",V1405="Rechazada"),W1405&lt;&gt;""),W1405,""))</f>
        <v/>
      </c>
    </row>
    <row r="1406">
      <c r="A1406" s="18" t="inlineStr">
        <is>
          <t>C1405</t>
        </is>
      </c>
      <c r="B1406" s="18" t="inlineStr">
        <is>
          <t>Control interno</t>
        </is>
      </c>
      <c r="C1406" s="18" t="inlineStr">
        <is>
          <t>control_interno</t>
        </is>
      </c>
      <c r="D1406" s="18" t="inlineStr">
        <is>
          <t>auditoria</t>
        </is>
      </c>
      <c r="E1406" s="18" t="n">
        <v>70</v>
      </c>
      <c r="F1406" s="18" t="inlineStr">
        <is>
          <t>progreso</t>
        </is>
      </c>
      <c r="G1406" s="18" t="inlineStr">
        <is>
          <t>integer</t>
        </is>
      </c>
      <c r="H1406" s="18" t="inlineStr">
        <is>
          <t>Sí</t>
        </is>
      </c>
      <c r="I1406" s="18" t="inlineStr">
        <is>
          <t>CHECK</t>
        </is>
      </c>
      <c r="J1406" s="18" t="inlineStr"/>
      <c r="K1406" s="18" t="inlineStr"/>
      <c r="L1406" s="18" t="inlineStr">
        <is>
          <t>No</t>
        </is>
      </c>
      <c r="M1406" s="18" t="inlineStr">
        <is>
          <t>Sí</t>
        </is>
      </c>
      <c r="N1406" s="18" t="inlineStr">
        <is>
          <t>Vista control_interno.v_auditorias_finalizadas; Vista control_interno.v_auditorias_kanban_completo; Vista control_interno.v_auditorias_por_estado</t>
        </is>
      </c>
      <c r="O1406" s="18" t="inlineStr"/>
      <c r="P1406" s="18" t="inlineStr">
        <is>
          <t>internal-institutional-control-service/src/esap/auditorias/entities/auditoria.entity.ts:155: ═══════════════════════════════════════════════════════════════════ CRONOGRAMA DE 3 ETAPAS: Planeación → Ejecución → Comunicación ═══════════════════════════════════════════════════════════════════ 0-100 | Validación: IsInt, IsOptional, Max(100), Min(0)</t>
        </is>
      </c>
      <c r="Q1406" s="18" t="inlineStr">
        <is>
          <t>Código fuente</t>
        </is>
      </c>
      <c r="R1406" s="18" t="inlineStr">
        <is>
          <t>Porcentaje de avance de la auditoría, de 0 a 100. Por defecto 0.</t>
        </is>
      </c>
      <c r="S1406" s="18" t="inlineStr">
        <is>
          <t>Alta</t>
        </is>
      </c>
      <c r="T1406" s="18" t="inlineStr">
        <is>
          <t>código: internal-institutional-control-service/src/esap/auditorias/entities/auditoria.entity.ts:155</t>
        </is>
      </c>
      <c r="U1406" s="18" t="inlineStr"/>
      <c r="V1406" s="19" t="inlineStr">
        <is>
          <t>Aprobada</t>
        </is>
      </c>
      <c r="W1406" s="19" t="inlineStr"/>
      <c r="X1406" s="19" t="inlineStr">
        <is>
          <t>Aldair González (aprobación en bloque)</t>
        </is>
      </c>
      <c r="Y1406" s="20" t="n">
        <v>46321</v>
      </c>
      <c r="Z1406" s="19" t="inlineStr">
        <is>
          <t>Nivel 1: propuesta del comentario del desarrollador o de confianza alta, o regla de fecha/responsable/motivo.</t>
        </is>
      </c>
      <c r="AA1406" s="18">
        <f>IF(OR(V1406="Aprobada"),R1406,IF(AND(OR(V1406="Aprobada con ajuste",V1406="Rechazada"),W1406&lt;&gt;""),W1406,""))</f>
        <v/>
      </c>
    </row>
    <row r="1407">
      <c r="A1407" s="18" t="inlineStr">
        <is>
          <t>C1406</t>
        </is>
      </c>
      <c r="B1407" s="18" t="inlineStr">
        <is>
          <t>Control interno</t>
        </is>
      </c>
      <c r="C1407" s="18" t="inlineStr">
        <is>
          <t>control_interno</t>
        </is>
      </c>
      <c r="D1407" s="18" t="inlineStr">
        <is>
          <t>auditoria</t>
        </is>
      </c>
      <c r="E1407" s="18" t="n">
        <v>70</v>
      </c>
      <c r="F1407" s="18" t="inlineStr">
        <is>
          <t>prioridad</t>
        </is>
      </c>
      <c r="G1407" s="18" t="inlineStr">
        <is>
          <t>character varying(20)</t>
        </is>
      </c>
      <c r="H1407" s="18" t="inlineStr">
        <is>
          <t>No</t>
        </is>
      </c>
      <c r="I1407" s="18" t="inlineStr">
        <is>
          <t>CHECK</t>
        </is>
      </c>
      <c r="J1407" s="18" t="inlineStr">
        <is>
          <t>Alta, Baja, Media</t>
        </is>
      </c>
      <c r="K1407" s="18" t="inlineStr"/>
      <c r="L1407" s="18" t="inlineStr">
        <is>
          <t>Sí</t>
        </is>
      </c>
      <c r="M1407" s="18" t="inlineStr">
        <is>
          <t>Sí</t>
        </is>
      </c>
      <c r="N1407" s="18" t="inlineStr">
        <is>
          <t>Vista control_interno.v_auditorias_kanban_completo</t>
        </is>
      </c>
      <c r="O1407" s="18" t="inlineStr">
        <is>
          <t>idx_auditoria_prioridad</t>
        </is>
      </c>
      <c r="P1407" s="18" t="inlineStr">
        <is>
          <t>internal-institutional-control-service/src/esap/auditorias/entities/auditoria.entity.ts:158: ═══════════════════════════════════════════════════════════════════ CRONOGRAMA DE 3 ETAPAS: Planeación → Ejecución → Comunicación ═══════════════════════════════════════════════════════════════════ | Validación: IsEnum(PrioridadAuditoria), IsEnum(PrioridadAuditoriaProgramada), IsEnum(PrioridadNotificacion), IsEnum(PrioridadTarea), IsEnum(['Alta', 'Media', 'Baja']), IsInt</t>
        </is>
      </c>
      <c r="Q1407" s="18" t="inlineStr">
        <is>
          <t>Código fuente</t>
        </is>
      </c>
      <c r="R1407" s="18" t="inlineStr">
        <is>
          <t>Prioridad de la auditoría. Valores permitidos: Alta, Media, Baja; por defecto Media.</t>
        </is>
      </c>
      <c r="S1407" s="18" t="inlineStr">
        <is>
          <t>Alta</t>
        </is>
      </c>
      <c r="T1407" s="18" t="inlineStr">
        <is>
          <t>valores permitidos del CHECK</t>
        </is>
      </c>
      <c r="U1407" s="18" t="inlineStr"/>
      <c r="V1407" s="19" t="inlineStr">
        <is>
          <t>Aprobada</t>
        </is>
      </c>
      <c r="W1407" s="19" t="inlineStr"/>
      <c r="X1407" s="19" t="inlineStr">
        <is>
          <t>Aldair González (aprobación en bloque)</t>
        </is>
      </c>
      <c r="Y1407" s="20" t="n">
        <v>46321</v>
      </c>
      <c r="Z1407" s="19" t="inlineStr">
        <is>
          <t>Nivel 1: propuesta del comentario del desarrollador o de confianza alta, o regla de fecha/responsable/motivo.</t>
        </is>
      </c>
      <c r="AA1407" s="18">
        <f>IF(OR(V1407="Aprobada"),R1407,IF(AND(OR(V1407="Aprobada con ajuste",V1407="Rechazada"),W1407&lt;&gt;""),W1407,""))</f>
        <v/>
      </c>
    </row>
    <row r="1408">
      <c r="A1408" s="18" t="inlineStr">
        <is>
          <t>C1407</t>
        </is>
      </c>
      <c r="B1408" s="18" t="inlineStr">
        <is>
          <t>Control interno</t>
        </is>
      </c>
      <c r="C1408" s="18" t="inlineStr">
        <is>
          <t>control_interno</t>
        </is>
      </c>
      <c r="D1408" s="18" t="inlineStr">
        <is>
          <t>auditoria</t>
        </is>
      </c>
      <c r="E1408" s="18" t="n">
        <v>70</v>
      </c>
      <c r="F1408" s="18" t="inlineStr">
        <is>
          <t>hallazgos</t>
        </is>
      </c>
      <c r="G1408" s="18" t="inlineStr">
        <is>
          <t>integer</t>
        </is>
      </c>
      <c r="H1408" s="18" t="inlineStr">
        <is>
          <t>Sí</t>
        </is>
      </c>
      <c r="I1408" s="18" t="inlineStr">
        <is>
          <t>CHECK</t>
        </is>
      </c>
      <c r="J1408" s="18" t="inlineStr"/>
      <c r="K1408" s="18" t="inlineStr"/>
      <c r="L1408" s="18" t="inlineStr">
        <is>
          <t>No</t>
        </is>
      </c>
      <c r="M1408" s="18" t="inlineStr">
        <is>
          <t>Sí</t>
        </is>
      </c>
      <c r="N1408" s="18" t="inlineStr">
        <is>
          <t>Vista control_interno.v_auditorias_finalizadas; Vista control_interno.v_auditorias_kanban_completo; Vista control_interno.v_auditorias_por_estado</t>
        </is>
      </c>
      <c r="O1408" s="18" t="inlineStr"/>
      <c r="P1408" s="18" t="inlineStr">
        <is>
          <t>internal-institutional-control-service/src/esap/auditorias/entities/auditoria.entity.ts:166: ═══════════════════════════════════════════════════════════════════ CRONOGRAMA DE 3 ETAPAS: Planeación → Ejecución → Comunicación ═══════════════════════════════════════════════════════════════════ | Validación: IsInt, IsOptional, Min(0)</t>
        </is>
      </c>
      <c r="Q1408" s="18" t="inlineStr">
        <is>
          <t>Código fuente (verificado)</t>
        </is>
      </c>
      <c r="R1408" s="18" t="inlineStr">
        <is>
          <t>Número de hallazgos registrados en la auditoría; se actualiza con las operaciones de incremento y decremento del servicio (sin bajar de 0) o con el valor enviado al editar la auditoría. Por defecto 0.</t>
        </is>
      </c>
      <c r="S1408" s="18" t="inlineStr">
        <is>
          <t>Alta</t>
        </is>
      </c>
      <c r="T1408" s="18" t="inlineStr">
        <is>
          <t>backend/internal-institutional-control-service/src/esap/auditorias/auditorias.service.ts:2788-2812: incrementarHallazgos y decrementarHallazgos | backend/internal-institutional-control-service/src/esap/auditorias/auditorias.controller.ts:870-884: rutas hallazgos/incrementar y decrementar | backend/internal-institutional-control-service/src/esap/auditorias/auditorias.service.ts:1894: también se asigna desde la edición</t>
        </is>
      </c>
      <c r="U1408" s="18" t="inlineStr"/>
      <c r="V1408" s="19" t="inlineStr">
        <is>
          <t>Aprobada</t>
        </is>
      </c>
      <c r="W1408" s="19" t="inlineStr"/>
      <c r="X1408" s="19" t="inlineStr">
        <is>
          <t>Aldair González (aprobación en bloque)</t>
        </is>
      </c>
      <c r="Y1408" s="20" t="n">
        <v>46321</v>
      </c>
      <c r="Z1408" s="19" t="inlineStr">
        <is>
          <t>Nivel 3: verificada con el código de la aplicación.</t>
        </is>
      </c>
      <c r="AA1408" s="18">
        <f>IF(OR(V1408="Aprobada"),R1408,IF(AND(OR(V1408="Aprobada con ajuste",V1408="Rechazada"),W1408&lt;&gt;""),W1408,""))</f>
        <v/>
      </c>
    </row>
    <row r="1409">
      <c r="A1409" s="18" t="inlineStr">
        <is>
          <t>C1408</t>
        </is>
      </c>
      <c r="B1409" s="18" t="inlineStr">
        <is>
          <t>Control interno</t>
        </is>
      </c>
      <c r="C1409" s="18" t="inlineStr">
        <is>
          <t>control_interno</t>
        </is>
      </c>
      <c r="D1409" s="18" t="inlineStr">
        <is>
          <t>auditoria</t>
        </is>
      </c>
      <c r="E1409" s="18" t="n">
        <v>70</v>
      </c>
      <c r="F1409" s="18" t="inlineStr">
        <is>
          <t>semaforo</t>
        </is>
      </c>
      <c r="G1409" s="18" t="inlineStr">
        <is>
          <t>character varying(20)</t>
        </is>
      </c>
      <c r="H1409" s="18" t="inlineStr">
        <is>
          <t>Sí</t>
        </is>
      </c>
      <c r="I1409" s="18" t="inlineStr">
        <is>
          <t>CHECK</t>
        </is>
      </c>
      <c r="J1409" s="18" t="inlineStr">
        <is>
          <t>amarillo, rojo, verde</t>
        </is>
      </c>
      <c r="K1409" s="18" t="inlineStr"/>
      <c r="L1409" s="18" t="inlineStr">
        <is>
          <t>Sí</t>
        </is>
      </c>
      <c r="M1409" s="18" t="inlineStr">
        <is>
          <t>Sí</t>
        </is>
      </c>
      <c r="N1409" s="18" t="inlineStr">
        <is>
          <t>Vista control_interno.v_auditorias_kanban_completo; Vista control_interno.v_auditorias_por_estado</t>
        </is>
      </c>
      <c r="O1409" s="18" t="inlineStr">
        <is>
          <t>idx_auditoria_semaforo</t>
        </is>
      </c>
      <c r="P1409" s="18" t="inlineStr">
        <is>
          <t>internal-institutional-control-service/src/esap/auditorias/entities/auditoria.entity.ts:176: ═══════════════════════════════════════════════════════════════════ CRONOGRAMA DE 3 ETAPAS: Planeación → Ejecución → Comunicación ═══════════════════════════════════════════════════════════════════ | Validación: IsEnum(SemaforoColor), IsOptional</t>
        </is>
      </c>
      <c r="Q1409" s="18" t="inlineStr">
        <is>
          <t>Código fuente (verificado)</t>
        </is>
      </c>
      <c r="R1409" s="18" t="inlineStr">
        <is>
          <t>Color del semáforo de seguimiento de la auditoría en el tablero Kanban. Valores permitidos: verde, amarillo, rojo; por defecto verde. Se asigna con el valor enviado al editar la auditoría.</t>
        </is>
      </c>
      <c r="S1409" s="18" t="inlineStr">
        <is>
          <t>Media</t>
        </is>
      </c>
      <c r="T1409" s="18" t="inlineStr">
        <is>
          <t>backend/internal-institutional-control-service/src/esap/auditorias/entities/auditoria.entity.ts:48-52: enum SemaforoColor | backend/internal-institutional-control-service/src/esap/auditorias/auditorias.service.ts:1910: semaforo = updateDto.semaforo; el código no calcula el color</t>
        </is>
      </c>
      <c r="U1409" s="18" t="inlineStr">
        <is>
          <t>¿Qué criterio usa el usuario para asignar cada color del semáforo? El código no lo calcula.</t>
        </is>
      </c>
      <c r="V1409" s="19" t="inlineStr">
        <is>
          <t>Aprobada</t>
        </is>
      </c>
      <c r="W1409" s="19" t="inlineStr"/>
      <c r="X1409" s="19" t="inlineStr">
        <is>
          <t>Aldair González (validación del responsable de BD)</t>
        </is>
      </c>
      <c r="Y1409" s="20" t="n">
        <v>46321</v>
      </c>
      <c r="Z1409" s="19" t="inlineStr">
        <is>
          <t>Nivel 3: validada por decisión del responsable de la base de datos. Pregunta registrada para desarrollo: ¿Qué criterio usa el usuario para asignar cada color del semáforo? El código no lo calcula.</t>
        </is>
      </c>
      <c r="AA1409" s="18">
        <f>IF(OR(V1409="Aprobada"),R1409,IF(AND(OR(V1409="Aprobada con ajuste",V1409="Rechazada"),W1409&lt;&gt;""),W1409,""))</f>
        <v/>
      </c>
    </row>
    <row r="1410">
      <c r="A1410" s="18" t="inlineStr">
        <is>
          <t>C1409</t>
        </is>
      </c>
      <c r="B1410" s="18" t="inlineStr">
        <is>
          <t>Control interno</t>
        </is>
      </c>
      <c r="C1410" s="18" t="inlineStr">
        <is>
          <t>control_interno</t>
        </is>
      </c>
      <c r="D1410" s="18" t="inlineStr">
        <is>
          <t>auditoria</t>
        </is>
      </c>
      <c r="E1410" s="18" t="n">
        <v>70</v>
      </c>
      <c r="F1410" s="18" t="inlineStr">
        <is>
          <t>tipo_kanban</t>
        </is>
      </c>
      <c r="G1410" s="18" t="inlineStr">
        <is>
          <t>character varying(50)</t>
        </is>
      </c>
      <c r="H1410" s="18" t="inlineStr">
        <is>
          <t>Sí</t>
        </is>
      </c>
      <c r="I1410" s="18" t="inlineStr">
        <is>
          <t>CHECK</t>
        </is>
      </c>
      <c r="J1410" s="18" t="inlineStr">
        <is>
          <t>especial, regular, territorial</t>
        </is>
      </c>
      <c r="K1410" s="18" t="inlineStr"/>
      <c r="L1410" s="18" t="inlineStr">
        <is>
          <t>Sí</t>
        </is>
      </c>
      <c r="M1410" s="18" t="inlineStr">
        <is>
          <t>Sí</t>
        </is>
      </c>
      <c r="N1410" s="18" t="inlineStr">
        <is>
          <t>Vista control_interno.v_auditorias_kanban_completo</t>
        </is>
      </c>
      <c r="O1410" s="18" t="inlineStr">
        <is>
          <t>idx_auditoria_tipo_kanban</t>
        </is>
      </c>
      <c r="P1410" s="18" t="inlineStr">
        <is>
          <t>internal-institutional-control-service/src/esap/auditorias/entities/auditoria.entity.ts:179: ═══════════════════════════════════════════════════════════════════ CRONOGRAMA DE 3 ETAPAS: Planeación → Ejecución → Comunicación ═══════════════════════════════════════════════════════════════════ | Validación: IsEnum(TipoKanban), IsOptional, IsString</t>
        </is>
      </c>
      <c r="Q1410" s="18" t="inlineStr">
        <is>
          <t>Código fuente (verificado)</t>
        </is>
      </c>
      <c r="R1410" s="18" t="inlineStr">
        <is>
          <t>Tipo operativo de la auditoría en el tablero Kanban. Valores permitidos: regular, especial, territorial; por defecto regular. Al crear la auditoría se deriva de tipo_kanban o de tipo; el Programa Anual combina ambos campos para clasificar la auditoría.</t>
        </is>
      </c>
      <c r="S1410" s="18" t="inlineStr">
        <is>
          <t>Alta</t>
        </is>
      </c>
      <c r="T1410" s="18" t="inlineStr">
        <is>
          <t>backend/internal-institutional-control-service/src/esap/auditorias/entities/auditoria.entity.ts:54-58: enum TipoKanban | backend/internal-institutional-control-service/src/esap/auditorias/auditorias.service.ts:773-777: resolveTipoKanban desde tipoKanban o tipo | backend/internal-institutional-control-service/src/esap/auditorias/auditorias.service.ts:1519: asignación al crear | backend/internal-institutional-control-service/src/esap/auditorias/auditorias.service.ts:126-131: Programa Anual usa tipo y tipoKanban</t>
        </is>
      </c>
      <c r="U1410" s="18" t="inlineStr"/>
      <c r="V1410" s="19" t="inlineStr">
        <is>
          <t>Aprobada</t>
        </is>
      </c>
      <c r="W1410" s="19" t="inlineStr"/>
      <c r="X1410" s="19" t="inlineStr">
        <is>
          <t>Aldair González (aprobación en bloque)</t>
        </is>
      </c>
      <c r="Y1410" s="20" t="n">
        <v>46321</v>
      </c>
      <c r="Z1410" s="19" t="inlineStr">
        <is>
          <t>Nivel 3: verificada con el código de la aplicación.</t>
        </is>
      </c>
      <c r="AA1410" s="18">
        <f>IF(OR(V1410="Aprobada"),R1410,IF(AND(OR(V1410="Aprobada con ajuste",V1410="Rechazada"),W1410&lt;&gt;""),W1410,""))</f>
        <v/>
      </c>
    </row>
    <row r="1411">
      <c r="A1411" s="18" t="inlineStr">
        <is>
          <t>C1410</t>
        </is>
      </c>
      <c r="B1411" s="18" t="inlineStr">
        <is>
          <t>Control interno</t>
        </is>
      </c>
      <c r="C1411" s="18" t="inlineStr">
        <is>
          <t>control_interno</t>
        </is>
      </c>
      <c r="D1411" s="18" t="inlineStr">
        <is>
          <t>auditoria</t>
        </is>
      </c>
      <c r="E1411" s="18" t="n">
        <v>70</v>
      </c>
      <c r="F1411" s="18" t="inlineStr">
        <is>
          <t>prioridad_kanban</t>
        </is>
      </c>
      <c r="G1411" s="18" t="inlineStr">
        <is>
          <t>character varying(20)</t>
        </is>
      </c>
      <c r="H1411" s="18" t="inlineStr">
        <is>
          <t>Sí</t>
        </is>
      </c>
      <c r="I1411" s="18" t="inlineStr">
        <is>
          <t>CHECK</t>
        </is>
      </c>
      <c r="J1411" s="18" t="inlineStr">
        <is>
          <t>alta, baja, crítica, media</t>
        </is>
      </c>
      <c r="K1411" s="18" t="inlineStr"/>
      <c r="L1411" s="18" t="inlineStr">
        <is>
          <t>Sí</t>
        </is>
      </c>
      <c r="M1411" s="18" t="inlineStr">
        <is>
          <t>Sí</t>
        </is>
      </c>
      <c r="N1411" s="18" t="inlineStr">
        <is>
          <t>Vista control_interno.v_auditorias_kanban_completo</t>
        </is>
      </c>
      <c r="O1411" s="18" t="inlineStr">
        <is>
          <t>idx_auditoria_prioridad_kanban</t>
        </is>
      </c>
      <c r="P1411" s="18" t="inlineStr">
        <is>
          <t>internal-institutional-control-service/src/esap/auditorias/entities/auditoria.entity.ts:182: ═══════════════════════════════════════════════════════════════════ CRONOGRAMA DE 3 ETAPAS: Planeación → Ejecución → Comunicación ═══════════════════════════════════════════════════════════════════ | Validación: IsEnum(PrioridadKanban), IsOptional</t>
        </is>
      </c>
      <c r="Q1411" s="18" t="inlineStr">
        <is>
          <t>Código fuente (verificado)</t>
        </is>
      </c>
      <c r="R1411" s="18" t="inlineStr">
        <is>
          <t>Prioridad de la auditoría en el tablero Kanban. Valores permitidos: baja, media, alta, crítica; por defecto media. Las tarjetas del tablero usan prioridad_kanban; los filtros y estadísticas usan prioridad.</t>
        </is>
      </c>
      <c r="S1411" s="18" t="inlineStr">
        <is>
          <t>Alta</t>
        </is>
      </c>
      <c r="T1411" s="18" t="inlineStr">
        <is>
          <t>backend/internal-institutional-control-service/src/esap/auditorias/entities/auditoria.entity.ts:60-65: enum PrioridadKanban | backend/internal-institutional-control-service/src/esap/auditorias/auditorias.service.ts:3000: tarjeta Kanban usa prioridadKanban | backend/internal-institutional-control-service/src/esap/auditorias/auditorias.service.ts:866: filtro por prioridad | backend/internal-institutional-control-service/src/esap/auditorias/auditorias.service.ts:2300: estadística porPrioridad usa prioridad</t>
        </is>
      </c>
      <c r="U1411" s="18" t="inlineStr"/>
      <c r="V1411" s="19" t="inlineStr">
        <is>
          <t>Aprobada</t>
        </is>
      </c>
      <c r="W1411" s="19" t="inlineStr"/>
      <c r="X1411" s="19" t="inlineStr">
        <is>
          <t>Aldair González (aprobación en bloque)</t>
        </is>
      </c>
      <c r="Y1411" s="20" t="n">
        <v>46321</v>
      </c>
      <c r="Z1411" s="19" t="inlineStr">
        <is>
          <t>Nivel 3: verificada con el código de la aplicación.</t>
        </is>
      </c>
      <c r="AA1411" s="18">
        <f>IF(OR(V1411="Aprobada"),R1411,IF(AND(OR(V1411="Aprobada con ajuste",V1411="Rechazada"),W1411&lt;&gt;""),W1411,""))</f>
        <v/>
      </c>
    </row>
    <row r="1412">
      <c r="A1412" s="18" t="inlineStr">
        <is>
          <t>C1411</t>
        </is>
      </c>
      <c r="B1412" s="18" t="inlineStr">
        <is>
          <t>Control interno</t>
        </is>
      </c>
      <c r="C1412" s="18" t="inlineStr">
        <is>
          <t>control_interno</t>
        </is>
      </c>
      <c r="D1412" s="18" t="inlineStr">
        <is>
          <t>auditoria</t>
        </is>
      </c>
      <c r="E1412" s="18" t="n">
        <v>70</v>
      </c>
      <c r="F1412" s="18" t="inlineStr">
        <is>
          <t>area_objetivo</t>
        </is>
      </c>
      <c r="G1412" s="18" t="inlineStr">
        <is>
          <t>character varying(255)</t>
        </is>
      </c>
      <c r="H1412" s="18" t="inlineStr">
        <is>
          <t>Sí</t>
        </is>
      </c>
      <c r="I1412" s="18" t="inlineStr"/>
      <c r="J1412" s="18" t="inlineStr"/>
      <c r="K1412" s="18" t="inlineStr"/>
      <c r="L1412" s="18" t="inlineStr">
        <is>
          <t>No</t>
        </is>
      </c>
      <c r="M1412" s="18" t="inlineStr">
        <is>
          <t>Sí</t>
        </is>
      </c>
      <c r="N1412" s="18" t="inlineStr">
        <is>
          <t>Vista control_interno.v_auditorias_kanban_completo</t>
        </is>
      </c>
      <c r="O1412" s="18" t="inlineStr"/>
      <c r="P1412" s="18" t="inlineStr">
        <is>
          <t>internal-institutional-control-service/src/esap/auditorias/entities/auditoria.entity.ts:185: ═══════════════════════════════════════════════════════════════════ CRONOGRAMA DE 3 ETAPAS: Planeación → Ejecución → Comunicación ═══════════════════════════════════════════════════════════════════ | Validación: IsOptional, IsString</t>
        </is>
      </c>
      <c r="Q1412" s="18" t="inlineStr">
        <is>
          <t>Código fuente (verificado)</t>
        </is>
      </c>
      <c r="R1412" s="18" t="inlineStr">
        <is>
          <t>Área objetivo de la auditoría, en texto libre.</t>
        </is>
      </c>
      <c r="S1412" s="18" t="inlineStr">
        <is>
          <t>Alta</t>
        </is>
      </c>
      <c r="T1412" s="18" t="inlineStr">
        <is>
          <t>backend/internal-institutional-control-service/src/esap/auditorias/dto/create-auditoria.dto.ts:117: IsString, IsOptional | backend/internal-institutional-control-service/src/esap/planes-mejoramiento/plan-mejoramiento-rol4-tarea-sync.service.ts:110: se usa como texto</t>
        </is>
      </c>
      <c r="U1412" s="18" t="inlineStr"/>
      <c r="V1412" s="19" t="inlineStr">
        <is>
          <t>Aprobada</t>
        </is>
      </c>
      <c r="W1412" s="19" t="inlineStr"/>
      <c r="X1412" s="19" t="inlineStr">
        <is>
          <t>Aldair González (aprobación en bloque)</t>
        </is>
      </c>
      <c r="Y1412" s="20" t="n">
        <v>46321</v>
      </c>
      <c r="Z1412" s="19" t="inlineStr">
        <is>
          <t>Nivel 3: verificada con el código de la aplicación.</t>
        </is>
      </c>
      <c r="AA1412" s="18">
        <f>IF(OR(V1412="Aprobada"),R1412,IF(AND(OR(V1412="Aprobada con ajuste",V1412="Rechazada"),W1412&lt;&gt;""),W1412,""))</f>
        <v/>
      </c>
    </row>
    <row r="1413">
      <c r="A1413" s="18" t="inlineStr">
        <is>
          <t>C1412</t>
        </is>
      </c>
      <c r="B1413" s="18" t="inlineStr">
        <is>
          <t>Control interno</t>
        </is>
      </c>
      <c r="C1413" s="18" t="inlineStr">
        <is>
          <t>control_interno</t>
        </is>
      </c>
      <c r="D1413" s="18" t="inlineStr">
        <is>
          <t>auditoria</t>
        </is>
      </c>
      <c r="E1413" s="18" t="n">
        <v>70</v>
      </c>
      <c r="F1413" s="18" t="inlineStr">
        <is>
          <t>permite_cambiar_objetivos</t>
        </is>
      </c>
      <c r="G1413" s="18" t="inlineStr">
        <is>
          <t>boolean</t>
        </is>
      </c>
      <c r="H1413" s="18" t="inlineStr">
        <is>
          <t>Sí</t>
        </is>
      </c>
      <c r="I1413" s="18" t="inlineStr"/>
      <c r="J1413" s="18" t="inlineStr"/>
      <c r="K1413" s="18" t="inlineStr"/>
      <c r="L1413" s="18" t="inlineStr">
        <is>
          <t>No</t>
        </is>
      </c>
      <c r="M1413" s="18" t="inlineStr">
        <is>
          <t>No</t>
        </is>
      </c>
      <c r="N1413" s="18" t="inlineStr"/>
      <c r="O1413" s="18" t="inlineStr"/>
      <c r="P1413" s="18" t="inlineStr">
        <is>
          <t>internal-institutional-control-service/src/esap/auditorias/entities/auditoria.entity.ts:188: ═══════════════════════════════════════════════════════════════════ CRONOGRAMA DE 3 ETAPAS: Planeación → Ejecución → Comunicación ═══════════════════════════════════════════════════════════════════ | Validación: IsBoolean, IsOptional</t>
        </is>
      </c>
      <c r="Q1413" s="18" t="inlineStr">
        <is>
          <t>Código fuente (verificado)</t>
        </is>
      </c>
      <c r="R1413" s="18" t="inlineStr">
        <is>
          <t>Indica si se permite cambiar los objetivos de la auditoría. Por defecto verdadero; se modifica con el valor enviado al editar la auditoría.</t>
        </is>
      </c>
      <c r="S1413" s="18" t="inlineStr">
        <is>
          <t>Media</t>
        </is>
      </c>
      <c r="T1413" s="18" t="inlineStr">
        <is>
          <t>backend/internal-institutional-control-service/src/esap/auditorias/entities/auditoria.entity.ts:188: default true | backend/internal-institutional-control-service/src/esap/auditorias/auditorias.service.ts:1914: asignación desde updateDto; el código no lo bloquea por fase ni rol</t>
        </is>
      </c>
      <c r="U1413" s="18" t="inlineStr">
        <is>
          <t>¿En qué fase o por qué rol se bloquea el cambio de objetivos? El código solo guarda el valor enviado.</t>
        </is>
      </c>
      <c r="V1413" s="19" t="inlineStr">
        <is>
          <t>Aprobada</t>
        </is>
      </c>
      <c r="W1413" s="19" t="inlineStr"/>
      <c r="X1413" s="19" t="inlineStr">
        <is>
          <t>Aldair González (validación del responsable de BD)</t>
        </is>
      </c>
      <c r="Y1413" s="20" t="n">
        <v>46321</v>
      </c>
      <c r="Z1413" s="19" t="inlineStr">
        <is>
          <t>Nivel 3: validada por decisión del responsable de la base de datos. Pregunta registrada para desarrollo: ¿En qué fase o por qué rol se bloquea el cambio de objetivos? El código solo guarda el valor enviado.</t>
        </is>
      </c>
      <c r="AA1413" s="18">
        <f>IF(OR(V1413="Aprobada"),R1413,IF(AND(OR(V1413="Aprobada con ajuste",V1413="Rechazada"),W1413&lt;&gt;""),W1413,""))</f>
        <v/>
      </c>
    </row>
    <row r="1414">
      <c r="A1414" s="18" t="inlineStr">
        <is>
          <t>C1413</t>
        </is>
      </c>
      <c r="B1414" s="18" t="inlineStr">
        <is>
          <t>Control interno</t>
        </is>
      </c>
      <c r="C1414" s="18" t="inlineStr">
        <is>
          <t>control_interno</t>
        </is>
      </c>
      <c r="D1414" s="18" t="inlineStr">
        <is>
          <t>auditoria</t>
        </is>
      </c>
      <c r="E1414" s="18" t="n">
        <v>70</v>
      </c>
      <c r="F1414" s="18" t="inlineStr">
        <is>
          <t>alcance</t>
        </is>
      </c>
      <c r="G1414" s="18" t="inlineStr">
        <is>
          <t>text</t>
        </is>
      </c>
      <c r="H1414" s="18" t="inlineStr">
        <is>
          <t>Sí</t>
        </is>
      </c>
      <c r="I1414" s="18" t="inlineStr"/>
      <c r="J1414" s="18" t="inlineStr"/>
      <c r="K1414" s="18" t="inlineStr"/>
      <c r="L1414" s="18" t="inlineStr">
        <is>
          <t>No</t>
        </is>
      </c>
      <c r="M1414" s="18" t="inlineStr">
        <is>
          <t>Sí</t>
        </is>
      </c>
      <c r="N1414" s="18" t="inlineStr">
        <is>
          <t>Vista control_interno.v_auditorias_kanban_completo</t>
        </is>
      </c>
      <c r="O1414" s="18" t="inlineStr"/>
      <c r="P1414" s="18" t="inlineStr">
        <is>
          <t>internal-institutional-control-service/src/esap/auditorias/entities/auditoria.entity.ts:256: ═══════════════════════════════════════════════════════════════════ CRONOGRAMA DE 3 ETAPAS: Planeación → Ejecución → Comunicación ═══════════════════════════════════════════════════════════════════ | db/migrations/old/047_add_alcance_auditoria.sql:21: Alcance de la auditoría. Define las áreas a evaluar, procesos incluidos, etc. | Validación: IsNotEmpty, IsOptional, IsString</t>
        </is>
      </c>
      <c r="Q1414" s="18" t="inlineStr">
        <is>
          <t>Código fuente</t>
        </is>
      </c>
      <c r="R1414" s="18" t="inlineStr">
        <is>
          <t>Alcance de la auditoría: áreas a evaluar y procesos incluidos.</t>
        </is>
      </c>
      <c r="S1414" s="18" t="inlineStr">
        <is>
          <t>Alta</t>
        </is>
      </c>
      <c r="T1414" s="18" t="inlineStr">
        <is>
          <t>código: db/migrations/old/047_add_alcance_auditoria.sql:21</t>
        </is>
      </c>
      <c r="U1414" s="18" t="inlineStr"/>
      <c r="V1414" s="19" t="inlineStr">
        <is>
          <t>Aprobada</t>
        </is>
      </c>
      <c r="W1414" s="19" t="inlineStr"/>
      <c r="X1414" s="19" t="inlineStr">
        <is>
          <t>Aldair González (aprobación en bloque)</t>
        </is>
      </c>
      <c r="Y1414" s="20" t="n">
        <v>46321</v>
      </c>
      <c r="Z1414" s="19" t="inlineStr">
        <is>
          <t>Nivel 1: propuesta del comentario del desarrollador o de confianza alta, o regla de fecha/responsable/motivo.</t>
        </is>
      </c>
      <c r="AA1414" s="18">
        <f>IF(OR(V1414="Aprobada"),R1414,IF(AND(OR(V1414="Aprobada con ajuste",V1414="Rechazada"),W1414&lt;&gt;""),W1414,""))</f>
        <v/>
      </c>
    </row>
    <row r="1415">
      <c r="A1415" s="18" t="inlineStr">
        <is>
          <t>C1414</t>
        </is>
      </c>
      <c r="B1415" s="18" t="inlineStr">
        <is>
          <t>Control interno</t>
        </is>
      </c>
      <c r="C1415" s="18" t="inlineStr">
        <is>
          <t>control_interno</t>
        </is>
      </c>
      <c r="D1415" s="18" t="inlineStr">
        <is>
          <t>auditoria</t>
        </is>
      </c>
      <c r="E1415" s="18" t="n">
        <v>70</v>
      </c>
      <c r="F1415" s="18" t="inlineStr">
        <is>
          <t>proceso_auditado</t>
        </is>
      </c>
      <c r="G1415" s="18" t="inlineStr">
        <is>
          <t>character varying(500)</t>
        </is>
      </c>
      <c r="H1415" s="18" t="inlineStr">
        <is>
          <t>Sí</t>
        </is>
      </c>
      <c r="I1415" s="18" t="inlineStr"/>
      <c r="J1415" s="18" t="inlineStr"/>
      <c r="K1415" s="18" t="inlineStr"/>
      <c r="L1415" s="18" t="inlineStr">
        <is>
          <t>No</t>
        </is>
      </c>
      <c r="M1415" s="18" t="inlineStr">
        <is>
          <t>Sí</t>
        </is>
      </c>
      <c r="N1415" s="18" t="inlineStr">
        <is>
          <t>Vista control_interno.v_auditorias_kanban_completo</t>
        </is>
      </c>
      <c r="O1415" s="18" t="inlineStr"/>
      <c r="P1415" s="18" t="inlineStr">
        <is>
          <t>internal-institutional-control-service/src/esap/auditorias/entities/auditoria.entity.ts:259: ═══════════════════════════════════════════════════════════════════ CRONOGRAMA DE 3 ETAPAS: Planeación → Ejecución → Comunicación ═══════════════════════════════════════════════════════════════════ | Validación: IsOptional, IsString</t>
        </is>
      </c>
      <c r="Q1415" s="18" t="inlineStr">
        <is>
          <t>Código fuente (verificado)</t>
        </is>
      </c>
      <c r="R1415" s="18" t="inlineStr">
        <is>
          <t>Proceso auditado: identificador (UUID) de control_interno.proceso_auditable o, si no está vinculado, el nombre del proceso en texto.</t>
        </is>
      </c>
      <c r="S1415" s="18" t="inlineStr">
        <is>
          <t>Alta</t>
        </is>
      </c>
      <c r="T1415" s="18" t="inlineStr">
        <is>
          <t>backend/internal-institutional-control-service/src/esap/auditorias/auditorias.service.ts:940-948: si es UUID consulta control_interno.proceso_auditable | backend/internal-institutional-control-service/src/esap/auditorias/auditorias.service.ts:982: si no, se muestra el texto como nombre</t>
        </is>
      </c>
      <c r="U1415" s="18" t="inlineStr"/>
      <c r="V1415" s="19" t="inlineStr">
        <is>
          <t>Aprobada</t>
        </is>
      </c>
      <c r="W1415" s="19" t="inlineStr"/>
      <c r="X1415" s="19" t="inlineStr">
        <is>
          <t>Aldair González (aprobación en bloque)</t>
        </is>
      </c>
      <c r="Y1415" s="20" t="n">
        <v>46321</v>
      </c>
      <c r="Z1415" s="19" t="inlineStr">
        <is>
          <t>Nivel 3: verificada con el código de la aplicación.</t>
        </is>
      </c>
      <c r="AA1415" s="18">
        <f>IF(OR(V1415="Aprobada"),R1415,IF(AND(OR(V1415="Aprobada con ajuste",V1415="Rechazada"),W1415&lt;&gt;""),W1415,""))</f>
        <v/>
      </c>
    </row>
    <row r="1416">
      <c r="A1416" s="18" t="inlineStr">
        <is>
          <t>C1415</t>
        </is>
      </c>
      <c r="B1416" s="18" t="inlineStr">
        <is>
          <t>Control interno</t>
        </is>
      </c>
      <c r="C1416" s="18" t="inlineStr">
        <is>
          <t>control_interno</t>
        </is>
      </c>
      <c r="D1416" s="18" t="inlineStr">
        <is>
          <t>auditoria</t>
        </is>
      </c>
      <c r="E1416" s="18" t="n">
        <v>70</v>
      </c>
      <c r="F1416" s="18" t="inlineStr">
        <is>
          <t>responsable_area_nombre</t>
        </is>
      </c>
      <c r="G1416" s="18" t="inlineStr">
        <is>
          <t>character varying(255)</t>
        </is>
      </c>
      <c r="H1416" s="18" t="inlineStr">
        <is>
          <t>Sí</t>
        </is>
      </c>
      <c r="I1416" s="18" t="inlineStr"/>
      <c r="J1416" s="18" t="inlineStr"/>
      <c r="K1416" s="18" t="inlineStr"/>
      <c r="L1416" s="18" t="inlineStr">
        <is>
          <t>No</t>
        </is>
      </c>
      <c r="M1416" s="18" t="inlineStr">
        <is>
          <t>Sí</t>
        </is>
      </c>
      <c r="N1416" s="18" t="inlineStr">
        <is>
          <t>Vista control_interno.v_auditorias_kanban_completo</t>
        </is>
      </c>
      <c r="O1416" s="18" t="inlineStr"/>
      <c r="P1416" s="18" t="inlineStr">
        <is>
          <t>internal-institutional-control-service/src/esap/auditorias/entities/auditoria.entity.ts:262: ═══════════════════════════════════════════════════════════════════ CRONOGRAMA DE 3 ETAPAS: Planeación → Ejecución → Comunicación ═══════════════════════════════════════════════════════════════════ | Validación: IsOptional, IsString</t>
        </is>
      </c>
      <c r="Q1416" s="18" t="inlineStr">
        <is>
          <t>Código fuente</t>
        </is>
      </c>
      <c r="R1416" s="18" t="inlineStr">
        <is>
          <t>Nombre del responsable del área auditada.</t>
        </is>
      </c>
      <c r="S1416" s="18" t="inlineStr">
        <is>
          <t>Alta</t>
        </is>
      </c>
      <c r="T1416" s="18" t="inlineStr">
        <is>
          <t>nombre + tipo + columnas vecinas</t>
        </is>
      </c>
      <c r="U1416" s="18" t="inlineStr"/>
      <c r="V1416" s="19" t="inlineStr">
        <is>
          <t>Aprobada</t>
        </is>
      </c>
      <c r="W1416" s="19" t="inlineStr"/>
      <c r="X1416" s="19" t="inlineStr">
        <is>
          <t>Aldair González (aprobación en bloque)</t>
        </is>
      </c>
      <c r="Y1416" s="20" t="n">
        <v>46321</v>
      </c>
      <c r="Z1416" s="19" t="inlineStr">
        <is>
          <t>Nivel 1: propuesta del comentario del desarrollador o de confianza alta, o regla de fecha/responsable/motivo.</t>
        </is>
      </c>
      <c r="AA1416" s="18">
        <f>IF(OR(V1416="Aprobada"),R1416,IF(AND(OR(V1416="Aprobada con ajuste",V1416="Rechazada"),W1416&lt;&gt;""),W1416,""))</f>
        <v/>
      </c>
    </row>
    <row r="1417">
      <c r="A1417" s="18" t="inlineStr">
        <is>
          <t>C1416</t>
        </is>
      </c>
      <c r="B1417" s="18" t="inlineStr">
        <is>
          <t>Control interno</t>
        </is>
      </c>
      <c r="C1417" s="18" t="inlineStr">
        <is>
          <t>control_interno</t>
        </is>
      </c>
      <c r="D1417" s="18" t="inlineStr">
        <is>
          <t>auditoria</t>
        </is>
      </c>
      <c r="E1417" s="18" t="n">
        <v>70</v>
      </c>
      <c r="F1417" s="18" t="inlineStr">
        <is>
          <t>responsable_area_cargo</t>
        </is>
      </c>
      <c r="G1417" s="18" t="inlineStr">
        <is>
          <t>character varying(255)</t>
        </is>
      </c>
      <c r="H1417" s="18" t="inlineStr">
        <is>
          <t>Sí</t>
        </is>
      </c>
      <c r="I1417" s="18" t="inlineStr"/>
      <c r="J1417" s="18" t="inlineStr"/>
      <c r="K1417" s="18" t="inlineStr"/>
      <c r="L1417" s="18" t="inlineStr">
        <is>
          <t>No</t>
        </is>
      </c>
      <c r="M1417" s="18" t="inlineStr">
        <is>
          <t>Sí</t>
        </is>
      </c>
      <c r="N1417" s="18" t="inlineStr">
        <is>
          <t>Vista control_interno.v_auditorias_kanban_completo</t>
        </is>
      </c>
      <c r="O1417" s="18" t="inlineStr"/>
      <c r="P1417" s="18" t="inlineStr">
        <is>
          <t>internal-institutional-control-service/src/esap/auditorias/entities/auditoria.entity.ts:265: ═══════════════════════════════════════════════════════════════════ CRONOGRAMA DE 3 ETAPAS: Planeación → Ejecución → Comunicación ═══════════════════════════════════════════════════════════════════ | Validación: IsOptional, IsString</t>
        </is>
      </c>
      <c r="Q1417" s="18" t="inlineStr">
        <is>
          <t>Código fuente</t>
        </is>
      </c>
      <c r="R1417" s="18" t="inlineStr">
        <is>
          <t>Cargo del responsable del área auditada.</t>
        </is>
      </c>
      <c r="S1417" s="18" t="inlineStr">
        <is>
          <t>Alta</t>
        </is>
      </c>
      <c r="T1417" s="18" t="inlineStr">
        <is>
          <t>nombre + tipo + columnas vecinas</t>
        </is>
      </c>
      <c r="U1417" s="18" t="inlineStr"/>
      <c r="V1417" s="19" t="inlineStr">
        <is>
          <t>Aprobada</t>
        </is>
      </c>
      <c r="W1417" s="19" t="inlineStr"/>
      <c r="X1417" s="19" t="inlineStr">
        <is>
          <t>Aldair González (aprobación en bloque)</t>
        </is>
      </c>
      <c r="Y1417" s="20" t="n">
        <v>46321</v>
      </c>
      <c r="Z1417" s="19" t="inlineStr">
        <is>
          <t>Nivel 1: propuesta del comentario del desarrollador o de confianza alta, o regla de fecha/responsable/motivo.</t>
        </is>
      </c>
      <c r="AA1417" s="18">
        <f>IF(OR(V1417="Aprobada"),R1417,IF(AND(OR(V1417="Aprobada con ajuste",V1417="Rechazada"),W1417&lt;&gt;""),W1417,""))</f>
        <v/>
      </c>
    </row>
    <row r="1418">
      <c r="A1418" s="18" t="inlineStr">
        <is>
          <t>C1417</t>
        </is>
      </c>
      <c r="B1418" s="18" t="inlineStr">
        <is>
          <t>Control interno</t>
        </is>
      </c>
      <c r="C1418" s="18" t="inlineStr">
        <is>
          <t>control_interno</t>
        </is>
      </c>
      <c r="D1418" s="18" t="inlineStr">
        <is>
          <t>auditoria</t>
        </is>
      </c>
      <c r="E1418" s="18" t="n">
        <v>70</v>
      </c>
      <c r="F1418" s="18" t="inlineStr">
        <is>
          <t>responsable_area_email</t>
        </is>
      </c>
      <c r="G1418" s="18" t="inlineStr">
        <is>
          <t>character varying(255)</t>
        </is>
      </c>
      <c r="H1418" s="18" t="inlineStr">
        <is>
          <t>Sí</t>
        </is>
      </c>
      <c r="I1418" s="18" t="inlineStr"/>
      <c r="J1418" s="18" t="inlineStr"/>
      <c r="K1418" s="18" t="inlineStr"/>
      <c r="L1418" s="18" t="inlineStr">
        <is>
          <t>No</t>
        </is>
      </c>
      <c r="M1418" s="18" t="inlineStr">
        <is>
          <t>Sí</t>
        </is>
      </c>
      <c r="N1418" s="18" t="inlineStr">
        <is>
          <t>Vista control_interno.v_auditorias_kanban_completo</t>
        </is>
      </c>
      <c r="O1418" s="18" t="inlineStr"/>
      <c r="P1418" s="18" t="inlineStr">
        <is>
          <t>internal-institutional-control-service/src/esap/auditorias/entities/auditoria.entity.ts:268: ═══════════════════════════════════════════════════════════════════ CRONOGRAMA DE 3 ETAPAS: Planeación → Ejecución → Comunicación ═══════════════════════════════════════════════════════════════════ | Validación: IsOptional, IsString</t>
        </is>
      </c>
      <c r="Q1418" s="18" t="inlineStr">
        <is>
          <t>Código fuente</t>
        </is>
      </c>
      <c r="R1418" s="18" t="inlineStr">
        <is>
          <t>Correo electrónico del responsable del área auditada.</t>
        </is>
      </c>
      <c r="S1418" s="18" t="inlineStr">
        <is>
          <t>Alta</t>
        </is>
      </c>
      <c r="T1418" s="18" t="inlineStr">
        <is>
          <t>nombre + tipo + columnas vecinas</t>
        </is>
      </c>
      <c r="U1418" s="18" t="inlineStr"/>
      <c r="V1418" s="19" t="inlineStr">
        <is>
          <t>Aprobada</t>
        </is>
      </c>
      <c r="W1418" s="19" t="inlineStr"/>
      <c r="X1418" s="19" t="inlineStr">
        <is>
          <t>Aldair González (aprobación en bloque)</t>
        </is>
      </c>
      <c r="Y1418" s="20" t="n">
        <v>46321</v>
      </c>
      <c r="Z1418" s="19" t="inlineStr">
        <is>
          <t>Nivel 1: propuesta del comentario del desarrollador o de confianza alta, o regla de fecha/responsable/motivo.</t>
        </is>
      </c>
      <c r="AA1418" s="18">
        <f>IF(OR(V1418="Aprobada"),R1418,IF(AND(OR(V1418="Aprobada con ajuste",V1418="Rechazada"),W1418&lt;&gt;""),W1418,""))</f>
        <v/>
      </c>
    </row>
    <row r="1419">
      <c r="A1419" s="18" t="inlineStr">
        <is>
          <t>C1418</t>
        </is>
      </c>
      <c r="B1419" s="18" t="inlineStr">
        <is>
          <t>Control interno</t>
        </is>
      </c>
      <c r="C1419" s="18" t="inlineStr">
        <is>
          <t>control_interno</t>
        </is>
      </c>
      <c r="D1419" s="18" t="inlineStr">
        <is>
          <t>auditoria</t>
        </is>
      </c>
      <c r="E1419" s="18" t="n">
        <v>70</v>
      </c>
      <c r="F1419" s="18" t="inlineStr">
        <is>
          <t>fecha_reunion_apertura</t>
        </is>
      </c>
      <c r="G1419" s="18" t="inlineStr">
        <is>
          <t>timestamp without time zone</t>
        </is>
      </c>
      <c r="H1419" s="18" t="inlineStr">
        <is>
          <t>Sí</t>
        </is>
      </c>
      <c r="I1419" s="18" t="inlineStr"/>
      <c r="J1419" s="18" t="inlineStr"/>
      <c r="K1419" s="18" t="inlineStr"/>
      <c r="L1419" s="18" t="inlineStr">
        <is>
          <t>No</t>
        </is>
      </c>
      <c r="M1419" s="18" t="inlineStr">
        <is>
          <t>Sí</t>
        </is>
      </c>
      <c r="N1419" s="18" t="inlineStr">
        <is>
          <t>Vista control_interno.v_auditorias_kanban_completo</t>
        </is>
      </c>
      <c r="O1419" s="18" t="inlineStr">
        <is>
          <t>idx_auditoria_fecha_reunion</t>
        </is>
      </c>
      <c r="P1419" s="18" t="inlineStr">
        <is>
          <t>internal-institutional-control-service/src/esap/auditorias/entities/auditoria.entity.ts:271: ═══════════════════════════════════════════════════════════════════ CRONOGRAMA DE 3 ETAPAS: Planeación → Ejecución → Comunicación ═══════════════════════════════════════════════════════════════════ | Validación: IsDateString, IsOptional</t>
        </is>
      </c>
      <c r="Q1419" s="18" t="inlineStr">
        <is>
          <t>Código fuente</t>
        </is>
      </c>
      <c r="R1419" s="18" t="inlineStr">
        <is>
          <t>Fecha y hora de la reunión de apertura de la auditoría.</t>
        </is>
      </c>
      <c r="S1419" s="18" t="inlineStr">
        <is>
          <t>Alta</t>
        </is>
      </c>
      <c r="T1419" s="18" t="inlineStr">
        <is>
          <t>nombre + tipo + propuesta por regla</t>
        </is>
      </c>
      <c r="U1419" s="18" t="inlineStr"/>
      <c r="V1419" s="19" t="inlineStr">
        <is>
          <t>Aprobada</t>
        </is>
      </c>
      <c r="W1419" s="19" t="inlineStr"/>
      <c r="X1419" s="19" t="inlineStr">
        <is>
          <t>Aldair González (aprobación en bloque)</t>
        </is>
      </c>
      <c r="Y1419" s="20" t="n">
        <v>46321</v>
      </c>
      <c r="Z1419" s="19" t="inlineStr">
        <is>
          <t>Nivel 1: propuesta del comentario del desarrollador o de confianza alta, o regla de fecha/responsable/motivo.</t>
        </is>
      </c>
      <c r="AA1419" s="18">
        <f>IF(OR(V1419="Aprobada"),R1419,IF(AND(OR(V1419="Aprobada con ajuste",V1419="Rechazada"),W1419&lt;&gt;""),W1419,""))</f>
        <v/>
      </c>
    </row>
    <row r="1420">
      <c r="A1420" s="18" t="inlineStr">
        <is>
          <t>C1419</t>
        </is>
      </c>
      <c r="B1420" s="18" t="inlineStr">
        <is>
          <t>Control interno</t>
        </is>
      </c>
      <c r="C1420" s="18" t="inlineStr">
        <is>
          <t>control_interno</t>
        </is>
      </c>
      <c r="D1420" s="18" t="inlineStr">
        <is>
          <t>auditoria</t>
        </is>
      </c>
      <c r="E1420" s="18" t="n">
        <v>70</v>
      </c>
      <c r="F1420" s="18" t="inlineStr">
        <is>
          <t>metodologia</t>
        </is>
      </c>
      <c r="G1420" s="18" t="inlineStr">
        <is>
          <t>text</t>
        </is>
      </c>
      <c r="H1420" s="18" t="inlineStr">
        <is>
          <t>Sí</t>
        </is>
      </c>
      <c r="I1420" s="18" t="inlineStr"/>
      <c r="J1420" s="18" t="inlineStr"/>
      <c r="K1420" s="18" t="inlineStr"/>
      <c r="L1420" s="18" t="inlineStr">
        <is>
          <t>No</t>
        </is>
      </c>
      <c r="M1420" s="18" t="inlineStr">
        <is>
          <t>No</t>
        </is>
      </c>
      <c r="N1420" s="18" t="inlineStr"/>
      <c r="O1420" s="18" t="inlineStr"/>
      <c r="P1420" s="18" t="inlineStr"/>
      <c r="Q1420" s="18" t="inlineStr">
        <is>
          <t>Propuesta semántica</t>
        </is>
      </c>
      <c r="R1420" s="18" t="inlineStr">
        <is>
          <t>Metodología aplicada en la auditoría.</t>
        </is>
      </c>
      <c r="S1420" s="18" t="inlineStr">
        <is>
          <t>Alta</t>
        </is>
      </c>
      <c r="T1420" s="18" t="inlineStr">
        <is>
          <t>nombre + tipo ~</t>
        </is>
      </c>
      <c r="U1420" s="18" t="inlineStr"/>
      <c r="V1420" s="19" t="inlineStr">
        <is>
          <t>Aprobada</t>
        </is>
      </c>
      <c r="W1420" s="19" t="inlineStr"/>
      <c r="X1420" s="19" t="inlineStr">
        <is>
          <t>Aldair González (aprobación en bloque)</t>
        </is>
      </c>
      <c r="Y1420" s="20" t="n">
        <v>46321</v>
      </c>
      <c r="Z1420" s="19" t="inlineStr">
        <is>
          <t>Nivel 1: propuesta del comentario del desarrollador o de confianza alta, o regla de fecha/responsable/motivo.</t>
        </is>
      </c>
      <c r="AA1420" s="18">
        <f>IF(OR(V1420="Aprobada"),R1420,IF(AND(OR(V1420="Aprobada con ajuste",V1420="Rechazada"),W1420&lt;&gt;""),W1420,""))</f>
        <v/>
      </c>
    </row>
    <row r="1421">
      <c r="A1421" s="18" t="inlineStr">
        <is>
          <t>C1420</t>
        </is>
      </c>
      <c r="B1421" s="18" t="inlineStr">
        <is>
          <t>Control interno</t>
        </is>
      </c>
      <c r="C1421" s="18" t="inlineStr">
        <is>
          <t>control_interno</t>
        </is>
      </c>
      <c r="D1421" s="18" t="inlineStr">
        <is>
          <t>auditoria</t>
        </is>
      </c>
      <c r="E1421" s="18" t="n">
        <v>70</v>
      </c>
      <c r="F1421" s="18" t="inlineStr">
        <is>
          <t>periodicidad</t>
        </is>
      </c>
      <c r="G1421" s="18" t="inlineStr">
        <is>
          <t>character varying(20)</t>
        </is>
      </c>
      <c r="H1421" s="18" t="inlineStr">
        <is>
          <t>Sí</t>
        </is>
      </c>
      <c r="I1421" s="18" t="inlineStr">
        <is>
          <t>CHECK</t>
        </is>
      </c>
      <c r="J1421" s="18" t="inlineStr">
        <is>
          <t>anual, semestral, trimestral, unica</t>
        </is>
      </c>
      <c r="K1421" s="18" t="inlineStr"/>
      <c r="L1421" s="18" t="inlineStr">
        <is>
          <t>Sí</t>
        </is>
      </c>
      <c r="M1421" s="18" t="inlineStr">
        <is>
          <t>No</t>
        </is>
      </c>
      <c r="N1421" s="18" t="inlineStr"/>
      <c r="O1421" s="18" t="inlineStr"/>
      <c r="P1421" s="18" t="inlineStr"/>
      <c r="Q1421" s="18" t="inlineStr">
        <is>
          <t>Propuesta semántica</t>
        </is>
      </c>
      <c r="R1421" s="18" t="inlineStr">
        <is>
          <t>Periodicidad de la auditoría. Valores permitidos: unica, trimestral, semestral, anual; por defecto unica.</t>
        </is>
      </c>
      <c r="S1421" s="18" t="inlineStr">
        <is>
          <t>Alta</t>
        </is>
      </c>
      <c r="T1421" s="18" t="inlineStr">
        <is>
          <t>valores permitidos del CHECK + defecto ~</t>
        </is>
      </c>
      <c r="U1421" s="18" t="inlineStr"/>
      <c r="V1421" s="19" t="inlineStr">
        <is>
          <t>Aprobada</t>
        </is>
      </c>
      <c r="W1421" s="19" t="inlineStr"/>
      <c r="X1421" s="19" t="inlineStr">
        <is>
          <t>Aldair González (aprobación en bloque)</t>
        </is>
      </c>
      <c r="Y1421" s="20" t="n">
        <v>46321</v>
      </c>
      <c r="Z1421" s="19" t="inlineStr">
        <is>
          <t>Nivel 1: propuesta del comentario del desarrollador o de confianza alta, o regla de fecha/responsable/motivo.</t>
        </is>
      </c>
      <c r="AA1421" s="18">
        <f>IF(OR(V1421="Aprobada"),R1421,IF(AND(OR(V1421="Aprobada con ajuste",V1421="Rechazada"),W1421&lt;&gt;""),W1421,""))</f>
        <v/>
      </c>
    </row>
    <row r="1422">
      <c r="A1422" s="18" t="inlineStr">
        <is>
          <t>C1421</t>
        </is>
      </c>
      <c r="B1422" s="18" t="inlineStr">
        <is>
          <t>Control interno</t>
        </is>
      </c>
      <c r="C1422" s="18" t="inlineStr">
        <is>
          <t>control_interno</t>
        </is>
      </c>
      <c r="D1422" s="18" t="inlineStr">
        <is>
          <t>auditoria</t>
        </is>
      </c>
      <c r="E1422" s="18" t="n">
        <v>70</v>
      </c>
      <c r="F1422" s="18" t="inlineStr">
        <is>
          <t>presupuesto_estimado</t>
        </is>
      </c>
      <c r="G1422" s="18" t="inlineStr">
        <is>
          <t>numeric(15,2)</t>
        </is>
      </c>
      <c r="H1422" s="18" t="inlineStr">
        <is>
          <t>Sí</t>
        </is>
      </c>
      <c r="I1422" s="18" t="inlineStr"/>
      <c r="J1422" s="18" t="inlineStr"/>
      <c r="K1422" s="18" t="inlineStr"/>
      <c r="L1422" s="18" t="inlineStr">
        <is>
          <t>No</t>
        </is>
      </c>
      <c r="M1422" s="18" t="inlineStr">
        <is>
          <t>No</t>
        </is>
      </c>
      <c r="N1422" s="18" t="inlineStr"/>
      <c r="O1422" s="18" t="inlineStr"/>
      <c r="P1422" s="18" t="inlineStr">
        <is>
          <t>internal-institutional-control-service/src/esap/auditorias/entities/auditoria.entity.ts:253: ═══════════════════════════════════════════════════════════════════ CRONOGRAMA DE 3 ETAPAS: Planeación → Ejecución → Comunicación ═══════════════════════════════════════════════════════════════════ | Validación: IsNumber, IsOptional</t>
        </is>
      </c>
      <c r="Q1422" s="18" t="inlineStr">
        <is>
          <t>Código fuente (verificado)</t>
        </is>
      </c>
      <c r="R1422" s="18" t="inlineStr">
        <is>
          <t>Presupuesto estimado de la auditoría.</t>
        </is>
      </c>
      <c r="S1422" s="18" t="inlineStr">
        <is>
          <t>Media</t>
        </is>
      </c>
      <c r="T1422" s="18" t="inlineStr">
        <is>
          <t>backend/internal-institutional-control-service/src/esap/auditorias/entities/auditoria.entity.ts:253: numeric(15,2) | backend/internal-institutional-control-service/src/esap/auditorias/dto/create-auditoria.dto.ts:145-148: IsNumber sin unidad | backend/internal-institutional-control-service/src/esap/auditorias/auditorias.service.ts:1514</t>
        </is>
      </c>
      <c r="U1422" s="18" t="inlineStr">
        <is>
          <t>¿En qué moneda se registra presupuesto_estimado y qué rubros incluye? El código no lo indica.</t>
        </is>
      </c>
      <c r="V1422" s="19" t="inlineStr">
        <is>
          <t>Aprobada</t>
        </is>
      </c>
      <c r="W1422" s="19" t="inlineStr"/>
      <c r="X1422" s="19" t="inlineStr">
        <is>
          <t>Aldair González (validación del responsable de BD)</t>
        </is>
      </c>
      <c r="Y1422" s="20" t="n">
        <v>46321</v>
      </c>
      <c r="Z1422" s="19" t="inlineStr">
        <is>
          <t>Nivel 3: validada por decisión del responsable de la base de datos. Pregunta registrada para desarrollo: ¿En qué moneda se registra presupuesto_estimado y qué rubros incluye? El código no lo indica.</t>
        </is>
      </c>
      <c r="AA1422" s="18">
        <f>IF(OR(V1422="Aprobada"),R1422,IF(AND(OR(V1422="Aprobada con ajuste",V1422="Rechazada"),W1422&lt;&gt;""),W1422,""))</f>
        <v/>
      </c>
    </row>
    <row r="1423">
      <c r="A1423" s="18" t="inlineStr">
        <is>
          <t>C1422</t>
        </is>
      </c>
      <c r="B1423" s="18" t="inlineStr">
        <is>
          <t>Control interno</t>
        </is>
      </c>
      <c r="C1423" s="18" t="inlineStr">
        <is>
          <t>control_interno</t>
        </is>
      </c>
      <c r="D1423" s="18" t="inlineStr">
        <is>
          <t>auditoria</t>
        </is>
      </c>
      <c r="E1423" s="18" t="n">
        <v>70</v>
      </c>
      <c r="F1423" s="18" t="inlineStr">
        <is>
          <t>observaciones_adicionales</t>
        </is>
      </c>
      <c r="G1423" s="18" t="inlineStr">
        <is>
          <t>text</t>
        </is>
      </c>
      <c r="H1423" s="18" t="inlineStr">
        <is>
          <t>Sí</t>
        </is>
      </c>
      <c r="I1423" s="18" t="inlineStr"/>
      <c r="J1423" s="18" t="inlineStr"/>
      <c r="K1423" s="18" t="inlineStr"/>
      <c r="L1423" s="18" t="inlineStr">
        <is>
          <t>No</t>
        </is>
      </c>
      <c r="M1423" s="18" t="inlineStr">
        <is>
          <t>No</t>
        </is>
      </c>
      <c r="N1423" s="18" t="inlineStr"/>
      <c r="O1423" s="18" t="inlineStr"/>
      <c r="P1423" s="18" t="inlineStr">
        <is>
          <t>internal-institutional-control-service/src/esap/auditorias/entities/auditoria.entity.ts:274: ═══════════════════════════════════════════════════════════════════ CRONOGRAMA DE 3 ETAPAS: Planeación → Ejecución → Comunicación ═══════════════════════════════════════════════════════════════════ | Validación: IsOptional, IsString</t>
        </is>
      </c>
      <c r="Q1423" s="18" t="inlineStr">
        <is>
          <t>Código fuente</t>
        </is>
      </c>
      <c r="R1423" s="18" t="inlineStr">
        <is>
          <t>Observaciones adicionales sobre la auditoría.</t>
        </is>
      </c>
      <c r="S1423" s="18" t="inlineStr">
        <is>
          <t>Alta</t>
        </is>
      </c>
      <c r="T1423" s="18" t="inlineStr">
        <is>
          <t>nombre + tipo</t>
        </is>
      </c>
      <c r="U1423" s="18" t="inlineStr"/>
      <c r="V1423" s="19" t="inlineStr">
        <is>
          <t>Aprobada</t>
        </is>
      </c>
      <c r="W1423" s="19" t="inlineStr"/>
      <c r="X1423" s="19" t="inlineStr">
        <is>
          <t>Aldair González (aprobación en bloque)</t>
        </is>
      </c>
      <c r="Y1423" s="20" t="n">
        <v>46321</v>
      </c>
      <c r="Z1423" s="19" t="inlineStr">
        <is>
          <t>Nivel 1: propuesta del comentario del desarrollador o de confianza alta, o regla de fecha/responsable/motivo.</t>
        </is>
      </c>
      <c r="AA1423" s="18">
        <f>IF(OR(V1423="Aprobada"),R1423,IF(AND(OR(V1423="Aprobada con ajuste",V1423="Rechazada"),W1423&lt;&gt;""),W1423,""))</f>
        <v/>
      </c>
    </row>
    <row r="1424">
      <c r="A1424" s="18" t="inlineStr">
        <is>
          <t>C1423</t>
        </is>
      </c>
      <c r="B1424" s="18" t="inlineStr">
        <is>
          <t>Control interno</t>
        </is>
      </c>
      <c r="C1424" s="18" t="inlineStr">
        <is>
          <t>control_interno</t>
        </is>
      </c>
      <c r="D1424" s="18" t="inlineStr">
        <is>
          <t>auditoria</t>
        </is>
      </c>
      <c r="E1424" s="18" t="n">
        <v>70</v>
      </c>
      <c r="F1424" s="18" t="inlineStr">
        <is>
          <t>archivada</t>
        </is>
      </c>
      <c r="G1424" s="18" t="inlineStr">
        <is>
          <t>boolean</t>
        </is>
      </c>
      <c r="H1424" s="18" t="inlineStr">
        <is>
          <t>Sí</t>
        </is>
      </c>
      <c r="I1424" s="18" t="inlineStr"/>
      <c r="J1424" s="18" t="inlineStr"/>
      <c r="K1424" s="18" t="inlineStr"/>
      <c r="L1424" s="18" t="inlineStr">
        <is>
          <t>No</t>
        </is>
      </c>
      <c r="M1424" s="18" t="inlineStr">
        <is>
          <t>Sí</t>
        </is>
      </c>
      <c r="N1424" s="18" t="inlineStr">
        <is>
          <t>Función control_interno.fn_calcular_cumplimiento_auditorias; Función control_interno.fn_vincular_auditorias_actividad; Trigger trg_actualizar_cumplimiento_auditorias; Vista control_interno.v_auditor_disponibilidad; Vista control_interno.v_auditorias_finalizadas; Vista control_interno.v_estado_vinculacion_auditorias; Vista control_interno.v_resumen_auditorias_por_año — control_interno.fn_calcular_cumplimiento_auditorias: AND archivada = false | control_interno.fn_vincular_auditorias_actividad: AND archivada = false</t>
        </is>
      </c>
      <c r="O1424" s="18" t="inlineStr">
        <is>
          <t>idx_auditoria_archivada</t>
        </is>
      </c>
      <c r="P1424" s="18" t="inlineStr">
        <is>
          <t>internal-institutional-control-service/src/esap/auditorias/entities/auditoria.entity.ts:301: ═══════════════════════════════════════════════════════════════════ CRONOGRAMA DE 3 ETAPAS: Planeación → Ejecución → Comunicación ═══════════════════════════════════════════════════════════════════ | Validación: IsBoolean, IsOptional</t>
        </is>
      </c>
      <c r="Q1424" s="18" t="inlineStr">
        <is>
          <t>Código fuente</t>
        </is>
      </c>
      <c r="R1424" s="18" t="inlineStr">
        <is>
          <t>Indica si la auditoría está archivada. Por defecto falso; las funciones de cumplimiento y de vinculación al plan anual excluyen las auditorías archivadas.</t>
        </is>
      </c>
      <c r="S1424" s="18" t="inlineStr">
        <is>
          <t>Alta</t>
        </is>
      </c>
      <c r="T1424" s="18" t="inlineStr">
        <is>
          <t>uso en las funciones control_interno.fn_calcular_cumplimiento_auditorias y fn_vincular_auditorias_actividad</t>
        </is>
      </c>
      <c r="U1424" s="18" t="inlineStr"/>
      <c r="V1424" s="19" t="inlineStr">
        <is>
          <t>Aprobada</t>
        </is>
      </c>
      <c r="W1424" s="19" t="inlineStr"/>
      <c r="X1424" s="19" t="inlineStr">
        <is>
          <t>Aldair González (aprobación en bloque)</t>
        </is>
      </c>
      <c r="Y1424" s="20" t="n">
        <v>46321</v>
      </c>
      <c r="Z1424" s="19" t="inlineStr">
        <is>
          <t>Nivel 1: propuesta del comentario del desarrollador o de confianza alta, o regla de fecha/responsable/motivo.</t>
        </is>
      </c>
      <c r="AA1424" s="18">
        <f>IF(OR(V1424="Aprobada"),R1424,IF(AND(OR(V1424="Aprobada con ajuste",V1424="Rechazada"),W1424&lt;&gt;""),W1424,""))</f>
        <v/>
      </c>
    </row>
    <row r="1425">
      <c r="A1425" s="18" t="inlineStr">
        <is>
          <t>C1424</t>
        </is>
      </c>
      <c r="B1425" s="18" t="inlineStr">
        <is>
          <t>Control interno</t>
        </is>
      </c>
      <c r="C1425" s="18" t="inlineStr">
        <is>
          <t>control_interno</t>
        </is>
      </c>
      <c r="D1425" s="18" t="inlineStr">
        <is>
          <t>auditoria</t>
        </is>
      </c>
      <c r="E1425" s="18" t="n">
        <v>70</v>
      </c>
      <c r="F1425" s="18" t="inlineStr">
        <is>
          <t>fecha_archivo</t>
        </is>
      </c>
      <c r="G1425" s="18" t="inlineStr">
        <is>
          <t>timestamp without time zone</t>
        </is>
      </c>
      <c r="H1425" s="18" t="inlineStr">
        <is>
          <t>Sí</t>
        </is>
      </c>
      <c r="I1425" s="18" t="inlineStr"/>
      <c r="J1425" s="18" t="inlineStr"/>
      <c r="K1425" s="18" t="inlineStr"/>
      <c r="L1425" s="18" t="inlineStr">
        <is>
          <t>No</t>
        </is>
      </c>
      <c r="M1425" s="18" t="inlineStr">
        <is>
          <t>No</t>
        </is>
      </c>
      <c r="N1425" s="18" t="inlineStr"/>
      <c r="O1425" s="18" t="inlineStr"/>
      <c r="P1425" s="18" t="inlineStr">
        <is>
          <t>internal-institutional-control-service/src/esap/auditorias/entities/auditoria.entity.ts:304: ═══════════════════════════════════════════════════════════════════ CRONOGRAMA DE 3 ETAPAS: Planeación → Ejecución → Comunicación ═══════════════════════════════════════════════════════════════════ | Validación: IsDateString, IsOptional</t>
        </is>
      </c>
      <c r="Q1425" s="18" t="inlineStr">
        <is>
          <t>Código fuente</t>
        </is>
      </c>
      <c r="R1425" s="18" t="inlineStr">
        <is>
          <t>Fecha y hora en que se archivó la auditoría.</t>
        </is>
      </c>
      <c r="S1425" s="18" t="inlineStr">
        <is>
          <t>Alta</t>
        </is>
      </c>
      <c r="T1425" s="18" t="inlineStr">
        <is>
          <t>nombre + tipo + columnas vecinas (archivada)</t>
        </is>
      </c>
      <c r="U1425" s="18" t="inlineStr"/>
      <c r="V1425" s="19" t="inlineStr">
        <is>
          <t>Aprobada</t>
        </is>
      </c>
      <c r="W1425" s="19" t="inlineStr"/>
      <c r="X1425" s="19" t="inlineStr">
        <is>
          <t>Aldair González (aprobación en bloque)</t>
        </is>
      </c>
      <c r="Y1425" s="20" t="n">
        <v>46321</v>
      </c>
      <c r="Z1425" s="19" t="inlineStr">
        <is>
          <t>Nivel 1: propuesta del comentario del desarrollador o de confianza alta, o regla de fecha/responsable/motivo.</t>
        </is>
      </c>
      <c r="AA1425" s="18">
        <f>IF(OR(V1425="Aprobada"),R1425,IF(AND(OR(V1425="Aprobada con ajuste",V1425="Rechazada"),W1425&lt;&gt;""),W1425,""))</f>
        <v/>
      </c>
    </row>
    <row r="1426">
      <c r="A1426" s="18" t="inlineStr">
        <is>
          <t>C1425</t>
        </is>
      </c>
      <c r="B1426" s="18" t="inlineStr">
        <is>
          <t>Control interno</t>
        </is>
      </c>
      <c r="C1426" s="18" t="inlineStr">
        <is>
          <t>control_interno</t>
        </is>
      </c>
      <c r="D1426" s="18" t="inlineStr">
        <is>
          <t>auditoria</t>
        </is>
      </c>
      <c r="E1426" s="18" t="n">
        <v>70</v>
      </c>
      <c r="F1426" s="18" t="inlineStr">
        <is>
          <t>fecha_eliminacion</t>
        </is>
      </c>
      <c r="G1426" s="18" t="inlineStr">
        <is>
          <t>timestamp without time zone</t>
        </is>
      </c>
      <c r="H1426" s="18" t="inlineStr">
        <is>
          <t>Sí</t>
        </is>
      </c>
      <c r="I1426" s="18" t="inlineStr"/>
      <c r="J1426" s="18" t="inlineStr"/>
      <c r="K1426" s="18" t="inlineStr"/>
      <c r="L1426" s="18" t="inlineStr">
        <is>
          <t>No</t>
        </is>
      </c>
      <c r="M1426" s="18" t="inlineStr">
        <is>
          <t>No</t>
        </is>
      </c>
      <c r="N1426" s="18" t="inlineStr"/>
      <c r="O1426" s="18" t="inlineStr"/>
      <c r="P1426" s="18" t="inlineStr">
        <is>
          <t>internal-institutional-control-service/src/esap/auditorias/entities/auditoria.entity.ts:310: ═══════════════════════════════════════════════════════════════════ CRONOGRAMA DE 3 ETAPAS: Planeación → Ejecución → Comunicación ═══════════════════════════════════════════════════════════════════</t>
        </is>
      </c>
      <c r="Q1426" s="18" t="inlineStr">
        <is>
          <t>Código fuente (verificado)</t>
        </is>
      </c>
      <c r="R1426" s="18" t="inlineStr">
        <is>
          <t>Fecha y hora de eliminación de la auditoría.</t>
        </is>
      </c>
      <c r="S1426" s="18" t="inlineStr">
        <is>
          <t>Media</t>
        </is>
      </c>
      <c r="T1426" s="18" t="inlineStr">
        <is>
          <t>backend/internal-institutional-control-service/src/esap/auditorias/entities/auditoria.entity.ts:310: columna mapeada | backend/internal-institutional-control-service/src/esap/auditorias/auditorias.service.ts:2251-2253: la eliminación borra el registro; ningún servicio escribe fecha_eliminacion | backend/internal-institutional-control-service/src/esap/auditorias/auditorias.service.ts:1999-2008: el archivo usa archivada, activa y fecha_archivo</t>
        </is>
      </c>
      <c r="U1426" s="18" t="inlineStr">
        <is>
          <t>¿fecha_eliminacion sigue en uso? El servicio borra físicamente y usa archivada y activa para el archivo; ninguna ruta escribe esta fecha.</t>
        </is>
      </c>
      <c r="V1426" s="19" t="inlineStr">
        <is>
          <t>Aprobada</t>
        </is>
      </c>
      <c r="W1426" s="19" t="inlineStr"/>
      <c r="X1426" s="19" t="inlineStr">
        <is>
          <t>Aldair González (validación del responsable de BD)</t>
        </is>
      </c>
      <c r="Y1426" s="20" t="n">
        <v>46321</v>
      </c>
      <c r="Z1426" s="19" t="inlineStr">
        <is>
          <t>Nivel 3: validada por decisión del responsable de la base de datos. Pregunta registrada para desarrollo: ¿fecha_eliminacion sigue en uso? El servicio borra físicamente y usa archivada y activa para el archivo; ninguna ruta escribe esta fecha.</t>
        </is>
      </c>
      <c r="AA1426" s="18">
        <f>IF(OR(V1426="Aprobada"),R1426,IF(AND(OR(V1426="Aprobada con ajuste",V1426="Rechazada"),W1426&lt;&gt;""),W1426,""))</f>
        <v/>
      </c>
    </row>
    <row r="1427">
      <c r="A1427" s="18" t="inlineStr">
        <is>
          <t>C1426</t>
        </is>
      </c>
      <c r="B1427" s="18" t="inlineStr">
        <is>
          <t>Control interno</t>
        </is>
      </c>
      <c r="C1427" s="18" t="inlineStr">
        <is>
          <t>control_interno</t>
        </is>
      </c>
      <c r="D1427" s="18" t="inlineStr">
        <is>
          <t>auditoria</t>
        </is>
      </c>
      <c r="E1427" s="18" t="n">
        <v>70</v>
      </c>
      <c r="F1427" s="18" t="inlineStr">
        <is>
          <t>riesgo_kanban</t>
        </is>
      </c>
      <c r="G1427" s="18" t="inlineStr">
        <is>
          <t>character varying(20)</t>
        </is>
      </c>
      <c r="H1427" s="18" t="inlineStr">
        <is>
          <t>Sí</t>
        </is>
      </c>
      <c r="I1427" s="18" t="inlineStr">
        <is>
          <t>CHECK</t>
        </is>
      </c>
      <c r="J1427" s="18" t="inlineStr">
        <is>
          <t>Alto, Bajo, Medio</t>
        </is>
      </c>
      <c r="K1427" s="18" t="inlineStr"/>
      <c r="L1427" s="18" t="inlineStr">
        <is>
          <t>Sí</t>
        </is>
      </c>
      <c r="M1427" s="18" t="inlineStr">
        <is>
          <t>Sí</t>
        </is>
      </c>
      <c r="N1427" s="18" t="inlineStr">
        <is>
          <t>Vista control_interno.v_auditorias_kanban_completo</t>
        </is>
      </c>
      <c r="O1427" s="18" t="inlineStr">
        <is>
          <t>idx_auditoria_riesgo_kanban</t>
        </is>
      </c>
      <c r="P1427" s="18" t="inlineStr">
        <is>
          <t>internal-institutional-control-service/src/esap/auditorias/entities/auditoria.entity.ts:173: ═══════════════════════════════════════════════════════════════════ CRONOGRAMA DE 3 ETAPAS: Planeación → Ejecución → Comunicación ═══════════════════════════════════════════════════════════════════ | Validación: IsEnum(RiesgoKanban), IsOptional</t>
        </is>
      </c>
      <c r="Q1427" s="18" t="inlineStr">
        <is>
          <t>Código fuente (verificado)</t>
        </is>
      </c>
      <c r="R1427" s="18" t="inlineStr">
        <is>
          <t>Nivel de riesgo de la auditoría en el tablero Kanban. Valores permitidos: Alto, Medio, Bajo; se asigna con el valor enviado al editar la auditoría y el tablero muestra Medio si está vacío.</t>
        </is>
      </c>
      <c r="S1427" s="18" t="inlineStr">
        <is>
          <t>Media</t>
        </is>
      </c>
      <c r="T1427" s="18" t="inlineStr">
        <is>
          <t>backend/internal-institutional-control-service/src/esap/auditorias/entities/auditoria.entity.ts:67-71: enum RiesgoKanban | backend/internal-institutional-control-service/src/esap/auditorias/auditorias.service.ts:1900-1907: valida Alto, Medio o Bajo | backend/internal-institutional-control-service/src/esap/auditorias/auditorias.service.ts:1538-1539: calificacion_riesgo se llena aparte desde nivelRiesgo o calificacionRiesgo</t>
        </is>
      </c>
      <c r="U1427" s="18" t="inlineStr">
        <is>
          <t>¿Cómo se determina riesgo_kanban y qué relación tiene con calificacion_riesgo? El código los guarda por separado sin derivar uno del otro.</t>
        </is>
      </c>
      <c r="V1427" s="19" t="inlineStr">
        <is>
          <t>Aprobada</t>
        </is>
      </c>
      <c r="W1427" s="19" t="inlineStr"/>
      <c r="X1427" s="19" t="inlineStr">
        <is>
          <t>Aldair González (validación del responsable de BD)</t>
        </is>
      </c>
      <c r="Y1427" s="20" t="n">
        <v>46321</v>
      </c>
      <c r="Z1427" s="19" t="inlineStr">
        <is>
          <t>Nivel 3: validada por decisión del responsable de la base de datos. Pregunta registrada para desarrollo: ¿Cómo se determina riesgo_kanban y qué relación tiene con calificacion_riesgo? El código los guarda por separado sin derivar uno del otro.</t>
        </is>
      </c>
      <c r="AA1427" s="18">
        <f>IF(OR(V1427="Aprobada"),R1427,IF(AND(OR(V1427="Aprobada con ajuste",V1427="Rechazada"),W1427&lt;&gt;""),W1427,""))</f>
        <v/>
      </c>
    </row>
    <row r="1428">
      <c r="A1428" s="18" t="inlineStr">
        <is>
          <t>C1427</t>
        </is>
      </c>
      <c r="B1428" s="18" t="inlineStr">
        <is>
          <t>Control interno</t>
        </is>
      </c>
      <c r="C1428" s="18" t="inlineStr">
        <is>
          <t>control_interno</t>
        </is>
      </c>
      <c r="D1428" s="18" t="inlineStr">
        <is>
          <t>auditoria</t>
        </is>
      </c>
      <c r="E1428" s="18" t="n">
        <v>70</v>
      </c>
      <c r="F1428" s="18" t="inlineStr">
        <is>
          <t>ultima_actuacion</t>
        </is>
      </c>
      <c r="G1428" s="18" t="inlineStr">
        <is>
          <t>text</t>
        </is>
      </c>
      <c r="H1428" s="18" t="inlineStr">
        <is>
          <t>Sí</t>
        </is>
      </c>
      <c r="I1428" s="18" t="inlineStr"/>
      <c r="J1428" s="18" t="inlineStr"/>
      <c r="K1428" s="18" t="inlineStr"/>
      <c r="L1428" s="18" t="inlineStr">
        <is>
          <t>No</t>
        </is>
      </c>
      <c r="M1428" s="18" t="inlineStr">
        <is>
          <t>Sí</t>
        </is>
      </c>
      <c r="N1428" s="18" t="inlineStr">
        <is>
          <t>Vista control_interno.v_auditorias_kanban_completo</t>
        </is>
      </c>
      <c r="O1428" s="18" t="inlineStr"/>
      <c r="P1428" s="18" t="inlineStr">
        <is>
          <t>internal-institutional-control-service/src/esap/auditorias/entities/auditoria.entity.ts:194: ═══════════════════════════════════════════════════════════════════ CRONOGRAMA DE 3 ETAPAS: Planeación → Ejecución → Comunicación ═══════════════════════════════════════════════════════════════════ | Validación: IsOptional, IsString</t>
        </is>
      </c>
      <c r="Q1428" s="18" t="inlineStr">
        <is>
          <t>Código fuente (verificado)</t>
        </is>
      </c>
      <c r="R1428" s="18" t="inlineStr">
        <is>
          <t>Descripción de la última actuación de la auditoría, diligenciada con el valor enviado al editarla; no se calcula desde el historial.</t>
        </is>
      </c>
      <c r="S1428" s="18" t="inlineStr">
        <is>
          <t>Alta</t>
        </is>
      </c>
      <c r="T1428" s="18" t="inlineStr">
        <is>
          <t>backend/internal-institutional-control-service/src/esap/auditorias/dto/update-auditoria.dto.ts:149: IsString, IsOptional | backend/internal-institutional-control-service/src/esap/auditorias/auditorias.service.ts:1916: ultimaActuacion = updateDto.ultimaActuacion</t>
        </is>
      </c>
      <c r="U1428" s="18" t="inlineStr"/>
      <c r="V1428" s="19" t="inlineStr">
        <is>
          <t>Aprobada</t>
        </is>
      </c>
      <c r="W1428" s="19" t="inlineStr"/>
      <c r="X1428" s="19" t="inlineStr">
        <is>
          <t>Aldair González (aprobación en bloque)</t>
        </is>
      </c>
      <c r="Y1428" s="20" t="n">
        <v>46321</v>
      </c>
      <c r="Z1428" s="19" t="inlineStr">
        <is>
          <t>Nivel 3: verificada con el código de la aplicación.</t>
        </is>
      </c>
      <c r="AA1428" s="18">
        <f>IF(OR(V1428="Aprobada"),R1428,IF(AND(OR(V1428="Aprobada con ajuste",V1428="Rechazada"),W1428&lt;&gt;""),W1428,""))</f>
        <v/>
      </c>
    </row>
    <row r="1429">
      <c r="A1429" s="18" t="inlineStr">
        <is>
          <t>C1428</t>
        </is>
      </c>
      <c r="B1429" s="18" t="inlineStr">
        <is>
          <t>Control interno</t>
        </is>
      </c>
      <c r="C1429" s="18" t="inlineStr">
        <is>
          <t>control_interno</t>
        </is>
      </c>
      <c r="D1429" s="18" t="inlineStr">
        <is>
          <t>auditoria</t>
        </is>
      </c>
      <c r="E1429" s="18" t="n">
        <v>70</v>
      </c>
      <c r="F1429" s="18" t="inlineStr">
        <is>
          <t>dias_restantes</t>
        </is>
      </c>
      <c r="G1429" s="18" t="inlineStr">
        <is>
          <t>integer</t>
        </is>
      </c>
      <c r="H1429" s="18" t="inlineStr">
        <is>
          <t>Sí</t>
        </is>
      </c>
      <c r="I1429" s="18" t="inlineStr"/>
      <c r="J1429" s="18" t="inlineStr"/>
      <c r="K1429" s="18" t="inlineStr"/>
      <c r="L1429" s="18" t="inlineStr">
        <is>
          <t>No</t>
        </is>
      </c>
      <c r="M1429" s="18" t="inlineStr">
        <is>
          <t>Sí</t>
        </is>
      </c>
      <c r="N1429" s="18" t="inlineStr">
        <is>
          <t>Vista control_interno.v_auditorias_kanban_completo</t>
        </is>
      </c>
      <c r="O1429" s="18" t="inlineStr"/>
      <c r="P1429" s="18" t="inlineStr">
        <is>
          <t>internal-institutional-control-service/src/esap/auditorias/entities/auditoria.entity.ts:198: ═══════════════════════════════════════════════════════════════════ CRONOGRAMA DE 3 ETAPAS: Planeación → Ejecución → Comunicación ═══════════════════════════════════════════════════════════════════ | Validación: IsInt, IsOptional</t>
        </is>
      </c>
      <c r="Q1429" s="18" t="inlineStr">
        <is>
          <t>Código fuente (verificado)</t>
        </is>
      </c>
      <c r="R1429" s="18" t="inlineStr">
        <is>
          <t>Número de días que faltan para la fecha de fin de la auditoría (fecha_fin menos la fecha actual, mínimo 0). Lo calcula un trigger al crear la auditoría o al cambiar fecha_inicio o fecha_fin; no se recalcula a diario. Por defecto 0.</t>
        </is>
      </c>
      <c r="S1429" s="18" t="inlineStr">
        <is>
          <t>Alta</t>
        </is>
      </c>
      <c r="T1429" s="18" t="inlineStr">
        <is>
          <t>db/init/005_control_interno_ddl_20260129_215540.sql:252-284: función calcular_metricas_auditoria | db/init/005_control_interno_ddl_20260129_215540.sql:5623: trigger BEFORE INSERT OR UPDATE OF fecha_inicio, fecha_fin | backend/internal-institutional-control-service/src/esap/auditorias/auditorias.service.ts:1917: también admite el valor enviado al editar</t>
        </is>
      </c>
      <c r="U1429" s="18" t="inlineStr"/>
      <c r="V1429" s="19" t="inlineStr">
        <is>
          <t>Aprobada</t>
        </is>
      </c>
      <c r="W1429" s="19" t="inlineStr"/>
      <c r="X1429" s="19" t="inlineStr">
        <is>
          <t>Aldair González (aprobación en bloque)</t>
        </is>
      </c>
      <c r="Y1429" s="20" t="n">
        <v>46321</v>
      </c>
      <c r="Z1429" s="19" t="inlineStr">
        <is>
          <t>Nivel 3: verificada con el código de la aplicación.</t>
        </is>
      </c>
      <c r="AA1429" s="18">
        <f>IF(OR(V1429="Aprobada"),R1429,IF(AND(OR(V1429="Aprobada con ajuste",V1429="Rechazada"),W1429&lt;&gt;""),W1429,""))</f>
        <v/>
      </c>
    </row>
    <row r="1430">
      <c r="A1430" s="18" t="inlineStr">
        <is>
          <t>C1429</t>
        </is>
      </c>
      <c r="B1430" s="18" t="inlineStr">
        <is>
          <t>Control interno</t>
        </is>
      </c>
      <c r="C1430" s="18" t="inlineStr">
        <is>
          <t>control_interno</t>
        </is>
      </c>
      <c r="D1430" s="18" t="inlineStr">
        <is>
          <t>auditoria</t>
        </is>
      </c>
      <c r="E1430" s="18" t="n">
        <v>70</v>
      </c>
      <c r="F1430" s="18" t="inlineStr">
        <is>
          <t>porcentaje_tiempo</t>
        </is>
      </c>
      <c r="G1430" s="18" t="inlineStr">
        <is>
          <t>integer</t>
        </is>
      </c>
      <c r="H1430" s="18" t="inlineStr">
        <is>
          <t>Sí</t>
        </is>
      </c>
      <c r="I1430" s="18" t="inlineStr">
        <is>
          <t>CHECK</t>
        </is>
      </c>
      <c r="J1430" s="18" t="inlineStr"/>
      <c r="K1430" s="18" t="inlineStr"/>
      <c r="L1430" s="18" t="inlineStr">
        <is>
          <t>No</t>
        </is>
      </c>
      <c r="M1430" s="18" t="inlineStr">
        <is>
          <t>Sí</t>
        </is>
      </c>
      <c r="N1430" s="18" t="inlineStr">
        <is>
          <t>Vista control_interno.v_auditorias_kanban_completo</t>
        </is>
      </c>
      <c r="O1430" s="18" t="inlineStr"/>
      <c r="P1430" s="18" t="inlineStr">
        <is>
          <t>internal-institutional-control-service/src/esap/auditorias/entities/auditoria.entity.ts:201: ═══════════════════════════════════════════════════════════════════ CRONOGRAMA DE 3 ETAPAS: Planeación → Ejecución → Comunicación ═══════════════════════════════════════════════════════════════════ | Validación: IsInt, IsOptional, Max(100), Min(0)</t>
        </is>
      </c>
      <c r="Q1430" s="18" t="inlineStr">
        <is>
          <t>Código fuente (verificado)</t>
        </is>
      </c>
      <c r="R1430" s="18" t="inlineStr">
        <is>
          <t>Porcentaje del tiempo programado de la auditoría transcurrido entre fecha_inicio y fecha_fin, de 0 a 100. Lo calcula un trigger al crear la auditoría o al cambiar fecha_inicio o fecha_fin. Por defecto 0.</t>
        </is>
      </c>
      <c r="S1430" s="18" t="inlineStr">
        <is>
          <t>Alta</t>
        </is>
      </c>
      <c r="T1430" s="18" t="inlineStr">
        <is>
          <t>db/init/005_control_interno_ddl_20260129_215540.sql:266-277: cálculo con días transcurridos sobre días totales | db/init/005_control_interno_ddl_20260129_215540.sql:5623: trigger | db/init/005_control_interno_ddl_20260129_215540.sql:1050: CHECK 0 a 100</t>
        </is>
      </c>
      <c r="U1430" s="18" t="inlineStr"/>
      <c r="V1430" s="19" t="inlineStr">
        <is>
          <t>Aprobada</t>
        </is>
      </c>
      <c r="W1430" s="19" t="inlineStr"/>
      <c r="X1430" s="19" t="inlineStr">
        <is>
          <t>Aldair González (aprobación en bloque)</t>
        </is>
      </c>
      <c r="Y1430" s="20" t="n">
        <v>46321</v>
      </c>
      <c r="Z1430" s="19" t="inlineStr">
        <is>
          <t>Nivel 3: verificada con el código de la aplicación.</t>
        </is>
      </c>
      <c r="AA1430" s="18">
        <f>IF(OR(V1430="Aprobada"),R1430,IF(AND(OR(V1430="Aprobada con ajuste",V1430="Rechazada"),W1430&lt;&gt;""),W1430,""))</f>
        <v/>
      </c>
    </row>
    <row r="1431">
      <c r="A1431" s="18" t="inlineStr">
        <is>
          <t>C1430</t>
        </is>
      </c>
      <c r="B1431" s="18" t="inlineStr">
        <is>
          <t>Control interno</t>
        </is>
      </c>
      <c r="C1431" s="18" t="inlineStr">
        <is>
          <t>control_interno</t>
        </is>
      </c>
      <c r="D1431" s="18" t="inlineStr">
        <is>
          <t>auditoria</t>
        </is>
      </c>
      <c r="E1431" s="18" t="n">
        <v>70</v>
      </c>
      <c r="F1431" s="18" t="inlineStr">
        <is>
          <t>total_documentos</t>
        </is>
      </c>
      <c r="G1431" s="18" t="inlineStr">
        <is>
          <t>integer</t>
        </is>
      </c>
      <c r="H1431" s="18" t="inlineStr">
        <is>
          <t>Sí</t>
        </is>
      </c>
      <c r="I1431" s="18" t="inlineStr"/>
      <c r="J1431" s="18" t="inlineStr"/>
      <c r="K1431" s="18" t="inlineStr"/>
      <c r="L1431" s="18" t="inlineStr">
        <is>
          <t>No</t>
        </is>
      </c>
      <c r="M1431" s="18" t="inlineStr">
        <is>
          <t>Sí</t>
        </is>
      </c>
      <c r="N1431" s="18" t="inlineStr">
        <is>
          <t>Función control_interno.actualizar_contadores_documentos_informes; Vista control_interno.v_auditorias_kanban_completo — control_interno.actualizar_contadores_documentos_informes: total_documentos = COALESCE(total_docs, 0),</t>
        </is>
      </c>
      <c r="O1431" s="18" t="inlineStr"/>
      <c r="P1431" s="18" t="inlineStr">
        <is>
          <t>internal-institutional-control-service/src/esap/auditorias/entities/auditoria.entity.ts:204: ═══════════════════════════════════════════════════════════════════ CRONOGRAMA DE 3 ETAPAS: Planeación → Ejecución → Comunicación ═══════════════════════════════════════════════════════════════════ | Validación: IsInt, IsOptional, Min(0)</t>
        </is>
      </c>
      <c r="Q1431" s="18" t="inlineStr">
        <is>
          <t>Código fuente</t>
        </is>
      </c>
      <c r="R1431" s="18" t="inlineStr">
        <is>
          <t>Número de documentos asociados a la auditoría; lo actualiza la función actualizar_contadores_documentos_informes. Por defecto 0.</t>
        </is>
      </c>
      <c r="S1431" s="18" t="inlineStr">
        <is>
          <t>Alta</t>
        </is>
      </c>
      <c r="T1431" s="18" t="inlineStr">
        <is>
          <t>uso en la función control_interno.actualizar_contadores_documentos_informes</t>
        </is>
      </c>
      <c r="U1431" s="18" t="inlineStr"/>
      <c r="V1431" s="19" t="inlineStr">
        <is>
          <t>Aprobada</t>
        </is>
      </c>
      <c r="W1431" s="19" t="inlineStr"/>
      <c r="X1431" s="19" t="inlineStr">
        <is>
          <t>Aldair González (aprobación en bloque)</t>
        </is>
      </c>
      <c r="Y1431" s="20" t="n">
        <v>46321</v>
      </c>
      <c r="Z1431" s="19" t="inlineStr">
        <is>
          <t>Nivel 1: propuesta del comentario del desarrollador o de confianza alta, o regla de fecha/responsable/motivo.</t>
        </is>
      </c>
      <c r="AA1431" s="18">
        <f>IF(OR(V1431="Aprobada"),R1431,IF(AND(OR(V1431="Aprobada con ajuste",V1431="Rechazada"),W1431&lt;&gt;""),W1431,""))</f>
        <v/>
      </c>
    </row>
    <row r="1432">
      <c r="A1432" s="18" t="inlineStr">
        <is>
          <t>C1431</t>
        </is>
      </c>
      <c r="B1432" s="18" t="inlineStr">
        <is>
          <t>Control interno</t>
        </is>
      </c>
      <c r="C1432" s="18" t="inlineStr">
        <is>
          <t>control_interno</t>
        </is>
      </c>
      <c r="D1432" s="18" t="inlineStr">
        <is>
          <t>auditoria</t>
        </is>
      </c>
      <c r="E1432" s="18" t="n">
        <v>70</v>
      </c>
      <c r="F1432" s="18" t="inlineStr">
        <is>
          <t>total_informes</t>
        </is>
      </c>
      <c r="G1432" s="18" t="inlineStr">
        <is>
          <t>integer</t>
        </is>
      </c>
      <c r="H1432" s="18" t="inlineStr">
        <is>
          <t>Sí</t>
        </is>
      </c>
      <c r="I1432" s="18" t="inlineStr"/>
      <c r="J1432" s="18" t="inlineStr"/>
      <c r="K1432" s="18" t="inlineStr"/>
      <c r="L1432" s="18" t="inlineStr">
        <is>
          <t>No</t>
        </is>
      </c>
      <c r="M1432" s="18" t="inlineStr">
        <is>
          <t>Sí</t>
        </is>
      </c>
      <c r="N1432" s="18" t="inlineStr">
        <is>
          <t>Función control_interno.actualizar_contadores_documentos_informes; Vista control_interno.v_auditorias_kanban_completo — control_interno.actualizar_contadores_documentos_informes: total_informes = COALESCE(total_inf, 0),</t>
        </is>
      </c>
      <c r="O1432" s="18" t="inlineStr"/>
      <c r="P1432" s="18" t="inlineStr">
        <is>
          <t>internal-institutional-control-service/src/esap/auditorias/entities/auditoria.entity.ts:207: ═══════════════════════════════════════════════════════════════════ CRONOGRAMA DE 3 ETAPAS: Planeación → Ejecución → Comunicación ═══════════════════════════════════════════════════════════════════ | Validación: IsInt, IsOptional, Min(0)</t>
        </is>
      </c>
      <c r="Q1432" s="18" t="inlineStr">
        <is>
          <t>Código fuente</t>
        </is>
      </c>
      <c r="R1432" s="18" t="inlineStr">
        <is>
          <t>Número de documentos de tipo informe asociados a la auditoría; lo actualiza la función actualizar_contadores_documentos_informes. Por defecto 0.</t>
        </is>
      </c>
      <c r="S1432" s="18" t="inlineStr">
        <is>
          <t>Alta</t>
        </is>
      </c>
      <c r="T1432" s="18" t="inlineStr">
        <is>
          <t>uso en la función control_interno.actualizar_contadores_documentos_informes</t>
        </is>
      </c>
      <c r="U1432" s="18" t="inlineStr"/>
      <c r="V1432" s="19" t="inlineStr">
        <is>
          <t>Aprobada</t>
        </is>
      </c>
      <c r="W1432" s="19" t="inlineStr"/>
      <c r="X1432" s="19" t="inlineStr">
        <is>
          <t>Aldair González (aprobación en bloque)</t>
        </is>
      </c>
      <c r="Y1432" s="20" t="n">
        <v>46321</v>
      </c>
      <c r="Z1432" s="19" t="inlineStr">
        <is>
          <t>Nivel 1: propuesta del comentario del desarrollador o de confianza alta, o regla de fecha/responsable/motivo.</t>
        </is>
      </c>
      <c r="AA1432" s="18">
        <f>IF(OR(V1432="Aprobada"),R1432,IF(AND(OR(V1432="Aprobada con ajuste",V1432="Rechazada"),W1432&lt;&gt;""),W1432,""))</f>
        <v/>
      </c>
    </row>
    <row r="1433">
      <c r="A1433" s="18" t="inlineStr">
        <is>
          <t>C1432</t>
        </is>
      </c>
      <c r="B1433" s="18" t="inlineStr">
        <is>
          <t>Control interno</t>
        </is>
      </c>
      <c r="C1433" s="18" t="inlineStr">
        <is>
          <t>control_interno</t>
        </is>
      </c>
      <c r="D1433" s="18" t="inlineStr">
        <is>
          <t>auditoria</t>
        </is>
      </c>
      <c r="E1433" s="18" t="n">
        <v>70</v>
      </c>
      <c r="F1433" s="18" t="inlineStr">
        <is>
          <t>total_tareas</t>
        </is>
      </c>
      <c r="G1433" s="18" t="inlineStr">
        <is>
          <t>integer</t>
        </is>
      </c>
      <c r="H1433" s="18" t="inlineStr">
        <is>
          <t>Sí</t>
        </is>
      </c>
      <c r="I1433" s="18" t="inlineStr"/>
      <c r="J1433" s="18" t="inlineStr"/>
      <c r="K1433" s="18" t="inlineStr"/>
      <c r="L1433" s="18" t="inlineStr">
        <is>
          <t>No</t>
        </is>
      </c>
      <c r="M1433" s="18" t="inlineStr">
        <is>
          <t>Sí</t>
        </is>
      </c>
      <c r="N1433" s="18" t="inlineStr">
        <is>
          <t>Vista control_interno.v_auditorias_kanban_completo</t>
        </is>
      </c>
      <c r="O1433" s="18" t="inlineStr"/>
      <c r="P1433" s="18" t="inlineStr">
        <is>
          <t>internal-institutional-control-service/src/esap/auditorias/entities/auditoria.entity.ts:210: ═══════════════════════════════════════════════════════════════════ CRONOGRAMA DE 3 ETAPAS: Planeación → Ejecución → Comunicación ═══════════════════════════════════════════════════════════════════ | Validación: IsInt, IsOptional, Min(0)</t>
        </is>
      </c>
      <c r="Q1433" s="18" t="inlineStr">
        <is>
          <t>Código fuente (verificado)</t>
        </is>
      </c>
      <c r="R1433" s="18" t="inlineStr">
        <is>
          <t>Número de tareas de la auditoría, diligenciado con el valor enviado al editarla; el código no lo calcula a partir de otros registros. Por defecto 0.</t>
        </is>
      </c>
      <c r="S1433" s="18" t="inlineStr">
        <is>
          <t>Alta</t>
        </is>
      </c>
      <c r="T1433" s="18" t="inlineStr">
        <is>
          <t>backend/internal-institutional-control-service/src/esap/auditorias/dto/update-auditoria.dto.ts:174 | backend/internal-institutional-control-service/src/esap/auditorias/auditorias.service.ts:1921: totalTareas = updateDto.totalTareas</t>
        </is>
      </c>
      <c r="U1433" s="18" t="inlineStr"/>
      <c r="V1433" s="19" t="inlineStr">
        <is>
          <t>Aprobada</t>
        </is>
      </c>
      <c r="W1433" s="19" t="inlineStr"/>
      <c r="X1433" s="19" t="inlineStr">
        <is>
          <t>Aldair González (aprobación en bloque)</t>
        </is>
      </c>
      <c r="Y1433" s="20" t="n">
        <v>46321</v>
      </c>
      <c r="Z1433" s="19" t="inlineStr">
        <is>
          <t>Nivel 3: verificada con el código de la aplicación.</t>
        </is>
      </c>
      <c r="AA1433" s="18">
        <f>IF(OR(V1433="Aprobada"),R1433,IF(AND(OR(V1433="Aprobada con ajuste",V1433="Rechazada"),W1433&lt;&gt;""),W1433,""))</f>
        <v/>
      </c>
    </row>
    <row r="1434">
      <c r="A1434" s="18" t="inlineStr">
        <is>
          <t>C1433</t>
        </is>
      </c>
      <c r="B1434" s="18" t="inlineStr">
        <is>
          <t>Control interno</t>
        </is>
      </c>
      <c r="C1434" s="18" t="inlineStr">
        <is>
          <t>control_interno</t>
        </is>
      </c>
      <c r="D1434" s="18" t="inlineStr">
        <is>
          <t>auditoria</t>
        </is>
      </c>
      <c r="E1434" s="18" t="n">
        <v>70</v>
      </c>
      <c r="F1434" s="18" t="inlineStr">
        <is>
          <t>actividades_completas</t>
        </is>
      </c>
      <c r="G1434" s="18" t="inlineStr">
        <is>
          <t>boolean</t>
        </is>
      </c>
      <c r="H1434" s="18" t="inlineStr">
        <is>
          <t>Sí</t>
        </is>
      </c>
      <c r="I1434" s="18" t="inlineStr"/>
      <c r="J1434" s="18" t="inlineStr"/>
      <c r="K1434" s="18" t="inlineStr"/>
      <c r="L1434" s="18" t="inlineStr">
        <is>
          <t>No</t>
        </is>
      </c>
      <c r="M1434" s="18" t="inlineStr">
        <is>
          <t>Sí</t>
        </is>
      </c>
      <c r="N1434" s="18" t="inlineStr">
        <is>
          <t>Función control_interno.actualizar_actividades_auditoria; Vista control_interno.v_auditorias_kanban_completo — control_interno.actualizar_actividades_auditoria: SET actividades_completas = (pendientes = 0),</t>
        </is>
      </c>
      <c r="O1434" s="18" t="inlineStr"/>
      <c r="P1434" s="18" t="inlineStr">
        <is>
          <t>internal-institutional-control-service/src/esap/auditorias/entities/auditoria.entity.ts:213: ═══════════════════════════════════════════════════════════════════ CRONOGRAMA DE 3 ETAPAS: Planeación → Ejecución → Comunicación ═══════════════════════════════════════════════════════════════════ | Validación: IsBoolean, IsOptional</t>
        </is>
      </c>
      <c r="Q1434" s="18" t="inlineStr">
        <is>
          <t>Código fuente</t>
        </is>
      </c>
      <c r="R1434" s="18" t="inlineStr">
        <is>
          <t>Indica si todas las actividades de la auditoría están completas, es decir, si no hay actividades pendientes; lo actualiza la función actualizar_actividades_auditoria.</t>
        </is>
      </c>
      <c r="S1434" s="18" t="inlineStr">
        <is>
          <t>Alta</t>
        </is>
      </c>
      <c r="T1434" s="18" t="inlineStr">
        <is>
          <t>uso en la función control_interno.actualizar_actividades_auditoria</t>
        </is>
      </c>
      <c r="U1434" s="18" t="inlineStr"/>
      <c r="V1434" s="19" t="inlineStr">
        <is>
          <t>Aprobada</t>
        </is>
      </c>
      <c r="W1434" s="19" t="inlineStr"/>
      <c r="X1434" s="19" t="inlineStr">
        <is>
          <t>Aldair González (aprobación en bloque)</t>
        </is>
      </c>
      <c r="Y1434" s="20" t="n">
        <v>46321</v>
      </c>
      <c r="Z1434" s="19" t="inlineStr">
        <is>
          <t>Nivel 1: propuesta del comentario del desarrollador o de confianza alta, o regla de fecha/responsable/motivo.</t>
        </is>
      </c>
      <c r="AA1434" s="18">
        <f>IF(OR(V1434="Aprobada"),R1434,IF(AND(OR(V1434="Aprobada con ajuste",V1434="Rechazada"),W1434&lt;&gt;""),W1434,""))</f>
        <v/>
      </c>
    </row>
    <row r="1435">
      <c r="A1435" s="18" t="inlineStr">
        <is>
          <t>C1434</t>
        </is>
      </c>
      <c r="B1435" s="18" t="inlineStr">
        <is>
          <t>Control interno</t>
        </is>
      </c>
      <c r="C1435" s="18" t="inlineStr">
        <is>
          <t>control_interno</t>
        </is>
      </c>
      <c r="D1435" s="18" t="inlineStr">
        <is>
          <t>auditoria</t>
        </is>
      </c>
      <c r="E1435" s="18" t="n">
        <v>70</v>
      </c>
      <c r="F1435" s="18" t="inlineStr">
        <is>
          <t>actividades_pendientes</t>
        </is>
      </c>
      <c r="G1435" s="18" t="inlineStr">
        <is>
          <t>integer</t>
        </is>
      </c>
      <c r="H1435" s="18" t="inlineStr">
        <is>
          <t>Sí</t>
        </is>
      </c>
      <c r="I1435" s="18" t="inlineStr">
        <is>
          <t>CHECK</t>
        </is>
      </c>
      <c r="J1435" s="18" t="inlineStr"/>
      <c r="K1435" s="18" t="inlineStr"/>
      <c r="L1435" s="18" t="inlineStr">
        <is>
          <t>No</t>
        </is>
      </c>
      <c r="M1435" s="18" t="inlineStr">
        <is>
          <t>Sí</t>
        </is>
      </c>
      <c r="N1435" s="18" t="inlineStr">
        <is>
          <t>Función control_interno.actualizar_actividades_auditoria; Vista control_interno.v_auditorias_kanban_completo — control_interno.actualizar_actividades_auditoria: actividades_pendientes = pendientes</t>
        </is>
      </c>
      <c r="O1435" s="18" t="inlineStr"/>
      <c r="P1435" s="18" t="inlineStr">
        <is>
          <t>internal-institutional-control-service/src/esap/auditorias/entities/auditoria.entity.ts:216: ═══════════════════════════════════════════════════════════════════ CRONOGRAMA DE 3 ETAPAS: Planeación → Ejecución → Comunicación ═══════════════════════════════════════════════════════════════════ | Validación: IsInt, IsOptional, Min(0)</t>
        </is>
      </c>
      <c r="Q1435" s="18" t="inlineStr">
        <is>
          <t>Código fuente</t>
        </is>
      </c>
      <c r="R1435" s="18" t="inlineStr">
        <is>
          <t>Número de actividades pendientes de la auditoría; lo actualiza la función actualizar_actividades_auditoria. Por defecto 0.</t>
        </is>
      </c>
      <c r="S1435" s="18" t="inlineStr">
        <is>
          <t>Alta</t>
        </is>
      </c>
      <c r="T1435" s="18" t="inlineStr">
        <is>
          <t>uso en la función control_interno.actualizar_actividades_auditoria</t>
        </is>
      </c>
      <c r="U1435" s="18" t="inlineStr"/>
      <c r="V1435" s="19" t="inlineStr">
        <is>
          <t>Aprobada</t>
        </is>
      </c>
      <c r="W1435" s="19" t="inlineStr"/>
      <c r="X1435" s="19" t="inlineStr">
        <is>
          <t>Aldair González (aprobación en bloque)</t>
        </is>
      </c>
      <c r="Y1435" s="20" t="n">
        <v>46321</v>
      </c>
      <c r="Z1435" s="19" t="inlineStr">
        <is>
          <t>Nivel 1: propuesta del comentario del desarrollador o de confianza alta, o regla de fecha/responsable/motivo.</t>
        </is>
      </c>
      <c r="AA1435" s="18">
        <f>IF(OR(V1435="Aprobada"),R1435,IF(AND(OR(V1435="Aprobada con ajuste",V1435="Rechazada"),W1435&lt;&gt;""),W1435,""))</f>
        <v/>
      </c>
    </row>
    <row r="1436">
      <c r="A1436" s="18" t="inlineStr">
        <is>
          <t>C1435</t>
        </is>
      </c>
      <c r="B1436" s="18" t="inlineStr">
        <is>
          <t>Control interno</t>
        </is>
      </c>
      <c r="C1436" s="18" t="inlineStr">
        <is>
          <t>control_interno</t>
        </is>
      </c>
      <c r="D1436" s="18" t="inlineStr">
        <is>
          <t>auditoria</t>
        </is>
      </c>
      <c r="E1436" s="18" t="n">
        <v>70</v>
      </c>
      <c r="F1436" s="18" t="inlineStr">
        <is>
          <t>periodo_inicio</t>
        </is>
      </c>
      <c r="G1436" s="18" t="inlineStr">
        <is>
          <t>date</t>
        </is>
      </c>
      <c r="H1436" s="18" t="inlineStr">
        <is>
          <t>Sí</t>
        </is>
      </c>
      <c r="I1436" s="18" t="inlineStr"/>
      <c r="J1436" s="18" t="inlineStr"/>
      <c r="K1436" s="18" t="inlineStr"/>
      <c r="L1436" s="18" t="inlineStr">
        <is>
          <t>No</t>
        </is>
      </c>
      <c r="M1436" s="18" t="inlineStr">
        <is>
          <t>No</t>
        </is>
      </c>
      <c r="N1436" s="18" t="inlineStr"/>
      <c r="O1436" s="18" t="inlineStr"/>
      <c r="P1436" s="18" t="inlineStr">
        <is>
          <t>internal-institutional-control-service/src/esap/auditorias/entities/auditoria.entity.ts:247: ═══════════════════════════════════════════════════════════════════ CRONOGRAMA DE 3 ETAPAS: Planeación → Ejecución → Comunicación ═══════════════════════════════════════════════════════════════════ | Validación: IsDateString, IsOptional</t>
        </is>
      </c>
      <c r="Q1436" s="18" t="inlineStr">
        <is>
          <t>Código fuente (verificado)</t>
        </is>
      </c>
      <c r="R1436" s="18" t="inlineStr">
        <is>
          <t>Fecha de inicio del periodo auditado.</t>
        </is>
      </c>
      <c r="S1436" s="18" t="inlineStr">
        <is>
          <t>Alta</t>
        </is>
      </c>
      <c r="T1436" s="18" t="inlineStr">
        <is>
          <t>backend/internal-institutional-control-service/src/esap/auditorias/dto/create-auditoria.dto.ts:55-61: sección 'PERIODO AUDITADO' | backend/internal-institutional-control-service/src/esap/auditorias/auditorias.service.ts:1429-1431</t>
        </is>
      </c>
      <c r="U1436" s="18" t="inlineStr"/>
      <c r="V1436" s="19" t="inlineStr">
        <is>
          <t>Aprobada</t>
        </is>
      </c>
      <c r="W1436" s="19" t="inlineStr"/>
      <c r="X1436" s="19" t="inlineStr">
        <is>
          <t>Aldair González (aprobación en bloque)</t>
        </is>
      </c>
      <c r="Y1436" s="20" t="n">
        <v>46321</v>
      </c>
      <c r="Z1436" s="19" t="inlineStr">
        <is>
          <t>Nivel 3: verificada con el código de la aplicación.</t>
        </is>
      </c>
      <c r="AA1436" s="18">
        <f>IF(OR(V1436="Aprobada"),R1436,IF(AND(OR(V1436="Aprobada con ajuste",V1436="Rechazada"),W1436&lt;&gt;""),W1436,""))</f>
        <v/>
      </c>
    </row>
    <row r="1437">
      <c r="A1437" s="18" t="inlineStr">
        <is>
          <t>C1436</t>
        </is>
      </c>
      <c r="B1437" s="18" t="inlineStr">
        <is>
          <t>Control interno</t>
        </is>
      </c>
      <c r="C1437" s="18" t="inlineStr">
        <is>
          <t>control_interno</t>
        </is>
      </c>
      <c r="D1437" s="18" t="inlineStr">
        <is>
          <t>auditoria</t>
        </is>
      </c>
      <c r="E1437" s="18" t="n">
        <v>70</v>
      </c>
      <c r="F1437" s="18" t="inlineStr">
        <is>
          <t>periodo_fin</t>
        </is>
      </c>
      <c r="G1437" s="18" t="inlineStr">
        <is>
          <t>date</t>
        </is>
      </c>
      <c r="H1437" s="18" t="inlineStr">
        <is>
          <t>Sí</t>
        </is>
      </c>
      <c r="I1437" s="18" t="inlineStr"/>
      <c r="J1437" s="18" t="inlineStr"/>
      <c r="K1437" s="18" t="inlineStr"/>
      <c r="L1437" s="18" t="inlineStr">
        <is>
          <t>No</t>
        </is>
      </c>
      <c r="M1437" s="18" t="inlineStr">
        <is>
          <t>No</t>
        </is>
      </c>
      <c r="N1437" s="18" t="inlineStr"/>
      <c r="O1437" s="18" t="inlineStr"/>
      <c r="P1437" s="18" t="inlineStr">
        <is>
          <t>internal-institutional-control-service/src/esap/auditorias/entities/auditoria.entity.ts:250: ═══════════════════════════════════════════════════════════════════ CRONOGRAMA DE 3 ETAPAS: Planeación → Ejecución → Comunicación ═══════════════════════════════════════════════════════════════════ | Validación: IsDateString, IsOptional</t>
        </is>
      </c>
      <c r="Q1437" s="18" t="inlineStr">
        <is>
          <t>Código fuente (verificado)</t>
        </is>
      </c>
      <c r="R1437" s="18" t="inlineStr">
        <is>
          <t>Fecha de fin del periodo auditado.</t>
        </is>
      </c>
      <c r="S1437" s="18" t="inlineStr">
        <is>
          <t>Alta</t>
        </is>
      </c>
      <c r="T1437" s="18" t="inlineStr">
        <is>
          <t>backend/internal-institutional-control-service/src/esap/auditorias/dto/create-auditoria.dto.ts:55-65: sección 'PERIODO AUDITADO' | backend/internal-institutional-control-service/src/esap/auditorias/auditorias.service.ts:1432-1434</t>
        </is>
      </c>
      <c r="U1437" s="18" t="inlineStr"/>
      <c r="V1437" s="19" t="inlineStr">
        <is>
          <t>Aprobada</t>
        </is>
      </c>
      <c r="W1437" s="19" t="inlineStr"/>
      <c r="X1437" s="19" t="inlineStr">
        <is>
          <t>Aldair González (aprobación en bloque)</t>
        </is>
      </c>
      <c r="Y1437" s="20" t="n">
        <v>46321</v>
      </c>
      <c r="Z1437" s="19" t="inlineStr">
        <is>
          <t>Nivel 3: verificada con el código de la aplicación.</t>
        </is>
      </c>
      <c r="AA1437" s="18">
        <f>IF(OR(V1437="Aprobada"),R1437,IF(AND(OR(V1437="Aprobada con ajuste",V1437="Rechazada"),W1437&lt;&gt;""),W1437,""))</f>
        <v/>
      </c>
    </row>
    <row r="1438">
      <c r="A1438" s="18" t="inlineStr">
        <is>
          <t>C1437</t>
        </is>
      </c>
      <c r="B1438" s="18" t="inlineStr">
        <is>
          <t>Control interno</t>
        </is>
      </c>
      <c r="C1438" s="18" t="inlineStr">
        <is>
          <t>control_interno</t>
        </is>
      </c>
      <c r="D1438" s="18" t="inlineStr">
        <is>
          <t>auditoria_especial_info</t>
        </is>
      </c>
      <c r="E1438" s="18" t="n">
        <v>0</v>
      </c>
      <c r="F1438" s="18" t="inlineStr">
        <is>
          <t>tipo_motivo</t>
        </is>
      </c>
      <c r="G1438" s="18" t="inlineStr">
        <is>
          <t>character varying(100)</t>
        </is>
      </c>
      <c r="H1438" s="18" t="inlineStr">
        <is>
          <t>No</t>
        </is>
      </c>
      <c r="I1438" s="18" t="inlineStr">
        <is>
          <t>CHECK</t>
        </is>
      </c>
      <c r="J1438" s="18" t="inlineStr">
        <is>
          <t>denuncia, emergencia, ente_control, otro, revision_especifica, seguimiento_urgente, solicitud_ente_control</t>
        </is>
      </c>
      <c r="K1438" s="18" t="inlineStr"/>
      <c r="L1438" s="18" t="inlineStr">
        <is>
          <t>Sí</t>
        </is>
      </c>
      <c r="M1438" s="18" t="inlineStr">
        <is>
          <t>Sí</t>
        </is>
      </c>
      <c r="N1438" s="18" t="inlineStr">
        <is>
          <t>Vista control_interno.v_auditorias_kanban_completo</t>
        </is>
      </c>
      <c r="O1438" s="18" t="inlineStr">
        <is>
          <t>idx_especial_tipo_motivo</t>
        </is>
      </c>
      <c r="P1438" s="18" t="inlineStr">
        <is>
          <t>Mapeada en internal-institutional-control-service/src/esap/auditorias/entities/auditoria-especial-info.entity.ts:26 (AuditoriaEspecialInfo.tipoMotivo)</t>
        </is>
      </c>
      <c r="Q1438" s="18" t="inlineStr">
        <is>
          <t>Propuesta semántica</t>
        </is>
      </c>
      <c r="R1438" s="18" t="inlineStr">
        <is>
          <t>Tipo de motivo de la auditoría especial. Valores permitidos: denuncia, emergencia, ente_control, solicitud_ente_control, revision_especifica, seguimiento_urgente, otro.</t>
        </is>
      </c>
      <c r="S1438" s="18" t="inlineStr">
        <is>
          <t>Alta</t>
        </is>
      </c>
      <c r="T1438" s="18" t="inlineStr">
        <is>
          <t>valores permitidos del CHECK ~</t>
        </is>
      </c>
      <c r="U1438" s="18" t="inlineStr"/>
      <c r="V1438" s="19" t="inlineStr">
        <is>
          <t>Aprobada</t>
        </is>
      </c>
      <c r="W1438" s="19" t="inlineStr"/>
      <c r="X1438" s="19" t="inlineStr">
        <is>
          <t>Aldair González (aprobación en bloque)</t>
        </is>
      </c>
      <c r="Y1438" s="20" t="n">
        <v>46321</v>
      </c>
      <c r="Z1438" s="19" t="inlineStr">
        <is>
          <t>Nivel 1: propuesta del comentario del desarrollador o de confianza alta, o regla de fecha/responsable/motivo.</t>
        </is>
      </c>
      <c r="AA1438" s="18">
        <f>IF(OR(V1438="Aprobada"),R1438,IF(AND(OR(V1438="Aprobada con ajuste",V1438="Rechazada"),W1438&lt;&gt;""),W1438,""))</f>
        <v/>
      </c>
    </row>
    <row r="1439">
      <c r="A1439" s="18" t="inlineStr">
        <is>
          <t>C1438</t>
        </is>
      </c>
      <c r="B1439" s="18" t="inlineStr">
        <is>
          <t>Control interno</t>
        </is>
      </c>
      <c r="C1439" s="18" t="inlineStr">
        <is>
          <t>control_interno</t>
        </is>
      </c>
      <c r="D1439" s="18" t="inlineStr">
        <is>
          <t>auditoria_especial_info</t>
        </is>
      </c>
      <c r="E1439" s="18" t="n">
        <v>0</v>
      </c>
      <c r="F1439" s="18" t="inlineStr">
        <is>
          <t>solicitante</t>
        </is>
      </c>
      <c r="G1439" s="18" t="inlineStr">
        <is>
          <t>character varying(255)</t>
        </is>
      </c>
      <c r="H1439" s="18" t="inlineStr">
        <is>
          <t>No</t>
        </is>
      </c>
      <c r="I1439" s="18" t="inlineStr"/>
      <c r="J1439" s="18" t="inlineStr"/>
      <c r="K1439" s="18" t="inlineStr"/>
      <c r="L1439" s="18" t="inlineStr">
        <is>
          <t>No</t>
        </is>
      </c>
      <c r="M1439" s="18" t="inlineStr">
        <is>
          <t>Sí</t>
        </is>
      </c>
      <c r="N1439" s="18" t="inlineStr">
        <is>
          <t>Vista control_interno.v_auditorias_kanban_completo</t>
        </is>
      </c>
      <c r="O1439" s="18" t="inlineStr"/>
      <c r="P1439" s="18" t="inlineStr">
        <is>
          <t>db/migrations/old/036_add_auditorias_kanban_completo.sql:703: Ej: "Contraloría General de la República" | Validación: IsNotEmpty, IsString</t>
        </is>
      </c>
      <c r="Q1439" s="18" t="inlineStr">
        <is>
          <t>Código fuente</t>
        </is>
      </c>
      <c r="R1439" s="18" t="inlineStr">
        <is>
          <t>Entidad o persona que solicita la auditoría especial (por ejemplo, Contraloría General de la República).</t>
        </is>
      </c>
      <c r="S1439" s="18" t="inlineStr">
        <is>
          <t>Alta</t>
        </is>
      </c>
      <c r="T1439" s="18" t="inlineStr">
        <is>
          <t>código: db/migrations/old/036_add_auditorias_kanban_completo.sql:703</t>
        </is>
      </c>
      <c r="U1439" s="18" t="inlineStr"/>
      <c r="V1439" s="19" t="inlineStr">
        <is>
          <t>Aprobada</t>
        </is>
      </c>
      <c r="W1439" s="19" t="inlineStr"/>
      <c r="X1439" s="19" t="inlineStr">
        <is>
          <t>Aldair González (aprobación en bloque)</t>
        </is>
      </c>
      <c r="Y1439" s="20" t="n">
        <v>46321</v>
      </c>
      <c r="Z1439" s="19" t="inlineStr">
        <is>
          <t>Nivel 1: propuesta del comentario del desarrollador o de confianza alta, o regla de fecha/responsable/motivo.</t>
        </is>
      </c>
      <c r="AA1439" s="18">
        <f>IF(OR(V1439="Aprobada"),R1439,IF(AND(OR(V1439="Aprobada con ajuste",V1439="Rechazada"),W1439&lt;&gt;""),W1439,""))</f>
        <v/>
      </c>
    </row>
    <row r="1440">
      <c r="A1440" s="18" t="inlineStr">
        <is>
          <t>C1439</t>
        </is>
      </c>
      <c r="B1440" s="18" t="inlineStr">
        <is>
          <t>Control interno</t>
        </is>
      </c>
      <c r="C1440" s="18" t="inlineStr">
        <is>
          <t>control_interno</t>
        </is>
      </c>
      <c r="D1440" s="18" t="inlineStr">
        <is>
          <t>auditoria_especial_info</t>
        </is>
      </c>
      <c r="E1440" s="18" t="n">
        <v>0</v>
      </c>
      <c r="F1440" s="18" t="inlineStr">
        <is>
          <t>justificacion</t>
        </is>
      </c>
      <c r="G1440" s="18" t="inlineStr">
        <is>
          <t>text</t>
        </is>
      </c>
      <c r="H1440" s="18" t="inlineStr">
        <is>
          <t>No</t>
        </is>
      </c>
      <c r="I1440" s="18" t="inlineStr"/>
      <c r="J1440" s="18" t="inlineStr"/>
      <c r="K1440" s="18" t="inlineStr"/>
      <c r="L1440" s="18" t="inlineStr">
        <is>
          <t>No</t>
        </is>
      </c>
      <c r="M1440" s="18" t="inlineStr">
        <is>
          <t>Sí</t>
        </is>
      </c>
      <c r="N1440" s="18" t="inlineStr">
        <is>
          <t>Vista control_interno.v_auditorias_kanban_completo</t>
        </is>
      </c>
      <c r="O1440" s="18" t="inlineStr"/>
      <c r="P1440" s="18" t="inlineStr">
        <is>
          <t>Mapeada en internal-institutional-control-service/src/esap/auditorias/entities/auditoria-especial-info.entity.ts:32 (AuditoriaEspecialInfo.justificacion) | Validación: IsNotEmpty, IsString, MinLength(20, { message: 'La justificación debe tener al menos 20 caracteres' }), MinLength(20, { message: 'La justificación del rechazo debe tener al menos 20 caracteres' })</t>
        </is>
      </c>
      <c r="Q1440" s="18" t="inlineStr">
        <is>
          <t>Propuesta semántica</t>
        </is>
      </c>
      <c r="R1440" s="18" t="inlineStr">
        <is>
          <t>Justificación de la auditoría especial; mínimo 20 caracteres.</t>
        </is>
      </c>
      <c r="S1440" s="18" t="inlineStr">
        <is>
          <t>Alta</t>
        </is>
      </c>
      <c r="T1440" s="18" t="inlineStr">
        <is>
          <t>nombre + validación MinLength(20) ~</t>
        </is>
      </c>
      <c r="U1440" s="18" t="inlineStr"/>
      <c r="V1440" s="19" t="inlineStr">
        <is>
          <t>Aprobada</t>
        </is>
      </c>
      <c r="W1440" s="19" t="inlineStr"/>
      <c r="X1440" s="19" t="inlineStr">
        <is>
          <t>Aldair González (aprobación en bloque)</t>
        </is>
      </c>
      <c r="Y1440" s="20" t="n">
        <v>46321</v>
      </c>
      <c r="Z1440" s="19" t="inlineStr">
        <is>
          <t>Nivel 1: propuesta del comentario del desarrollador o de confianza alta, o regla de fecha/responsable/motivo.</t>
        </is>
      </c>
      <c r="AA1440" s="18">
        <f>IF(OR(V1440="Aprobada"),R1440,IF(AND(OR(V1440="Aprobada con ajuste",V1440="Rechazada"),W1440&lt;&gt;""),W1440,""))</f>
        <v/>
      </c>
    </row>
    <row r="1441">
      <c r="A1441" s="18" t="inlineStr">
        <is>
          <t>C1440</t>
        </is>
      </c>
      <c r="B1441" s="18" t="inlineStr">
        <is>
          <t>Control interno</t>
        </is>
      </c>
      <c r="C1441" s="18" t="inlineStr">
        <is>
          <t>control_interno</t>
        </is>
      </c>
      <c r="D1441" s="18" t="inlineStr">
        <is>
          <t>auditoria_especial_info</t>
        </is>
      </c>
      <c r="E1441" s="18" t="n">
        <v>0</v>
      </c>
      <c r="F1441" s="18" t="inlineStr">
        <is>
          <t>fecha_solicitud</t>
        </is>
      </c>
      <c r="G1441" s="18" t="inlineStr">
        <is>
          <t>date</t>
        </is>
      </c>
      <c r="H1441" s="18" t="inlineStr">
        <is>
          <t>Sí</t>
        </is>
      </c>
      <c r="I1441" s="18" t="inlineStr"/>
      <c r="J1441" s="18" t="inlineStr"/>
      <c r="K1441" s="18" t="inlineStr"/>
      <c r="L1441" s="18" t="inlineStr">
        <is>
          <t>No</t>
        </is>
      </c>
      <c r="M1441" s="18" t="inlineStr">
        <is>
          <t>No</t>
        </is>
      </c>
      <c r="N1441" s="18" t="inlineStr"/>
      <c r="O1441" s="18" t="inlineStr">
        <is>
          <t>idx_especial_fecha_solicitud</t>
        </is>
      </c>
      <c r="P1441" s="18" t="inlineStr"/>
      <c r="Q1441" s="18" t="inlineStr">
        <is>
          <t>Regla estructural (redacción revisada)</t>
        </is>
      </c>
      <c r="R1441" s="18" t="inlineStr">
        <is>
          <t>Fecha en que se solicitó la auditoría especial.</t>
        </is>
      </c>
      <c r="S1441" s="18" t="inlineStr">
        <is>
          <t>Alta</t>
        </is>
      </c>
      <c r="T1441" s="18" t="inlineStr">
        <is>
          <t>Convención de nombre, redactada con el contexto de la tabla y el código.</t>
        </is>
      </c>
      <c r="U1441" s="18" t="inlineStr"/>
      <c r="V1441" s="19" t="inlineStr">
        <is>
          <t>Aprobada</t>
        </is>
      </c>
      <c r="W1441" s="19" t="inlineStr"/>
      <c r="X1441" s="19" t="inlineStr">
        <is>
          <t>Aldair González (aprobación en bloque)</t>
        </is>
      </c>
      <c r="Y1441" s="20" t="n">
        <v>46321</v>
      </c>
      <c r="Z1441" s="19" t="inlineStr">
        <is>
          <t>Nivel 2: regla estructural con redacción revisada.</t>
        </is>
      </c>
      <c r="AA1441" s="18">
        <f>IF(OR(V1441="Aprobada"),R1441,IF(AND(OR(V1441="Aprobada con ajuste",V1441="Rechazada"),W1441&lt;&gt;""),W1441,""))</f>
        <v/>
      </c>
    </row>
    <row r="1442">
      <c r="A1442" s="18" t="inlineStr">
        <is>
          <t>C1441</t>
        </is>
      </c>
      <c r="B1442" s="18" t="inlineStr">
        <is>
          <t>Control interno</t>
        </is>
      </c>
      <c r="C1442" s="18" t="inlineStr">
        <is>
          <t>control_interno</t>
        </is>
      </c>
      <c r="D1442" s="18" t="inlineStr">
        <is>
          <t>auditoria_especial_info</t>
        </is>
      </c>
      <c r="E1442" s="18" t="n">
        <v>0</v>
      </c>
      <c r="F1442" s="18" t="inlineStr">
        <is>
          <t>fecha_aprobacion</t>
        </is>
      </c>
      <c r="G1442" s="18" t="inlineStr">
        <is>
          <t>date</t>
        </is>
      </c>
      <c r="H1442" s="18" t="inlineStr">
        <is>
          <t>Sí</t>
        </is>
      </c>
      <c r="I1442" s="18" t="inlineStr"/>
      <c r="J1442" s="18" t="inlineStr"/>
      <c r="K1442" s="18" t="inlineStr"/>
      <c r="L1442" s="18" t="inlineStr">
        <is>
          <t>No</t>
        </is>
      </c>
      <c r="M1442" s="18" t="inlineStr">
        <is>
          <t>No</t>
        </is>
      </c>
      <c r="N1442" s="18" t="inlineStr"/>
      <c r="O1442" s="18" t="inlineStr"/>
      <c r="P1442" s="18" t="inlineStr"/>
      <c r="Q1442" s="18" t="inlineStr">
        <is>
          <t>Regla estructural (redacción revisada)</t>
        </is>
      </c>
      <c r="R1442" s="18" t="inlineStr">
        <is>
          <t>Fecha en que se aprobó la auditoría especial.</t>
        </is>
      </c>
      <c r="S1442" s="18" t="inlineStr">
        <is>
          <t>Alta</t>
        </is>
      </c>
      <c r="T1442" s="18" t="inlineStr">
        <is>
          <t>Convención de nombre, redactada con el contexto de la tabla y el código.</t>
        </is>
      </c>
      <c r="U1442" s="18" t="inlineStr"/>
      <c r="V1442" s="19" t="inlineStr">
        <is>
          <t>Aprobada</t>
        </is>
      </c>
      <c r="W1442" s="19" t="inlineStr"/>
      <c r="X1442" s="19" t="inlineStr">
        <is>
          <t>Aldair González (aprobación en bloque)</t>
        </is>
      </c>
      <c r="Y1442" s="20" t="n">
        <v>46321</v>
      </c>
      <c r="Z1442" s="19" t="inlineStr">
        <is>
          <t>Nivel 2: regla estructural con redacción revisada.</t>
        </is>
      </c>
      <c r="AA1442" s="18">
        <f>IF(OR(V1442="Aprobada"),R1442,IF(AND(OR(V1442="Aprobada con ajuste",V1442="Rechazada"),W1442&lt;&gt;""),W1442,""))</f>
        <v/>
      </c>
    </row>
    <row r="1443">
      <c r="A1443" s="18" t="inlineStr">
        <is>
          <t>C1442</t>
        </is>
      </c>
      <c r="B1443" s="18" t="inlineStr">
        <is>
          <t>Control interno</t>
        </is>
      </c>
      <c r="C1443" s="18" t="inlineStr">
        <is>
          <t>control_interno</t>
        </is>
      </c>
      <c r="D1443" s="18" t="inlineStr">
        <is>
          <t>auditoria_especial_info</t>
        </is>
      </c>
      <c r="E1443" s="18" t="n">
        <v>0</v>
      </c>
      <c r="F1443" s="18" t="inlineStr">
        <is>
          <t>observaciones</t>
        </is>
      </c>
      <c r="G1443" s="18" t="inlineStr">
        <is>
          <t>text</t>
        </is>
      </c>
      <c r="H1443" s="18" t="inlineStr">
        <is>
          <t>Sí</t>
        </is>
      </c>
      <c r="I1443" s="18" t="inlineStr"/>
      <c r="J1443" s="18" t="inlineStr"/>
      <c r="K1443" s="18" t="inlineStr"/>
      <c r="L1443" s="18" t="inlineStr">
        <is>
          <t>No</t>
        </is>
      </c>
      <c r="M1443" s="18" t="inlineStr">
        <is>
          <t>No</t>
        </is>
      </c>
      <c r="N1443" s="18" t="inlineStr"/>
      <c r="O1443" s="18" t="inlineStr"/>
      <c r="P1443" s="18" t="inlineStr"/>
      <c r="Q1443" s="18" t="inlineStr">
        <is>
          <t>Regla estructural (redacción revisada)</t>
        </is>
      </c>
      <c r="R1443" s="18" t="inlineStr">
        <is>
          <t>Observaciones sobre la auditoría especial.</t>
        </is>
      </c>
      <c r="S1443" s="18" t="inlineStr">
        <is>
          <t>Alta</t>
        </is>
      </c>
      <c r="T1443" s="18" t="inlineStr">
        <is>
          <t>Convención de nombre, redactada con el contexto de la tabla y el código.</t>
        </is>
      </c>
      <c r="U1443" s="18" t="inlineStr"/>
      <c r="V1443" s="19" t="inlineStr">
        <is>
          <t>Aprobada</t>
        </is>
      </c>
      <c r="W1443" s="19" t="inlineStr"/>
      <c r="X1443" s="19" t="inlineStr">
        <is>
          <t>Aldair González (aprobación en bloque)</t>
        </is>
      </c>
      <c r="Y1443" s="20" t="n">
        <v>46321</v>
      </c>
      <c r="Z1443" s="19" t="inlineStr">
        <is>
          <t>Nivel 2: regla estructural con redacción revisada.</t>
        </is>
      </c>
      <c r="AA1443" s="18">
        <f>IF(OR(V1443="Aprobada"),R1443,IF(AND(OR(V1443="Aprobada con ajuste",V1443="Rechazada"),W1443&lt;&gt;""),W1443,""))</f>
        <v/>
      </c>
    </row>
    <row r="1444">
      <c r="A1444" s="18" t="inlineStr">
        <is>
          <t>C1443</t>
        </is>
      </c>
      <c r="B1444" s="18" t="inlineStr">
        <is>
          <t>Control interno</t>
        </is>
      </c>
      <c r="C1444" s="18" t="inlineStr">
        <is>
          <t>control_interno</t>
        </is>
      </c>
      <c r="D1444" s="18" t="inlineStr">
        <is>
          <t>auditoria_gestion</t>
        </is>
      </c>
      <c r="E1444" s="18" t="n">
        <v>0</v>
      </c>
      <c r="F1444" s="18" t="inlineStr">
        <is>
          <t>codigo</t>
        </is>
      </c>
      <c r="G1444" s="18" t="inlineStr">
        <is>
          <t>character varying(255)</t>
        </is>
      </c>
      <c r="H1444" s="18" t="inlineStr">
        <is>
          <t>No</t>
        </is>
      </c>
      <c r="I1444" s="18" t="inlineStr">
        <is>
          <t>Única</t>
        </is>
      </c>
      <c r="J1444" s="18" t="inlineStr"/>
      <c r="K1444" s="18" t="inlineStr"/>
      <c r="L1444" s="18" t="inlineStr">
        <is>
          <t>No</t>
        </is>
      </c>
      <c r="M1444" s="18" t="inlineStr">
        <is>
          <t>No</t>
        </is>
      </c>
      <c r="N1444" s="18" t="inlineStr"/>
      <c r="O1444" s="18" t="inlineStr">
        <is>
          <t>auditoria_gestion_codigo_key, idx_auditoria_gestion_codigo</t>
        </is>
      </c>
      <c r="P1444" s="18" t="inlineStr"/>
      <c r="Q1444" s="18" t="inlineStr">
        <is>
          <t>Regla estructural (redacción revisada)</t>
        </is>
      </c>
      <c r="R1444" s="18" t="inlineStr">
        <is>
          <t>Código de la auditoría en gestión. Único en la tabla.</t>
        </is>
      </c>
      <c r="S1444" s="18" t="inlineStr">
        <is>
          <t>Alta</t>
        </is>
      </c>
      <c r="T1444" s="18" t="inlineStr">
        <is>
          <t>Convención de nombre, redactada con el contexto de la tabla y el código.</t>
        </is>
      </c>
      <c r="U1444" s="18" t="inlineStr"/>
      <c r="V1444" s="19" t="inlineStr">
        <is>
          <t>Aprobada</t>
        </is>
      </c>
      <c r="W1444" s="19" t="inlineStr"/>
      <c r="X1444" s="19" t="inlineStr">
        <is>
          <t>Aldair González (aprobación en bloque)</t>
        </is>
      </c>
      <c r="Y1444" s="20" t="n">
        <v>46321</v>
      </c>
      <c r="Z1444" s="19" t="inlineStr">
        <is>
          <t>Nivel 2: regla estructural con redacción revisada.</t>
        </is>
      </c>
      <c r="AA1444" s="18">
        <f>IF(OR(V1444="Aprobada"),R1444,IF(AND(OR(V1444="Aprobada con ajuste",V1444="Rechazada"),W1444&lt;&gt;""),W1444,""))</f>
        <v/>
      </c>
    </row>
    <row r="1445">
      <c r="A1445" s="18" t="inlineStr">
        <is>
          <t>C1444</t>
        </is>
      </c>
      <c r="B1445" s="18" t="inlineStr">
        <is>
          <t>Control interno</t>
        </is>
      </c>
      <c r="C1445" s="18" t="inlineStr">
        <is>
          <t>control_interno</t>
        </is>
      </c>
      <c r="D1445" s="18" t="inlineStr">
        <is>
          <t>auditoria_gestion</t>
        </is>
      </c>
      <c r="E1445" s="18" t="n">
        <v>0</v>
      </c>
      <c r="F1445" s="18" t="inlineStr">
        <is>
          <t>nombre</t>
        </is>
      </c>
      <c r="G1445" s="18" t="inlineStr">
        <is>
          <t>character varying(500)</t>
        </is>
      </c>
      <c r="H1445" s="18" t="inlineStr">
        <is>
          <t>No</t>
        </is>
      </c>
      <c r="I1445" s="18" t="inlineStr"/>
      <c r="J1445" s="18" t="inlineStr"/>
      <c r="K1445" s="18" t="inlineStr"/>
      <c r="L1445" s="18" t="inlineStr">
        <is>
          <t>No</t>
        </is>
      </c>
      <c r="M1445" s="18" t="inlineStr">
        <is>
          <t>No</t>
        </is>
      </c>
      <c r="N1445" s="18" t="inlineStr"/>
      <c r="O1445" s="18" t="inlineStr"/>
      <c r="P1445" s="18" t="inlineStr"/>
      <c r="Q1445" s="18" t="inlineStr">
        <is>
          <t>Regla estructural (redacción revisada)</t>
        </is>
      </c>
      <c r="R1445" s="18" t="inlineStr">
        <is>
          <t>Nombre de la auditoría en gestión.</t>
        </is>
      </c>
      <c r="S1445" s="18" t="inlineStr">
        <is>
          <t>Alta</t>
        </is>
      </c>
      <c r="T1445" s="18" t="inlineStr">
        <is>
          <t>Convención de nombre, redactada con el contexto de la tabla y el código.</t>
        </is>
      </c>
      <c r="U1445" s="18" t="inlineStr"/>
      <c r="V1445" s="19" t="inlineStr">
        <is>
          <t>Aprobada</t>
        </is>
      </c>
      <c r="W1445" s="19" t="inlineStr"/>
      <c r="X1445" s="19" t="inlineStr">
        <is>
          <t>Aldair González (aprobación en bloque)</t>
        </is>
      </c>
      <c r="Y1445" s="20" t="n">
        <v>46321</v>
      </c>
      <c r="Z1445" s="19" t="inlineStr">
        <is>
          <t>Nivel 2: regla estructural con redacción revisada.</t>
        </is>
      </c>
      <c r="AA1445" s="18">
        <f>IF(OR(V1445="Aprobada"),R1445,IF(AND(OR(V1445="Aprobada con ajuste",V1445="Rechazada"),W1445&lt;&gt;""),W1445,""))</f>
        <v/>
      </c>
    </row>
    <row r="1446">
      <c r="A1446" s="18" t="inlineStr">
        <is>
          <t>C1445</t>
        </is>
      </c>
      <c r="B1446" s="18" t="inlineStr">
        <is>
          <t>Control interno</t>
        </is>
      </c>
      <c r="C1446" s="18" t="inlineStr">
        <is>
          <t>control_interno</t>
        </is>
      </c>
      <c r="D1446" s="18" t="inlineStr">
        <is>
          <t>auditoria_gestion</t>
        </is>
      </c>
      <c r="E1446" s="18" t="n">
        <v>0</v>
      </c>
      <c r="F1446" s="18" t="inlineStr">
        <is>
          <t>tipo</t>
        </is>
      </c>
      <c r="G1446" s="18" t="inlineStr">
        <is>
          <t>character varying(100)</t>
        </is>
      </c>
      <c r="H1446" s="18" t="inlineStr">
        <is>
          <t>No</t>
        </is>
      </c>
      <c r="I1446" s="18" t="inlineStr"/>
      <c r="J1446" s="18" t="inlineStr"/>
      <c r="K1446" s="18" t="inlineStr"/>
      <c r="L1446" s="18" t="inlineStr">
        <is>
          <t>No</t>
        </is>
      </c>
      <c r="M1446" s="18" t="inlineStr">
        <is>
          <t>No</t>
        </is>
      </c>
      <c r="N1446" s="18" t="inlineStr"/>
      <c r="O1446" s="18" t="inlineStr">
        <is>
          <t>idx_auditoria_gestion_tipo</t>
        </is>
      </c>
      <c r="P1446" s="18" t="inlineStr"/>
      <c r="Q1446" s="18" t="inlineStr">
        <is>
          <t>Regla estructural (redacción revisada)</t>
        </is>
      </c>
      <c r="R1446" s="18" t="inlineStr">
        <is>
          <t>Tipo de auditoría en gestión.</t>
        </is>
      </c>
      <c r="S1446" s="18" t="inlineStr">
        <is>
          <t>Alta</t>
        </is>
      </c>
      <c r="T1446" s="18" t="inlineStr">
        <is>
          <t>Convención de nombre, redactada con el contexto de la tabla y el código.</t>
        </is>
      </c>
      <c r="U1446" s="18" t="inlineStr"/>
      <c r="V1446" s="19" t="inlineStr">
        <is>
          <t>Aprobada</t>
        </is>
      </c>
      <c r="W1446" s="19" t="inlineStr"/>
      <c r="X1446" s="19" t="inlineStr">
        <is>
          <t>Aldair González (aprobación en bloque)</t>
        </is>
      </c>
      <c r="Y1446" s="20" t="n">
        <v>46321</v>
      </c>
      <c r="Z1446" s="19" t="inlineStr">
        <is>
          <t>Nivel 2: regla estructural con redacción revisada.</t>
        </is>
      </c>
      <c r="AA1446" s="18">
        <f>IF(OR(V1446="Aprobada"),R1446,IF(AND(OR(V1446="Aprobada con ajuste",V1446="Rechazada"),W1446&lt;&gt;""),W1446,""))</f>
        <v/>
      </c>
    </row>
    <row r="1447">
      <c r="A1447" s="18" t="inlineStr">
        <is>
          <t>C1446</t>
        </is>
      </c>
      <c r="B1447" s="18" t="inlineStr">
        <is>
          <t>Control interno</t>
        </is>
      </c>
      <c r="C1447" s="18" t="inlineStr">
        <is>
          <t>control_interno</t>
        </is>
      </c>
      <c r="D1447" s="18" t="inlineStr">
        <is>
          <t>auditoria_gestion</t>
        </is>
      </c>
      <c r="E1447" s="18" t="n">
        <v>0</v>
      </c>
      <c r="F1447" s="18" t="inlineStr">
        <is>
          <t>fase</t>
        </is>
      </c>
      <c r="G1447" s="18" t="inlineStr">
        <is>
          <t>character varying(50)</t>
        </is>
      </c>
      <c r="H1447" s="18" t="inlineStr">
        <is>
          <t>No</t>
        </is>
      </c>
      <c r="I1447" s="18" t="inlineStr">
        <is>
          <t>CHECK</t>
        </is>
      </c>
      <c r="J1447" s="18" t="inlineStr">
        <is>
          <t>completada, en-curso, planeacion, revision</t>
        </is>
      </c>
      <c r="K1447" s="18" t="inlineStr"/>
      <c r="L1447" s="18" t="inlineStr">
        <is>
          <t>Sí</t>
        </is>
      </c>
      <c r="M1447" s="18" t="inlineStr">
        <is>
          <t>No</t>
        </is>
      </c>
      <c r="N1447" s="18" t="inlineStr"/>
      <c r="O1447" s="18" t="inlineStr">
        <is>
          <t>idx_auditoria_gestion_fase</t>
        </is>
      </c>
      <c r="P1447" s="18" t="inlineStr"/>
      <c r="Q1447" s="18" t="inlineStr">
        <is>
          <t>Propuesta semántica</t>
        </is>
      </c>
      <c r="R1447" s="18" t="inlineStr">
        <is>
          <t>Fase de gestión de la auditoría. Valores permitidos: planeacion, en-curso, revision, completada; por defecto planeacion.</t>
        </is>
      </c>
      <c r="S1447" s="18" t="inlineStr">
        <is>
          <t>Alta</t>
        </is>
      </c>
      <c r="T1447" s="18" t="inlineStr">
        <is>
          <t>valores permitidos del CHECK + defecto ~</t>
        </is>
      </c>
      <c r="U1447" s="18" t="inlineStr"/>
      <c r="V1447" s="19" t="inlineStr">
        <is>
          <t>Aprobada</t>
        </is>
      </c>
      <c r="W1447" s="19" t="inlineStr"/>
      <c r="X1447" s="19" t="inlineStr">
        <is>
          <t>Aldair González (aprobación en bloque)</t>
        </is>
      </c>
      <c r="Y1447" s="20" t="n">
        <v>46321</v>
      </c>
      <c r="Z1447" s="19" t="inlineStr">
        <is>
          <t>Nivel 1: propuesta del comentario del desarrollador o de confianza alta, o regla de fecha/responsable/motivo.</t>
        </is>
      </c>
      <c r="AA1447" s="18">
        <f>IF(OR(V1447="Aprobada"),R1447,IF(AND(OR(V1447="Aprobada con ajuste",V1447="Rechazada"),W1447&lt;&gt;""),W1447,""))</f>
        <v/>
      </c>
    </row>
    <row r="1448">
      <c r="A1448" s="18" t="inlineStr">
        <is>
          <t>C1447</t>
        </is>
      </c>
      <c r="B1448" s="18" t="inlineStr">
        <is>
          <t>Control interno</t>
        </is>
      </c>
      <c r="C1448" s="18" t="inlineStr">
        <is>
          <t>control_interno</t>
        </is>
      </c>
      <c r="D1448" s="18" t="inlineStr">
        <is>
          <t>auditoria_gestion</t>
        </is>
      </c>
      <c r="E1448" s="18" t="n">
        <v>0</v>
      </c>
      <c r="F1448" s="18" t="inlineStr">
        <is>
          <t>territorial</t>
        </is>
      </c>
      <c r="G1448" s="18" t="inlineStr">
        <is>
          <t>character varying(255)</t>
        </is>
      </c>
      <c r="H1448" s="18" t="inlineStr">
        <is>
          <t>Sí</t>
        </is>
      </c>
      <c r="I1448" s="18" t="inlineStr"/>
      <c r="J1448" s="18" t="inlineStr"/>
      <c r="K1448" s="18" t="inlineStr"/>
      <c r="L1448" s="18" t="inlineStr">
        <is>
          <t>No</t>
        </is>
      </c>
      <c r="M1448" s="18" t="inlineStr">
        <is>
          <t>No</t>
        </is>
      </c>
      <c r="N1448" s="18" t="inlineStr"/>
      <c r="O1448" s="18" t="inlineStr"/>
      <c r="P1448" s="18" t="inlineStr"/>
      <c r="Q1448" s="18" t="inlineStr">
        <is>
          <t>Código fuente (verificado)</t>
        </is>
      </c>
      <c r="R1448" s="18" t="inlineStr">
        <is>
          <t>Dirección territorial donde se realiza la auditoría.</t>
        </is>
      </c>
      <c r="S1448" s="18" t="inlineStr">
        <is>
          <t>Media</t>
        </is>
      </c>
      <c r="T1448" s="18" t="inlineStr">
        <is>
          <t>db/init/005_control_interno_ddl_20260129_215540.sql:1211-1230: varchar(255) sin restricción | sin entidad ni uso en el código del servicio</t>
        </is>
      </c>
      <c r="U1448" s="18" t="inlineStr">
        <is>
          <t>¿territorial se toma de un catálogo de direcciones territoriales o es texto libre? La tabla no tiene entidad en el código.</t>
        </is>
      </c>
      <c r="V1448" s="19" t="inlineStr">
        <is>
          <t>Aprobada</t>
        </is>
      </c>
      <c r="W1448" s="19" t="inlineStr"/>
      <c r="X1448" s="19" t="inlineStr">
        <is>
          <t>Aldair González (validación del responsable de BD)</t>
        </is>
      </c>
      <c r="Y1448" s="20" t="n">
        <v>46321</v>
      </c>
      <c r="Z1448" s="19" t="inlineStr">
        <is>
          <t>Nivel 3: validada por decisión del responsable de la base de datos. Pregunta registrada para desarrollo: ¿territorial se toma de un catálogo de direcciones territoriales o es texto libre? La tabla no tiene entidad en el código.</t>
        </is>
      </c>
      <c r="AA1448" s="18">
        <f>IF(OR(V1448="Aprobada"),R1448,IF(AND(OR(V1448="Aprobada con ajuste",V1448="Rechazada"),W1448&lt;&gt;""),W1448,""))</f>
        <v/>
      </c>
    </row>
    <row r="1449">
      <c r="A1449" s="18" t="inlineStr">
        <is>
          <t>C1448</t>
        </is>
      </c>
      <c r="B1449" s="18" t="inlineStr">
        <is>
          <t>Control interno</t>
        </is>
      </c>
      <c r="C1449" s="18" t="inlineStr">
        <is>
          <t>control_interno</t>
        </is>
      </c>
      <c r="D1449" s="18" t="inlineStr">
        <is>
          <t>auditoria_gestion</t>
        </is>
      </c>
      <c r="E1449" s="18" t="n">
        <v>0</v>
      </c>
      <c r="F1449" s="18" t="inlineStr">
        <is>
          <t>sede</t>
        </is>
      </c>
      <c r="G1449" s="18" t="inlineStr">
        <is>
          <t>character varying(255)</t>
        </is>
      </c>
      <c r="H1449" s="18" t="inlineStr">
        <is>
          <t>Sí</t>
        </is>
      </c>
      <c r="I1449" s="18" t="inlineStr"/>
      <c r="J1449" s="18" t="inlineStr"/>
      <c r="K1449" s="18" t="inlineStr"/>
      <c r="L1449" s="18" t="inlineStr">
        <is>
          <t>No</t>
        </is>
      </c>
      <c r="M1449" s="18" t="inlineStr">
        <is>
          <t>No</t>
        </is>
      </c>
      <c r="N1449" s="18" t="inlineStr"/>
      <c r="O1449" s="18" t="inlineStr"/>
      <c r="P1449" s="18" t="inlineStr"/>
      <c r="Q1449" s="18" t="inlineStr">
        <is>
          <t>Código fuente (verificado)</t>
        </is>
      </c>
      <c r="R1449" s="18" t="inlineStr">
        <is>
          <t>Sede donde se realiza la auditoría.</t>
        </is>
      </c>
      <c r="S1449" s="18" t="inlineStr">
        <is>
          <t>Media</t>
        </is>
      </c>
      <c r="T1449" s="18" t="inlineStr">
        <is>
          <t>db/init/005_control_interno_ddl_20260129_215540.sql:1211-1230: varchar(255) sin restricción | sin entidad ni uso en el código del servicio</t>
        </is>
      </c>
      <c r="U1449" s="18" t="inlineStr">
        <is>
          <t>¿sede se toma de un catálogo de sedes o es texto libre? La tabla no tiene entidad en el código.</t>
        </is>
      </c>
      <c r="V1449" s="19" t="inlineStr">
        <is>
          <t>Aprobada</t>
        </is>
      </c>
      <c r="W1449" s="19" t="inlineStr"/>
      <c r="X1449" s="19" t="inlineStr">
        <is>
          <t>Aldair González (validación del responsable de BD)</t>
        </is>
      </c>
      <c r="Y1449" s="20" t="n">
        <v>46321</v>
      </c>
      <c r="Z1449" s="19" t="inlineStr">
        <is>
          <t>Nivel 3: validada por decisión del responsable de la base de datos. Pregunta registrada para desarrollo: ¿sede se toma de un catálogo de sedes o es texto libre? La tabla no tiene entidad en el código.</t>
        </is>
      </c>
      <c r="AA1449" s="18">
        <f>IF(OR(V1449="Aprobada"),R1449,IF(AND(OR(V1449="Aprobada con ajuste",V1449="Rechazada"),W1449&lt;&gt;""),W1449,""))</f>
        <v/>
      </c>
    </row>
    <row r="1450">
      <c r="A1450" s="18" t="inlineStr">
        <is>
          <t>C1449</t>
        </is>
      </c>
      <c r="B1450" s="18" t="inlineStr">
        <is>
          <t>Control interno</t>
        </is>
      </c>
      <c r="C1450" s="18" t="inlineStr">
        <is>
          <t>control_interno</t>
        </is>
      </c>
      <c r="D1450" s="18" t="inlineStr">
        <is>
          <t>auditoria_gestion</t>
        </is>
      </c>
      <c r="E1450" s="18" t="n">
        <v>0</v>
      </c>
      <c r="F1450" s="18" t="inlineStr">
        <is>
          <t>responsable</t>
        </is>
      </c>
      <c r="G1450" s="18" t="inlineStr">
        <is>
          <t>character varying(255)</t>
        </is>
      </c>
      <c r="H1450" s="18" t="inlineStr">
        <is>
          <t>No</t>
        </is>
      </c>
      <c r="I1450" s="18" t="inlineStr"/>
      <c r="J1450" s="18" t="inlineStr"/>
      <c r="K1450" s="18" t="inlineStr"/>
      <c r="L1450" s="18" t="inlineStr">
        <is>
          <t>No</t>
        </is>
      </c>
      <c r="M1450" s="18" t="inlineStr">
        <is>
          <t>No</t>
        </is>
      </c>
      <c r="N1450" s="18" t="inlineStr"/>
      <c r="O1450" s="18" t="inlineStr"/>
      <c r="P1450" s="18" t="inlineStr"/>
      <c r="Q1450" s="18" t="inlineStr">
        <is>
          <t>Código fuente (verificado)</t>
        </is>
      </c>
      <c r="R1450" s="18" t="inlineStr">
        <is>
          <t>Responsable de la auditoría.</t>
        </is>
      </c>
      <c r="S1450" s="18" t="inlineStr">
        <is>
          <t>Media</t>
        </is>
      </c>
      <c r="T1450" s="18" t="inlineStr">
        <is>
          <t>db/init/005_control_interno_ddl_20260129_215540.sql:1211-1230: varchar(255) NOT NULL | sin entidad ni uso en el código del servicio</t>
        </is>
      </c>
      <c r="U1450" s="18" t="inlineStr">
        <is>
          <t>¿responsable guarda el nombre, el correo o el identificador del usuario? La tabla no tiene entidad en el código.</t>
        </is>
      </c>
      <c r="V1450" s="19" t="inlineStr">
        <is>
          <t>Aprobada</t>
        </is>
      </c>
      <c r="W1450" s="19" t="inlineStr"/>
      <c r="X1450" s="19" t="inlineStr">
        <is>
          <t>Aldair González (validación del responsable de BD)</t>
        </is>
      </c>
      <c r="Y1450" s="20" t="n">
        <v>46321</v>
      </c>
      <c r="Z1450" s="19" t="inlineStr">
        <is>
          <t>Nivel 3: validada por decisión del responsable de la base de datos. Pregunta registrada para desarrollo: ¿responsable guarda el nombre, el correo o el identificador del usuario? La tabla no tiene entidad en el código.</t>
        </is>
      </c>
      <c r="AA1450" s="18">
        <f>IF(OR(V1450="Aprobada"),R1450,IF(AND(OR(V1450="Aprobada con ajuste",V1450="Rechazada"),W1450&lt;&gt;""),W1450,""))</f>
        <v/>
      </c>
    </row>
    <row r="1451">
      <c r="A1451" s="18" t="inlineStr">
        <is>
          <t>C1450</t>
        </is>
      </c>
      <c r="B1451" s="18" t="inlineStr">
        <is>
          <t>Control interno</t>
        </is>
      </c>
      <c r="C1451" s="18" t="inlineStr">
        <is>
          <t>control_interno</t>
        </is>
      </c>
      <c r="D1451" s="18" t="inlineStr">
        <is>
          <t>auditoria_gestion</t>
        </is>
      </c>
      <c r="E1451" s="18" t="n">
        <v>0</v>
      </c>
      <c r="F1451" s="18" t="inlineStr">
        <is>
          <t>fecha_inicio</t>
        </is>
      </c>
      <c r="G1451" s="18" t="inlineStr">
        <is>
          <t>date</t>
        </is>
      </c>
      <c r="H1451" s="18" t="inlineStr">
        <is>
          <t>No</t>
        </is>
      </c>
      <c r="I1451" s="18" t="inlineStr"/>
      <c r="J1451" s="18" t="inlineStr"/>
      <c r="K1451" s="18" t="inlineStr"/>
      <c r="L1451" s="18" t="inlineStr">
        <is>
          <t>No</t>
        </is>
      </c>
      <c r="M1451" s="18" t="inlineStr">
        <is>
          <t>No</t>
        </is>
      </c>
      <c r="N1451" s="18" t="inlineStr"/>
      <c r="O1451" s="18" t="inlineStr"/>
      <c r="P1451" s="18" t="inlineStr"/>
      <c r="Q1451" s="18" t="inlineStr">
        <is>
          <t>Regla estructural (redacción revisada)</t>
        </is>
      </c>
      <c r="R1451" s="18" t="inlineStr">
        <is>
          <t>Fecha de inicio de la auditoría.</t>
        </is>
      </c>
      <c r="S1451" s="18" t="inlineStr">
        <is>
          <t>Alta</t>
        </is>
      </c>
      <c r="T1451" s="18" t="inlineStr">
        <is>
          <t>Convención de nombre, redactada con el contexto de la tabla y el código.</t>
        </is>
      </c>
      <c r="U1451" s="18" t="inlineStr"/>
      <c r="V1451" s="19" t="inlineStr">
        <is>
          <t>Aprobada</t>
        </is>
      </c>
      <c r="W1451" s="19" t="inlineStr"/>
      <c r="X1451" s="19" t="inlineStr">
        <is>
          <t>Aldair González (aprobación en bloque)</t>
        </is>
      </c>
      <c r="Y1451" s="20" t="n">
        <v>46321</v>
      </c>
      <c r="Z1451" s="19" t="inlineStr">
        <is>
          <t>Nivel 2: regla estructural con redacción revisada.</t>
        </is>
      </c>
      <c r="AA1451" s="18">
        <f>IF(OR(V1451="Aprobada"),R1451,IF(AND(OR(V1451="Aprobada con ajuste",V1451="Rechazada"),W1451&lt;&gt;""),W1451,""))</f>
        <v/>
      </c>
    </row>
    <row r="1452">
      <c r="A1452" s="18" t="inlineStr">
        <is>
          <t>C1451</t>
        </is>
      </c>
      <c r="B1452" s="18" t="inlineStr">
        <is>
          <t>Control interno</t>
        </is>
      </c>
      <c r="C1452" s="18" t="inlineStr">
        <is>
          <t>control_interno</t>
        </is>
      </c>
      <c r="D1452" s="18" t="inlineStr">
        <is>
          <t>auditoria_gestion</t>
        </is>
      </c>
      <c r="E1452" s="18" t="n">
        <v>0</v>
      </c>
      <c r="F1452" s="18" t="inlineStr">
        <is>
          <t>fecha_fin</t>
        </is>
      </c>
      <c r="G1452" s="18" t="inlineStr">
        <is>
          <t>date</t>
        </is>
      </c>
      <c r="H1452" s="18" t="inlineStr">
        <is>
          <t>No</t>
        </is>
      </c>
      <c r="I1452" s="18" t="inlineStr"/>
      <c r="J1452" s="18" t="inlineStr"/>
      <c r="K1452" s="18" t="inlineStr"/>
      <c r="L1452" s="18" t="inlineStr">
        <is>
          <t>No</t>
        </is>
      </c>
      <c r="M1452" s="18" t="inlineStr">
        <is>
          <t>No</t>
        </is>
      </c>
      <c r="N1452" s="18" t="inlineStr"/>
      <c r="O1452" s="18" t="inlineStr"/>
      <c r="P1452" s="18" t="inlineStr"/>
      <c r="Q1452" s="18" t="inlineStr">
        <is>
          <t>Regla estructural (redacción revisada)</t>
        </is>
      </c>
      <c r="R1452" s="18" t="inlineStr">
        <is>
          <t>Fecha de finalización de la auditoría.</t>
        </is>
      </c>
      <c r="S1452" s="18" t="inlineStr">
        <is>
          <t>Alta</t>
        </is>
      </c>
      <c r="T1452" s="18" t="inlineStr">
        <is>
          <t>Convención de nombre, redactada con el contexto de la tabla y el código.</t>
        </is>
      </c>
      <c r="U1452" s="18" t="inlineStr"/>
      <c r="V1452" s="19" t="inlineStr">
        <is>
          <t>Aprobada</t>
        </is>
      </c>
      <c r="W1452" s="19" t="inlineStr"/>
      <c r="X1452" s="19" t="inlineStr">
        <is>
          <t>Aldair González (aprobación en bloque)</t>
        </is>
      </c>
      <c r="Y1452" s="20" t="n">
        <v>46321</v>
      </c>
      <c r="Z1452" s="19" t="inlineStr">
        <is>
          <t>Nivel 2: regla estructural con redacción revisada.</t>
        </is>
      </c>
      <c r="AA1452" s="18">
        <f>IF(OR(V1452="Aprobada"),R1452,IF(AND(OR(V1452="Aprobada con ajuste",V1452="Rechazada"),W1452&lt;&gt;""),W1452,""))</f>
        <v/>
      </c>
    </row>
    <row r="1453">
      <c r="A1453" s="18" t="inlineStr">
        <is>
          <t>C1452</t>
        </is>
      </c>
      <c r="B1453" s="18" t="inlineStr">
        <is>
          <t>Control interno</t>
        </is>
      </c>
      <c r="C1453" s="18" t="inlineStr">
        <is>
          <t>control_interno</t>
        </is>
      </c>
      <c r="D1453" s="18" t="inlineStr">
        <is>
          <t>auditoria_gestion</t>
        </is>
      </c>
      <c r="E1453" s="18" t="n">
        <v>0</v>
      </c>
      <c r="F1453" s="18" t="inlineStr">
        <is>
          <t>progreso</t>
        </is>
      </c>
      <c r="G1453" s="18" t="inlineStr">
        <is>
          <t>integer</t>
        </is>
      </c>
      <c r="H1453" s="18" t="inlineStr">
        <is>
          <t>Sí</t>
        </is>
      </c>
      <c r="I1453" s="18" t="inlineStr">
        <is>
          <t>CHECK</t>
        </is>
      </c>
      <c r="J1453" s="18" t="inlineStr"/>
      <c r="K1453" s="18" t="inlineStr"/>
      <c r="L1453" s="18" t="inlineStr">
        <is>
          <t>No</t>
        </is>
      </c>
      <c r="M1453" s="18" t="inlineStr">
        <is>
          <t>No</t>
        </is>
      </c>
      <c r="N1453" s="18" t="inlineStr"/>
      <c r="O1453" s="18" t="inlineStr"/>
      <c r="P1453" s="18" t="inlineStr"/>
      <c r="Q1453" s="18" t="inlineStr">
        <is>
          <t>Código fuente (verificado)</t>
        </is>
      </c>
      <c r="R1453" s="18" t="inlineStr">
        <is>
          <t>Porcentaje de progreso de la auditoría, de 0 a 100. Por defecto 0.</t>
        </is>
      </c>
      <c r="S1453" s="18" t="inlineStr">
        <is>
          <t>Alta</t>
        </is>
      </c>
      <c r="T1453" s="18" t="inlineStr">
        <is>
          <t>db/init/005_control_interno_ddl_20260129_215540.sql:1222: integer DEFAULT 0 | db/init/005_control_interno_ddl_20260129_215540.sql:1230: CHECK progreso entre 0 y 100</t>
        </is>
      </c>
      <c r="U1453" s="18" t="inlineStr"/>
      <c r="V1453" s="19" t="inlineStr">
        <is>
          <t>Aprobada</t>
        </is>
      </c>
      <c r="W1453" s="19" t="inlineStr"/>
      <c r="X1453" s="19" t="inlineStr">
        <is>
          <t>Aldair González (aprobación en bloque)</t>
        </is>
      </c>
      <c r="Y1453" s="20" t="n">
        <v>46321</v>
      </c>
      <c r="Z1453" s="19" t="inlineStr">
        <is>
          <t>Nivel 3: verificada con el código de la aplicación.</t>
        </is>
      </c>
      <c r="AA1453" s="18">
        <f>IF(OR(V1453="Aprobada"),R1453,IF(AND(OR(V1453="Aprobada con ajuste",V1453="Rechazada"),W1453&lt;&gt;""),W1453,""))</f>
        <v/>
      </c>
    </row>
    <row r="1454">
      <c r="A1454" s="18" t="inlineStr">
        <is>
          <t>C1453</t>
        </is>
      </c>
      <c r="B1454" s="18" t="inlineStr">
        <is>
          <t>Control interno</t>
        </is>
      </c>
      <c r="C1454" s="18" t="inlineStr">
        <is>
          <t>control_interno</t>
        </is>
      </c>
      <c r="D1454" s="18" t="inlineStr">
        <is>
          <t>auditoria_gestion</t>
        </is>
      </c>
      <c r="E1454" s="18" t="n">
        <v>0</v>
      </c>
      <c r="F1454" s="18" t="inlineStr">
        <is>
          <t>prioridad</t>
        </is>
      </c>
      <c r="G1454" s="18" t="inlineStr">
        <is>
          <t>character varying(20)</t>
        </is>
      </c>
      <c r="H1454" s="18" t="inlineStr">
        <is>
          <t>No</t>
        </is>
      </c>
      <c r="I1454" s="18" t="inlineStr">
        <is>
          <t>CHECK</t>
        </is>
      </c>
      <c r="J1454" s="18" t="inlineStr">
        <is>
          <t>Alta, Baja, Media</t>
        </is>
      </c>
      <c r="K1454" s="18" t="inlineStr"/>
      <c r="L1454" s="18" t="inlineStr">
        <is>
          <t>Sí</t>
        </is>
      </c>
      <c r="M1454" s="18" t="inlineStr">
        <is>
          <t>No</t>
        </is>
      </c>
      <c r="N1454" s="18" t="inlineStr"/>
      <c r="O1454" s="18" t="inlineStr"/>
      <c r="P1454" s="18" t="inlineStr"/>
      <c r="Q1454" s="18" t="inlineStr">
        <is>
          <t>Propuesta semántica</t>
        </is>
      </c>
      <c r="R1454" s="18" t="inlineStr">
        <is>
          <t>Prioridad de la auditoría. Valores permitidos: Alta, Media, Baja; por defecto Media.</t>
        </is>
      </c>
      <c r="S1454" s="18" t="inlineStr">
        <is>
          <t>Alta</t>
        </is>
      </c>
      <c r="T1454" s="18" t="inlineStr">
        <is>
          <t>valores permitidos del CHECK + defecto ~</t>
        </is>
      </c>
      <c r="U1454" s="18" t="inlineStr"/>
      <c r="V1454" s="19" t="inlineStr">
        <is>
          <t>Aprobada</t>
        </is>
      </c>
      <c r="W1454" s="19" t="inlineStr"/>
      <c r="X1454" s="19" t="inlineStr">
        <is>
          <t>Aldair González (aprobación en bloque)</t>
        </is>
      </c>
      <c r="Y1454" s="20" t="n">
        <v>46321</v>
      </c>
      <c r="Z1454" s="19" t="inlineStr">
        <is>
          <t>Nivel 1: propuesta del comentario del desarrollador o de confianza alta, o regla de fecha/responsable/motivo.</t>
        </is>
      </c>
      <c r="AA1454" s="18">
        <f>IF(OR(V1454="Aprobada"),R1454,IF(AND(OR(V1454="Aprobada con ajuste",V1454="Rechazada"),W1454&lt;&gt;""),W1454,""))</f>
        <v/>
      </c>
    </row>
    <row r="1455">
      <c r="A1455" s="18" t="inlineStr">
        <is>
          <t>C1454</t>
        </is>
      </c>
      <c r="B1455" s="18" t="inlineStr">
        <is>
          <t>Control interno</t>
        </is>
      </c>
      <c r="C1455" s="18" t="inlineStr">
        <is>
          <t>control_interno</t>
        </is>
      </c>
      <c r="D1455" s="18" t="inlineStr">
        <is>
          <t>auditoria_gestion</t>
        </is>
      </c>
      <c r="E1455" s="18" t="n">
        <v>0</v>
      </c>
      <c r="F1455" s="18" t="inlineStr">
        <is>
          <t>hallazgos_count</t>
        </is>
      </c>
      <c r="G1455" s="18" t="inlineStr">
        <is>
          <t>integer</t>
        </is>
      </c>
      <c r="H1455" s="18" t="inlineStr">
        <is>
          <t>Sí</t>
        </is>
      </c>
      <c r="I1455" s="18" t="inlineStr"/>
      <c r="J1455" s="18" t="inlineStr"/>
      <c r="K1455" s="18" t="inlineStr"/>
      <c r="L1455" s="18" t="inlineStr">
        <is>
          <t>No</t>
        </is>
      </c>
      <c r="M1455" s="18" t="inlineStr">
        <is>
          <t>No</t>
        </is>
      </c>
      <c r="N1455" s="18" t="inlineStr"/>
      <c r="O1455" s="18" t="inlineStr"/>
      <c r="P1455" s="18" t="inlineStr"/>
      <c r="Q1455" s="18" t="inlineStr">
        <is>
          <t>Código fuente (verificado)</t>
        </is>
      </c>
      <c r="R1455" s="18" t="inlineStr">
        <is>
          <t>Número de hallazgos registrados en la auditoría. Por defecto 0.</t>
        </is>
      </c>
      <c r="S1455" s="18" t="inlineStr">
        <is>
          <t>Media</t>
        </is>
      </c>
      <c r="T1455" s="18" t="inlineStr">
        <is>
          <t>db/init/005_control_interno_ddl_20260129_215540.sql:1224: integer DEFAULT 0, sin trigger asociado | sin entidad ni uso en el código del servicio</t>
        </is>
      </c>
      <c r="U1455" s="18" t="inlineStr">
        <is>
          <t>¿hallazgos_count se actualiza automáticamente o a mano? No hay entidad, trigger ni servicio que lo actualice.</t>
        </is>
      </c>
      <c r="V1455" s="19" t="inlineStr">
        <is>
          <t>Aprobada</t>
        </is>
      </c>
      <c r="W1455" s="19" t="inlineStr"/>
      <c r="X1455" s="19" t="inlineStr">
        <is>
          <t>Aldair González (validación del responsable de BD)</t>
        </is>
      </c>
      <c r="Y1455" s="20" t="n">
        <v>46321</v>
      </c>
      <c r="Z1455" s="19" t="inlineStr">
        <is>
          <t>Nivel 3: validada por decisión del responsable de la base de datos. Pregunta registrada para desarrollo: ¿hallazgos_count se actualiza automáticamente o a mano? No hay entidad, trigger ni servicio que lo actualice.</t>
        </is>
      </c>
      <c r="AA1455" s="18">
        <f>IF(OR(V1455="Aprobada"),R1455,IF(AND(OR(V1455="Aprobada con ajuste",V1455="Rechazada"),W1455&lt;&gt;""),W1455,""))</f>
        <v/>
      </c>
    </row>
    <row r="1456">
      <c r="A1456" s="18" t="inlineStr">
        <is>
          <t>C1455</t>
        </is>
      </c>
      <c r="B1456" s="18" t="inlineStr">
        <is>
          <t>Control interno</t>
        </is>
      </c>
      <c r="C1456" s="18" t="inlineStr">
        <is>
          <t>control_interno</t>
        </is>
      </c>
      <c r="D1456" s="18" t="inlineStr">
        <is>
          <t>auditoria_programada</t>
        </is>
      </c>
      <c r="E1456" s="18" t="n">
        <v>0</v>
      </c>
      <c r="F1456" s="18" t="inlineStr">
        <is>
          <t>codigo</t>
        </is>
      </c>
      <c r="G1456" s="18" t="inlineStr">
        <is>
          <t>character varying(255)</t>
        </is>
      </c>
      <c r="H1456" s="18" t="inlineStr">
        <is>
          <t>No</t>
        </is>
      </c>
      <c r="I1456" s="18" t="inlineStr">
        <is>
          <t>Única</t>
        </is>
      </c>
      <c r="J1456" s="18" t="inlineStr"/>
      <c r="K1456" s="18" t="inlineStr"/>
      <c r="L1456" s="18" t="inlineStr">
        <is>
          <t>No</t>
        </is>
      </c>
      <c r="M1456" s="18" t="inlineStr">
        <is>
          <t>No</t>
        </is>
      </c>
      <c r="N1456" s="18" t="inlineStr"/>
      <c r="O1456" s="18" t="inlineStr">
        <is>
          <t>auditoria_programada_codigo_key</t>
        </is>
      </c>
      <c r="P1456" s="18" t="inlineStr">
        <is>
          <t>Mapeada en internal-institutional-control-service/src/esap/programa-anual/entities/auditoria-programada.entity.ts:49 (AuditoriaProgramada.codigo) | Validación: IsNotEmpty, IsOptional, IsString, Length(1, 50), MaxLength(80)</t>
        </is>
      </c>
      <c r="Q1456" s="18" t="inlineStr">
        <is>
          <t>Regla estructural (redacción revisada)</t>
        </is>
      </c>
      <c r="R1456" s="18" t="inlineStr">
        <is>
          <t>Código de la auditoría programada. Único en la tabla.</t>
        </is>
      </c>
      <c r="S1456" s="18" t="inlineStr">
        <is>
          <t>Alta</t>
        </is>
      </c>
      <c r="T1456" s="18" t="inlineStr">
        <is>
          <t>Convención de nombre, redactada con el contexto de la tabla y el código.</t>
        </is>
      </c>
      <c r="U1456" s="18" t="inlineStr"/>
      <c r="V1456" s="19" t="inlineStr">
        <is>
          <t>Aprobada</t>
        </is>
      </c>
      <c r="W1456" s="19" t="inlineStr"/>
      <c r="X1456" s="19" t="inlineStr">
        <is>
          <t>Aldair González (aprobación en bloque)</t>
        </is>
      </c>
      <c r="Y1456" s="20" t="n">
        <v>46321</v>
      </c>
      <c r="Z1456" s="19" t="inlineStr">
        <is>
          <t>Nivel 2: regla estructural con redacción revisada.</t>
        </is>
      </c>
      <c r="AA1456" s="18">
        <f>IF(OR(V1456="Aprobada"),R1456,IF(AND(OR(V1456="Aprobada con ajuste",V1456="Rechazada"),W1456&lt;&gt;""),W1456,""))</f>
        <v/>
      </c>
    </row>
    <row r="1457">
      <c r="A1457" s="18" t="inlineStr">
        <is>
          <t>C1456</t>
        </is>
      </c>
      <c r="B1457" s="18" t="inlineStr">
        <is>
          <t>Control interno</t>
        </is>
      </c>
      <c r="C1457" s="18" t="inlineStr">
        <is>
          <t>control_interno</t>
        </is>
      </c>
      <c r="D1457" s="18" t="inlineStr">
        <is>
          <t>auditoria_programada</t>
        </is>
      </c>
      <c r="E1457" s="18" t="n">
        <v>0</v>
      </c>
      <c r="F1457" s="18" t="inlineStr">
        <is>
          <t>nombre</t>
        </is>
      </c>
      <c r="G1457" s="18" t="inlineStr">
        <is>
          <t>character varying(255)</t>
        </is>
      </c>
      <c r="H1457" s="18" t="inlineStr">
        <is>
          <t>No</t>
        </is>
      </c>
      <c r="I1457" s="18" t="inlineStr"/>
      <c r="J1457" s="18" t="inlineStr"/>
      <c r="K1457" s="18" t="inlineStr"/>
      <c r="L1457" s="18" t="inlineStr">
        <is>
          <t>No</t>
        </is>
      </c>
      <c r="M1457" s="18" t="inlineStr">
        <is>
          <t>No</t>
        </is>
      </c>
      <c r="N1457" s="18" t="inlineStr"/>
      <c r="O1457" s="18" t="inlineStr"/>
      <c r="P1457" s="18" t="inlineStr">
        <is>
          <t>Mapeada en internal-institutional-control-service/src/esap/programa-anual/entities/auditoria-programada.entity.ts:52 (AuditoriaProgramada.nombre) | Validación: IsNotEmpty, IsNotEmpty({ message: 'El nombre del documento es obligatorio' }), IsOptional, IsString, Length(1, 500), MaxLength(120)</t>
        </is>
      </c>
      <c r="Q1457" s="18" t="inlineStr">
        <is>
          <t>Regla estructural (redacción revisada)</t>
        </is>
      </c>
      <c r="R1457" s="18" t="inlineStr">
        <is>
          <t>Nombre de la auditoría programada.</t>
        </is>
      </c>
      <c r="S1457" s="18" t="inlineStr">
        <is>
          <t>Alta</t>
        </is>
      </c>
      <c r="T1457" s="18" t="inlineStr">
        <is>
          <t>Convención de nombre, redactada con el contexto de la tabla y el código.</t>
        </is>
      </c>
      <c r="U1457" s="18" t="inlineStr"/>
      <c r="V1457" s="19" t="inlineStr">
        <is>
          <t>Aprobada</t>
        </is>
      </c>
      <c r="W1457" s="19" t="inlineStr"/>
      <c r="X1457" s="19" t="inlineStr">
        <is>
          <t>Aldair González (aprobación en bloque)</t>
        </is>
      </c>
      <c r="Y1457" s="20" t="n">
        <v>46321</v>
      </c>
      <c r="Z1457" s="19" t="inlineStr">
        <is>
          <t>Nivel 2: regla estructural con redacción revisada.</t>
        </is>
      </c>
      <c r="AA1457" s="18">
        <f>IF(OR(V1457="Aprobada"),R1457,IF(AND(OR(V1457="Aprobada con ajuste",V1457="Rechazada"),W1457&lt;&gt;""),W1457,""))</f>
        <v/>
      </c>
    </row>
    <row r="1458">
      <c r="A1458" s="18" t="inlineStr">
        <is>
          <t>C1457</t>
        </is>
      </c>
      <c r="B1458" s="18" t="inlineStr">
        <is>
          <t>Control interno</t>
        </is>
      </c>
      <c r="C1458" s="18" t="inlineStr">
        <is>
          <t>control_interno</t>
        </is>
      </c>
      <c r="D1458" s="18" t="inlineStr">
        <is>
          <t>auditoria_programada</t>
        </is>
      </c>
      <c r="E1458" s="18" t="n">
        <v>0</v>
      </c>
      <c r="F1458" s="18" t="inlineStr">
        <is>
          <t>proceso_codigo</t>
        </is>
      </c>
      <c r="G1458" s="18" t="inlineStr">
        <is>
          <t>character varying(255)</t>
        </is>
      </c>
      <c r="H1458" s="18" t="inlineStr">
        <is>
          <t>No</t>
        </is>
      </c>
      <c r="I1458" s="18" t="inlineStr"/>
      <c r="J1458" s="18" t="inlineStr"/>
      <c r="K1458" s="18" t="inlineStr"/>
      <c r="L1458" s="18" t="inlineStr">
        <is>
          <t>No</t>
        </is>
      </c>
      <c r="M1458" s="18" t="inlineStr">
        <is>
          <t>No</t>
        </is>
      </c>
      <c r="N1458" s="18" t="inlineStr"/>
      <c r="O1458" s="18" t="inlineStr"/>
      <c r="P1458" s="18" t="inlineStr">
        <is>
          <t>Mapeada en internal-institutional-control-service/src/esap/programa-anual/entities/auditoria-programada.entity.ts:62 (AuditoriaProgramada.procesoCodigo) | Validación: IsNotEmpty, IsString</t>
        </is>
      </c>
      <c r="Q1458" s="18" t="inlineStr">
        <is>
          <t>Código fuente (verificado)</t>
        </is>
      </c>
      <c r="R1458" s="18" t="inlineStr">
        <is>
          <t>Código del proceso que se audita, copiado del proceso auditable referido por proceso_id al importar la auditoría al programa anual.</t>
        </is>
      </c>
      <c r="S1458" s="18" t="inlineStr">
        <is>
          <t>Alta</t>
        </is>
      </c>
      <c r="T1458" s="18" t="inlineStr">
        <is>
          <t>backend/internal-institutional-control-service/src/esap/programa-anual/programa-anual.service.ts:197: procesoCodigo = proceso.codigo | backend/internal-institutional-control-service/src/esap/programa-anual/entities/auditoria-programada.entity.ts:55-62: proceso_id referencia ProcesoAuditable</t>
        </is>
      </c>
      <c r="U1458" s="18" t="inlineStr"/>
      <c r="V1458" s="19" t="inlineStr">
        <is>
          <t>Aprobada</t>
        </is>
      </c>
      <c r="W1458" s="19" t="inlineStr"/>
      <c r="X1458" s="19" t="inlineStr">
        <is>
          <t>Aldair González (aprobación en bloque)</t>
        </is>
      </c>
      <c r="Y1458" s="20" t="n">
        <v>46321</v>
      </c>
      <c r="Z1458" s="19" t="inlineStr">
        <is>
          <t>Nivel 3: verificada con el código de la aplicación.</t>
        </is>
      </c>
      <c r="AA1458" s="18">
        <f>IF(OR(V1458="Aprobada"),R1458,IF(AND(OR(V1458="Aprobada con ajuste",V1458="Rechazada"),W1458&lt;&gt;""),W1458,""))</f>
        <v/>
      </c>
    </row>
    <row r="1459">
      <c r="A1459" s="18" t="inlineStr">
        <is>
          <t>C1458</t>
        </is>
      </c>
      <c r="B1459" s="18" t="inlineStr">
        <is>
          <t>Control interno</t>
        </is>
      </c>
      <c r="C1459" s="18" t="inlineStr">
        <is>
          <t>control_interno</t>
        </is>
      </c>
      <c r="D1459" s="18" t="inlineStr">
        <is>
          <t>auditoria_programada</t>
        </is>
      </c>
      <c r="E1459" s="18" t="n">
        <v>0</v>
      </c>
      <c r="F1459" s="18" t="inlineStr">
        <is>
          <t>proceso_nombre</t>
        </is>
      </c>
      <c r="G1459" s="18" t="inlineStr">
        <is>
          <t>character varying(255)</t>
        </is>
      </c>
      <c r="H1459" s="18" t="inlineStr">
        <is>
          <t>No</t>
        </is>
      </c>
      <c r="I1459" s="18" t="inlineStr"/>
      <c r="J1459" s="18" t="inlineStr"/>
      <c r="K1459" s="18" t="inlineStr"/>
      <c r="L1459" s="18" t="inlineStr">
        <is>
          <t>No</t>
        </is>
      </c>
      <c r="M1459" s="18" t="inlineStr">
        <is>
          <t>No</t>
        </is>
      </c>
      <c r="N1459" s="18" t="inlineStr"/>
      <c r="O1459" s="18" t="inlineStr"/>
      <c r="P1459" s="18" t="inlineStr">
        <is>
          <t>Mapeada en internal-institutional-control-service/src/esap/programa-anual/entities/auditoria-programada.entity.ts:65 (AuditoriaProgramada.procesoNombre) | Validación: IsNotEmpty, IsString</t>
        </is>
      </c>
      <c r="Q1459" s="18" t="inlineStr">
        <is>
          <t>Código fuente (verificado)</t>
        </is>
      </c>
      <c r="R1459" s="18" t="inlineStr">
        <is>
          <t>Nombre del proceso que se audita, copiado del proceso auditable referido por proceso_id al importar la auditoría al programa anual.</t>
        </is>
      </c>
      <c r="S1459" s="18" t="inlineStr">
        <is>
          <t>Alta</t>
        </is>
      </c>
      <c r="T1459" s="18" t="inlineStr">
        <is>
          <t>backend/internal-institutional-control-service/src/esap/programa-anual/programa-anual.service.ts:198: procesoNombre = proceso.nombre</t>
        </is>
      </c>
      <c r="U1459" s="18" t="inlineStr"/>
      <c r="V1459" s="19" t="inlineStr">
        <is>
          <t>Aprobada</t>
        </is>
      </c>
      <c r="W1459" s="19" t="inlineStr"/>
      <c r="X1459" s="19" t="inlineStr">
        <is>
          <t>Aldair González (aprobación en bloque)</t>
        </is>
      </c>
      <c r="Y1459" s="20" t="n">
        <v>46321</v>
      </c>
      <c r="Z1459" s="19" t="inlineStr">
        <is>
          <t>Nivel 3: verificada con el código de la aplicación.</t>
        </is>
      </c>
      <c r="AA1459" s="18">
        <f>IF(OR(V1459="Aprobada"),R1459,IF(AND(OR(V1459="Aprobada con ajuste",V1459="Rechazada"),W1459&lt;&gt;""),W1459,""))</f>
        <v/>
      </c>
    </row>
    <row r="1460">
      <c r="A1460" s="18" t="inlineStr">
        <is>
          <t>C1459</t>
        </is>
      </c>
      <c r="B1460" s="18" t="inlineStr">
        <is>
          <t>Control interno</t>
        </is>
      </c>
      <c r="C1460" s="18" t="inlineStr">
        <is>
          <t>control_interno</t>
        </is>
      </c>
      <c r="D1460" s="18" t="inlineStr">
        <is>
          <t>auditoria_programada</t>
        </is>
      </c>
      <c r="E1460" s="18" t="n">
        <v>0</v>
      </c>
      <c r="F1460" s="18" t="inlineStr">
        <is>
          <t>tipo</t>
        </is>
      </c>
      <c r="G1460" s="18" t="inlineStr">
        <is>
          <t>character varying(50)</t>
        </is>
      </c>
      <c r="H1460" s="18" t="inlineStr">
        <is>
          <t>No</t>
        </is>
      </c>
      <c r="I1460" s="18" t="inlineStr">
        <is>
          <t>CHECK</t>
        </is>
      </c>
      <c r="J1460" s="18" t="inlineStr">
        <is>
          <t>cumplimiento, desempeno, financiera, gestion, tic</t>
        </is>
      </c>
      <c r="K1460" s="18" t="inlineStr"/>
      <c r="L1460" s="18" t="inlineStr">
        <is>
          <t>Sí</t>
        </is>
      </c>
      <c r="M1460" s="18" t="inlineStr">
        <is>
          <t>No</t>
        </is>
      </c>
      <c r="N1460" s="18" t="inlineStr"/>
      <c r="O1460" s="18" t="inlineStr">
        <is>
          <t>idx_auditoria_programada_tipo</t>
        </is>
      </c>
      <c r="P1460" s="18" t="inlineStr">
        <is>
          <t>Mapeada en internal-institutional-control-service/src/esap/programa-anual/entities/auditoria-programada.entity.ts:68 (AuditoriaProgramada.tipo) | Validación: IsEnum(AccionCorrectivaTipo), IsEnum(TipoAuditoriaProgramada), IsEnum(TipoEventoTimeline), IsEnum(TipoTablero), IsEnum(['cumplimiento', 'eficiencia', 'eficacia', 'economia']), IsEnum(['plan-auditoria', 'plan-mejora', 'informe', 'documento'])</t>
        </is>
      </c>
      <c r="Q1460" s="18" t="inlineStr">
        <is>
          <t>Regla estructural (redacción revisada)</t>
        </is>
      </c>
      <c r="R1460" s="18" t="inlineStr">
        <is>
          <t>Tipo de auditoría programada (cumplimiento, desempeño, financiera, gestión o TIC).</t>
        </is>
      </c>
      <c r="S1460" s="18" t="inlineStr">
        <is>
          <t>Alta</t>
        </is>
      </c>
      <c r="T1460" s="18" t="inlineStr">
        <is>
          <t>Convención de nombre, redactada con el contexto de la tabla y el código.</t>
        </is>
      </c>
      <c r="U1460" s="18" t="inlineStr"/>
      <c r="V1460" s="19" t="inlineStr">
        <is>
          <t>Aprobada</t>
        </is>
      </c>
      <c r="W1460" s="19" t="inlineStr"/>
      <c r="X1460" s="19" t="inlineStr">
        <is>
          <t>Aldair González (aprobación en bloque)</t>
        </is>
      </c>
      <c r="Y1460" s="20" t="n">
        <v>46321</v>
      </c>
      <c r="Z1460" s="19" t="inlineStr">
        <is>
          <t>Nivel 2: regla estructural con redacción revisada.</t>
        </is>
      </c>
      <c r="AA1460" s="18">
        <f>IF(OR(V1460="Aprobada"),R1460,IF(AND(OR(V1460="Aprobada con ajuste",V1460="Rechazada"),W1460&lt;&gt;""),W1460,""))</f>
        <v/>
      </c>
    </row>
    <row r="1461">
      <c r="A1461" s="18" t="inlineStr">
        <is>
          <t>C1460</t>
        </is>
      </c>
      <c r="B1461" s="18" t="inlineStr">
        <is>
          <t>Control interno</t>
        </is>
      </c>
      <c r="C1461" s="18" t="inlineStr">
        <is>
          <t>control_interno</t>
        </is>
      </c>
      <c r="D1461" s="18" t="inlineStr">
        <is>
          <t>auditoria_programada</t>
        </is>
      </c>
      <c r="E1461" s="18" t="n">
        <v>0</v>
      </c>
      <c r="F1461" s="18" t="inlineStr">
        <is>
          <t>alcance</t>
        </is>
      </c>
      <c r="G1461" s="18" t="inlineStr">
        <is>
          <t>text</t>
        </is>
      </c>
      <c r="H1461" s="18" t="inlineStr">
        <is>
          <t>No</t>
        </is>
      </c>
      <c r="I1461" s="18" t="inlineStr"/>
      <c r="J1461" s="18" t="inlineStr"/>
      <c r="K1461" s="18" t="inlineStr"/>
      <c r="L1461" s="18" t="inlineStr">
        <is>
          <t>No</t>
        </is>
      </c>
      <c r="M1461" s="18" t="inlineStr">
        <is>
          <t>No</t>
        </is>
      </c>
      <c r="N1461" s="18" t="inlineStr"/>
      <c r="O1461" s="18" t="inlineStr"/>
      <c r="P1461" s="18" t="inlineStr">
        <is>
          <t>Mapeada en internal-institutional-control-service/src/esap/programa-anual/entities/auditoria-programada.entity.ts:75 (AuditoriaProgramada.alcance) | Validación: IsNotEmpty, IsOptional, IsString</t>
        </is>
      </c>
      <c r="Q1461" s="18" t="inlineStr">
        <is>
          <t>Propuesta semántica</t>
        </is>
      </c>
      <c r="R1461" s="18" t="inlineStr">
        <is>
          <t>Alcance de la auditoría programada.</t>
        </is>
      </c>
      <c r="S1461" s="18" t="inlineStr">
        <is>
          <t>Alta</t>
        </is>
      </c>
      <c r="T1461" s="18" t="inlineStr">
        <is>
          <t>nombre + tipo ~</t>
        </is>
      </c>
      <c r="U1461" s="18" t="inlineStr"/>
      <c r="V1461" s="19" t="inlineStr">
        <is>
          <t>Aprobada</t>
        </is>
      </c>
      <c r="W1461" s="19" t="inlineStr"/>
      <c r="X1461" s="19" t="inlineStr">
        <is>
          <t>Aldair González (aprobación en bloque)</t>
        </is>
      </c>
      <c r="Y1461" s="20" t="n">
        <v>46321</v>
      </c>
      <c r="Z1461" s="19" t="inlineStr">
        <is>
          <t>Nivel 1: propuesta del comentario del desarrollador o de confianza alta, o regla de fecha/responsable/motivo.</t>
        </is>
      </c>
      <c r="AA1461" s="18">
        <f>IF(OR(V1461="Aprobada"),R1461,IF(AND(OR(V1461="Aprobada con ajuste",V1461="Rechazada"),W1461&lt;&gt;""),W1461,""))</f>
        <v/>
      </c>
    </row>
    <row r="1462">
      <c r="A1462" s="18" t="inlineStr">
        <is>
          <t>C1461</t>
        </is>
      </c>
      <c r="B1462" s="18" t="inlineStr">
        <is>
          <t>Control interno</t>
        </is>
      </c>
      <c r="C1462" s="18" t="inlineStr">
        <is>
          <t>control_interno</t>
        </is>
      </c>
      <c r="D1462" s="18" t="inlineStr">
        <is>
          <t>auditoria_programada</t>
        </is>
      </c>
      <c r="E1462" s="18" t="n">
        <v>0</v>
      </c>
      <c r="F1462" s="18" t="inlineStr">
        <is>
          <t>proceso_auditar</t>
        </is>
      </c>
      <c r="G1462" s="18" t="inlineStr">
        <is>
          <t>character varying(255)</t>
        </is>
      </c>
      <c r="H1462" s="18" t="inlineStr">
        <is>
          <t>No</t>
        </is>
      </c>
      <c r="I1462" s="18" t="inlineStr"/>
      <c r="J1462" s="18" t="inlineStr"/>
      <c r="K1462" s="18" t="inlineStr"/>
      <c r="L1462" s="18" t="inlineStr">
        <is>
          <t>No</t>
        </is>
      </c>
      <c r="M1462" s="18" t="inlineStr">
        <is>
          <t>No</t>
        </is>
      </c>
      <c r="N1462" s="18" t="inlineStr"/>
      <c r="O1462" s="18" t="inlineStr"/>
      <c r="P1462" s="18" t="inlineStr">
        <is>
          <t>Mapeada en internal-institutional-control-service/src/esap/programa-anual/entities/auditoria-programada.entity.ts:78 (AuditoriaProgramada.procesoAuditar) | Validación: IsNotEmpty, IsOptional, IsString</t>
        </is>
      </c>
      <c r="Q1462" s="18" t="inlineStr">
        <is>
          <t>Código fuente (verificado)</t>
        </is>
      </c>
      <c r="R1462" s="18" t="inlineStr">
        <is>
          <t>Proceso o tema que se va a auditar; al importar la auditoría desde el universo se llena con el nombre del proceso.</t>
        </is>
      </c>
      <c r="S1462" s="18" t="inlineStr">
        <is>
          <t>Media</t>
        </is>
      </c>
      <c r="T1462" s="18" t="inlineStr">
        <is>
          <t>backend/internal-institutional-control-service/src/esap/programa-anual/programa-anual.service.ts:201: procesoAuditar = proceso.nombre | backend/internal-institutional-control-service/src/esap/programa-anual/dto/create-auditoria-programada.dto.ts:58-60: IsString, IsNotEmpty</t>
        </is>
      </c>
      <c r="U1462" s="18" t="inlineStr">
        <is>
          <t>¿En qué se diferencia proceso_auditar de proceso_nombre si al importar ambos toman el nombre del proceso?</t>
        </is>
      </c>
      <c r="V1462" s="19" t="inlineStr">
        <is>
          <t>Aprobada</t>
        </is>
      </c>
      <c r="W1462" s="19" t="inlineStr"/>
      <c r="X1462" s="19" t="inlineStr">
        <is>
          <t>Aldair González (validación del responsable de BD)</t>
        </is>
      </c>
      <c r="Y1462" s="20" t="n">
        <v>46321</v>
      </c>
      <c r="Z1462" s="19" t="inlineStr">
        <is>
          <t>Nivel 3: validada por decisión del responsable de la base de datos. Pregunta registrada para desarrollo: ¿En qué se diferencia proceso_auditar de proceso_nombre si al importar ambos toman el nombre del proceso?</t>
        </is>
      </c>
      <c r="AA1462" s="18">
        <f>IF(OR(V1462="Aprobada"),R1462,IF(AND(OR(V1462="Aprobada con ajuste",V1462="Rechazada"),W1462&lt;&gt;""),W1462,""))</f>
        <v/>
      </c>
    </row>
    <row r="1463">
      <c r="A1463" s="18" t="inlineStr">
        <is>
          <t>C1462</t>
        </is>
      </c>
      <c r="B1463" s="18" t="inlineStr">
        <is>
          <t>Control interno</t>
        </is>
      </c>
      <c r="C1463" s="18" t="inlineStr">
        <is>
          <t>control_interno</t>
        </is>
      </c>
      <c r="D1463" s="18" t="inlineStr">
        <is>
          <t>auditoria_programada</t>
        </is>
      </c>
      <c r="E1463" s="18" t="n">
        <v>0</v>
      </c>
      <c r="F1463" s="18" t="inlineStr">
        <is>
          <t>auditor_lider</t>
        </is>
      </c>
      <c r="G1463" s="18" t="inlineStr">
        <is>
          <t>character varying(255)</t>
        </is>
      </c>
      <c r="H1463" s="18" t="inlineStr">
        <is>
          <t>No</t>
        </is>
      </c>
      <c r="I1463" s="18" t="inlineStr"/>
      <c r="J1463" s="18" t="inlineStr"/>
      <c r="K1463" s="18" t="inlineStr"/>
      <c r="L1463" s="18" t="inlineStr">
        <is>
          <t>No</t>
        </is>
      </c>
      <c r="M1463" s="18" t="inlineStr">
        <is>
          <t>No</t>
        </is>
      </c>
      <c r="N1463" s="18" t="inlineStr"/>
      <c r="O1463" s="18" t="inlineStr"/>
      <c r="P1463" s="18" t="inlineStr">
        <is>
          <t>Mapeada en internal-institutional-control-service/src/esap/programa-anual/entities/auditoria-programada.entity.ts:81 (AuditoriaProgramada.auditorLider) | Validación: IsNotEmpty, IsString</t>
        </is>
      </c>
      <c r="Q1463" s="18" t="inlineStr">
        <is>
          <t>Código fuente (verificado)</t>
        </is>
      </c>
      <c r="R1463" s="18" t="inlineStr">
        <is>
          <t>Auditor líder asignado a la auditoría programada, registrado como texto; queda vacío al importar la auditoría.</t>
        </is>
      </c>
      <c r="S1463" s="18" t="inlineStr">
        <is>
          <t>Media</t>
        </is>
      </c>
      <c r="T1463" s="18" t="inlineStr">
        <is>
          <t>backend/internal-institutional-control-service/src/esap/programa-anual/programa-anual.service.ts:202: auditorLider = '' | backend/internal-institutional-control-service/src/esap/programa-anual/dto/create-auditoria-programada.dto.ts:62-64: IsString</t>
        </is>
      </c>
      <c r="U1463" s="18" t="inlineStr">
        <is>
          <t>¿auditor_lider guarda el nombre, el correo o el identificador del auditor?</t>
        </is>
      </c>
      <c r="V1463" s="19" t="inlineStr">
        <is>
          <t>Aprobada</t>
        </is>
      </c>
      <c r="W1463" s="19" t="inlineStr"/>
      <c r="X1463" s="19" t="inlineStr">
        <is>
          <t>Aldair González (validación del responsable de BD)</t>
        </is>
      </c>
      <c r="Y1463" s="20" t="n">
        <v>46321</v>
      </c>
      <c r="Z1463" s="19" t="inlineStr">
        <is>
          <t>Nivel 3: validada por decisión del responsable de la base de datos. Pregunta registrada para desarrollo: ¿auditor_lider guarda el nombre, el correo o el identificador del auditor?</t>
        </is>
      </c>
      <c r="AA1463" s="18">
        <f>IF(OR(V1463="Aprobada"),R1463,IF(AND(OR(V1463="Aprobada con ajuste",V1463="Rechazada"),W1463&lt;&gt;""),W1463,""))</f>
        <v/>
      </c>
    </row>
    <row r="1464">
      <c r="A1464" s="18" t="inlineStr">
        <is>
          <t>C1463</t>
        </is>
      </c>
      <c r="B1464" s="18" t="inlineStr">
        <is>
          <t>Control interno</t>
        </is>
      </c>
      <c r="C1464" s="18" t="inlineStr">
        <is>
          <t>control_interno</t>
        </is>
      </c>
      <c r="D1464" s="18" t="inlineStr">
        <is>
          <t>auditoria_programada</t>
        </is>
      </c>
      <c r="E1464" s="18" t="n">
        <v>0</v>
      </c>
      <c r="F1464" s="18" t="inlineStr">
        <is>
          <t>equipo_auditor</t>
        </is>
      </c>
      <c r="G1464" s="18" t="inlineStr">
        <is>
          <t>jsonb</t>
        </is>
      </c>
      <c r="H1464" s="18" t="inlineStr">
        <is>
          <t>No</t>
        </is>
      </c>
      <c r="I1464" s="18" t="inlineStr"/>
      <c r="J1464" s="18" t="inlineStr"/>
      <c r="K1464" s="18" t="inlineStr"/>
      <c r="L1464" s="18" t="inlineStr">
        <is>
          <t>No</t>
        </is>
      </c>
      <c r="M1464" s="18" t="inlineStr">
        <is>
          <t>No</t>
        </is>
      </c>
      <c r="N1464" s="18" t="inlineStr"/>
      <c r="O1464" s="18" t="inlineStr"/>
      <c r="P1464" s="18" t="inlineStr">
        <is>
          <t>Mapeada en internal-institutional-control-service/src/esap/programa-anual/entities/auditoria-programada.entity.ts:84 (AuditoriaProgramada.equipoAuditor) | Validación: IsObject, IsOptional</t>
        </is>
      </c>
      <c r="Q1464" s="18" t="inlineStr">
        <is>
          <t>Código fuente (verificado)</t>
        </is>
      </c>
      <c r="R1464" s="18" t="inlineStr">
        <is>
          <t>Integrantes del equipo auditor, en formato JSON: objeto con las listas auditores, profesionalesEspecializados, profesionalesUniversitarios y tecnicos. Al importar la auditoría las listas quedan vacías.</t>
        </is>
      </c>
      <c r="S1464" s="18" t="inlineStr">
        <is>
          <t>Alta</t>
        </is>
      </c>
      <c r="T1464" s="18" t="inlineStr">
        <is>
          <t>backend/internal-institutional-control-service/src/esap/programa-anual/entities/auditoria-programada.entity.ts:84-90: estructura del JSON | backend/internal-institutional-control-service/src/esap/programa-anual/programa-anual.service.ts:203-208: listas vacías al importar</t>
        </is>
      </c>
      <c r="U1464" s="18" t="inlineStr"/>
      <c r="V1464" s="19" t="inlineStr">
        <is>
          <t>Aprobada</t>
        </is>
      </c>
      <c r="W1464" s="19" t="inlineStr"/>
      <c r="X1464" s="19" t="inlineStr">
        <is>
          <t>Aldair González (aprobación en bloque)</t>
        </is>
      </c>
      <c r="Y1464" s="20" t="n">
        <v>46321</v>
      </c>
      <c r="Z1464" s="19" t="inlineStr">
        <is>
          <t>Nivel 3: verificada con el código de la aplicación.</t>
        </is>
      </c>
      <c r="AA1464" s="18">
        <f>IF(OR(V1464="Aprobada"),R1464,IF(AND(OR(V1464="Aprobada con ajuste",V1464="Rechazada"),W1464&lt;&gt;""),W1464,""))</f>
        <v/>
      </c>
    </row>
    <row r="1465">
      <c r="A1465" s="18" t="inlineStr">
        <is>
          <t>C1464</t>
        </is>
      </c>
      <c r="B1465" s="18" t="inlineStr">
        <is>
          <t>Control interno</t>
        </is>
      </c>
      <c r="C1465" s="18" t="inlineStr">
        <is>
          <t>control_interno</t>
        </is>
      </c>
      <c r="D1465" s="18" t="inlineStr">
        <is>
          <t>auditoria_programada</t>
        </is>
      </c>
      <c r="E1465" s="18" t="n">
        <v>0</v>
      </c>
      <c r="F1465" s="18" t="inlineStr">
        <is>
          <t>fecha_inicio_planeada</t>
        </is>
      </c>
      <c r="G1465" s="18" t="inlineStr">
        <is>
          <t>date</t>
        </is>
      </c>
      <c r="H1465" s="18" t="inlineStr">
        <is>
          <t>No</t>
        </is>
      </c>
      <c r="I1465" s="18" t="inlineStr"/>
      <c r="J1465" s="18" t="inlineStr"/>
      <c r="K1465" s="18" t="inlineStr"/>
      <c r="L1465" s="18" t="inlineStr">
        <is>
          <t>No</t>
        </is>
      </c>
      <c r="M1465" s="18" t="inlineStr">
        <is>
          <t>No</t>
        </is>
      </c>
      <c r="N1465" s="18" t="inlineStr"/>
      <c r="O1465" s="18" t="inlineStr"/>
      <c r="P1465" s="18" t="inlineStr">
        <is>
          <t>Mapeada en internal-institutional-control-service/src/esap/programa-anual/entities/auditoria-programada.entity.ts:92 (AuditoriaProgramada.fechaInicioPlaneada) | Validación: IsDateString</t>
        </is>
      </c>
      <c r="Q1465" s="18" t="inlineStr">
        <is>
          <t>Regla estructural (redacción revisada)</t>
        </is>
      </c>
      <c r="R1465" s="18" t="inlineStr">
        <is>
          <t>Fecha planeada de inicio de la auditoría.</t>
        </is>
      </c>
      <c r="S1465" s="18" t="inlineStr">
        <is>
          <t>Alta</t>
        </is>
      </c>
      <c r="T1465" s="18" t="inlineStr">
        <is>
          <t>Convención de nombre, redactada con el contexto de la tabla y el código.</t>
        </is>
      </c>
      <c r="U1465" s="18" t="inlineStr"/>
      <c r="V1465" s="19" t="inlineStr">
        <is>
          <t>Aprobada</t>
        </is>
      </c>
      <c r="W1465" s="19" t="inlineStr"/>
      <c r="X1465" s="19" t="inlineStr">
        <is>
          <t>Aldair González (aprobación en bloque)</t>
        </is>
      </c>
      <c r="Y1465" s="20" t="n">
        <v>46321</v>
      </c>
      <c r="Z1465" s="19" t="inlineStr">
        <is>
          <t>Nivel 2: regla estructural con redacción revisada.</t>
        </is>
      </c>
      <c r="AA1465" s="18">
        <f>IF(OR(V1465="Aprobada"),R1465,IF(AND(OR(V1465="Aprobada con ajuste",V1465="Rechazada"),W1465&lt;&gt;""),W1465,""))</f>
        <v/>
      </c>
    </row>
    <row r="1466">
      <c r="A1466" s="18" t="inlineStr">
        <is>
          <t>C1465</t>
        </is>
      </c>
      <c r="B1466" s="18" t="inlineStr">
        <is>
          <t>Control interno</t>
        </is>
      </c>
      <c r="C1466" s="18" t="inlineStr">
        <is>
          <t>control_interno</t>
        </is>
      </c>
      <c r="D1466" s="18" t="inlineStr">
        <is>
          <t>auditoria_programada</t>
        </is>
      </c>
      <c r="E1466" s="18" t="n">
        <v>0</v>
      </c>
      <c r="F1466" s="18" t="inlineStr">
        <is>
          <t>fecha_fin_planeada</t>
        </is>
      </c>
      <c r="G1466" s="18" t="inlineStr">
        <is>
          <t>date</t>
        </is>
      </c>
      <c r="H1466" s="18" t="inlineStr">
        <is>
          <t>No</t>
        </is>
      </c>
      <c r="I1466" s="18" t="inlineStr"/>
      <c r="J1466" s="18" t="inlineStr"/>
      <c r="K1466" s="18" t="inlineStr"/>
      <c r="L1466" s="18" t="inlineStr">
        <is>
          <t>No</t>
        </is>
      </c>
      <c r="M1466" s="18" t="inlineStr">
        <is>
          <t>No</t>
        </is>
      </c>
      <c r="N1466" s="18" t="inlineStr"/>
      <c r="O1466" s="18" t="inlineStr"/>
      <c r="P1466" s="18" t="inlineStr">
        <is>
          <t>Mapeada en internal-institutional-control-service/src/esap/programa-anual/entities/auditoria-programada.entity.ts:95 (AuditoriaProgramada.fechaFinPlaneada) | Validación: IsDateString</t>
        </is>
      </c>
      <c r="Q1466" s="18" t="inlineStr">
        <is>
          <t>Regla estructural (redacción revisada)</t>
        </is>
      </c>
      <c r="R1466" s="18" t="inlineStr">
        <is>
          <t>Fecha planeada de finalización de la auditoría.</t>
        </is>
      </c>
      <c r="S1466" s="18" t="inlineStr">
        <is>
          <t>Alta</t>
        </is>
      </c>
      <c r="T1466" s="18" t="inlineStr">
        <is>
          <t>Convención de nombre, redactada con el contexto de la tabla y el código.</t>
        </is>
      </c>
      <c r="U1466" s="18" t="inlineStr"/>
      <c r="V1466" s="19" t="inlineStr">
        <is>
          <t>Aprobada</t>
        </is>
      </c>
      <c r="W1466" s="19" t="inlineStr"/>
      <c r="X1466" s="19" t="inlineStr">
        <is>
          <t>Aldair González (aprobación en bloque)</t>
        </is>
      </c>
      <c r="Y1466" s="20" t="n">
        <v>46321</v>
      </c>
      <c r="Z1466" s="19" t="inlineStr">
        <is>
          <t>Nivel 2: regla estructural con redacción revisada.</t>
        </is>
      </c>
      <c r="AA1466" s="18">
        <f>IF(OR(V1466="Aprobada"),R1466,IF(AND(OR(V1466="Aprobada con ajuste",V1466="Rechazada"),W1466&lt;&gt;""),W1466,""))</f>
        <v/>
      </c>
    </row>
    <row r="1467">
      <c r="A1467" s="18" t="inlineStr">
        <is>
          <t>C1466</t>
        </is>
      </c>
      <c r="B1467" s="18" t="inlineStr">
        <is>
          <t>Control interno</t>
        </is>
      </c>
      <c r="C1467" s="18" t="inlineStr">
        <is>
          <t>control_interno</t>
        </is>
      </c>
      <c r="D1467" s="18" t="inlineStr">
        <is>
          <t>auditoria_programada</t>
        </is>
      </c>
      <c r="E1467" s="18" t="n">
        <v>0</v>
      </c>
      <c r="F1467" s="18" t="inlineStr">
        <is>
          <t>duracion_dias</t>
        </is>
      </c>
      <c r="G1467" s="18" t="inlineStr">
        <is>
          <t>integer</t>
        </is>
      </c>
      <c r="H1467" s="18" t="inlineStr">
        <is>
          <t>No</t>
        </is>
      </c>
      <c r="I1467" s="18" t="inlineStr"/>
      <c r="J1467" s="18" t="inlineStr"/>
      <c r="K1467" s="18" t="inlineStr"/>
      <c r="L1467" s="18" t="inlineStr">
        <is>
          <t>No</t>
        </is>
      </c>
      <c r="M1467" s="18" t="inlineStr">
        <is>
          <t>No</t>
        </is>
      </c>
      <c r="N1467" s="18" t="inlineStr"/>
      <c r="O1467" s="18" t="inlineStr"/>
      <c r="P1467" s="18" t="inlineStr">
        <is>
          <t>Mapeada en internal-institutional-control-service/src/esap/programa-anual/entities/auditoria-programada.entity.ts:98 (AuditoriaProgramada.duracionDias) | Validación: IsInt, Min(1)</t>
        </is>
      </c>
      <c r="Q1467" s="18" t="inlineStr">
        <is>
          <t>Código fuente (verificado)</t>
        </is>
      </c>
      <c r="R1467" s="18" t="inlineStr">
        <is>
          <t>Duración planeada de la auditoría en días calendario (mínimo 1): suma de las duraciones de planeación, ejecución y comunicación; se actualiza al ampliar el plazo.</t>
        </is>
      </c>
      <c r="S1467" s="18" t="inlineStr">
        <is>
          <t>Alta</t>
        </is>
      </c>
      <c r="T1467" s="18" t="inlineStr">
        <is>
          <t>backend/internal-institutional-control-service/src/esap/programa-anual/programa-anual.service.ts:183-191: fechas con setDate (días calendario) | backend/internal-institutional-control-service/src/esap/programa-anual/programa-anual.service.ts:211: suma de etapas | backend/internal-institutional-control-service/src/esap/programa-anual/programa-anual.service.ts:334: nueva duración al ampliar</t>
        </is>
      </c>
      <c r="U1467" s="18" t="inlineStr"/>
      <c r="V1467" s="19" t="inlineStr">
        <is>
          <t>Aprobada</t>
        </is>
      </c>
      <c r="W1467" s="19" t="inlineStr"/>
      <c r="X1467" s="19" t="inlineStr">
        <is>
          <t>Aldair González (aprobación en bloque)</t>
        </is>
      </c>
      <c r="Y1467" s="20" t="n">
        <v>46321</v>
      </c>
      <c r="Z1467" s="19" t="inlineStr">
        <is>
          <t>Nivel 3: verificada con el código de la aplicación.</t>
        </is>
      </c>
      <c r="AA1467" s="18">
        <f>IF(OR(V1467="Aprobada"),R1467,IF(AND(OR(V1467="Aprobada con ajuste",V1467="Rechazada"),W1467&lt;&gt;""),W1467,""))</f>
        <v/>
      </c>
    </row>
    <row r="1468">
      <c r="A1468" s="18" t="inlineStr">
        <is>
          <t>C1467</t>
        </is>
      </c>
      <c r="B1468" s="18" t="inlineStr">
        <is>
          <t>Control interno</t>
        </is>
      </c>
      <c r="C1468" s="18" t="inlineStr">
        <is>
          <t>control_interno</t>
        </is>
      </c>
      <c r="D1468" s="18" t="inlineStr">
        <is>
          <t>auditoria_programada</t>
        </is>
      </c>
      <c r="E1468" s="18" t="n">
        <v>0</v>
      </c>
      <c r="F1468" s="18" t="inlineStr">
        <is>
          <t>prioridad</t>
        </is>
      </c>
      <c r="G1468" s="18" t="inlineStr">
        <is>
          <t>character varying(20)</t>
        </is>
      </c>
      <c r="H1468" s="18" t="inlineStr">
        <is>
          <t>No</t>
        </is>
      </c>
      <c r="I1468" s="18" t="inlineStr">
        <is>
          <t>CHECK</t>
        </is>
      </c>
      <c r="J1468" s="18" t="inlineStr">
        <is>
          <t>alta, baja, media</t>
        </is>
      </c>
      <c r="K1468" s="18" t="inlineStr"/>
      <c r="L1468" s="18" t="inlineStr">
        <is>
          <t>Sí</t>
        </is>
      </c>
      <c r="M1468" s="18" t="inlineStr">
        <is>
          <t>No</t>
        </is>
      </c>
      <c r="N1468" s="18" t="inlineStr"/>
      <c r="O1468" s="18" t="inlineStr"/>
      <c r="P1468" s="18" t="inlineStr">
        <is>
          <t>Mapeada en internal-institutional-control-service/src/esap/programa-anual/entities/auditoria-programada.entity.ts:101 (AuditoriaProgramada.prioridad) | Validación: IsEnum(PrioridadAuditoria), IsEnum(PrioridadAuditoriaProgramada), IsEnum(PrioridadNotificacion), IsEnum(PrioridadTarea), IsEnum(['Alta', 'Media', 'Baja']), IsInt</t>
        </is>
      </c>
      <c r="Q1468" s="18" t="inlineStr">
        <is>
          <t>Propuesta semántica</t>
        </is>
      </c>
      <c r="R1468" s="18" t="inlineStr">
        <is>
          <t>Prioridad de la auditoría programada. Valores permitidos: alta, media, baja.</t>
        </is>
      </c>
      <c r="S1468" s="18" t="inlineStr">
        <is>
          <t>Alta</t>
        </is>
      </c>
      <c r="T1468" s="18" t="inlineStr">
        <is>
          <t>valores permitidos del CHECK ~</t>
        </is>
      </c>
      <c r="U1468" s="18" t="inlineStr"/>
      <c r="V1468" s="19" t="inlineStr">
        <is>
          <t>Aprobada</t>
        </is>
      </c>
      <c r="W1468" s="19" t="inlineStr"/>
      <c r="X1468" s="19" t="inlineStr">
        <is>
          <t>Aldair González (aprobación en bloque)</t>
        </is>
      </c>
      <c r="Y1468" s="20" t="n">
        <v>46321</v>
      </c>
      <c r="Z1468" s="19" t="inlineStr">
        <is>
          <t>Nivel 1: propuesta del comentario del desarrollador o de confianza alta, o regla de fecha/responsable/motivo.</t>
        </is>
      </c>
      <c r="AA1468" s="18">
        <f>IF(OR(V1468="Aprobada"),R1468,IF(AND(OR(V1468="Aprobada con ajuste",V1468="Rechazada"),W1468&lt;&gt;""),W1468,""))</f>
        <v/>
      </c>
    </row>
    <row r="1469">
      <c r="A1469" s="18" t="inlineStr">
        <is>
          <t>C1468</t>
        </is>
      </c>
      <c r="B1469" s="18" t="inlineStr">
        <is>
          <t>Control interno</t>
        </is>
      </c>
      <c r="C1469" s="18" t="inlineStr">
        <is>
          <t>control_interno</t>
        </is>
      </c>
      <c r="D1469" s="18" t="inlineStr">
        <is>
          <t>auditoria_programada</t>
        </is>
      </c>
      <c r="E1469" s="18" t="n">
        <v>0</v>
      </c>
      <c r="F1469" s="18" t="inlineStr">
        <is>
          <t>riesgo_inherente</t>
        </is>
      </c>
      <c r="G1469" s="18" t="inlineStr">
        <is>
          <t>character varying(20)</t>
        </is>
      </c>
      <c r="H1469" s="18" t="inlineStr">
        <is>
          <t>No</t>
        </is>
      </c>
      <c r="I1469" s="18" t="inlineStr">
        <is>
          <t>CHECK</t>
        </is>
      </c>
      <c r="J1469" s="18" t="inlineStr">
        <is>
          <t>alto, bajo, medio</t>
        </is>
      </c>
      <c r="K1469" s="18" t="inlineStr"/>
      <c r="L1469" s="18" t="inlineStr">
        <is>
          <t>Sí</t>
        </is>
      </c>
      <c r="M1469" s="18" t="inlineStr">
        <is>
          <t>No</t>
        </is>
      </c>
      <c r="N1469" s="18" t="inlineStr"/>
      <c r="O1469" s="18" t="inlineStr"/>
      <c r="P1469" s="18" t="inlineStr">
        <is>
          <t>Mapeada en internal-institutional-control-service/src/esap/programa-anual/entities/auditoria-programada.entity.ts:108 (AuditoriaProgramada.riesgoInherente) | Validación: IsEnum(NivelRiesgo), IsNumber, IsOptional</t>
        </is>
      </c>
      <c r="Q1469" s="18" t="inlineStr">
        <is>
          <t>Propuesta semántica</t>
        </is>
      </c>
      <c r="R1469" s="18" t="inlineStr">
        <is>
          <t>Nivel de riesgo inherente del proceso auditado. Valores permitidos: alto, medio, bajo.</t>
        </is>
      </c>
      <c r="S1469" s="18" t="inlineStr">
        <is>
          <t>Alta</t>
        </is>
      </c>
      <c r="T1469" s="18" t="inlineStr">
        <is>
          <t>valores permitidos del CHECK ~</t>
        </is>
      </c>
      <c r="U1469" s="18" t="inlineStr"/>
      <c r="V1469" s="19" t="inlineStr">
        <is>
          <t>Aprobada</t>
        </is>
      </c>
      <c r="W1469" s="19" t="inlineStr"/>
      <c r="X1469" s="19" t="inlineStr">
        <is>
          <t>Aldair González (aprobación en bloque)</t>
        </is>
      </c>
      <c r="Y1469" s="20" t="n">
        <v>46321</v>
      </c>
      <c r="Z1469" s="19" t="inlineStr">
        <is>
          <t>Nivel 1: propuesta del comentario del desarrollador o de confianza alta, o regla de fecha/responsable/motivo.</t>
        </is>
      </c>
      <c r="AA1469" s="18">
        <f>IF(OR(V1469="Aprobada"),R1469,IF(AND(OR(V1469="Aprobada con ajuste",V1469="Rechazada"),W1469&lt;&gt;""),W1469,""))</f>
        <v/>
      </c>
    </row>
    <row r="1470">
      <c r="A1470" s="18" t="inlineStr">
        <is>
          <t>C1469</t>
        </is>
      </c>
      <c r="B1470" s="18" t="inlineStr">
        <is>
          <t>Control interno</t>
        </is>
      </c>
      <c r="C1470" s="18" t="inlineStr">
        <is>
          <t>control_interno</t>
        </is>
      </c>
      <c r="D1470" s="18" t="inlineStr">
        <is>
          <t>auditoria_programada</t>
        </is>
      </c>
      <c r="E1470" s="18" t="n">
        <v>0</v>
      </c>
      <c r="F1470" s="18" t="inlineStr">
        <is>
          <t>estado</t>
        </is>
      </c>
      <c r="G1470" s="18" t="inlineStr">
        <is>
          <t>character varying(50)</t>
        </is>
      </c>
      <c r="H1470" s="18" t="inlineStr">
        <is>
          <t>No</t>
        </is>
      </c>
      <c r="I1470" s="18" t="inlineStr">
        <is>
          <t>CHECK</t>
        </is>
      </c>
      <c r="J1470" s="18" t="inlineStr">
        <is>
          <t>cancelada, completada, en_curso, planeada</t>
        </is>
      </c>
      <c r="K1470" s="18" t="inlineStr"/>
      <c r="L1470" s="18" t="inlineStr">
        <is>
          <t>Sí</t>
        </is>
      </c>
      <c r="M1470" s="18" t="inlineStr">
        <is>
          <t>No</t>
        </is>
      </c>
      <c r="N1470" s="18" t="inlineStr"/>
      <c r="O1470" s="18" t="inlineStr">
        <is>
          <t>idx_auditoria_programada_estado</t>
        </is>
      </c>
      <c r="P1470" s="18" t="inlineStr">
        <is>
          <t>Mapeada en internal-institutional-control-service/src/esap/programa-anual/entities/auditoria-programada.entity.ts:116 (AuditoriaProgramada.estado) | Validación: IsEnum(AccionCorrectivaEstado), IsEnum(EstadoEtapa), IsEnum(EstadoPlanIndividual), IsEnum(EstadoTarea), IsEnum(HallazgoEstado), IsEnum(PlanMejoramientoEstado)</t>
        </is>
      </c>
      <c r="Q1470" s="18" t="inlineStr">
        <is>
          <t>Regla estructural (redacción revisada)</t>
        </is>
      </c>
      <c r="R1470" s="18" t="inlineStr">
        <is>
          <t>Estado de la auditoría programada (planeada, en curso, completada o cancelada).</t>
        </is>
      </c>
      <c r="S1470" s="18" t="inlineStr">
        <is>
          <t>Alta</t>
        </is>
      </c>
      <c r="T1470" s="18" t="inlineStr">
        <is>
          <t>Convención de nombre, redactada con el contexto de la tabla y el código.</t>
        </is>
      </c>
      <c r="U1470" s="18" t="inlineStr"/>
      <c r="V1470" s="19" t="inlineStr">
        <is>
          <t>Aprobada</t>
        </is>
      </c>
      <c r="W1470" s="19" t="inlineStr"/>
      <c r="X1470" s="19" t="inlineStr">
        <is>
          <t>Aldair González (aprobación en bloque)</t>
        </is>
      </c>
      <c r="Y1470" s="20" t="n">
        <v>46321</v>
      </c>
      <c r="Z1470" s="19" t="inlineStr">
        <is>
          <t>Nivel 2: regla estructural con redacción revisada.</t>
        </is>
      </c>
      <c r="AA1470" s="18">
        <f>IF(OR(V1470="Aprobada"),R1470,IF(AND(OR(V1470="Aprobada con ajuste",V1470="Rechazada"),W1470&lt;&gt;""),W1470,""))</f>
        <v/>
      </c>
    </row>
    <row r="1471">
      <c r="A1471" s="18" t="inlineStr">
        <is>
          <t>C1470</t>
        </is>
      </c>
      <c r="B1471" s="18" t="inlineStr">
        <is>
          <t>Control interno</t>
        </is>
      </c>
      <c r="C1471" s="18" t="inlineStr">
        <is>
          <t>control_interno</t>
        </is>
      </c>
      <c r="D1471" s="18" t="inlineStr">
        <is>
          <t>auditoria_programada</t>
        </is>
      </c>
      <c r="E1471" s="18" t="n">
        <v>0</v>
      </c>
      <c r="F1471" s="18" t="inlineStr">
        <is>
          <t>es_territorial</t>
        </is>
      </c>
      <c r="G1471" s="18" t="inlineStr">
        <is>
          <t>boolean</t>
        </is>
      </c>
      <c r="H1471" s="18" t="inlineStr">
        <is>
          <t>Sí</t>
        </is>
      </c>
      <c r="I1471" s="18" t="inlineStr"/>
      <c r="J1471" s="18" t="inlineStr"/>
      <c r="K1471" s="18" t="inlineStr"/>
      <c r="L1471" s="18" t="inlineStr">
        <is>
          <t>No</t>
        </is>
      </c>
      <c r="M1471" s="18" t="inlineStr">
        <is>
          <t>No</t>
        </is>
      </c>
      <c r="N1471" s="18" t="inlineStr"/>
      <c r="O1471" s="18" t="inlineStr"/>
      <c r="P1471" s="18" t="inlineStr">
        <is>
          <t>Mapeada en internal-institutional-control-service/src/esap/programa-anual/entities/auditoria-programada.entity.ts:124 (AuditoriaProgramada.esTerritorial) | Validación: IsBoolean, IsOptional</t>
        </is>
      </c>
      <c r="Q1471" s="18" t="inlineStr">
        <is>
          <t>Regla estructural (redacción revisada)</t>
        </is>
      </c>
      <c r="R1471" s="18" t="inlineStr">
        <is>
          <t>Indica si la auditoría programada es territorial.</t>
        </is>
      </c>
      <c r="S1471" s="18" t="inlineStr">
        <is>
          <t>Alta</t>
        </is>
      </c>
      <c r="T1471" s="18" t="inlineStr">
        <is>
          <t>Convención de nombre, redactada con el contexto de la tabla y el código.</t>
        </is>
      </c>
      <c r="U1471" s="18" t="inlineStr"/>
      <c r="V1471" s="19" t="inlineStr">
        <is>
          <t>Aprobada</t>
        </is>
      </c>
      <c r="W1471" s="19" t="inlineStr"/>
      <c r="X1471" s="19" t="inlineStr">
        <is>
          <t>Aldair González (aprobación en bloque)</t>
        </is>
      </c>
      <c r="Y1471" s="20" t="n">
        <v>46321</v>
      </c>
      <c r="Z1471" s="19" t="inlineStr">
        <is>
          <t>Nivel 2: regla estructural con redacción revisada.</t>
        </is>
      </c>
      <c r="AA1471" s="18">
        <f>IF(OR(V1471="Aprobada"),R1471,IF(AND(OR(V1471="Aprobada con ajuste",V1471="Rechazada"),W1471&lt;&gt;""),W1471,""))</f>
        <v/>
      </c>
    </row>
    <row r="1472">
      <c r="A1472" s="18" t="inlineStr">
        <is>
          <t>C1471</t>
        </is>
      </c>
      <c r="B1472" s="18" t="inlineStr">
        <is>
          <t>Control interno</t>
        </is>
      </c>
      <c r="C1472" s="18" t="inlineStr">
        <is>
          <t>control_interno</t>
        </is>
      </c>
      <c r="D1472" s="18" t="inlineStr">
        <is>
          <t>auditoria_programada</t>
        </is>
      </c>
      <c r="E1472" s="18" t="n">
        <v>0</v>
      </c>
      <c r="F1472" s="18" t="inlineStr">
        <is>
          <t>territorial</t>
        </is>
      </c>
      <c r="G1472" s="18" t="inlineStr">
        <is>
          <t>character varying(255)</t>
        </is>
      </c>
      <c r="H1472" s="18" t="inlineStr">
        <is>
          <t>Sí</t>
        </is>
      </c>
      <c r="I1472" s="18" t="inlineStr"/>
      <c r="J1472" s="18" t="inlineStr"/>
      <c r="K1472" s="18" t="inlineStr"/>
      <c r="L1472" s="18" t="inlineStr">
        <is>
          <t>No</t>
        </is>
      </c>
      <c r="M1472" s="18" t="inlineStr">
        <is>
          <t>No</t>
        </is>
      </c>
      <c r="N1472" s="18" t="inlineStr"/>
      <c r="O1472" s="18" t="inlineStr"/>
      <c r="P1472" s="18" t="inlineStr">
        <is>
          <t>Mapeada en internal-institutional-control-service/src/esap/programa-anual/entities/auditoria-programada.entity.ts:127 (AuditoriaProgramada.territorial) | Validación: IsNotEmpty, IsOptional, IsString</t>
        </is>
      </c>
      <c r="Q1472" s="18" t="inlineStr">
        <is>
          <t>Código fuente (verificado)</t>
        </is>
      </c>
      <c r="R1472" s="18" t="inlineStr">
        <is>
          <t>Dirección territorial donde se realiza la auditoría, cuando es territorial; al importarla se copia del proceso auditable.</t>
        </is>
      </c>
      <c r="S1472" s="18" t="inlineStr">
        <is>
          <t>Media</t>
        </is>
      </c>
      <c r="T1472" s="18" t="inlineStr">
        <is>
          <t>backend/internal-institutional-control-service/src/esap/programa-anual/programa-anual.service.ts:216-217: esTerritorial y territorial desde proceso.territorial | backend/internal-institutional-control-service/src/esap/programa-anual/dto/create-auditoria-programada.dto.ts:94-96: IsString, IsOptional</t>
        </is>
      </c>
      <c r="U1472" s="18" t="inlineStr">
        <is>
          <t>¿territorial se toma de un catálogo de direcciones territoriales o es texto libre? El backend no lo valida.</t>
        </is>
      </c>
      <c r="V1472" s="19" t="inlineStr">
        <is>
          <t>Aprobada</t>
        </is>
      </c>
      <c r="W1472" s="19" t="inlineStr"/>
      <c r="X1472" s="19" t="inlineStr">
        <is>
          <t>Aldair González (validación del responsable de BD)</t>
        </is>
      </c>
      <c r="Y1472" s="20" t="n">
        <v>46321</v>
      </c>
      <c r="Z1472" s="19" t="inlineStr">
        <is>
          <t>Nivel 3: validada por decisión del responsable de la base de datos. Pregunta registrada para desarrollo: ¿territorial se toma de un catálogo de direcciones territoriales o es texto libre? El backend no lo valida.</t>
        </is>
      </c>
      <c r="AA1472" s="18">
        <f>IF(OR(V1472="Aprobada"),R1472,IF(AND(OR(V1472="Aprobada con ajuste",V1472="Rechazada"),W1472&lt;&gt;""),W1472,""))</f>
        <v/>
      </c>
    </row>
    <row r="1473">
      <c r="A1473" s="18" t="inlineStr">
        <is>
          <t>C1472</t>
        </is>
      </c>
      <c r="B1473" s="18" t="inlineStr">
        <is>
          <t>Control interno</t>
        </is>
      </c>
      <c r="C1473" s="18" t="inlineStr">
        <is>
          <t>control_interno</t>
        </is>
      </c>
      <c r="D1473" s="18" t="inlineStr">
        <is>
          <t>auditoria_programada</t>
        </is>
      </c>
      <c r="E1473" s="18" t="n">
        <v>0</v>
      </c>
      <c r="F1473" s="18" t="inlineStr">
        <is>
          <t>es_especial</t>
        </is>
      </c>
      <c r="G1473" s="18" t="inlineStr">
        <is>
          <t>boolean</t>
        </is>
      </c>
      <c r="H1473" s="18" t="inlineStr">
        <is>
          <t>Sí</t>
        </is>
      </c>
      <c r="I1473" s="18" t="inlineStr"/>
      <c r="J1473" s="18" t="inlineStr"/>
      <c r="K1473" s="18" t="inlineStr"/>
      <c r="L1473" s="18" t="inlineStr">
        <is>
          <t>No</t>
        </is>
      </c>
      <c r="M1473" s="18" t="inlineStr">
        <is>
          <t>No</t>
        </is>
      </c>
      <c r="N1473" s="18" t="inlineStr"/>
      <c r="O1473" s="18" t="inlineStr"/>
      <c r="P1473" s="18" t="inlineStr">
        <is>
          <t>Mapeada en internal-institutional-control-service/src/esap/programa-anual/entities/auditoria-programada.entity.ts:130 (AuditoriaProgramada.esEspecial) | Validación: IsBoolean, IsOptional</t>
        </is>
      </c>
      <c r="Q1473" s="18" t="inlineStr">
        <is>
          <t>Regla estructural (redacción revisada)</t>
        </is>
      </c>
      <c r="R1473" s="18" t="inlineStr">
        <is>
          <t>Indica si la auditoría programada es especial.</t>
        </is>
      </c>
      <c r="S1473" s="18" t="inlineStr">
        <is>
          <t>Alta</t>
        </is>
      </c>
      <c r="T1473" s="18" t="inlineStr">
        <is>
          <t>Convención de nombre, redactada con el contexto de la tabla y el código.</t>
        </is>
      </c>
      <c r="U1473" s="18" t="inlineStr"/>
      <c r="V1473" s="19" t="inlineStr">
        <is>
          <t>Aprobada</t>
        </is>
      </c>
      <c r="W1473" s="19" t="inlineStr"/>
      <c r="X1473" s="19" t="inlineStr">
        <is>
          <t>Aldair González (aprobación en bloque)</t>
        </is>
      </c>
      <c r="Y1473" s="20" t="n">
        <v>46321</v>
      </c>
      <c r="Z1473" s="19" t="inlineStr">
        <is>
          <t>Nivel 2: regla estructural con redacción revisada.</t>
        </is>
      </c>
      <c r="AA1473" s="18">
        <f>IF(OR(V1473="Aprobada"),R1473,IF(AND(OR(V1473="Aprobada con ajuste",V1473="Rechazada"),W1473&lt;&gt;""),W1473,""))</f>
        <v/>
      </c>
    </row>
    <row r="1474">
      <c r="A1474" s="18" t="inlineStr">
        <is>
          <t>C1473</t>
        </is>
      </c>
      <c r="B1474" s="18" t="inlineStr">
        <is>
          <t>Control interno</t>
        </is>
      </c>
      <c r="C1474" s="18" t="inlineStr">
        <is>
          <t>control_interno</t>
        </is>
      </c>
      <c r="D1474" s="18" t="inlineStr">
        <is>
          <t>auditoria_programada</t>
        </is>
      </c>
      <c r="E1474" s="18" t="n">
        <v>0</v>
      </c>
      <c r="F1474" s="18" t="inlineStr">
        <is>
          <t>solicitada_por</t>
        </is>
      </c>
      <c r="G1474" s="18" t="inlineStr">
        <is>
          <t>character varying(255)</t>
        </is>
      </c>
      <c r="H1474" s="18" t="inlineStr">
        <is>
          <t>Sí</t>
        </is>
      </c>
      <c r="I1474" s="18" t="inlineStr"/>
      <c r="J1474" s="18" t="inlineStr"/>
      <c r="K1474" s="18" t="inlineStr"/>
      <c r="L1474" s="18" t="inlineStr">
        <is>
          <t>No</t>
        </is>
      </c>
      <c r="M1474" s="18" t="inlineStr">
        <is>
          <t>No</t>
        </is>
      </c>
      <c r="N1474" s="18" t="inlineStr"/>
      <c r="O1474" s="18" t="inlineStr"/>
      <c r="P1474" s="18" t="inlineStr">
        <is>
          <t>Mapeada en internal-institutional-control-service/src/esap/programa-anual/entities/auditoria-programada.entity.ts:133 (AuditoriaProgramada.solicitadaPor) | Validación: IsOptional, IsString</t>
        </is>
      </c>
      <c r="Q1474" s="18" t="inlineStr">
        <is>
          <t>Regla estructural</t>
        </is>
      </c>
      <c r="R1474" s="18" t="inlineStr">
        <is>
          <t>Usuario que realizó la solicitud.</t>
        </is>
      </c>
      <c r="S1474" s="18" t="inlineStr">
        <is>
          <t>Media</t>
        </is>
      </c>
      <c r="T1474" s="18" t="inlineStr">
        <is>
          <t>Convención de nombre de la columna.</t>
        </is>
      </c>
      <c r="U1474" s="18" t="inlineStr"/>
      <c r="V1474" s="19" t="inlineStr">
        <is>
          <t>Aprobada</t>
        </is>
      </c>
      <c r="W1474" s="19" t="inlineStr"/>
      <c r="X1474" s="19" t="inlineStr">
        <is>
          <t>Aldair González (aprobación en bloque)</t>
        </is>
      </c>
      <c r="Y1474" s="20" t="n">
        <v>46321</v>
      </c>
      <c r="Z1474" s="19" t="inlineStr">
        <is>
          <t>Nivel 1: propuesta del comentario del desarrollador o de confianza alta, o regla de fecha/responsable/motivo.</t>
        </is>
      </c>
      <c r="AA1474" s="18">
        <f>IF(OR(V1474="Aprobada"),R1474,IF(AND(OR(V1474="Aprobada con ajuste",V1474="Rechazada"),W1474&lt;&gt;""),W1474,""))</f>
        <v/>
      </c>
    </row>
    <row r="1475">
      <c r="A1475" s="18" t="inlineStr">
        <is>
          <t>C1474</t>
        </is>
      </c>
      <c r="B1475" s="18" t="inlineStr">
        <is>
          <t>Control interno</t>
        </is>
      </c>
      <c r="C1475" s="18" t="inlineStr">
        <is>
          <t>control_interno</t>
        </is>
      </c>
      <c r="D1475" s="18" t="inlineStr">
        <is>
          <t>auditoria_programada</t>
        </is>
      </c>
      <c r="E1475" s="18" t="n">
        <v>0</v>
      </c>
      <c r="F1475" s="18" t="inlineStr">
        <is>
          <t>motivo_especial</t>
        </is>
      </c>
      <c r="G1475" s="18" t="inlineStr">
        <is>
          <t>text</t>
        </is>
      </c>
      <c r="H1475" s="18" t="inlineStr">
        <is>
          <t>Sí</t>
        </is>
      </c>
      <c r="I1475" s="18" t="inlineStr"/>
      <c r="J1475" s="18" t="inlineStr"/>
      <c r="K1475" s="18" t="inlineStr"/>
      <c r="L1475" s="18" t="inlineStr">
        <is>
          <t>No</t>
        </is>
      </c>
      <c r="M1475" s="18" t="inlineStr">
        <is>
          <t>No</t>
        </is>
      </c>
      <c r="N1475" s="18" t="inlineStr"/>
      <c r="O1475" s="18" t="inlineStr"/>
      <c r="P1475" s="18" t="inlineStr">
        <is>
          <t>Mapeada en internal-institutional-control-service/src/esap/programa-anual/entities/auditoria-programada.entity.ts:136 (AuditoriaProgramada.motivoEspecial) | Validación: IsOptional, IsString</t>
        </is>
      </c>
      <c r="Q1475" s="18" t="inlineStr">
        <is>
          <t>Regla estructural</t>
        </is>
      </c>
      <c r="R1475" s="18" t="inlineStr">
        <is>
          <t>Motivo del especial.</t>
        </is>
      </c>
      <c r="S1475" s="18" t="inlineStr">
        <is>
          <t>Media</t>
        </is>
      </c>
      <c r="T1475" s="18" t="inlineStr">
        <is>
          <t>Convención de nombre de la columna.</t>
        </is>
      </c>
      <c r="U1475" s="18" t="inlineStr"/>
      <c r="V1475" s="19" t="inlineStr">
        <is>
          <t>Aprobada</t>
        </is>
      </c>
      <c r="W1475" s="19" t="inlineStr"/>
      <c r="X1475" s="19" t="inlineStr">
        <is>
          <t>Aldair González (aprobación en bloque)</t>
        </is>
      </c>
      <c r="Y1475" s="20" t="n">
        <v>46321</v>
      </c>
      <c r="Z1475" s="19" t="inlineStr">
        <is>
          <t>Nivel 1: propuesta del comentario del desarrollador o de confianza alta, o regla de fecha/responsable/motivo.</t>
        </is>
      </c>
      <c r="AA1475" s="18">
        <f>IF(OR(V1475="Aprobada"),R1475,IF(AND(OR(V1475="Aprobada con ajuste",V1475="Rechazada"),W1475&lt;&gt;""),W1475,""))</f>
        <v/>
      </c>
    </row>
    <row r="1476">
      <c r="A1476" s="18" t="inlineStr">
        <is>
          <t>C1475</t>
        </is>
      </c>
      <c r="B1476" s="18" t="inlineStr">
        <is>
          <t>Control interno</t>
        </is>
      </c>
      <c r="C1476" s="18" t="inlineStr">
        <is>
          <t>control_interno</t>
        </is>
      </c>
      <c r="D1476" s="18" t="inlineStr">
        <is>
          <t>auditoria_programada</t>
        </is>
      </c>
      <c r="E1476" s="18" t="n">
        <v>0</v>
      </c>
      <c r="F1476" s="18" t="inlineStr">
        <is>
          <t>etapas</t>
        </is>
      </c>
      <c r="G1476" s="18" t="inlineStr">
        <is>
          <t>jsonb</t>
        </is>
      </c>
      <c r="H1476" s="18" t="inlineStr">
        <is>
          <t>No</t>
        </is>
      </c>
      <c r="I1476" s="18" t="inlineStr"/>
      <c r="J1476" s="18" t="inlineStr"/>
      <c r="K1476" s="18" t="inlineStr"/>
      <c r="L1476" s="18" t="inlineStr">
        <is>
          <t>No</t>
        </is>
      </c>
      <c r="M1476" s="18" t="inlineStr">
        <is>
          <t>No</t>
        </is>
      </c>
      <c r="N1476" s="18" t="inlineStr"/>
      <c r="O1476" s="18" t="inlineStr"/>
      <c r="P1476" s="18" t="inlineStr">
        <is>
          <t>Mapeada en internal-institutional-control-service/src/esap/programa-anual/entities/auditoria-programada.entity.ts:139 (AuditoriaProgramada.etapas)</t>
        </is>
      </c>
      <c r="Q1476" s="18" t="inlineStr">
        <is>
          <t>Código fuente (verificado)</t>
        </is>
      </c>
      <c r="R1476" s="18" t="inlineStr">
        <is>
          <t>Etapas planeadas de la auditoría, en formato JSON: objetos planeacion, ejecucion y comunicacion, cada uno con fecha de inicio, fecha de fin, duración en días y estado (pendiente al crearse).</t>
        </is>
      </c>
      <c r="S1476" s="18" t="inlineStr">
        <is>
          <t>Alta</t>
        </is>
      </c>
      <c r="T1476" s="18" t="inlineStr">
        <is>
          <t>backend/internal-institutional-control-service/src/esap/programa-anual/entities/auditoria-programada.entity.ts:139-157: estructura del JSON | backend/internal-institutional-control-service/src/esap/programa-anual/programa-anual.service.ts:219-238: valores al importar | backend/internal-institutional-control-service/src/esap/programa-anual/programa-anual.service.ts:337-341: ajuste de comunicación al ampliar</t>
        </is>
      </c>
      <c r="U1476" s="18" t="inlineStr"/>
      <c r="V1476" s="19" t="inlineStr">
        <is>
          <t>Aprobada</t>
        </is>
      </c>
      <c r="W1476" s="19" t="inlineStr"/>
      <c r="X1476" s="19" t="inlineStr">
        <is>
          <t>Aldair González (aprobación en bloque)</t>
        </is>
      </c>
      <c r="Y1476" s="20" t="n">
        <v>46321</v>
      </c>
      <c r="Z1476" s="19" t="inlineStr">
        <is>
          <t>Nivel 3: verificada con el código de la aplicación.</t>
        </is>
      </c>
      <c r="AA1476" s="18">
        <f>IF(OR(V1476="Aprobada"),R1476,IF(AND(OR(V1476="Aprobada con ajuste",V1476="Rechazada"),W1476&lt;&gt;""),W1476,""))</f>
        <v/>
      </c>
    </row>
    <row r="1477">
      <c r="A1477" s="18" t="inlineStr">
        <is>
          <t>C1476</t>
        </is>
      </c>
      <c r="B1477" s="18" t="inlineStr">
        <is>
          <t>Control interno</t>
        </is>
      </c>
      <c r="C1477" s="18" t="inlineStr">
        <is>
          <t>control_interno</t>
        </is>
      </c>
      <c r="D1477" s="18" t="inlineStr">
        <is>
          <t>auditoria_programada</t>
        </is>
      </c>
      <c r="E1477" s="18" t="n">
        <v>0</v>
      </c>
      <c r="F1477" s="18" t="inlineStr">
        <is>
          <t>ampliaciones</t>
        </is>
      </c>
      <c r="G1477" s="18" t="inlineStr">
        <is>
          <t>jsonb</t>
        </is>
      </c>
      <c r="H1477" s="18" t="inlineStr">
        <is>
          <t>Sí</t>
        </is>
      </c>
      <c r="I1477" s="18" t="inlineStr"/>
      <c r="J1477" s="18" t="inlineStr"/>
      <c r="K1477" s="18" t="inlineStr"/>
      <c r="L1477" s="18" t="inlineStr">
        <is>
          <t>No</t>
        </is>
      </c>
      <c r="M1477" s="18" t="inlineStr">
        <is>
          <t>No</t>
        </is>
      </c>
      <c r="N1477" s="18" t="inlineStr"/>
      <c r="O1477" s="18" t="inlineStr"/>
      <c r="P1477" s="18" t="inlineStr">
        <is>
          <t>Mapeada en internal-institutional-control-service/src/esap/programa-anual/entities/auditoria-programada.entity.ts:161 (AuditoriaProgramada.ampliaciones)</t>
        </is>
      </c>
      <c r="Q1477" s="18" t="inlineStr">
        <is>
          <t>Código fuente (verificado)</t>
        </is>
      </c>
      <c r="R1477" s="18" t="inlineStr">
        <is>
          <t>Historial de ampliaciones de plazo de la auditoría programada, en formato JSON: lista con fecha de solicitud y de autorización, justificación, quien autoriza, fechas límite anterior y nueva y duraciones anterior y nueva. Lo escribe el programa anual; no se relaciona con control_interno.ampliacion_plazo.</t>
        </is>
      </c>
      <c r="S1477" s="18" t="inlineStr">
        <is>
          <t>Alta</t>
        </is>
      </c>
      <c r="T1477" s="18" t="inlineStr">
        <is>
          <t>backend/internal-institutional-control-service/src/esap/programa-anual/entities/auditoria-programada.entity.ts:161-171: estructura del JSON | backend/internal-institutional-control-service/src/esap/programa-anual/programa-anual.service.ts:323-332: ampliarPlazo agrega cada ampliación | ampliacion_plazo no tiene entidad en el código</t>
        </is>
      </c>
      <c r="U1477" s="18" t="inlineStr"/>
      <c r="V1477" s="19" t="inlineStr">
        <is>
          <t>Aprobada</t>
        </is>
      </c>
      <c r="W1477" s="19" t="inlineStr"/>
      <c r="X1477" s="19" t="inlineStr">
        <is>
          <t>Aldair González (aprobación en bloque)</t>
        </is>
      </c>
      <c r="Y1477" s="20" t="n">
        <v>46321</v>
      </c>
      <c r="Z1477" s="19" t="inlineStr">
        <is>
          <t>Nivel 3: verificada con el código de la aplicación.</t>
        </is>
      </c>
      <c r="AA1477" s="18">
        <f>IF(OR(V1477="Aprobada"),R1477,IF(AND(OR(V1477="Aprobada con ajuste",V1477="Rechazada"),W1477&lt;&gt;""),W1477,""))</f>
        <v/>
      </c>
    </row>
    <row r="1478">
      <c r="A1478" s="18" t="inlineStr">
        <is>
          <t>C1477</t>
        </is>
      </c>
      <c r="B1478" s="18" t="inlineStr">
        <is>
          <t>Control interno</t>
        </is>
      </c>
      <c r="C1478" s="18" t="inlineStr">
        <is>
          <t>control_interno</t>
        </is>
      </c>
      <c r="D1478" s="18" t="inlineStr">
        <is>
          <t>auditoria_programada</t>
        </is>
      </c>
      <c r="E1478" s="18" t="n">
        <v>0</v>
      </c>
      <c r="F1478" s="18" t="inlineStr">
        <is>
          <t>fecha_limite_original</t>
        </is>
      </c>
      <c r="G1478" s="18" t="inlineStr">
        <is>
          <t>date</t>
        </is>
      </c>
      <c r="H1478" s="18" t="inlineStr">
        <is>
          <t>No</t>
        </is>
      </c>
      <c r="I1478" s="18" t="inlineStr"/>
      <c r="J1478" s="18" t="inlineStr"/>
      <c r="K1478" s="18" t="inlineStr"/>
      <c r="L1478" s="18" t="inlineStr">
        <is>
          <t>No</t>
        </is>
      </c>
      <c r="M1478" s="18" t="inlineStr">
        <is>
          <t>No</t>
        </is>
      </c>
      <c r="N1478" s="18" t="inlineStr"/>
      <c r="O1478" s="18" t="inlineStr"/>
      <c r="P1478" s="18" t="inlineStr">
        <is>
          <t>Mapeada en internal-institutional-control-service/src/esap/programa-anual/entities/auditoria-programada.entity.ts:173 (AuditoriaProgramada.fechaLimiteOriginal) | Validación: IsDateString</t>
        </is>
      </c>
      <c r="Q1478" s="18" t="inlineStr">
        <is>
          <t>Regla estructural (redacción revisada)</t>
        </is>
      </c>
      <c r="R1478" s="18" t="inlineStr">
        <is>
          <t>Fecha límite inicial de la auditoría programada, antes de ampliaciones.</t>
        </is>
      </c>
      <c r="S1478" s="18" t="inlineStr">
        <is>
          <t>Alta</t>
        </is>
      </c>
      <c r="T1478" s="18" t="inlineStr">
        <is>
          <t>Convención de nombre, redactada con el contexto de la tabla y el código.</t>
        </is>
      </c>
      <c r="U1478" s="18" t="inlineStr"/>
      <c r="V1478" s="19" t="inlineStr">
        <is>
          <t>Aprobada</t>
        </is>
      </c>
      <c r="W1478" s="19" t="inlineStr"/>
      <c r="X1478" s="19" t="inlineStr">
        <is>
          <t>Aldair González (aprobación en bloque)</t>
        </is>
      </c>
      <c r="Y1478" s="20" t="n">
        <v>46321</v>
      </c>
      <c r="Z1478" s="19" t="inlineStr">
        <is>
          <t>Nivel 2: regla estructural con redacción revisada.</t>
        </is>
      </c>
      <c r="AA1478" s="18">
        <f>IF(OR(V1478="Aprobada"),R1478,IF(AND(OR(V1478="Aprobada con ajuste",V1478="Rechazada"),W1478&lt;&gt;""),W1478,""))</f>
        <v/>
      </c>
    </row>
    <row r="1479">
      <c r="A1479" s="18" t="inlineStr">
        <is>
          <t>C1478</t>
        </is>
      </c>
      <c r="B1479" s="18" t="inlineStr">
        <is>
          <t>Control interno</t>
        </is>
      </c>
      <c r="C1479" s="18" t="inlineStr">
        <is>
          <t>control_interno</t>
        </is>
      </c>
      <c r="D1479" s="18" t="inlineStr">
        <is>
          <t>auditoria_programada</t>
        </is>
      </c>
      <c r="E1479" s="18" t="n">
        <v>0</v>
      </c>
      <c r="F1479" s="18" t="inlineStr">
        <is>
          <t>fecha_limite_actual</t>
        </is>
      </c>
      <c r="G1479" s="18" t="inlineStr">
        <is>
          <t>date</t>
        </is>
      </c>
      <c r="H1479" s="18" t="inlineStr">
        <is>
          <t>No</t>
        </is>
      </c>
      <c r="I1479" s="18" t="inlineStr"/>
      <c r="J1479" s="18" t="inlineStr"/>
      <c r="K1479" s="18" t="inlineStr"/>
      <c r="L1479" s="18" t="inlineStr">
        <is>
          <t>No</t>
        </is>
      </c>
      <c r="M1479" s="18" t="inlineStr">
        <is>
          <t>No</t>
        </is>
      </c>
      <c r="N1479" s="18" t="inlineStr"/>
      <c r="O1479" s="18" t="inlineStr"/>
      <c r="P1479" s="18" t="inlineStr">
        <is>
          <t>Mapeada en internal-institutional-control-service/src/esap/programa-anual/entities/auditoria-programada.entity.ts:176 (AuditoriaProgramada.fechaLimiteActual)</t>
        </is>
      </c>
      <c r="Q1479" s="18" t="inlineStr">
        <is>
          <t>Regla estructural (redacción revisada)</t>
        </is>
      </c>
      <c r="R1479" s="18" t="inlineStr">
        <is>
          <t>Fecha límite vigente de la auditoría programada.</t>
        </is>
      </c>
      <c r="S1479" s="18" t="inlineStr">
        <is>
          <t>Alta</t>
        </is>
      </c>
      <c r="T1479" s="18" t="inlineStr">
        <is>
          <t>Convención de nombre, redactada con el contexto de la tabla y el código.</t>
        </is>
      </c>
      <c r="U1479" s="18" t="inlineStr"/>
      <c r="V1479" s="19" t="inlineStr">
        <is>
          <t>Aprobada</t>
        </is>
      </c>
      <c r="W1479" s="19" t="inlineStr"/>
      <c r="X1479" s="19" t="inlineStr">
        <is>
          <t>Aldair González (aprobación en bloque)</t>
        </is>
      </c>
      <c r="Y1479" s="20" t="n">
        <v>46321</v>
      </c>
      <c r="Z1479" s="19" t="inlineStr">
        <is>
          <t>Nivel 2: regla estructural con redacción revisada.</t>
        </is>
      </c>
      <c r="AA1479" s="18">
        <f>IF(OR(V1479="Aprobada"),R1479,IF(AND(OR(V1479="Aprobada con ajuste",V1479="Rechazada"),W1479&lt;&gt;""),W1479,""))</f>
        <v/>
      </c>
    </row>
    <row r="1480">
      <c r="A1480" s="18" t="inlineStr">
        <is>
          <t>C1479</t>
        </is>
      </c>
      <c r="B1480" s="18" t="inlineStr">
        <is>
          <t>Control interno</t>
        </is>
      </c>
      <c r="C1480" s="18" t="inlineStr">
        <is>
          <t>control_interno</t>
        </is>
      </c>
      <c r="D1480" s="18" t="inlineStr">
        <is>
          <t>auditoria_territorial_info</t>
        </is>
      </c>
      <c r="E1480" s="18" t="n">
        <v>0</v>
      </c>
      <c r="F1480" s="18" t="inlineStr">
        <is>
          <t>nombre</t>
        </is>
      </c>
      <c r="G1480" s="18" t="inlineStr">
        <is>
          <t>character varying(255)</t>
        </is>
      </c>
      <c r="H1480" s="18" t="inlineStr">
        <is>
          <t>No</t>
        </is>
      </c>
      <c r="I1480" s="18" t="inlineStr"/>
      <c r="J1480" s="18" t="inlineStr"/>
      <c r="K1480" s="18" t="inlineStr"/>
      <c r="L1480" s="18" t="inlineStr">
        <is>
          <t>No</t>
        </is>
      </c>
      <c r="M1480" s="18" t="inlineStr">
        <is>
          <t>Sí</t>
        </is>
      </c>
      <c r="N1480" s="18" t="inlineStr">
        <is>
          <t>Vista control_interno.v_auditorias_kanban_completo</t>
        </is>
      </c>
      <c r="O1480" s="18" t="inlineStr"/>
      <c r="P1480" s="18" t="inlineStr">
        <is>
          <t>db/migrations/old/036_add_auditorias_kanban_completo.sql:672: Ej: "Antioquia - Medellín" | Validación: IsNotEmpty, IsNotEmpty({ message: 'El nombre del documento es obligatorio' }), IsOptional, IsString, Length(1, 500), MaxLength(120)</t>
        </is>
      </c>
      <c r="Q1480" s="18" t="inlineStr">
        <is>
          <t>Código fuente</t>
        </is>
      </c>
      <c r="R1480" s="18" t="inlineStr">
        <is>
          <t>Nombre de la territorial auditada (por ejemplo, «Antioquia - Medellín»).</t>
        </is>
      </c>
      <c r="S1480" s="18" t="inlineStr">
        <is>
          <t>Alta</t>
        </is>
      </c>
      <c r="T1480" s="18" t="inlineStr">
        <is>
          <t>código: db/migrations/old/036_add_auditorias_kanban_completo.sql:672</t>
        </is>
      </c>
      <c r="U1480" s="18" t="inlineStr"/>
      <c r="V1480" s="19" t="inlineStr">
        <is>
          <t>Aprobada</t>
        </is>
      </c>
      <c r="W1480" s="19" t="inlineStr"/>
      <c r="X1480" s="19" t="inlineStr">
        <is>
          <t>Aldair González (aprobación en bloque)</t>
        </is>
      </c>
      <c r="Y1480" s="20" t="n">
        <v>46321</v>
      </c>
      <c r="Z1480" s="19" t="inlineStr">
        <is>
          <t>Nivel 1: propuesta del comentario del desarrollador o de confianza alta, o regla de fecha/responsable/motivo.</t>
        </is>
      </c>
      <c r="AA1480" s="18">
        <f>IF(OR(V1480="Aprobada"),R1480,IF(AND(OR(V1480="Aprobada con ajuste",V1480="Rechazada"),W1480&lt;&gt;""),W1480,""))</f>
        <v/>
      </c>
    </row>
    <row r="1481">
      <c r="A1481" s="18" t="inlineStr">
        <is>
          <t>C1480</t>
        </is>
      </c>
      <c r="B1481" s="18" t="inlineStr">
        <is>
          <t>Control interno</t>
        </is>
      </c>
      <c r="C1481" s="18" t="inlineStr">
        <is>
          <t>control_interno</t>
        </is>
      </c>
      <c r="D1481" s="18" t="inlineStr">
        <is>
          <t>auditoria_territorial_info</t>
        </is>
      </c>
      <c r="E1481" s="18" t="n">
        <v>0</v>
      </c>
      <c r="F1481" s="18" t="inlineStr">
        <is>
          <t>ciudad</t>
        </is>
      </c>
      <c r="G1481" s="18" t="inlineStr">
        <is>
          <t>character varying(255)</t>
        </is>
      </c>
      <c r="H1481" s="18" t="inlineStr">
        <is>
          <t>No</t>
        </is>
      </c>
      <c r="I1481" s="18" t="inlineStr"/>
      <c r="J1481" s="18" t="inlineStr"/>
      <c r="K1481" s="18" t="inlineStr"/>
      <c r="L1481" s="18" t="inlineStr">
        <is>
          <t>No</t>
        </is>
      </c>
      <c r="M1481" s="18" t="inlineStr">
        <is>
          <t>Sí</t>
        </is>
      </c>
      <c r="N1481" s="18" t="inlineStr">
        <is>
          <t>Vista control_interno.v_auditorias_kanban_completo</t>
        </is>
      </c>
      <c r="O1481" s="18" t="inlineStr">
        <is>
          <t>idx_territorial_ciudad</t>
        </is>
      </c>
      <c r="P1481" s="18" t="inlineStr">
        <is>
          <t>Mapeada en internal-institutional-control-service/src/esap/auditorias/entities/auditoria-territorial-info.entity.ts:29 (AuditoriaTerritorialInfo.ciudad)</t>
        </is>
      </c>
      <c r="Q1481" s="18" t="inlineStr">
        <is>
          <t>Propuesta semántica</t>
        </is>
      </c>
      <c r="R1481" s="18" t="inlineStr">
        <is>
          <t>Ciudad donde se realiza la auditoría territorial.</t>
        </is>
      </c>
      <c r="S1481" s="18" t="inlineStr">
        <is>
          <t>Alta</t>
        </is>
      </c>
      <c r="T1481" s="18" t="inlineStr">
        <is>
          <t>nombre + tipo + descripción de la tabla ~</t>
        </is>
      </c>
      <c r="U1481" s="18" t="inlineStr"/>
      <c r="V1481" s="19" t="inlineStr">
        <is>
          <t>Aprobada</t>
        </is>
      </c>
      <c r="W1481" s="19" t="inlineStr"/>
      <c r="X1481" s="19" t="inlineStr">
        <is>
          <t>Aldair González (aprobación en bloque)</t>
        </is>
      </c>
      <c r="Y1481" s="20" t="n">
        <v>46321</v>
      </c>
      <c r="Z1481" s="19" t="inlineStr">
        <is>
          <t>Nivel 1: propuesta del comentario del desarrollador o de confianza alta, o regla de fecha/responsable/motivo.</t>
        </is>
      </c>
      <c r="AA1481" s="18">
        <f>IF(OR(V1481="Aprobada"),R1481,IF(AND(OR(V1481="Aprobada con ajuste",V1481="Rechazada"),W1481&lt;&gt;""),W1481,""))</f>
        <v/>
      </c>
    </row>
    <row r="1482">
      <c r="A1482" s="18" t="inlineStr">
        <is>
          <t>C1481</t>
        </is>
      </c>
      <c r="B1482" s="18" t="inlineStr">
        <is>
          <t>Control interno</t>
        </is>
      </c>
      <c r="C1482" s="18" t="inlineStr">
        <is>
          <t>control_interno</t>
        </is>
      </c>
      <c r="D1482" s="18" t="inlineStr">
        <is>
          <t>auditoria_territorial_info</t>
        </is>
      </c>
      <c r="E1482" s="18" t="n">
        <v>0</v>
      </c>
      <c r="F1482" s="18" t="inlineStr">
        <is>
          <t>departamento</t>
        </is>
      </c>
      <c r="G1482" s="18" t="inlineStr">
        <is>
          <t>character varying(255)</t>
        </is>
      </c>
      <c r="H1482" s="18" t="inlineStr">
        <is>
          <t>No</t>
        </is>
      </c>
      <c r="I1482" s="18" t="inlineStr"/>
      <c r="J1482" s="18" t="inlineStr"/>
      <c r="K1482" s="18" t="inlineStr"/>
      <c r="L1482" s="18" t="inlineStr">
        <is>
          <t>No</t>
        </is>
      </c>
      <c r="M1482" s="18" t="inlineStr">
        <is>
          <t>Sí</t>
        </is>
      </c>
      <c r="N1482" s="18" t="inlineStr">
        <is>
          <t>Vista control_interno.v_auditorias_kanban_completo</t>
        </is>
      </c>
      <c r="O1482" s="18" t="inlineStr">
        <is>
          <t>idx_territorial_departamento</t>
        </is>
      </c>
      <c r="P1482" s="18" t="inlineStr">
        <is>
          <t>Mapeada en internal-institutional-control-service/src/esap/auditorias/entities/auditoria-territorial-info.entity.ts:32 (AuditoriaTerritorialInfo.departamento)</t>
        </is>
      </c>
      <c r="Q1482" s="18" t="inlineStr">
        <is>
          <t>Propuesta semántica</t>
        </is>
      </c>
      <c r="R1482" s="18" t="inlineStr">
        <is>
          <t>Departamento donde se realiza la auditoría territorial.</t>
        </is>
      </c>
      <c r="S1482" s="18" t="inlineStr">
        <is>
          <t>Alta</t>
        </is>
      </c>
      <c r="T1482" s="18" t="inlineStr">
        <is>
          <t>nombre + tipo + descripción de la tabla ~</t>
        </is>
      </c>
      <c r="U1482" s="18" t="inlineStr"/>
      <c r="V1482" s="19" t="inlineStr">
        <is>
          <t>Aprobada</t>
        </is>
      </c>
      <c r="W1482" s="19" t="inlineStr"/>
      <c r="X1482" s="19" t="inlineStr">
        <is>
          <t>Aldair González (aprobación en bloque)</t>
        </is>
      </c>
      <c r="Y1482" s="20" t="n">
        <v>46321</v>
      </c>
      <c r="Z1482" s="19" t="inlineStr">
        <is>
          <t>Nivel 1: propuesta del comentario del desarrollador o de confianza alta, o regla de fecha/responsable/motivo.</t>
        </is>
      </c>
      <c r="AA1482" s="18">
        <f>IF(OR(V1482="Aprobada"),R1482,IF(AND(OR(V1482="Aprobada con ajuste",V1482="Rechazada"),W1482&lt;&gt;""),W1482,""))</f>
        <v/>
      </c>
    </row>
    <row r="1483">
      <c r="A1483" s="18" t="inlineStr">
        <is>
          <t>C1482</t>
        </is>
      </c>
      <c r="B1483" s="18" t="inlineStr">
        <is>
          <t>Control interno</t>
        </is>
      </c>
      <c r="C1483" s="18" t="inlineStr">
        <is>
          <t>control_interno</t>
        </is>
      </c>
      <c r="D1483" s="18" t="inlineStr">
        <is>
          <t>auditoria_territorial_info</t>
        </is>
      </c>
      <c r="E1483" s="18" t="n">
        <v>0</v>
      </c>
      <c r="F1483" s="18" t="inlineStr">
        <is>
          <t>direccion</t>
        </is>
      </c>
      <c r="G1483" s="18" t="inlineStr">
        <is>
          <t>text</t>
        </is>
      </c>
      <c r="H1483" s="18" t="inlineStr">
        <is>
          <t>Sí</t>
        </is>
      </c>
      <c r="I1483" s="18" t="inlineStr"/>
      <c r="J1483" s="18" t="inlineStr"/>
      <c r="K1483" s="18" t="inlineStr"/>
      <c r="L1483" s="18" t="inlineStr">
        <is>
          <t>No</t>
        </is>
      </c>
      <c r="M1483" s="18" t="inlineStr">
        <is>
          <t>No</t>
        </is>
      </c>
      <c r="N1483" s="18" t="inlineStr"/>
      <c r="O1483" s="18" t="inlineStr"/>
      <c r="P1483" s="18" t="inlineStr"/>
      <c r="Q1483" s="18" t="inlineStr">
        <is>
          <t>Propuesta semántica</t>
        </is>
      </c>
      <c r="R1483" s="18" t="inlineStr">
        <is>
          <t>Dirección física del lugar de la auditoría territorial.</t>
        </is>
      </c>
      <c r="S1483" s="18" t="inlineStr">
        <is>
          <t>Alta</t>
        </is>
      </c>
      <c r="T1483" s="18" t="inlineStr">
        <is>
          <t>nombre + tipo + descripción de la tabla ~</t>
        </is>
      </c>
      <c r="U1483" s="18" t="inlineStr"/>
      <c r="V1483" s="19" t="inlineStr">
        <is>
          <t>Aprobada</t>
        </is>
      </c>
      <c r="W1483" s="19" t="inlineStr"/>
      <c r="X1483" s="19" t="inlineStr">
        <is>
          <t>Aldair González (aprobación en bloque)</t>
        </is>
      </c>
      <c r="Y1483" s="20" t="n">
        <v>46321</v>
      </c>
      <c r="Z1483" s="19" t="inlineStr">
        <is>
          <t>Nivel 1: propuesta del comentario del desarrollador o de confianza alta, o regla de fecha/responsable/motivo.</t>
        </is>
      </c>
      <c r="AA1483" s="18">
        <f>IF(OR(V1483="Aprobada"),R1483,IF(AND(OR(V1483="Aprobada con ajuste",V1483="Rechazada"),W1483&lt;&gt;""),W1483,""))</f>
        <v/>
      </c>
    </row>
    <row r="1484">
      <c r="A1484" s="18" t="inlineStr">
        <is>
          <t>C1483</t>
        </is>
      </c>
      <c r="B1484" s="18" t="inlineStr">
        <is>
          <t>Control interno</t>
        </is>
      </c>
      <c r="C1484" s="18" t="inlineStr">
        <is>
          <t>control_interno</t>
        </is>
      </c>
      <c r="D1484" s="18" t="inlineStr">
        <is>
          <t>auditoria_territorial_info</t>
        </is>
      </c>
      <c r="E1484" s="18" t="n">
        <v>0</v>
      </c>
      <c r="F1484" s="18" t="inlineStr">
        <is>
          <t>contacto_nombre</t>
        </is>
      </c>
      <c r="G1484" s="18" t="inlineStr">
        <is>
          <t>character varying(255)</t>
        </is>
      </c>
      <c r="H1484" s="18" t="inlineStr">
        <is>
          <t>Sí</t>
        </is>
      </c>
      <c r="I1484" s="18" t="inlineStr"/>
      <c r="J1484" s="18" t="inlineStr"/>
      <c r="K1484" s="18" t="inlineStr"/>
      <c r="L1484" s="18" t="inlineStr">
        <is>
          <t>No</t>
        </is>
      </c>
      <c r="M1484" s="18" t="inlineStr">
        <is>
          <t>No</t>
        </is>
      </c>
      <c r="N1484" s="18" t="inlineStr"/>
      <c r="O1484" s="18" t="inlineStr"/>
      <c r="P1484" s="18" t="inlineStr"/>
      <c r="Q1484" s="18" t="inlineStr">
        <is>
          <t>Propuesta semántica</t>
        </is>
      </c>
      <c r="R1484" s="18" t="inlineStr">
        <is>
          <t>Nombre de la persona de contacto en la sede territorial.</t>
        </is>
      </c>
      <c r="S1484" s="18" t="inlineStr">
        <is>
          <t>Alta</t>
        </is>
      </c>
      <c r="T1484" s="18" t="inlineStr">
        <is>
          <t>nombre + descripción de la tabla (contacto) ~</t>
        </is>
      </c>
      <c r="U1484" s="18" t="inlineStr"/>
      <c r="V1484" s="19" t="inlineStr">
        <is>
          <t>Aprobada</t>
        </is>
      </c>
      <c r="W1484" s="19" t="inlineStr"/>
      <c r="X1484" s="19" t="inlineStr">
        <is>
          <t>Aldair González (aprobación en bloque)</t>
        </is>
      </c>
      <c r="Y1484" s="20" t="n">
        <v>46321</v>
      </c>
      <c r="Z1484" s="19" t="inlineStr">
        <is>
          <t>Nivel 1: propuesta del comentario del desarrollador o de confianza alta, o regla de fecha/responsable/motivo.</t>
        </is>
      </c>
      <c r="AA1484" s="18">
        <f>IF(OR(V1484="Aprobada"),R1484,IF(AND(OR(V1484="Aprobada con ajuste",V1484="Rechazada"),W1484&lt;&gt;""),W1484,""))</f>
        <v/>
      </c>
    </row>
    <row r="1485">
      <c r="A1485" s="18" t="inlineStr">
        <is>
          <t>C1484</t>
        </is>
      </c>
      <c r="B1485" s="18" t="inlineStr">
        <is>
          <t>Control interno</t>
        </is>
      </c>
      <c r="C1485" s="18" t="inlineStr">
        <is>
          <t>control_interno</t>
        </is>
      </c>
      <c r="D1485" s="18" t="inlineStr">
        <is>
          <t>auditoria_territorial_info</t>
        </is>
      </c>
      <c r="E1485" s="18" t="n">
        <v>0</v>
      </c>
      <c r="F1485" s="18" t="inlineStr">
        <is>
          <t>contacto_email</t>
        </is>
      </c>
      <c r="G1485" s="18" t="inlineStr">
        <is>
          <t>character varying(255)</t>
        </is>
      </c>
      <c r="H1485" s="18" t="inlineStr">
        <is>
          <t>Sí</t>
        </is>
      </c>
      <c r="I1485" s="18" t="inlineStr"/>
      <c r="J1485" s="18" t="inlineStr"/>
      <c r="K1485" s="18" t="inlineStr"/>
      <c r="L1485" s="18" t="inlineStr">
        <is>
          <t>No</t>
        </is>
      </c>
      <c r="M1485" s="18" t="inlineStr">
        <is>
          <t>No</t>
        </is>
      </c>
      <c r="N1485" s="18" t="inlineStr"/>
      <c r="O1485" s="18" t="inlineStr"/>
      <c r="P1485" s="18" t="inlineStr"/>
      <c r="Q1485" s="18" t="inlineStr">
        <is>
          <t>Propuesta semántica</t>
        </is>
      </c>
      <c r="R1485" s="18" t="inlineStr">
        <is>
          <t>Correo electrónico de la persona de contacto en la sede territorial.</t>
        </is>
      </c>
      <c r="S1485" s="18" t="inlineStr">
        <is>
          <t>Alta</t>
        </is>
      </c>
      <c r="T1485" s="18" t="inlineStr">
        <is>
          <t>nombre + descripción de la tabla ~</t>
        </is>
      </c>
      <c r="U1485" s="18" t="inlineStr"/>
      <c r="V1485" s="19" t="inlineStr">
        <is>
          <t>Aprobada</t>
        </is>
      </c>
      <c r="W1485" s="19" t="inlineStr"/>
      <c r="X1485" s="19" t="inlineStr">
        <is>
          <t>Aldair González (aprobación en bloque)</t>
        </is>
      </c>
      <c r="Y1485" s="20" t="n">
        <v>46321</v>
      </c>
      <c r="Z1485" s="19" t="inlineStr">
        <is>
          <t>Nivel 1: propuesta del comentario del desarrollador o de confianza alta, o regla de fecha/responsable/motivo.</t>
        </is>
      </c>
      <c r="AA1485" s="18">
        <f>IF(OR(V1485="Aprobada"),R1485,IF(AND(OR(V1485="Aprobada con ajuste",V1485="Rechazada"),W1485&lt;&gt;""),W1485,""))</f>
        <v/>
      </c>
    </row>
    <row r="1486">
      <c r="A1486" s="18" t="inlineStr">
        <is>
          <t>C1485</t>
        </is>
      </c>
      <c r="B1486" s="18" t="inlineStr">
        <is>
          <t>Control interno</t>
        </is>
      </c>
      <c r="C1486" s="18" t="inlineStr">
        <is>
          <t>control_interno</t>
        </is>
      </c>
      <c r="D1486" s="18" t="inlineStr">
        <is>
          <t>auditoria_territorial_info</t>
        </is>
      </c>
      <c r="E1486" s="18" t="n">
        <v>0</v>
      </c>
      <c r="F1486" s="18" t="inlineStr">
        <is>
          <t>contacto_telefono</t>
        </is>
      </c>
      <c r="G1486" s="18" t="inlineStr">
        <is>
          <t>character varying(20)</t>
        </is>
      </c>
      <c r="H1486" s="18" t="inlineStr">
        <is>
          <t>Sí</t>
        </is>
      </c>
      <c r="I1486" s="18" t="inlineStr"/>
      <c r="J1486" s="18" t="inlineStr"/>
      <c r="K1486" s="18" t="inlineStr"/>
      <c r="L1486" s="18" t="inlineStr">
        <is>
          <t>No</t>
        </is>
      </c>
      <c r="M1486" s="18" t="inlineStr">
        <is>
          <t>No</t>
        </is>
      </c>
      <c r="N1486" s="18" t="inlineStr"/>
      <c r="O1486" s="18" t="inlineStr"/>
      <c r="P1486" s="18" t="inlineStr"/>
      <c r="Q1486" s="18" t="inlineStr">
        <is>
          <t>Propuesta semántica</t>
        </is>
      </c>
      <c r="R1486" s="18" t="inlineStr">
        <is>
          <t>Teléfono de la persona de contacto en la sede territorial.</t>
        </is>
      </c>
      <c r="S1486" s="18" t="inlineStr">
        <is>
          <t>Alta</t>
        </is>
      </c>
      <c r="T1486" s="18" t="inlineStr">
        <is>
          <t>nombre + descripción de la tabla ~</t>
        </is>
      </c>
      <c r="U1486" s="18" t="inlineStr"/>
      <c r="V1486" s="19" t="inlineStr">
        <is>
          <t>Aprobada</t>
        </is>
      </c>
      <c r="W1486" s="19" t="inlineStr"/>
      <c r="X1486" s="19" t="inlineStr">
        <is>
          <t>Aldair González (aprobación en bloque)</t>
        </is>
      </c>
      <c r="Y1486" s="20" t="n">
        <v>46321</v>
      </c>
      <c r="Z1486" s="19" t="inlineStr">
        <is>
          <t>Nivel 1: propuesta del comentario del desarrollador o de confianza alta, o regla de fecha/responsable/motivo.</t>
        </is>
      </c>
      <c r="AA1486" s="18">
        <f>IF(OR(V1486="Aprobada"),R1486,IF(AND(OR(V1486="Aprobada con ajuste",V1486="Rechazada"),W1486&lt;&gt;""),W1486,""))</f>
        <v/>
      </c>
    </row>
    <row r="1487">
      <c r="A1487" s="18" t="inlineStr">
        <is>
          <t>C1486</t>
        </is>
      </c>
      <c r="B1487" s="18" t="inlineStr">
        <is>
          <t>Control interno</t>
        </is>
      </c>
      <c r="C1487" s="18" t="inlineStr">
        <is>
          <t>control_interno</t>
        </is>
      </c>
      <c r="D1487" s="18" t="inlineStr">
        <is>
          <t>auditoria_territorial_info</t>
        </is>
      </c>
      <c r="E1487" s="18" t="n">
        <v>0</v>
      </c>
      <c r="F1487" s="18" t="inlineStr">
        <is>
          <t>observaciones</t>
        </is>
      </c>
      <c r="G1487" s="18" t="inlineStr">
        <is>
          <t>text</t>
        </is>
      </c>
      <c r="H1487" s="18" t="inlineStr">
        <is>
          <t>Sí</t>
        </is>
      </c>
      <c r="I1487" s="18" t="inlineStr"/>
      <c r="J1487" s="18" t="inlineStr"/>
      <c r="K1487" s="18" t="inlineStr"/>
      <c r="L1487" s="18" t="inlineStr">
        <is>
          <t>No</t>
        </is>
      </c>
      <c r="M1487" s="18" t="inlineStr">
        <is>
          <t>No</t>
        </is>
      </c>
      <c r="N1487" s="18" t="inlineStr"/>
      <c r="O1487" s="18" t="inlineStr"/>
      <c r="P1487" s="18" t="inlineStr"/>
      <c r="Q1487" s="18" t="inlineStr">
        <is>
          <t>Regla estructural (redacción revisada)</t>
        </is>
      </c>
      <c r="R1487" s="18" t="inlineStr">
        <is>
          <t>Observaciones sobre la auditoría territorial.</t>
        </is>
      </c>
      <c r="S1487" s="18" t="inlineStr">
        <is>
          <t>Alta</t>
        </is>
      </c>
      <c r="T1487" s="18" t="inlineStr">
        <is>
          <t>Convención de nombre, redactada con el contexto de la tabla y el código.</t>
        </is>
      </c>
      <c r="U1487" s="18" t="inlineStr"/>
      <c r="V1487" s="19" t="inlineStr">
        <is>
          <t>Aprobada</t>
        </is>
      </c>
      <c r="W1487" s="19" t="inlineStr"/>
      <c r="X1487" s="19" t="inlineStr">
        <is>
          <t>Aldair González (aprobación en bloque)</t>
        </is>
      </c>
      <c r="Y1487" s="20" t="n">
        <v>46321</v>
      </c>
      <c r="Z1487" s="19" t="inlineStr">
        <is>
          <t>Nivel 2: regla estructural con redacción revisada.</t>
        </is>
      </c>
      <c r="AA1487" s="18">
        <f>IF(OR(V1487="Aprobada"),R1487,IF(AND(OR(V1487="Aprobada con ajuste",V1487="Rechazada"),W1487&lt;&gt;""),W1487,""))</f>
        <v/>
      </c>
    </row>
    <row r="1488">
      <c r="A1488" s="18" t="inlineStr">
        <is>
          <t>C1487</t>
        </is>
      </c>
      <c r="B1488" s="18" t="inlineStr">
        <is>
          <t>Control interno</t>
        </is>
      </c>
      <c r="C1488" s="18" t="inlineStr">
        <is>
          <t>control_interno</t>
        </is>
      </c>
      <c r="D1488" s="18" t="inlineStr">
        <is>
          <t>cache_esap</t>
        </is>
      </c>
      <c r="E1488" s="18" t="n">
        <v>0</v>
      </c>
      <c r="F1488" s="18" t="inlineStr">
        <is>
          <t>clave</t>
        </is>
      </c>
      <c r="G1488" s="18" t="inlineStr">
        <is>
          <t>character varying(500)</t>
        </is>
      </c>
      <c r="H1488" s="18" t="inlineStr">
        <is>
          <t>No</t>
        </is>
      </c>
      <c r="I1488" s="18" t="inlineStr">
        <is>
          <t>Única</t>
        </is>
      </c>
      <c r="J1488" s="18" t="inlineStr"/>
      <c r="K1488" s="18" t="inlineStr"/>
      <c r="L1488" s="18" t="inlineStr">
        <is>
          <t>Sí</t>
        </is>
      </c>
      <c r="M1488" s="18" t="inlineStr">
        <is>
          <t>No</t>
        </is>
      </c>
      <c r="N1488" s="18" t="inlineStr"/>
      <c r="O1488" s="18" t="inlineStr">
        <is>
          <t>cache_esap_clave_key, idx_cache_clave</t>
        </is>
      </c>
      <c r="P1488" s="18" t="inlineStr"/>
      <c r="Q1488" s="18" t="inlineStr">
        <is>
          <t>Propuesta semántica</t>
        </is>
      </c>
      <c r="R1488" s="18" t="inlineStr">
        <is>
          <t>Clave única de la entrada de caché.</t>
        </is>
      </c>
      <c r="S1488" s="18" t="inlineStr">
        <is>
          <t>Alta</t>
        </is>
      </c>
      <c r="T1488" s="18" t="inlineStr">
        <is>
          <t>nombre + restricción única + descripción de la tabla ~</t>
        </is>
      </c>
      <c r="U1488" s="18" t="inlineStr"/>
      <c r="V1488" s="19" t="inlineStr">
        <is>
          <t>Aprobada</t>
        </is>
      </c>
      <c r="W1488" s="19" t="inlineStr"/>
      <c r="X1488" s="19" t="inlineStr">
        <is>
          <t>Aldair González (aprobación en bloque)</t>
        </is>
      </c>
      <c r="Y1488" s="20" t="n">
        <v>46321</v>
      </c>
      <c r="Z1488" s="19" t="inlineStr">
        <is>
          <t>Nivel 1: propuesta del comentario del desarrollador o de confianza alta, o regla de fecha/responsable/motivo.</t>
        </is>
      </c>
      <c r="AA1488" s="18">
        <f>IF(OR(V1488="Aprobada"),R1488,IF(AND(OR(V1488="Aprobada con ajuste",V1488="Rechazada"),W1488&lt;&gt;""),W1488,""))</f>
        <v/>
      </c>
    </row>
    <row r="1489">
      <c r="A1489" s="18" t="inlineStr">
        <is>
          <t>C1488</t>
        </is>
      </c>
      <c r="B1489" s="18" t="inlineStr">
        <is>
          <t>Control interno</t>
        </is>
      </c>
      <c r="C1489" s="18" t="inlineStr">
        <is>
          <t>control_interno</t>
        </is>
      </c>
      <c r="D1489" s="18" t="inlineStr">
        <is>
          <t>cache_esap</t>
        </is>
      </c>
      <c r="E1489" s="18" t="n">
        <v>0</v>
      </c>
      <c r="F1489" s="18" t="inlineStr">
        <is>
          <t>valor</t>
        </is>
      </c>
      <c r="G1489" s="18" t="inlineStr">
        <is>
          <t>jsonb</t>
        </is>
      </c>
      <c r="H1489" s="18" t="inlineStr">
        <is>
          <t>No</t>
        </is>
      </c>
      <c r="I1489" s="18" t="inlineStr"/>
      <c r="J1489" s="18" t="inlineStr"/>
      <c r="K1489" s="18" t="inlineStr"/>
      <c r="L1489" s="18" t="inlineStr">
        <is>
          <t>Sí</t>
        </is>
      </c>
      <c r="M1489" s="18" t="inlineStr">
        <is>
          <t>No</t>
        </is>
      </c>
      <c r="N1489" s="18" t="inlineStr"/>
      <c r="O1489" s="18" t="inlineStr"/>
      <c r="P1489" s="18" t="inlineStr"/>
      <c r="Q1489" s="18" t="inlineStr">
        <is>
          <t>Propuesta semántica</t>
        </is>
      </c>
      <c r="R1489" s="18" t="inlineStr">
        <is>
          <t>Valor almacenado en caché para la clave, en formato JSON.</t>
        </is>
      </c>
      <c r="S1489" s="18" t="inlineStr">
        <is>
          <t>Alta</t>
        </is>
      </c>
      <c r="T1489" s="18" t="inlineStr">
        <is>
          <t>nombre + tipo jsonb + descripción de la tabla ~</t>
        </is>
      </c>
      <c r="U1489" s="18" t="inlineStr"/>
      <c r="V1489" s="19" t="inlineStr">
        <is>
          <t>Aprobada</t>
        </is>
      </c>
      <c r="W1489" s="19" t="inlineStr"/>
      <c r="X1489" s="19" t="inlineStr">
        <is>
          <t>Aldair González (aprobación en bloque)</t>
        </is>
      </c>
      <c r="Y1489" s="20" t="n">
        <v>46321</v>
      </c>
      <c r="Z1489" s="19" t="inlineStr">
        <is>
          <t>Nivel 1: propuesta del comentario del desarrollador o de confianza alta, o regla de fecha/responsable/motivo.</t>
        </is>
      </c>
      <c r="AA1489" s="18">
        <f>IF(OR(V1489="Aprobada"),R1489,IF(AND(OR(V1489="Aprobada con ajuste",V1489="Rechazada"),W1489&lt;&gt;""),W1489,""))</f>
        <v/>
      </c>
    </row>
    <row r="1490">
      <c r="A1490" s="18" t="inlineStr">
        <is>
          <t>C1489</t>
        </is>
      </c>
      <c r="B1490" s="18" t="inlineStr">
        <is>
          <t>Control interno</t>
        </is>
      </c>
      <c r="C1490" s="18" t="inlineStr">
        <is>
          <t>control_interno</t>
        </is>
      </c>
      <c r="D1490" s="18" t="inlineStr">
        <is>
          <t>cache_esap</t>
        </is>
      </c>
      <c r="E1490" s="18" t="n">
        <v>0</v>
      </c>
      <c r="F1490" s="18" t="inlineStr">
        <is>
          <t>fecha_expiracion</t>
        </is>
      </c>
      <c r="G1490" s="18" t="inlineStr">
        <is>
          <t>timestamp without time zone</t>
        </is>
      </c>
      <c r="H1490" s="18" t="inlineStr">
        <is>
          <t>Sí</t>
        </is>
      </c>
      <c r="I1490" s="18" t="inlineStr"/>
      <c r="J1490" s="18" t="inlineStr"/>
      <c r="K1490" s="18" t="inlineStr"/>
      <c r="L1490" s="18" t="inlineStr">
        <is>
          <t>Sí</t>
        </is>
      </c>
      <c r="M1490" s="18" t="inlineStr">
        <is>
          <t>No</t>
        </is>
      </c>
      <c r="N1490" s="18" t="inlineStr"/>
      <c r="O1490" s="18" t="inlineStr">
        <is>
          <t>idx_cache_expiracion</t>
        </is>
      </c>
      <c r="P1490" s="18" t="inlineStr"/>
      <c r="Q1490" s="18" t="inlineStr">
        <is>
          <t>Regla estructural (redacción revisada)</t>
        </is>
      </c>
      <c r="R1490" s="18" t="inlineStr">
        <is>
          <t>Fecha y hora en que expira la entrada de caché.</t>
        </is>
      </c>
      <c r="S1490" s="18" t="inlineStr">
        <is>
          <t>Alta</t>
        </is>
      </c>
      <c r="T1490" s="18" t="inlineStr">
        <is>
          <t>Convención de nombre, redactada con el contexto de la tabla y el código.</t>
        </is>
      </c>
      <c r="U1490" s="18" t="inlineStr"/>
      <c r="V1490" s="19" t="inlineStr">
        <is>
          <t>Aprobada</t>
        </is>
      </c>
      <c r="W1490" s="19" t="inlineStr"/>
      <c r="X1490" s="19" t="inlineStr">
        <is>
          <t>Aldair González (aprobación en bloque)</t>
        </is>
      </c>
      <c r="Y1490" s="20" t="n">
        <v>46321</v>
      </c>
      <c r="Z1490" s="19" t="inlineStr">
        <is>
          <t>Nivel 2: regla estructural con redacción revisada.</t>
        </is>
      </c>
      <c r="AA1490" s="18">
        <f>IF(OR(V1490="Aprobada"),R1490,IF(AND(OR(V1490="Aprobada con ajuste",V1490="Rechazada"),W1490&lt;&gt;""),W1490,""))</f>
        <v/>
      </c>
    </row>
    <row r="1491">
      <c r="A1491" s="18" t="inlineStr">
        <is>
          <t>C1490</t>
        </is>
      </c>
      <c r="B1491" s="18" t="inlineStr">
        <is>
          <t>Control interno</t>
        </is>
      </c>
      <c r="C1491" s="18" t="inlineStr">
        <is>
          <t>control_interno</t>
        </is>
      </c>
      <c r="D1491" s="18" t="inlineStr">
        <is>
          <t>cierre_plan</t>
        </is>
      </c>
      <c r="E1491" s="18" t="n">
        <v>2</v>
      </c>
      <c r="F1491" s="18" t="inlineStr">
        <is>
          <t>cerrado</t>
        </is>
      </c>
      <c r="G1491" s="18" t="inlineStr">
        <is>
          <t>boolean</t>
        </is>
      </c>
      <c r="H1491" s="18" t="inlineStr">
        <is>
          <t>Sí</t>
        </is>
      </c>
      <c r="I1491" s="18" t="inlineStr"/>
      <c r="J1491" s="18" t="inlineStr"/>
      <c r="K1491" s="18" t="inlineStr"/>
      <c r="L1491" s="18" t="inlineStr">
        <is>
          <t>No</t>
        </is>
      </c>
      <c r="M1491" s="18" t="inlineStr">
        <is>
          <t>No</t>
        </is>
      </c>
      <c r="N1491" s="18" t="inlineStr"/>
      <c r="O1491" s="18" t="inlineStr"/>
      <c r="P1491" s="18" t="inlineStr">
        <is>
          <t>internal-institutional-control-service/src/esap/planes-mejoramiento/entities/cierre-plan.entity.ts:31: ¿El plan está cerrado?</t>
        </is>
      </c>
      <c r="Q1491" s="18" t="inlineStr">
        <is>
          <t>Código fuente</t>
        </is>
      </c>
      <c r="R1491" s="18" t="inlineStr">
        <is>
          <t>Indica si el plan de mejoramiento está cerrado; por defecto falso.</t>
        </is>
      </c>
      <c r="S1491" s="18" t="inlineStr">
        <is>
          <t>Alta</t>
        </is>
      </c>
      <c r="T1491" s="18" t="inlineStr">
        <is>
          <t>código: internal-institutional-control-service/src/esap/planes-mejoramiento/entities/cierre-plan.entity.ts:31</t>
        </is>
      </c>
      <c r="U1491" s="18" t="inlineStr"/>
      <c r="V1491" s="19" t="inlineStr">
        <is>
          <t>Aprobada</t>
        </is>
      </c>
      <c r="W1491" s="19" t="inlineStr"/>
      <c r="X1491" s="19" t="inlineStr">
        <is>
          <t>Aldair González (aprobación en bloque)</t>
        </is>
      </c>
      <c r="Y1491" s="20" t="n">
        <v>46321</v>
      </c>
      <c r="Z1491" s="19" t="inlineStr">
        <is>
          <t>Nivel 1: propuesta del comentario del desarrollador o de confianza alta, o regla de fecha/responsable/motivo.</t>
        </is>
      </c>
      <c r="AA1491" s="18">
        <f>IF(OR(V1491="Aprobada"),R1491,IF(AND(OR(V1491="Aprobada con ajuste",V1491="Rechazada"),W1491&lt;&gt;""),W1491,""))</f>
        <v/>
      </c>
    </row>
    <row r="1492">
      <c r="A1492" s="18" t="inlineStr">
        <is>
          <t>C1491</t>
        </is>
      </c>
      <c r="B1492" s="18" t="inlineStr">
        <is>
          <t>Control interno</t>
        </is>
      </c>
      <c r="C1492" s="18" t="inlineStr">
        <is>
          <t>control_interno</t>
        </is>
      </c>
      <c r="D1492" s="18" t="inlineStr">
        <is>
          <t>cierre_plan</t>
        </is>
      </c>
      <c r="E1492" s="18" t="n">
        <v>2</v>
      </c>
      <c r="F1492" s="18" t="inlineStr">
        <is>
          <t>fecha_cierre</t>
        </is>
      </c>
      <c r="G1492" s="18" t="inlineStr">
        <is>
          <t>timestamp with time zone</t>
        </is>
      </c>
      <c r="H1492" s="18" t="inlineStr">
        <is>
          <t>Sí</t>
        </is>
      </c>
      <c r="I1492" s="18" t="inlineStr"/>
      <c r="J1492" s="18" t="inlineStr"/>
      <c r="K1492" s="18" t="inlineStr"/>
      <c r="L1492" s="18" t="inlineStr">
        <is>
          <t>No</t>
        </is>
      </c>
      <c r="M1492" s="18" t="inlineStr">
        <is>
          <t>No</t>
        </is>
      </c>
      <c r="N1492" s="18" t="inlineStr"/>
      <c r="O1492" s="18" t="inlineStr"/>
      <c r="P1492" s="18" t="inlineStr">
        <is>
          <t>internal-institutional-control-service/src/esap/planes-mejoramiento/entities/cierre-plan.entity.ts:35: Fecha de cierre</t>
        </is>
      </c>
      <c r="Q1492" s="18" t="inlineStr">
        <is>
          <t>Código fuente</t>
        </is>
      </c>
      <c r="R1492" s="18" t="inlineStr">
        <is>
          <t>Fecha y hora de cierre del plan de mejoramiento.</t>
        </is>
      </c>
      <c r="S1492" s="18" t="inlineStr">
        <is>
          <t>Alta</t>
        </is>
      </c>
      <c r="T1492" s="18" t="inlineStr">
        <is>
          <t>código: internal-institutional-control-service/src/esap/planes-mejoramiento/entities/cierre-plan.entity.ts:35</t>
        </is>
      </c>
      <c r="U1492" s="18" t="inlineStr"/>
      <c r="V1492" s="19" t="inlineStr">
        <is>
          <t>Aprobada</t>
        </is>
      </c>
      <c r="W1492" s="19" t="inlineStr"/>
      <c r="X1492" s="19" t="inlineStr">
        <is>
          <t>Aldair González (aprobación en bloque)</t>
        </is>
      </c>
      <c r="Y1492" s="20" t="n">
        <v>46321</v>
      </c>
      <c r="Z1492" s="19" t="inlineStr">
        <is>
          <t>Nivel 1: propuesta del comentario del desarrollador o de confianza alta, o regla de fecha/responsable/motivo.</t>
        </is>
      </c>
      <c r="AA1492" s="18">
        <f>IF(OR(V1492="Aprobada"),R1492,IF(AND(OR(V1492="Aprobada con ajuste",V1492="Rechazada"),W1492&lt;&gt;""),W1492,""))</f>
        <v/>
      </c>
    </row>
    <row r="1493">
      <c r="A1493" s="18" t="inlineStr">
        <is>
          <t>C1492</t>
        </is>
      </c>
      <c r="B1493" s="18" t="inlineStr">
        <is>
          <t>Control interno</t>
        </is>
      </c>
      <c r="C1493" s="18" t="inlineStr">
        <is>
          <t>control_interno</t>
        </is>
      </c>
      <c r="D1493" s="18" t="inlineStr">
        <is>
          <t>cierre_plan</t>
        </is>
      </c>
      <c r="E1493" s="18" t="n">
        <v>2</v>
      </c>
      <c r="F1493" s="18" t="inlineStr">
        <is>
          <t>cerrado_por_id</t>
        </is>
      </c>
      <c r="G1493" s="18" t="inlineStr">
        <is>
          <t>character varying(255)</t>
        </is>
      </c>
      <c r="H1493" s="18" t="inlineStr">
        <is>
          <t>Sí</t>
        </is>
      </c>
      <c r="I1493" s="18" t="inlineStr"/>
      <c r="J1493" s="18" t="inlineStr"/>
      <c r="K1493" s="18" t="inlineStr"/>
      <c r="L1493" s="18" t="inlineStr">
        <is>
          <t>No</t>
        </is>
      </c>
      <c r="M1493" s="18" t="inlineStr">
        <is>
          <t>No</t>
        </is>
      </c>
      <c r="N1493" s="18" t="inlineStr"/>
      <c r="O1493" s="18" t="inlineStr"/>
      <c r="P1493" s="18" t="inlineStr">
        <is>
          <t>internal-institutional-control-service/src/esap/planes-mejoramiento/entities/cierre-plan.entity.ts:39: ID del responsable que cerró el plan (Jefe OCI o delegado)</t>
        </is>
      </c>
      <c r="Q1493" s="18" t="inlineStr">
        <is>
          <t>Código fuente</t>
        </is>
      </c>
      <c r="R1493" s="18" t="inlineStr">
        <is>
          <t>Identificador del responsable que cerró el plan (jefe de la Oficina de Control Interno o delegado).</t>
        </is>
      </c>
      <c r="S1493" s="18" t="inlineStr">
        <is>
          <t>Alta</t>
        </is>
      </c>
      <c r="T1493" s="18" t="inlineStr">
        <is>
          <t>código: internal-institutional-control-service/src/esap/planes-mejoramiento/entities/cierre-plan.entity.ts:39</t>
        </is>
      </c>
      <c r="U1493" s="18" t="inlineStr"/>
      <c r="V1493" s="19" t="inlineStr">
        <is>
          <t>Aprobada</t>
        </is>
      </c>
      <c r="W1493" s="19" t="inlineStr"/>
      <c r="X1493" s="19" t="inlineStr">
        <is>
          <t>Aldair González (aprobación en bloque)</t>
        </is>
      </c>
      <c r="Y1493" s="20" t="n">
        <v>46321</v>
      </c>
      <c r="Z1493" s="19" t="inlineStr">
        <is>
          <t>Nivel 1: propuesta del comentario del desarrollador o de confianza alta, o regla de fecha/responsable/motivo.</t>
        </is>
      </c>
      <c r="AA1493" s="18">
        <f>IF(OR(V1493="Aprobada"),R1493,IF(AND(OR(V1493="Aprobada con ajuste",V1493="Rechazada"),W1493&lt;&gt;""),W1493,""))</f>
        <v/>
      </c>
    </row>
    <row r="1494">
      <c r="A1494" s="18" t="inlineStr">
        <is>
          <t>C1493</t>
        </is>
      </c>
      <c r="B1494" s="18" t="inlineStr">
        <is>
          <t>Control interno</t>
        </is>
      </c>
      <c r="C1494" s="18" t="inlineStr">
        <is>
          <t>control_interno</t>
        </is>
      </c>
      <c r="D1494" s="18" t="inlineStr">
        <is>
          <t>cierre_plan</t>
        </is>
      </c>
      <c r="E1494" s="18" t="n">
        <v>2</v>
      </c>
      <c r="F1494" s="18" t="inlineStr">
        <is>
          <t>cerrado_por_nombre</t>
        </is>
      </c>
      <c r="G1494" s="18" t="inlineStr">
        <is>
          <t>character varying(500)</t>
        </is>
      </c>
      <c r="H1494" s="18" t="inlineStr">
        <is>
          <t>Sí</t>
        </is>
      </c>
      <c r="I1494" s="18" t="inlineStr"/>
      <c r="J1494" s="18" t="inlineStr"/>
      <c r="K1494" s="18" t="inlineStr"/>
      <c r="L1494" s="18" t="inlineStr">
        <is>
          <t>No</t>
        </is>
      </c>
      <c r="M1494" s="18" t="inlineStr">
        <is>
          <t>No</t>
        </is>
      </c>
      <c r="N1494" s="18" t="inlineStr"/>
      <c r="O1494" s="18" t="inlineStr"/>
      <c r="P1494" s="18" t="inlineStr">
        <is>
          <t>internal-institutional-control-service/src/esap/planes-mejoramiento/entities/cierre-plan.entity.ts:43: Nombre del responsable que cerró (desnormalizado para trazabilidad)</t>
        </is>
      </c>
      <c r="Q1494" s="18" t="inlineStr">
        <is>
          <t>Código fuente</t>
        </is>
      </c>
      <c r="R1494" s="18" t="inlineStr">
        <is>
          <t>Nombre del responsable que cerró el plan, copiado para trazabilidad.</t>
        </is>
      </c>
      <c r="S1494" s="18" t="inlineStr">
        <is>
          <t>Alta</t>
        </is>
      </c>
      <c r="T1494" s="18" t="inlineStr">
        <is>
          <t>código: internal-institutional-control-service/src/esap/planes-mejoramiento/entities/cierre-plan.entity.ts:43</t>
        </is>
      </c>
      <c r="U1494" s="18" t="inlineStr"/>
      <c r="V1494" s="19" t="inlineStr">
        <is>
          <t>Aprobada</t>
        </is>
      </c>
      <c r="W1494" s="19" t="inlineStr"/>
      <c r="X1494" s="19" t="inlineStr">
        <is>
          <t>Aldair González (aprobación en bloque)</t>
        </is>
      </c>
      <c r="Y1494" s="20" t="n">
        <v>46321</v>
      </c>
      <c r="Z1494" s="19" t="inlineStr">
        <is>
          <t>Nivel 1: propuesta del comentario del desarrollador o de confianza alta, o regla de fecha/responsable/motivo.</t>
        </is>
      </c>
      <c r="AA1494" s="18">
        <f>IF(OR(V1494="Aprobada"),R1494,IF(AND(OR(V1494="Aprobada con ajuste",V1494="Rechazada"),W1494&lt;&gt;""),W1494,""))</f>
        <v/>
      </c>
    </row>
    <row r="1495">
      <c r="A1495" s="18" t="inlineStr">
        <is>
          <t>C1494</t>
        </is>
      </c>
      <c r="B1495" s="18" t="inlineStr">
        <is>
          <t>Control interno</t>
        </is>
      </c>
      <c r="C1495" s="18" t="inlineStr">
        <is>
          <t>control_interno</t>
        </is>
      </c>
      <c r="D1495" s="18" t="inlineStr">
        <is>
          <t>cierre_plan</t>
        </is>
      </c>
      <c r="E1495" s="18" t="n">
        <v>2</v>
      </c>
      <c r="F1495" s="18" t="inlineStr">
        <is>
          <t>observaciones_cierre</t>
        </is>
      </c>
      <c r="G1495" s="18" t="inlineStr">
        <is>
          <t>text</t>
        </is>
      </c>
      <c r="H1495" s="18" t="inlineStr">
        <is>
          <t>Sí</t>
        </is>
      </c>
      <c r="I1495" s="18" t="inlineStr"/>
      <c r="J1495" s="18" t="inlineStr"/>
      <c r="K1495" s="18" t="inlineStr"/>
      <c r="L1495" s="18" t="inlineStr">
        <is>
          <t>No</t>
        </is>
      </c>
      <c r="M1495" s="18" t="inlineStr">
        <is>
          <t>No</t>
        </is>
      </c>
      <c r="N1495" s="18" t="inlineStr"/>
      <c r="O1495" s="18" t="inlineStr"/>
      <c r="P1495" s="18" t="inlineStr">
        <is>
          <t>internal-institutional-control-service/src/esap/planes-mejoramiento/entities/cierre-plan.entity.ts:47: Observaciones del cierre | Validación: IsOptional, IsString</t>
        </is>
      </c>
      <c r="Q1495" s="18" t="inlineStr">
        <is>
          <t>Código fuente</t>
        </is>
      </c>
      <c r="R1495" s="18" t="inlineStr">
        <is>
          <t>Observaciones del cierre del plan.</t>
        </is>
      </c>
      <c r="S1495" s="18" t="inlineStr">
        <is>
          <t>Alta</t>
        </is>
      </c>
      <c r="T1495" s="18" t="inlineStr">
        <is>
          <t>código: internal-institutional-control-service/src/esap/planes-mejoramiento/entities/cierre-plan.entity.ts:47</t>
        </is>
      </c>
      <c r="U1495" s="18" t="inlineStr"/>
      <c r="V1495" s="19" t="inlineStr">
        <is>
          <t>Aprobada</t>
        </is>
      </c>
      <c r="W1495" s="19" t="inlineStr"/>
      <c r="X1495" s="19" t="inlineStr">
        <is>
          <t>Aldair González (aprobación en bloque)</t>
        </is>
      </c>
      <c r="Y1495" s="20" t="n">
        <v>46321</v>
      </c>
      <c r="Z1495" s="19" t="inlineStr">
        <is>
          <t>Nivel 1: propuesta del comentario del desarrollador o de confianza alta, o regla de fecha/responsable/motivo.</t>
        </is>
      </c>
      <c r="AA1495" s="18">
        <f>IF(OR(V1495="Aprobada"),R1495,IF(AND(OR(V1495="Aprobada con ajuste",V1495="Rechazada"),W1495&lt;&gt;""),W1495,""))</f>
        <v/>
      </c>
    </row>
    <row r="1496">
      <c r="A1496" s="18" t="inlineStr">
        <is>
          <t>C1495</t>
        </is>
      </c>
      <c r="B1496" s="18" t="inlineStr">
        <is>
          <t>Control interno</t>
        </is>
      </c>
      <c r="C1496" s="18" t="inlineStr">
        <is>
          <t>control_interno</t>
        </is>
      </c>
      <c r="D1496" s="18" t="inlineStr">
        <is>
          <t>cierre_plan</t>
        </is>
      </c>
      <c r="E1496" s="18" t="n">
        <v>2</v>
      </c>
      <c r="F1496" s="18" t="inlineStr">
        <is>
          <t>efectividad_verificada</t>
        </is>
      </c>
      <c r="G1496" s="18" t="inlineStr">
        <is>
          <t>boolean</t>
        </is>
      </c>
      <c r="H1496" s="18" t="inlineStr">
        <is>
          <t>Sí</t>
        </is>
      </c>
      <c r="I1496" s="18" t="inlineStr"/>
      <c r="J1496" s="18" t="inlineStr"/>
      <c r="K1496" s="18" t="inlineStr"/>
      <c r="L1496" s="18" t="inlineStr">
        <is>
          <t>No</t>
        </is>
      </c>
      <c r="M1496" s="18" t="inlineStr">
        <is>
          <t>No</t>
        </is>
      </c>
      <c r="N1496" s="18" t="inlineStr"/>
      <c r="O1496" s="18" t="inlineStr"/>
      <c r="P1496" s="18" t="inlineStr">
        <is>
          <t>internal-institutional-control-service/src/esap/planes-mejoramiento/entities/cierre-plan.entity.ts:51: ¿Efectividad verificada en la siguiente auditoría? (EM-PT-002 act. 9)</t>
        </is>
      </c>
      <c r="Q1496" s="18" t="inlineStr">
        <is>
          <t>Código fuente</t>
        </is>
      </c>
      <c r="R1496" s="18" t="inlineStr">
        <is>
          <t>Indica si la efectividad se verificó en la siguiente auditoría; por defecto falso (EM-PT-002, actividad 9).</t>
        </is>
      </c>
      <c r="S1496" s="18" t="inlineStr">
        <is>
          <t>Alta</t>
        </is>
      </c>
      <c r="T1496" s="18" t="inlineStr">
        <is>
          <t>código: internal-institutional-control-service/src/esap/planes-mejoramiento/entities/cierre-plan.entity.ts:51</t>
        </is>
      </c>
      <c r="U1496" s="18" t="inlineStr"/>
      <c r="V1496" s="19" t="inlineStr">
        <is>
          <t>Aprobada</t>
        </is>
      </c>
      <c r="W1496" s="19" t="inlineStr"/>
      <c r="X1496" s="19" t="inlineStr">
        <is>
          <t>Aldair González (aprobación en bloque)</t>
        </is>
      </c>
      <c r="Y1496" s="20" t="n">
        <v>46321</v>
      </c>
      <c r="Z1496" s="19" t="inlineStr">
        <is>
          <t>Nivel 1: propuesta del comentario del desarrollador o de confianza alta, o regla de fecha/responsable/motivo.</t>
        </is>
      </c>
      <c r="AA1496" s="18">
        <f>IF(OR(V1496="Aprobada"),R1496,IF(AND(OR(V1496="Aprobada con ajuste",V1496="Rechazada"),W1496&lt;&gt;""),W1496,""))</f>
        <v/>
      </c>
    </row>
    <row r="1497">
      <c r="A1497" s="18" t="inlineStr">
        <is>
          <t>C1496</t>
        </is>
      </c>
      <c r="B1497" s="18" t="inlineStr">
        <is>
          <t>Control interno</t>
        </is>
      </c>
      <c r="C1497" s="18" t="inlineStr">
        <is>
          <t>control_interno</t>
        </is>
      </c>
      <c r="D1497" s="18" t="inlineStr">
        <is>
          <t>cierre_plan</t>
        </is>
      </c>
      <c r="E1497" s="18" t="n">
        <v>2</v>
      </c>
      <c r="F1497" s="18" t="inlineStr">
        <is>
          <t>archivado</t>
        </is>
      </c>
      <c r="G1497" s="18" t="inlineStr">
        <is>
          <t>boolean</t>
        </is>
      </c>
      <c r="H1497" s="18" t="inlineStr">
        <is>
          <t>Sí</t>
        </is>
      </c>
      <c r="I1497" s="18" t="inlineStr"/>
      <c r="J1497" s="18" t="inlineStr"/>
      <c r="K1497" s="18" t="inlineStr"/>
      <c r="L1497" s="18" t="inlineStr">
        <is>
          <t>No</t>
        </is>
      </c>
      <c r="M1497" s="18" t="inlineStr">
        <is>
          <t>No</t>
        </is>
      </c>
      <c r="N1497" s="18" t="inlineStr"/>
      <c r="O1497" s="18" t="inlineStr"/>
      <c r="P1497" s="18" t="inlineStr">
        <is>
          <t>internal-institutional-control-service/src/esap/planes-mejoramiento/entities/cierre-plan.entity.ts:55: ¿Expediente archivado con índice electrónico? (EM-PT-002 act. 10)</t>
        </is>
      </c>
      <c r="Q1497" s="18" t="inlineStr">
        <is>
          <t>Código fuente</t>
        </is>
      </c>
      <c r="R1497" s="18" t="inlineStr">
        <is>
          <t>Indica si el expediente del plan se archivó con índice electrónico; por defecto falso (EM-PT-002, actividad 10).</t>
        </is>
      </c>
      <c r="S1497" s="18" t="inlineStr">
        <is>
          <t>Alta</t>
        </is>
      </c>
      <c r="T1497" s="18" t="inlineStr">
        <is>
          <t>código: internal-institutional-control-service/src/esap/planes-mejoramiento/entities/cierre-plan.entity.ts:55</t>
        </is>
      </c>
      <c r="U1497" s="18" t="inlineStr"/>
      <c r="V1497" s="19" t="inlineStr">
        <is>
          <t>Aprobada</t>
        </is>
      </c>
      <c r="W1497" s="19" t="inlineStr"/>
      <c r="X1497" s="19" t="inlineStr">
        <is>
          <t>Aldair González (aprobación en bloque)</t>
        </is>
      </c>
      <c r="Y1497" s="20" t="n">
        <v>46321</v>
      </c>
      <c r="Z1497" s="19" t="inlineStr">
        <is>
          <t>Nivel 1: propuesta del comentario del desarrollador o de confianza alta, o regla de fecha/responsable/motivo.</t>
        </is>
      </c>
      <c r="AA1497" s="18">
        <f>IF(OR(V1497="Aprobada"),R1497,IF(AND(OR(V1497="Aprobada con ajuste",V1497="Rechazada"),W1497&lt;&gt;""),W1497,""))</f>
        <v/>
      </c>
    </row>
    <row r="1498">
      <c r="A1498" s="18" t="inlineStr">
        <is>
          <t>C1497</t>
        </is>
      </c>
      <c r="B1498" s="18" t="inlineStr">
        <is>
          <t>Control interno</t>
        </is>
      </c>
      <c r="C1498" s="18" t="inlineStr">
        <is>
          <t>control_interno</t>
        </is>
      </c>
      <c r="D1498" s="18" t="inlineStr">
        <is>
          <t>cierre_plan</t>
        </is>
      </c>
      <c r="E1498" s="18" t="n">
        <v>2</v>
      </c>
      <c r="F1498" s="18" t="inlineStr">
        <is>
          <t>indice_electronico_ref</t>
        </is>
      </c>
      <c r="G1498" s="18" t="inlineStr">
        <is>
          <t>character varying(1000)</t>
        </is>
      </c>
      <c r="H1498" s="18" t="inlineStr">
        <is>
          <t>Sí</t>
        </is>
      </c>
      <c r="I1498" s="18" t="inlineStr"/>
      <c r="J1498" s="18" t="inlineStr"/>
      <c r="K1498" s="18" t="inlineStr"/>
      <c r="L1498" s="18" t="inlineStr">
        <is>
          <t>No</t>
        </is>
      </c>
      <c r="M1498" s="18" t="inlineStr">
        <is>
          <t>No</t>
        </is>
      </c>
      <c r="N1498" s="18" t="inlineStr"/>
      <c r="O1498" s="18" t="inlineStr"/>
      <c r="P1498" s="18" t="inlineStr">
        <is>
          <t>internal-institutional-control-service/src/esap/planes-mejoramiento/entities/cierre-plan.entity.ts:59: Referencia al índice electrónico del expediente</t>
        </is>
      </c>
      <c r="Q1498" s="18" t="inlineStr">
        <is>
          <t>Código fuente</t>
        </is>
      </c>
      <c r="R1498" s="18" t="inlineStr">
        <is>
          <t>Referencia al índice electrónico del expediente del plan.</t>
        </is>
      </c>
      <c r="S1498" s="18" t="inlineStr">
        <is>
          <t>Alta</t>
        </is>
      </c>
      <c r="T1498" s="18" t="inlineStr">
        <is>
          <t>código: internal-institutional-control-service/src/esap/planes-mejoramiento/entities/cierre-plan.entity.ts:59</t>
        </is>
      </c>
      <c r="U1498" s="18" t="inlineStr"/>
      <c r="V1498" s="19" t="inlineStr">
        <is>
          <t>Aprobada</t>
        </is>
      </c>
      <c r="W1498" s="19" t="inlineStr"/>
      <c r="X1498" s="19" t="inlineStr">
        <is>
          <t>Aldair González (aprobación en bloque)</t>
        </is>
      </c>
      <c r="Y1498" s="20" t="n">
        <v>46321</v>
      </c>
      <c r="Z1498" s="19" t="inlineStr">
        <is>
          <t>Nivel 1: propuesta del comentario del desarrollador o de confianza alta, o regla de fecha/responsable/motivo.</t>
        </is>
      </c>
      <c r="AA1498" s="18">
        <f>IF(OR(V1498="Aprobada"),R1498,IF(AND(OR(V1498="Aprobada con ajuste",V1498="Rechazada"),W1498&lt;&gt;""),W1498,""))</f>
        <v/>
      </c>
    </row>
    <row r="1499">
      <c r="A1499" s="18" t="inlineStr">
        <is>
          <t>C1498</t>
        </is>
      </c>
      <c r="B1499" s="18" t="inlineStr">
        <is>
          <t>Control interno</t>
        </is>
      </c>
      <c r="C1499" s="18" t="inlineStr">
        <is>
          <t>control_interno</t>
        </is>
      </c>
      <c r="D1499" s="18" t="inlineStr">
        <is>
          <t>cierre_plan</t>
        </is>
      </c>
      <c r="E1499" s="18" t="n">
        <v>2</v>
      </c>
      <c r="F1499" s="18" t="inlineStr">
        <is>
          <t>fecha_archivo</t>
        </is>
      </c>
      <c r="G1499" s="18" t="inlineStr">
        <is>
          <t>timestamp with time zone</t>
        </is>
      </c>
      <c r="H1499" s="18" t="inlineStr">
        <is>
          <t>Sí</t>
        </is>
      </c>
      <c r="I1499" s="18" t="inlineStr"/>
      <c r="J1499" s="18" t="inlineStr"/>
      <c r="K1499" s="18" t="inlineStr"/>
      <c r="L1499" s="18" t="inlineStr">
        <is>
          <t>No</t>
        </is>
      </c>
      <c r="M1499" s="18" t="inlineStr">
        <is>
          <t>No</t>
        </is>
      </c>
      <c r="N1499" s="18" t="inlineStr"/>
      <c r="O1499" s="18" t="inlineStr"/>
      <c r="P1499" s="18" t="inlineStr">
        <is>
          <t>internal-institutional-control-service/src/esap/planes-mejoramiento/entities/cierre-plan.entity.ts:63: Fecha de archivo | Validación: IsDateString, IsOptional</t>
        </is>
      </c>
      <c r="Q1499" s="18" t="inlineStr">
        <is>
          <t>Código fuente</t>
        </is>
      </c>
      <c r="R1499" s="18" t="inlineStr">
        <is>
          <t>Fecha y hora de archivo del expediente.</t>
        </is>
      </c>
      <c r="S1499" s="18" t="inlineStr">
        <is>
          <t>Alta</t>
        </is>
      </c>
      <c r="T1499" s="18" t="inlineStr">
        <is>
          <t>código: internal-institutional-control-service/src/esap/planes-mejoramiento/entities/cierre-plan.entity.ts:63</t>
        </is>
      </c>
      <c r="U1499" s="18" t="inlineStr"/>
      <c r="V1499" s="19" t="inlineStr">
        <is>
          <t>Aprobada</t>
        </is>
      </c>
      <c r="W1499" s="19" t="inlineStr"/>
      <c r="X1499" s="19" t="inlineStr">
        <is>
          <t>Aldair González (aprobación en bloque)</t>
        </is>
      </c>
      <c r="Y1499" s="20" t="n">
        <v>46321</v>
      </c>
      <c r="Z1499" s="19" t="inlineStr">
        <is>
          <t>Nivel 1: propuesta del comentario del desarrollador o de confianza alta, o regla de fecha/responsable/motivo.</t>
        </is>
      </c>
      <c r="AA1499" s="18">
        <f>IF(OR(V1499="Aprobada"),R1499,IF(AND(OR(V1499="Aprobada con ajuste",V1499="Rechazada"),W1499&lt;&gt;""),W1499,""))</f>
        <v/>
      </c>
    </row>
    <row r="1500">
      <c r="A1500" s="18" t="inlineStr">
        <is>
          <t>C1499</t>
        </is>
      </c>
      <c r="B1500" s="18" t="inlineStr">
        <is>
          <t>Control interno</t>
        </is>
      </c>
      <c r="C1500" s="18" t="inlineStr">
        <is>
          <t>control_interno</t>
        </is>
      </c>
      <c r="D1500" s="18" t="inlineStr">
        <is>
          <t>condicion_disparo_notificacion</t>
        </is>
      </c>
      <c r="E1500" s="18" t="n">
        <v>12</v>
      </c>
      <c r="F1500" s="18" t="inlineStr">
        <is>
          <t>nombre</t>
        </is>
      </c>
      <c r="G1500" s="18" t="inlineStr">
        <is>
          <t>character varying(255)</t>
        </is>
      </c>
      <c r="H1500" s="18" t="inlineStr">
        <is>
          <t>No</t>
        </is>
      </c>
      <c r="I1500" s="18" t="inlineStr">
        <is>
          <t>Única</t>
        </is>
      </c>
      <c r="J1500" s="18" t="inlineStr"/>
      <c r="K1500" s="18" t="inlineStr"/>
      <c r="L1500" s="18" t="inlineStr">
        <is>
          <t>Sí</t>
        </is>
      </c>
      <c r="M1500" s="18" t="inlineStr">
        <is>
          <t>No</t>
        </is>
      </c>
      <c r="N1500" s="18" t="inlineStr"/>
      <c r="O1500" s="18" t="inlineStr">
        <is>
          <t>condicion_disparo_notificacion_nombre_key</t>
        </is>
      </c>
      <c r="P1500" s="18" t="inlineStr"/>
      <c r="Q1500" s="18" t="inlineStr">
        <is>
          <t>Regla estructural (redacción revisada)</t>
        </is>
      </c>
      <c r="R1500" s="18" t="inlineStr">
        <is>
          <t>Nombre de la condición que dispara la notificación.</t>
        </is>
      </c>
      <c r="S1500" s="18" t="inlineStr">
        <is>
          <t>Alta</t>
        </is>
      </c>
      <c r="T1500" s="18" t="inlineStr">
        <is>
          <t>Convención de nombre, redactada con el contexto de la tabla y el código.</t>
        </is>
      </c>
      <c r="U1500" s="18" t="inlineStr"/>
      <c r="V1500" s="19" t="inlineStr">
        <is>
          <t>Aprobada</t>
        </is>
      </c>
      <c r="W1500" s="19" t="inlineStr"/>
      <c r="X1500" s="19" t="inlineStr">
        <is>
          <t>Aldair González (aprobación en bloque)</t>
        </is>
      </c>
      <c r="Y1500" s="20" t="n">
        <v>46321</v>
      </c>
      <c r="Z1500" s="19" t="inlineStr">
        <is>
          <t>Nivel 2: regla estructural con redacción revisada.</t>
        </is>
      </c>
      <c r="AA1500" s="18">
        <f>IF(OR(V1500="Aprobada"),R1500,IF(AND(OR(V1500="Aprobada con ajuste",V1500="Rechazada"),W1500&lt;&gt;""),W1500,""))</f>
        <v/>
      </c>
    </row>
    <row r="1501">
      <c r="A1501" s="18" t="inlineStr">
        <is>
          <t>C1500</t>
        </is>
      </c>
      <c r="B1501" s="18" t="inlineStr">
        <is>
          <t>Control interno</t>
        </is>
      </c>
      <c r="C1501" s="18" t="inlineStr">
        <is>
          <t>control_interno</t>
        </is>
      </c>
      <c r="D1501" s="18" t="inlineStr">
        <is>
          <t>condicion_disparo_notificacion</t>
        </is>
      </c>
      <c r="E1501" s="18" t="n">
        <v>12</v>
      </c>
      <c r="F1501" s="18" t="inlineStr">
        <is>
          <t>descripcion</t>
        </is>
      </c>
      <c r="G1501" s="18" t="inlineStr">
        <is>
          <t>character varying(255)</t>
        </is>
      </c>
      <c r="H1501" s="18" t="inlineStr">
        <is>
          <t>Sí</t>
        </is>
      </c>
      <c r="I1501" s="18" t="inlineStr"/>
      <c r="J1501" s="18" t="inlineStr"/>
      <c r="K1501" s="18" t="inlineStr"/>
      <c r="L1501" s="18" t="inlineStr">
        <is>
          <t>Sí</t>
        </is>
      </c>
      <c r="M1501" s="18" t="inlineStr">
        <is>
          <t>No</t>
        </is>
      </c>
      <c r="N1501" s="18" t="inlineStr"/>
      <c r="O1501" s="18" t="inlineStr"/>
      <c r="P1501" s="18" t="inlineStr"/>
      <c r="Q1501" s="18" t="inlineStr">
        <is>
          <t>Regla estructural (redacción revisada)</t>
        </is>
      </c>
      <c r="R1501" s="18" t="inlineStr">
        <is>
          <t>Descripción de la condición que dispara la notificación.</t>
        </is>
      </c>
      <c r="S1501" s="18" t="inlineStr">
        <is>
          <t>Alta</t>
        </is>
      </c>
      <c r="T1501" s="18" t="inlineStr">
        <is>
          <t>Convención de nombre, redactada con el contexto de la tabla y el código.</t>
        </is>
      </c>
      <c r="U1501" s="18" t="inlineStr"/>
      <c r="V1501" s="19" t="inlineStr">
        <is>
          <t>Aprobada</t>
        </is>
      </c>
      <c r="W1501" s="19" t="inlineStr"/>
      <c r="X1501" s="19" t="inlineStr">
        <is>
          <t>Aldair González (aprobación en bloque)</t>
        </is>
      </c>
      <c r="Y1501" s="20" t="n">
        <v>46321</v>
      </c>
      <c r="Z1501" s="19" t="inlineStr">
        <is>
          <t>Nivel 2: regla estructural con redacción revisada.</t>
        </is>
      </c>
      <c r="AA1501" s="18">
        <f>IF(OR(V1501="Aprobada"),R1501,IF(AND(OR(V1501="Aprobada con ajuste",V1501="Rechazada"),W1501&lt;&gt;""),W1501,""))</f>
        <v/>
      </c>
    </row>
    <row r="1502">
      <c r="A1502" s="18" t="inlineStr">
        <is>
          <t>C1501</t>
        </is>
      </c>
      <c r="B1502" s="18" t="inlineStr">
        <is>
          <t>Control interno</t>
        </is>
      </c>
      <c r="C1502" s="18" t="inlineStr">
        <is>
          <t>control_interno</t>
        </is>
      </c>
      <c r="D1502" s="18" t="inlineStr">
        <is>
          <t>condicion_disparo_notificacion</t>
        </is>
      </c>
      <c r="E1502" s="18" t="n">
        <v>12</v>
      </c>
      <c r="F1502" s="18" t="inlineStr">
        <is>
          <t>activo</t>
        </is>
      </c>
      <c r="G1502" s="18" t="inlineStr">
        <is>
          <t>boolean</t>
        </is>
      </c>
      <c r="H1502" s="18" t="inlineStr">
        <is>
          <t>Sí</t>
        </is>
      </c>
      <c r="I1502" s="18" t="inlineStr"/>
      <c r="J1502" s="18" t="inlineStr"/>
      <c r="K1502" s="18" t="inlineStr"/>
      <c r="L1502" s="18" t="inlineStr">
        <is>
          <t>Sí</t>
        </is>
      </c>
      <c r="M1502" s="18" t="inlineStr">
        <is>
          <t>No</t>
        </is>
      </c>
      <c r="N1502" s="18" t="inlineStr"/>
      <c r="O1502" s="18" t="inlineStr"/>
      <c r="P1502" s="18" t="inlineStr"/>
      <c r="Q1502" s="18" t="inlineStr">
        <is>
          <t>Regla estructural (redacción revisada)</t>
        </is>
      </c>
      <c r="R1502" s="18" t="inlineStr">
        <is>
          <t>Indica si la condición de disparo de notificación está activa.</t>
        </is>
      </c>
      <c r="S1502" s="18" t="inlineStr">
        <is>
          <t>Alta</t>
        </is>
      </c>
      <c r="T1502" s="18" t="inlineStr">
        <is>
          <t>Convención de nombre, redactada con el contexto de la tabla y el código.</t>
        </is>
      </c>
      <c r="U1502" s="18" t="inlineStr"/>
      <c r="V1502" s="19" t="inlineStr">
        <is>
          <t>Aprobada</t>
        </is>
      </c>
      <c r="W1502" s="19" t="inlineStr"/>
      <c r="X1502" s="19" t="inlineStr">
        <is>
          <t>Aldair González (aprobación en bloque)</t>
        </is>
      </c>
      <c r="Y1502" s="20" t="n">
        <v>46321</v>
      </c>
      <c r="Z1502" s="19" t="inlineStr">
        <is>
          <t>Nivel 2: regla estructural con redacción revisada.</t>
        </is>
      </c>
      <c r="AA1502" s="18">
        <f>IF(OR(V1502="Aprobada"),R1502,IF(AND(OR(V1502="Aprobada con ajuste",V1502="Rechazada"),W1502&lt;&gt;""),W1502,""))</f>
        <v/>
      </c>
    </row>
    <row r="1503">
      <c r="A1503" s="18" t="inlineStr">
        <is>
          <t>C1502</t>
        </is>
      </c>
      <c r="B1503" s="18" t="inlineStr">
        <is>
          <t>Control interno</t>
        </is>
      </c>
      <c r="C1503" s="18" t="inlineStr">
        <is>
          <t>control_interno</t>
        </is>
      </c>
      <c r="D1503" s="18" t="inlineStr">
        <is>
          <t>configuracion_esap</t>
        </is>
      </c>
      <c r="E1503" s="18" t="n">
        <v>7</v>
      </c>
      <c r="F1503" s="18" t="inlineStr">
        <is>
          <t>clave</t>
        </is>
      </c>
      <c r="G1503" s="18" t="inlineStr">
        <is>
          <t>character varying(255)</t>
        </is>
      </c>
      <c r="H1503" s="18" t="inlineStr">
        <is>
          <t>No</t>
        </is>
      </c>
      <c r="I1503" s="18" t="inlineStr">
        <is>
          <t>Única</t>
        </is>
      </c>
      <c r="J1503" s="18" t="inlineStr"/>
      <c r="K1503" s="18" t="inlineStr"/>
      <c r="L1503" s="18" t="inlineStr">
        <is>
          <t>No</t>
        </is>
      </c>
      <c r="M1503" s="18" t="inlineStr">
        <is>
          <t>No</t>
        </is>
      </c>
      <c r="N1503" s="18" t="inlineStr"/>
      <c r="O1503" s="18" t="inlineStr">
        <is>
          <t>configuracion_esap_clave_key, idx_config_esap_clave</t>
        </is>
      </c>
      <c r="P1503" s="18" t="inlineStr"/>
      <c r="Q1503" s="18" t="inlineStr">
        <is>
          <t>Propuesta semántica</t>
        </is>
      </c>
      <c r="R1503" s="18" t="inlineStr">
        <is>
          <t>Clave única del parámetro de configuración.</t>
        </is>
      </c>
      <c r="S1503" s="18" t="inlineStr">
        <is>
          <t>Alta</t>
        </is>
      </c>
      <c r="T1503" s="18" t="inlineStr">
        <is>
          <t>nombre + restricción única + descripción de la tabla ~</t>
        </is>
      </c>
      <c r="U1503" s="18" t="inlineStr"/>
      <c r="V1503" s="19" t="inlineStr">
        <is>
          <t>Aprobada</t>
        </is>
      </c>
      <c r="W1503" s="19" t="inlineStr"/>
      <c r="X1503" s="19" t="inlineStr">
        <is>
          <t>Aldair González (aprobación en bloque)</t>
        </is>
      </c>
      <c r="Y1503" s="20" t="n">
        <v>46321</v>
      </c>
      <c r="Z1503" s="19" t="inlineStr">
        <is>
          <t>Nivel 1: propuesta del comentario del desarrollador o de confianza alta, o regla de fecha/responsable/motivo.</t>
        </is>
      </c>
      <c r="AA1503" s="18">
        <f>IF(OR(V1503="Aprobada"),R1503,IF(AND(OR(V1503="Aprobada con ajuste",V1503="Rechazada"),W1503&lt;&gt;""),W1503,""))</f>
        <v/>
      </c>
    </row>
    <row r="1504">
      <c r="A1504" s="18" t="inlineStr">
        <is>
          <t>C1503</t>
        </is>
      </c>
      <c r="B1504" s="18" t="inlineStr">
        <is>
          <t>Control interno</t>
        </is>
      </c>
      <c r="C1504" s="18" t="inlineStr">
        <is>
          <t>control_interno</t>
        </is>
      </c>
      <c r="D1504" s="18" t="inlineStr">
        <is>
          <t>configuracion_esap</t>
        </is>
      </c>
      <c r="E1504" s="18" t="n">
        <v>7</v>
      </c>
      <c r="F1504" s="18" t="inlineStr">
        <is>
          <t>valor</t>
        </is>
      </c>
      <c r="G1504" s="18" t="inlineStr">
        <is>
          <t>text</t>
        </is>
      </c>
      <c r="H1504" s="18" t="inlineStr">
        <is>
          <t>No</t>
        </is>
      </c>
      <c r="I1504" s="18" t="inlineStr"/>
      <c r="J1504" s="18" t="inlineStr"/>
      <c r="K1504" s="18" t="inlineStr"/>
      <c r="L1504" s="18" t="inlineStr">
        <is>
          <t>No</t>
        </is>
      </c>
      <c r="M1504" s="18" t="inlineStr">
        <is>
          <t>No</t>
        </is>
      </c>
      <c r="N1504" s="18" t="inlineStr"/>
      <c r="O1504" s="18" t="inlineStr"/>
      <c r="P1504" s="18" t="inlineStr"/>
      <c r="Q1504" s="18" t="inlineStr">
        <is>
          <t>Propuesta semántica</t>
        </is>
      </c>
      <c r="R1504" s="18" t="inlineStr">
        <is>
          <t>Valor del parámetro de configuración.</t>
        </is>
      </c>
      <c r="S1504" s="18" t="inlineStr">
        <is>
          <t>Alta</t>
        </is>
      </c>
      <c r="T1504" s="18" t="inlineStr">
        <is>
          <t>nombre + tipo + descripción de la tabla ~</t>
        </is>
      </c>
      <c r="U1504" s="18" t="inlineStr"/>
      <c r="V1504" s="19" t="inlineStr">
        <is>
          <t>Aprobada</t>
        </is>
      </c>
      <c r="W1504" s="19" t="inlineStr"/>
      <c r="X1504" s="19" t="inlineStr">
        <is>
          <t>Aldair González (aprobación en bloque)</t>
        </is>
      </c>
      <c r="Y1504" s="20" t="n">
        <v>46321</v>
      </c>
      <c r="Z1504" s="19" t="inlineStr">
        <is>
          <t>Nivel 1: propuesta del comentario del desarrollador o de confianza alta, o regla de fecha/responsable/motivo.</t>
        </is>
      </c>
      <c r="AA1504" s="18">
        <f>IF(OR(V1504="Aprobada"),R1504,IF(AND(OR(V1504="Aprobada con ajuste",V1504="Rechazada"),W1504&lt;&gt;""),W1504,""))</f>
        <v/>
      </c>
    </row>
    <row r="1505">
      <c r="A1505" s="18" t="inlineStr">
        <is>
          <t>C1504</t>
        </is>
      </c>
      <c r="B1505" s="18" t="inlineStr">
        <is>
          <t>Control interno</t>
        </is>
      </c>
      <c r="C1505" s="18" t="inlineStr">
        <is>
          <t>control_interno</t>
        </is>
      </c>
      <c r="D1505" s="18" t="inlineStr">
        <is>
          <t>configuracion_esap</t>
        </is>
      </c>
      <c r="E1505" s="18" t="n">
        <v>7</v>
      </c>
      <c r="F1505" s="18" t="inlineStr">
        <is>
          <t>descripcion</t>
        </is>
      </c>
      <c r="G1505" s="18" t="inlineStr">
        <is>
          <t>text</t>
        </is>
      </c>
      <c r="H1505" s="18" t="inlineStr">
        <is>
          <t>Sí</t>
        </is>
      </c>
      <c r="I1505" s="18" t="inlineStr"/>
      <c r="J1505" s="18" t="inlineStr"/>
      <c r="K1505" s="18" t="inlineStr"/>
      <c r="L1505" s="18" t="inlineStr">
        <is>
          <t>No</t>
        </is>
      </c>
      <c r="M1505" s="18" t="inlineStr">
        <is>
          <t>No</t>
        </is>
      </c>
      <c r="N1505" s="18" t="inlineStr"/>
      <c r="O1505" s="18" t="inlineStr"/>
      <c r="P1505" s="18" t="inlineStr"/>
      <c r="Q1505" s="18" t="inlineStr">
        <is>
          <t>Regla estructural (redacción revisada)</t>
        </is>
      </c>
      <c r="R1505" s="18" t="inlineStr">
        <is>
          <t>Descripción del parámetro de configuración.</t>
        </is>
      </c>
      <c r="S1505" s="18" t="inlineStr">
        <is>
          <t>Alta</t>
        </is>
      </c>
      <c r="T1505" s="18" t="inlineStr">
        <is>
          <t>Convención de nombre, redactada con el contexto de la tabla y el código.</t>
        </is>
      </c>
      <c r="U1505" s="18" t="inlineStr"/>
      <c r="V1505" s="19" t="inlineStr">
        <is>
          <t>Aprobada</t>
        </is>
      </c>
      <c r="W1505" s="19" t="inlineStr"/>
      <c r="X1505" s="19" t="inlineStr">
        <is>
          <t>Aldair González (aprobación en bloque)</t>
        </is>
      </c>
      <c r="Y1505" s="20" t="n">
        <v>46321</v>
      </c>
      <c r="Z1505" s="19" t="inlineStr">
        <is>
          <t>Nivel 2: regla estructural con redacción revisada.</t>
        </is>
      </c>
      <c r="AA1505" s="18">
        <f>IF(OR(V1505="Aprobada"),R1505,IF(AND(OR(V1505="Aprobada con ajuste",V1505="Rechazada"),W1505&lt;&gt;""),W1505,""))</f>
        <v/>
      </c>
    </row>
    <row r="1506">
      <c r="A1506" s="18" t="inlineStr">
        <is>
          <t>C1505</t>
        </is>
      </c>
      <c r="B1506" s="18" t="inlineStr">
        <is>
          <t>Control interno</t>
        </is>
      </c>
      <c r="C1506" s="18" t="inlineStr">
        <is>
          <t>control_interno</t>
        </is>
      </c>
      <c r="D1506" s="18" t="inlineStr">
        <is>
          <t>configuracion_esap</t>
        </is>
      </c>
      <c r="E1506" s="18" t="n">
        <v>7</v>
      </c>
      <c r="F1506" s="18" t="inlineStr">
        <is>
          <t>tipo</t>
        </is>
      </c>
      <c r="G1506" s="18" t="inlineStr">
        <is>
          <t>character varying(50)</t>
        </is>
      </c>
      <c r="H1506" s="18" t="inlineStr">
        <is>
          <t>Sí</t>
        </is>
      </c>
      <c r="I1506" s="18" t="inlineStr">
        <is>
          <t>CHECK</t>
        </is>
      </c>
      <c r="J1506" s="18" t="inlineStr">
        <is>
          <t>boolean, json, number, string</t>
        </is>
      </c>
      <c r="K1506" s="18" t="inlineStr"/>
      <c r="L1506" s="18" t="inlineStr">
        <is>
          <t>Sí</t>
        </is>
      </c>
      <c r="M1506" s="18" t="inlineStr">
        <is>
          <t>No</t>
        </is>
      </c>
      <c r="N1506" s="18" t="inlineStr"/>
      <c r="O1506" s="18" t="inlineStr"/>
      <c r="P1506" s="18" t="inlineStr"/>
      <c r="Q1506" s="18" t="inlineStr">
        <is>
          <t>Regla estructural (redacción revisada)</t>
        </is>
      </c>
      <c r="R1506" s="18" t="inlineStr">
        <is>
          <t>Tipo de dato del valor de configuración (boolean, json, number o string).</t>
        </is>
      </c>
      <c r="S1506" s="18" t="inlineStr">
        <is>
          <t>Alta</t>
        </is>
      </c>
      <c r="T1506" s="18" t="inlineStr">
        <is>
          <t>Convención de nombre, redactada con el contexto de la tabla y el código.</t>
        </is>
      </c>
      <c r="U1506" s="18" t="inlineStr"/>
      <c r="V1506" s="19" t="inlineStr">
        <is>
          <t>Aprobada</t>
        </is>
      </c>
      <c r="W1506" s="19" t="inlineStr"/>
      <c r="X1506" s="19" t="inlineStr">
        <is>
          <t>Aldair González (aprobación en bloque)</t>
        </is>
      </c>
      <c r="Y1506" s="20" t="n">
        <v>46321</v>
      </c>
      <c r="Z1506" s="19" t="inlineStr">
        <is>
          <t>Nivel 2: regla estructural con redacción revisada.</t>
        </is>
      </c>
      <c r="AA1506" s="18">
        <f>IF(OR(V1506="Aprobada"),R1506,IF(AND(OR(V1506="Aprobada con ajuste",V1506="Rechazada"),W1506&lt;&gt;""),W1506,""))</f>
        <v/>
      </c>
    </row>
    <row r="1507">
      <c r="A1507" s="18" t="inlineStr">
        <is>
          <t>C1506</t>
        </is>
      </c>
      <c r="B1507" s="18" t="inlineStr">
        <is>
          <t>Control interno</t>
        </is>
      </c>
      <c r="C1507" s="18" t="inlineStr">
        <is>
          <t>control_interno</t>
        </is>
      </c>
      <c r="D1507" s="18" t="inlineStr">
        <is>
          <t>configuracion_esap</t>
        </is>
      </c>
      <c r="E1507" s="18" t="n">
        <v>7</v>
      </c>
      <c r="F1507" s="18" t="inlineStr">
        <is>
          <t>categoria</t>
        </is>
      </c>
      <c r="G1507" s="18" t="inlineStr">
        <is>
          <t>character varying(255)</t>
        </is>
      </c>
      <c r="H1507" s="18" t="inlineStr">
        <is>
          <t>Sí</t>
        </is>
      </c>
      <c r="I1507" s="18" t="inlineStr"/>
      <c r="J1507" s="18" t="inlineStr"/>
      <c r="K1507" s="18" t="inlineStr"/>
      <c r="L1507" s="18" t="inlineStr">
        <is>
          <t>No</t>
        </is>
      </c>
      <c r="M1507" s="18" t="inlineStr">
        <is>
          <t>No</t>
        </is>
      </c>
      <c r="N1507" s="18" t="inlineStr"/>
      <c r="O1507" s="18" t="inlineStr">
        <is>
          <t>idx_config_esap_categoria</t>
        </is>
      </c>
      <c r="P1507" s="18" t="inlineStr"/>
      <c r="Q1507" s="18" t="inlineStr">
        <is>
          <t>Código fuente (verificado)</t>
        </is>
      </c>
      <c r="R1507" s="18" t="inlineStr">
        <is>
          <t>Categoría con la que se agrupa el parámetro de configuración.</t>
        </is>
      </c>
      <c r="S1507" s="18" t="inlineStr">
        <is>
          <t>Media</t>
        </is>
      </c>
      <c r="T1507" s="18" t="inlineStr">
        <is>
          <t>db/init/old/009_schema_control-interno.sql:1088: varchar(255) sin restricción | sin entidad ni uso en el código del servicio</t>
        </is>
      </c>
      <c r="U1507" s="18" t="inlineStr">
        <is>
          <t>¿Qué categorías se usan en configuracion_esap? La tabla no tiene entidad en el código.</t>
        </is>
      </c>
      <c r="V1507" s="19" t="inlineStr">
        <is>
          <t>Aprobada</t>
        </is>
      </c>
      <c r="W1507" s="19" t="inlineStr"/>
      <c r="X1507" s="19" t="inlineStr">
        <is>
          <t>Aldair González (validación del responsable de BD)</t>
        </is>
      </c>
      <c r="Y1507" s="20" t="n">
        <v>46321</v>
      </c>
      <c r="Z1507" s="19" t="inlineStr">
        <is>
          <t>Nivel 3: validada por decisión del responsable de la base de datos. Pregunta registrada para desarrollo: ¿Qué categorías se usan en configuracion_esap? La tabla no tiene entidad en el código.</t>
        </is>
      </c>
      <c r="AA1507" s="18">
        <f>IF(OR(V1507="Aprobada"),R1507,IF(AND(OR(V1507="Aprobada con ajuste",V1507="Rechazada"),W1507&lt;&gt;""),W1507,""))</f>
        <v/>
      </c>
    </row>
    <row r="1508">
      <c r="A1508" s="18" t="inlineStr">
        <is>
          <t>C1507</t>
        </is>
      </c>
      <c r="B1508" s="18" t="inlineStr">
        <is>
          <t>Control interno</t>
        </is>
      </c>
      <c r="C1508" s="18" t="inlineStr">
        <is>
          <t>control_interno</t>
        </is>
      </c>
      <c r="D1508" s="18" t="inlineStr">
        <is>
          <t>configuracion_esap</t>
        </is>
      </c>
      <c r="E1508" s="18" t="n">
        <v>7</v>
      </c>
      <c r="F1508" s="18" t="inlineStr">
        <is>
          <t>activo</t>
        </is>
      </c>
      <c r="G1508" s="18" t="inlineStr">
        <is>
          <t>boolean</t>
        </is>
      </c>
      <c r="H1508" s="18" t="inlineStr">
        <is>
          <t>Sí</t>
        </is>
      </c>
      <c r="I1508" s="18" t="inlineStr"/>
      <c r="J1508" s="18" t="inlineStr"/>
      <c r="K1508" s="18" t="inlineStr"/>
      <c r="L1508" s="18" t="inlineStr">
        <is>
          <t>No</t>
        </is>
      </c>
      <c r="M1508" s="18" t="inlineStr">
        <is>
          <t>No</t>
        </is>
      </c>
      <c r="N1508" s="18" t="inlineStr"/>
      <c r="O1508" s="18" t="inlineStr">
        <is>
          <t>idx_config_esap_activo</t>
        </is>
      </c>
      <c r="P1508" s="18" t="inlineStr"/>
      <c r="Q1508" s="18" t="inlineStr">
        <is>
          <t>Regla estructural (redacción revisada)</t>
        </is>
      </c>
      <c r="R1508" s="18" t="inlineStr">
        <is>
          <t>Indica si el parámetro de configuración está activo.</t>
        </is>
      </c>
      <c r="S1508" s="18" t="inlineStr">
        <is>
          <t>Alta</t>
        </is>
      </c>
      <c r="T1508" s="18" t="inlineStr">
        <is>
          <t>Convención de nombre, redactada con el contexto de la tabla y el código.</t>
        </is>
      </c>
      <c r="U1508" s="18" t="inlineStr"/>
      <c r="V1508" s="19" t="inlineStr">
        <is>
          <t>Aprobada</t>
        </is>
      </c>
      <c r="W1508" s="19" t="inlineStr"/>
      <c r="X1508" s="19" t="inlineStr">
        <is>
          <t>Aldair González (aprobación en bloque)</t>
        </is>
      </c>
      <c r="Y1508" s="20" t="n">
        <v>46321</v>
      </c>
      <c r="Z1508" s="19" t="inlineStr">
        <is>
          <t>Nivel 2: regla estructural con redacción revisada.</t>
        </is>
      </c>
      <c r="AA1508" s="18">
        <f>IF(OR(V1508="Aprobada"),R1508,IF(AND(OR(V1508="Aprobada con ajuste",V1508="Rechazada"),W1508&lt;&gt;""),W1508,""))</f>
        <v/>
      </c>
    </row>
    <row r="1509">
      <c r="A1509" s="18" t="inlineStr">
        <is>
          <t>C1508</t>
        </is>
      </c>
      <c r="B1509" s="18" t="inlineStr">
        <is>
          <t>Control interno</t>
        </is>
      </c>
      <c r="C1509" s="18" t="inlineStr">
        <is>
          <t>control_interno</t>
        </is>
      </c>
      <c r="D1509" s="18" t="inlineStr">
        <is>
          <t>configuracion_profesionales_ocig</t>
        </is>
      </c>
      <c r="E1509" s="18" t="n">
        <v>31</v>
      </c>
      <c r="F1509" s="18" t="inlineStr">
        <is>
          <t>activo</t>
        </is>
      </c>
      <c r="G1509" s="18" t="inlineStr">
        <is>
          <t>boolean</t>
        </is>
      </c>
      <c r="H1509" s="18" t="inlineStr">
        <is>
          <t>No</t>
        </is>
      </c>
      <c r="I1509" s="18" t="inlineStr"/>
      <c r="J1509" s="18" t="inlineStr"/>
      <c r="K1509" s="18" t="inlineStr"/>
      <c r="L1509" s="18" t="inlineStr">
        <is>
          <t>No</t>
        </is>
      </c>
      <c r="M1509" s="18" t="inlineStr">
        <is>
          <t>No</t>
        </is>
      </c>
      <c r="N1509" s="18" t="inlineStr"/>
      <c r="O1509" s="18" t="inlineStr">
        <is>
          <t>idx_config_prof_ocig_activo</t>
        </is>
      </c>
      <c r="P1509" s="18" t="inlineStr">
        <is>
          <t>Mapeada en internal-institutional-control-service/src/esap/configuraciones/entities/configuracion-profesional-ocig.entity.ts:67 (ConfiguracionProfesionalOCIG.activo) | Validación: IsBoolean, IsOptional</t>
        </is>
      </c>
      <c r="Q1509" s="18" t="inlineStr">
        <is>
          <t>Regla estructural (redacción revisada)</t>
        </is>
      </c>
      <c r="R1509" s="18" t="inlineStr">
        <is>
          <t>Indica si el profesional está activo en el equipo de la Oficina de Control Interno de Gestión.</t>
        </is>
      </c>
      <c r="S1509" s="18" t="inlineStr">
        <is>
          <t>Alta</t>
        </is>
      </c>
      <c r="T1509" s="18" t="inlineStr">
        <is>
          <t>Convención de nombre, redactada con el contexto de la tabla y el código.</t>
        </is>
      </c>
      <c r="U1509" s="18" t="inlineStr"/>
      <c r="V1509" s="19" t="inlineStr">
        <is>
          <t>Aprobada</t>
        </is>
      </c>
      <c r="W1509" s="19" t="inlineStr"/>
      <c r="X1509" s="19" t="inlineStr">
        <is>
          <t>Aldair González (aprobación en bloque)</t>
        </is>
      </c>
      <c r="Y1509" s="20" t="n">
        <v>46321</v>
      </c>
      <c r="Z1509" s="19" t="inlineStr">
        <is>
          <t>Nivel 2: regla estructural con redacción revisada.</t>
        </is>
      </c>
      <c r="AA1509" s="18">
        <f>IF(OR(V1509="Aprobada"),R1509,IF(AND(OR(V1509="Aprobada con ajuste",V1509="Rechazada"),W1509&lt;&gt;""),W1509,""))</f>
        <v/>
      </c>
    </row>
    <row r="1510">
      <c r="A1510" s="18" t="inlineStr">
        <is>
          <t>C1509</t>
        </is>
      </c>
      <c r="B1510" s="18" t="inlineStr">
        <is>
          <t>Control interno</t>
        </is>
      </c>
      <c r="C1510" s="18" t="inlineStr">
        <is>
          <t>control_interno</t>
        </is>
      </c>
      <c r="D1510" s="18" t="inlineStr">
        <is>
          <t>configuracion_profesionales_ocig</t>
        </is>
      </c>
      <c r="E1510" s="18" t="n">
        <v>31</v>
      </c>
      <c r="F1510" s="18" t="inlineStr">
        <is>
          <t>fecha_asignacion</t>
        </is>
      </c>
      <c r="G1510" s="18" t="inlineStr">
        <is>
          <t>date</t>
        </is>
      </c>
      <c r="H1510" s="18" t="inlineStr">
        <is>
          <t>No</t>
        </is>
      </c>
      <c r="I1510" s="18" t="inlineStr"/>
      <c r="J1510" s="18" t="inlineStr"/>
      <c r="K1510" s="18" t="inlineStr"/>
      <c r="L1510" s="18" t="inlineStr">
        <is>
          <t>No</t>
        </is>
      </c>
      <c r="M1510" s="18" t="inlineStr">
        <is>
          <t>No</t>
        </is>
      </c>
      <c r="N1510" s="18" t="inlineStr"/>
      <c r="O1510" s="18" t="inlineStr"/>
      <c r="P1510" s="18" t="inlineStr">
        <is>
          <t>db/migrations/134_create_configuracion_profesionales_ocig.sql:37: Metadata</t>
        </is>
      </c>
      <c r="Q1510" s="18" t="inlineStr">
        <is>
          <t>Código fuente</t>
        </is>
      </c>
      <c r="R1510" s="18" t="inlineStr">
        <is>
          <t>Fecha en que el profesional se asignó al equipo OCIG; por defecto la fecha actual.</t>
        </is>
      </c>
      <c r="S1510" s="18" t="inlineStr">
        <is>
          <t>Alta</t>
        </is>
      </c>
      <c r="T1510" s="18" t="inlineStr">
        <is>
          <t>nombre + tipo + columnas vecinas</t>
        </is>
      </c>
      <c r="U1510" s="18" t="inlineStr"/>
      <c r="V1510" s="19" t="inlineStr">
        <is>
          <t>Aprobada</t>
        </is>
      </c>
      <c r="W1510" s="19" t="inlineStr"/>
      <c r="X1510" s="19" t="inlineStr">
        <is>
          <t>Aldair González (aprobación en bloque)</t>
        </is>
      </c>
      <c r="Y1510" s="20" t="n">
        <v>46321</v>
      </c>
      <c r="Z1510" s="19" t="inlineStr">
        <is>
          <t>Nivel 1: propuesta del comentario del desarrollador o de confianza alta, o regla de fecha/responsable/motivo.</t>
        </is>
      </c>
      <c r="AA1510" s="18">
        <f>IF(OR(V1510="Aprobada"),R1510,IF(AND(OR(V1510="Aprobada con ajuste",V1510="Rechazada"),W1510&lt;&gt;""),W1510,""))</f>
        <v/>
      </c>
    </row>
    <row r="1511">
      <c r="A1511" s="18" t="inlineStr">
        <is>
          <t>C1510</t>
        </is>
      </c>
      <c r="B1511" s="18" t="inlineStr">
        <is>
          <t>Control interno</t>
        </is>
      </c>
      <c r="C1511" s="18" t="inlineStr">
        <is>
          <t>control_interno</t>
        </is>
      </c>
      <c r="D1511" s="18" t="inlineStr">
        <is>
          <t>configuracion_profesionales_ocig</t>
        </is>
      </c>
      <c r="E1511" s="18" t="n">
        <v>31</v>
      </c>
      <c r="F1511" s="18" t="inlineStr">
        <is>
          <t>observaciones</t>
        </is>
      </c>
      <c r="G1511" s="18" t="inlineStr">
        <is>
          <t>text</t>
        </is>
      </c>
      <c r="H1511" s="18" t="inlineStr">
        <is>
          <t>Sí</t>
        </is>
      </c>
      <c r="I1511" s="18" t="inlineStr"/>
      <c r="J1511" s="18" t="inlineStr"/>
      <c r="K1511" s="18" t="inlineStr"/>
      <c r="L1511" s="18" t="inlineStr">
        <is>
          <t>No</t>
        </is>
      </c>
      <c r="M1511" s="18" t="inlineStr">
        <is>
          <t>No</t>
        </is>
      </c>
      <c r="N1511" s="18" t="inlineStr"/>
      <c r="O1511" s="18" t="inlineStr"/>
      <c r="P1511" s="18" t="inlineStr">
        <is>
          <t>Mapeada en internal-institutional-control-service/src/esap/configuraciones/entities/configuracion-profesional-ocig.entity.ts:83 (ConfiguracionProfesionalOCIG.observaciones) | Validación: IsOptional, IsString</t>
        </is>
      </c>
      <c r="Q1511" s="18" t="inlineStr">
        <is>
          <t>Regla estructural (redacción revisada)</t>
        </is>
      </c>
      <c r="R1511" s="18" t="inlineStr">
        <is>
          <t>Observaciones sobre la asignación del profesional al equipo de la Oficina de Control Interno de Gestión.</t>
        </is>
      </c>
      <c r="S1511" s="18" t="inlineStr">
        <is>
          <t>Alta</t>
        </is>
      </c>
      <c r="T1511" s="18" t="inlineStr">
        <is>
          <t>Convención de nombre, redactada con el contexto de la tabla y el código.</t>
        </is>
      </c>
      <c r="U1511" s="18" t="inlineStr"/>
      <c r="V1511" s="19" t="inlineStr">
        <is>
          <t>Aprobada</t>
        </is>
      </c>
      <c r="W1511" s="19" t="inlineStr"/>
      <c r="X1511" s="19" t="inlineStr">
        <is>
          <t>Aldair González (aprobación en bloque)</t>
        </is>
      </c>
      <c r="Y1511" s="20" t="n">
        <v>46321</v>
      </c>
      <c r="Z1511" s="19" t="inlineStr">
        <is>
          <t>Nivel 2: regla estructural con redacción revisada.</t>
        </is>
      </c>
      <c r="AA1511" s="18">
        <f>IF(OR(V1511="Aprobada"),R1511,IF(AND(OR(V1511="Aprobada con ajuste",V1511="Rechazada"),W1511&lt;&gt;""),W1511,""))</f>
        <v/>
      </c>
    </row>
    <row r="1512">
      <c r="A1512" s="18" t="inlineStr">
        <is>
          <t>C1511</t>
        </is>
      </c>
      <c r="B1512" s="18" t="inlineStr">
        <is>
          <t>Control interno</t>
        </is>
      </c>
      <c r="C1512" s="18" t="inlineStr">
        <is>
          <t>control_interno</t>
        </is>
      </c>
      <c r="D1512" s="18" t="inlineStr">
        <is>
          <t>criterio_auditoria</t>
        </is>
      </c>
      <c r="E1512" s="18" t="n">
        <v>27</v>
      </c>
      <c r="F1512" s="18" t="inlineStr">
        <is>
          <t>criterio</t>
        </is>
      </c>
      <c r="G1512" s="18" t="inlineStr">
        <is>
          <t>text</t>
        </is>
      </c>
      <c r="H1512" s="18" t="inlineStr">
        <is>
          <t>No</t>
        </is>
      </c>
      <c r="I1512" s="18" t="inlineStr"/>
      <c r="J1512" s="18" t="inlineStr"/>
      <c r="K1512" s="18" t="inlineStr"/>
      <c r="L1512" s="18" t="inlineStr">
        <is>
          <t>No</t>
        </is>
      </c>
      <c r="M1512" s="18" t="inlineStr">
        <is>
          <t>No</t>
        </is>
      </c>
      <c r="N1512" s="18" t="inlineStr"/>
      <c r="O1512" s="18" t="inlineStr"/>
      <c r="P1512" s="18" t="inlineStr">
        <is>
          <t>Mapeada en internal-institutional-control-service/src/esap/auditorias/entities/criterio-auditoria.entity.ts:29 (CriterioAuditoria.criterio)</t>
        </is>
      </c>
      <c r="Q1512" s="18" t="inlineStr">
        <is>
          <t>Propuesta semántica</t>
        </is>
      </c>
      <c r="R1512" s="18" t="inlineStr">
        <is>
          <t>Texto del criterio de auditoría (norma, política o estándar aplicable).</t>
        </is>
      </c>
      <c r="S1512" s="18" t="inlineStr">
        <is>
          <t>Alta</t>
        </is>
      </c>
      <c r="T1512" s="18" t="inlineStr">
        <is>
          <t>nombre + descripción de la tabla ~</t>
        </is>
      </c>
      <c r="U1512" s="18" t="inlineStr"/>
      <c r="V1512" s="19" t="inlineStr">
        <is>
          <t>Aprobada</t>
        </is>
      </c>
      <c r="W1512" s="19" t="inlineStr"/>
      <c r="X1512" s="19" t="inlineStr">
        <is>
          <t>Aldair González (aprobación en bloque)</t>
        </is>
      </c>
      <c r="Y1512" s="20" t="n">
        <v>46321</v>
      </c>
      <c r="Z1512" s="19" t="inlineStr">
        <is>
          <t>Nivel 1: propuesta del comentario del desarrollador o de confianza alta, o regla de fecha/responsable/motivo.</t>
        </is>
      </c>
      <c r="AA1512" s="18">
        <f>IF(OR(V1512="Aprobada"),R1512,IF(AND(OR(V1512="Aprobada con ajuste",V1512="Rechazada"),W1512&lt;&gt;""),W1512,""))</f>
        <v/>
      </c>
    </row>
    <row r="1513">
      <c r="A1513" s="18" t="inlineStr">
        <is>
          <t>C1512</t>
        </is>
      </c>
      <c r="B1513" s="18" t="inlineStr">
        <is>
          <t>Control interno</t>
        </is>
      </c>
      <c r="C1513" s="18" t="inlineStr">
        <is>
          <t>control_interno</t>
        </is>
      </c>
      <c r="D1513" s="18" t="inlineStr">
        <is>
          <t>criterio_auditoria</t>
        </is>
      </c>
      <c r="E1513" s="18" t="n">
        <v>27</v>
      </c>
      <c r="F1513" s="18" t="inlineStr">
        <is>
          <t>orden</t>
        </is>
      </c>
      <c r="G1513" s="18" t="inlineStr">
        <is>
          <t>integer</t>
        </is>
      </c>
      <c r="H1513" s="18" t="inlineStr">
        <is>
          <t>Sí</t>
        </is>
      </c>
      <c r="I1513" s="18" t="inlineStr"/>
      <c r="J1513" s="18" t="inlineStr"/>
      <c r="K1513" s="18" t="inlineStr"/>
      <c r="L1513" s="18" t="inlineStr">
        <is>
          <t>No</t>
        </is>
      </c>
      <c r="M1513" s="18" t="inlineStr">
        <is>
          <t>No</t>
        </is>
      </c>
      <c r="N1513" s="18" t="inlineStr"/>
      <c r="O1513" s="18" t="inlineStr"/>
      <c r="P1513" s="18" t="inlineStr">
        <is>
          <t>Mapeada en internal-institutional-control-service/src/esap/auditorias/entities/criterio-auditoria.entity.ts:32 (CriterioAuditoria.orden) | Validación: IsInt, IsOptional, Min(1)</t>
        </is>
      </c>
      <c r="Q1513" s="18" t="inlineStr">
        <is>
          <t>Regla estructural (redacción revisada)</t>
        </is>
      </c>
      <c r="R1513" s="18" t="inlineStr">
        <is>
          <t>Posición del criterio en la lista de criterios de la auditoría.</t>
        </is>
      </c>
      <c r="S1513" s="18" t="inlineStr">
        <is>
          <t>Alta</t>
        </is>
      </c>
      <c r="T1513" s="18" t="inlineStr">
        <is>
          <t>Convención de nombre, redactada con el contexto de la tabla y el código.</t>
        </is>
      </c>
      <c r="U1513" s="18" t="inlineStr"/>
      <c r="V1513" s="19" t="inlineStr">
        <is>
          <t>Aprobada</t>
        </is>
      </c>
      <c r="W1513" s="19" t="inlineStr"/>
      <c r="X1513" s="19" t="inlineStr">
        <is>
          <t>Aldair González (aprobación en bloque)</t>
        </is>
      </c>
      <c r="Y1513" s="20" t="n">
        <v>46321</v>
      </c>
      <c r="Z1513" s="19" t="inlineStr">
        <is>
          <t>Nivel 2: regla estructural con redacción revisada.</t>
        </is>
      </c>
      <c r="AA1513" s="18">
        <f>IF(OR(V1513="Aprobada"),R1513,IF(AND(OR(V1513="Aprobada con ajuste",V1513="Rechazada"),W1513&lt;&gt;""),W1513,""))</f>
        <v/>
      </c>
    </row>
    <row r="1514">
      <c r="A1514" s="18" t="inlineStr">
        <is>
          <t>C1513</t>
        </is>
      </c>
      <c r="B1514" s="18" t="inlineStr">
        <is>
          <t>Control interno</t>
        </is>
      </c>
      <c r="C1514" s="18" t="inlineStr">
        <is>
          <t>control_interno</t>
        </is>
      </c>
      <c r="D1514" s="18" t="inlineStr">
        <is>
          <t>criterio_auditoria</t>
        </is>
      </c>
      <c r="E1514" s="18" t="n">
        <v>27</v>
      </c>
      <c r="F1514" s="18" t="inlineStr">
        <is>
          <t>activo</t>
        </is>
      </c>
      <c r="G1514" s="18" t="inlineStr">
        <is>
          <t>boolean</t>
        </is>
      </c>
      <c r="H1514" s="18" t="inlineStr">
        <is>
          <t>Sí</t>
        </is>
      </c>
      <c r="I1514" s="18" t="inlineStr"/>
      <c r="J1514" s="18" t="inlineStr"/>
      <c r="K1514" s="18" t="inlineStr"/>
      <c r="L1514" s="18" t="inlineStr">
        <is>
          <t>No</t>
        </is>
      </c>
      <c r="M1514" s="18" t="inlineStr">
        <is>
          <t>No</t>
        </is>
      </c>
      <c r="N1514" s="18" t="inlineStr"/>
      <c r="O1514" s="18" t="inlineStr">
        <is>
          <t>idx_criterio_auditoria_activo</t>
        </is>
      </c>
      <c r="P1514" s="18" t="inlineStr">
        <is>
          <t>Mapeada en internal-institutional-control-service/src/esap/auditorias/entities/criterio-auditoria.entity.ts:35 (CriterioAuditoria.activo) | Validación: IsBoolean, IsOptional</t>
        </is>
      </c>
      <c r="Q1514" s="18" t="inlineStr">
        <is>
          <t>Regla estructural (redacción revisada)</t>
        </is>
      </c>
      <c r="R1514" s="18" t="inlineStr">
        <is>
          <t>Indica si el criterio de auditoría está activo.</t>
        </is>
      </c>
      <c r="S1514" s="18" t="inlineStr">
        <is>
          <t>Alta</t>
        </is>
      </c>
      <c r="T1514" s="18" t="inlineStr">
        <is>
          <t>Convención de nombre, redactada con el contexto de la tabla y el código.</t>
        </is>
      </c>
      <c r="U1514" s="18" t="inlineStr"/>
      <c r="V1514" s="19" t="inlineStr">
        <is>
          <t>Aprobada</t>
        </is>
      </c>
      <c r="W1514" s="19" t="inlineStr"/>
      <c r="X1514" s="19" t="inlineStr">
        <is>
          <t>Aldair González (aprobación en bloque)</t>
        </is>
      </c>
      <c r="Y1514" s="20" t="n">
        <v>46321</v>
      </c>
      <c r="Z1514" s="19" t="inlineStr">
        <is>
          <t>Nivel 2: regla estructural con redacción revisada.</t>
        </is>
      </c>
      <c r="AA1514" s="18">
        <f>IF(OR(V1514="Aprobada"),R1514,IF(AND(OR(V1514="Aprobada con ajuste",V1514="Rechazada"),W1514&lt;&gt;""),W1514,""))</f>
        <v/>
      </c>
    </row>
    <row r="1515">
      <c r="A1515" s="18" t="inlineStr">
        <is>
          <t>C1514</t>
        </is>
      </c>
      <c r="B1515" s="18" t="inlineStr">
        <is>
          <t>Control interno</t>
        </is>
      </c>
      <c r="C1515" s="18" t="inlineStr">
        <is>
          <t>control_interno</t>
        </is>
      </c>
      <c r="D1515" s="18" t="inlineStr">
        <is>
          <t>cronograma_auditoria</t>
        </is>
      </c>
      <c r="E1515" s="18" t="n">
        <v>0</v>
      </c>
      <c r="F1515" s="18" t="inlineStr">
        <is>
          <t>codigo</t>
        </is>
      </c>
      <c r="G1515" s="18" t="inlineStr">
        <is>
          <t>character varying(255)</t>
        </is>
      </c>
      <c r="H1515" s="18" t="inlineStr">
        <is>
          <t>No</t>
        </is>
      </c>
      <c r="I1515" s="18" t="inlineStr"/>
      <c r="J1515" s="18" t="inlineStr"/>
      <c r="K1515" s="18" t="inlineStr"/>
      <c r="L1515" s="18" t="inlineStr">
        <is>
          <t>No</t>
        </is>
      </c>
      <c r="M1515" s="18" t="inlineStr">
        <is>
          <t>No</t>
        </is>
      </c>
      <c r="N1515" s="18" t="inlineStr"/>
      <c r="O1515" s="18" t="inlineStr"/>
      <c r="P1515" s="18" t="inlineStr"/>
      <c r="Q1515" s="18" t="inlineStr">
        <is>
          <t>Regla estructural (redacción revisada)</t>
        </is>
      </c>
      <c r="R1515" s="18" t="inlineStr">
        <is>
          <t>Código de la auditoría en el cronograma.</t>
        </is>
      </c>
      <c r="S1515" s="18" t="inlineStr">
        <is>
          <t>Alta</t>
        </is>
      </c>
      <c r="T1515" s="18" t="inlineStr">
        <is>
          <t>Convención de nombre, redactada con el contexto de la tabla y el código.</t>
        </is>
      </c>
      <c r="U1515" s="18" t="inlineStr"/>
      <c r="V1515" s="19" t="inlineStr">
        <is>
          <t>Aprobada</t>
        </is>
      </c>
      <c r="W1515" s="19" t="inlineStr"/>
      <c r="X1515" s="19" t="inlineStr">
        <is>
          <t>Aldair González (aprobación en bloque)</t>
        </is>
      </c>
      <c r="Y1515" s="20" t="n">
        <v>46321</v>
      </c>
      <c r="Z1515" s="19" t="inlineStr">
        <is>
          <t>Nivel 2: regla estructural con redacción revisada.</t>
        </is>
      </c>
      <c r="AA1515" s="18">
        <f>IF(OR(V1515="Aprobada"),R1515,IF(AND(OR(V1515="Aprobada con ajuste",V1515="Rechazada"),W1515&lt;&gt;""),W1515,""))</f>
        <v/>
      </c>
    </row>
    <row r="1516">
      <c r="A1516" s="18" t="inlineStr">
        <is>
          <t>C1515</t>
        </is>
      </c>
      <c r="B1516" s="18" t="inlineStr">
        <is>
          <t>Control interno</t>
        </is>
      </c>
      <c r="C1516" s="18" t="inlineStr">
        <is>
          <t>control_interno</t>
        </is>
      </c>
      <c r="D1516" s="18" t="inlineStr">
        <is>
          <t>cronograma_auditoria</t>
        </is>
      </c>
      <c r="E1516" s="18" t="n">
        <v>0</v>
      </c>
      <c r="F1516" s="18" t="inlineStr">
        <is>
          <t>nombre</t>
        </is>
      </c>
      <c r="G1516" s="18" t="inlineStr">
        <is>
          <t>character varying(255)</t>
        </is>
      </c>
      <c r="H1516" s="18" t="inlineStr">
        <is>
          <t>No</t>
        </is>
      </c>
      <c r="I1516" s="18" t="inlineStr"/>
      <c r="J1516" s="18" t="inlineStr"/>
      <c r="K1516" s="18" t="inlineStr"/>
      <c r="L1516" s="18" t="inlineStr">
        <is>
          <t>No</t>
        </is>
      </c>
      <c r="M1516" s="18" t="inlineStr">
        <is>
          <t>No</t>
        </is>
      </c>
      <c r="N1516" s="18" t="inlineStr"/>
      <c r="O1516" s="18" t="inlineStr"/>
      <c r="P1516" s="18" t="inlineStr"/>
      <c r="Q1516" s="18" t="inlineStr">
        <is>
          <t>Regla estructural (redacción revisada)</t>
        </is>
      </c>
      <c r="R1516" s="18" t="inlineStr">
        <is>
          <t>Nombre de la auditoría en el cronograma.</t>
        </is>
      </c>
      <c r="S1516" s="18" t="inlineStr">
        <is>
          <t>Alta</t>
        </is>
      </c>
      <c r="T1516" s="18" t="inlineStr">
        <is>
          <t>Convención de nombre, redactada con el contexto de la tabla y el código.</t>
        </is>
      </c>
      <c r="U1516" s="18" t="inlineStr"/>
      <c r="V1516" s="19" t="inlineStr">
        <is>
          <t>Aprobada</t>
        </is>
      </c>
      <c r="W1516" s="19" t="inlineStr"/>
      <c r="X1516" s="19" t="inlineStr">
        <is>
          <t>Aldair González (aprobación en bloque)</t>
        </is>
      </c>
      <c r="Y1516" s="20" t="n">
        <v>46321</v>
      </c>
      <c r="Z1516" s="19" t="inlineStr">
        <is>
          <t>Nivel 2: regla estructural con redacción revisada.</t>
        </is>
      </c>
      <c r="AA1516" s="18">
        <f>IF(OR(V1516="Aprobada"),R1516,IF(AND(OR(V1516="Aprobada con ajuste",V1516="Rechazada"),W1516&lt;&gt;""),W1516,""))</f>
        <v/>
      </c>
    </row>
    <row r="1517">
      <c r="A1517" s="18" t="inlineStr">
        <is>
          <t>C1516</t>
        </is>
      </c>
      <c r="B1517" s="18" t="inlineStr">
        <is>
          <t>Control interno</t>
        </is>
      </c>
      <c r="C1517" s="18" t="inlineStr">
        <is>
          <t>control_interno</t>
        </is>
      </c>
      <c r="D1517" s="18" t="inlineStr">
        <is>
          <t>cronograma_auditoria</t>
        </is>
      </c>
      <c r="E1517" s="18" t="n">
        <v>0</v>
      </c>
      <c r="F1517" s="18" t="inlineStr">
        <is>
          <t>proceso</t>
        </is>
      </c>
      <c r="G1517" s="18" t="inlineStr">
        <is>
          <t>character varying(255)</t>
        </is>
      </c>
      <c r="H1517" s="18" t="inlineStr">
        <is>
          <t>No</t>
        </is>
      </c>
      <c r="I1517" s="18" t="inlineStr"/>
      <c r="J1517" s="18" t="inlineStr"/>
      <c r="K1517" s="18" t="inlineStr"/>
      <c r="L1517" s="18" t="inlineStr">
        <is>
          <t>No</t>
        </is>
      </c>
      <c r="M1517" s="18" t="inlineStr">
        <is>
          <t>No</t>
        </is>
      </c>
      <c r="N1517" s="18" t="inlineStr"/>
      <c r="O1517" s="18" t="inlineStr"/>
      <c r="P1517" s="18" t="inlineStr"/>
      <c r="Q1517" s="18" t="inlineStr">
        <is>
          <t>Propuesta semántica</t>
        </is>
      </c>
      <c r="R1517" s="18" t="inlineStr">
        <is>
          <t>Proceso que se audita en la auditoría del cronograma.</t>
        </is>
      </c>
      <c r="S1517" s="18" t="inlineStr">
        <is>
          <t>Alta</t>
        </is>
      </c>
      <c r="T1517" s="18" t="inlineStr">
        <is>
          <t>nombre + tipo + descripción de la tabla ~</t>
        </is>
      </c>
      <c r="U1517" s="18" t="inlineStr"/>
      <c r="V1517" s="19" t="inlineStr">
        <is>
          <t>Aprobada</t>
        </is>
      </c>
      <c r="W1517" s="19" t="inlineStr"/>
      <c r="X1517" s="19" t="inlineStr">
        <is>
          <t>Aldair González (aprobación en bloque)</t>
        </is>
      </c>
      <c r="Y1517" s="20" t="n">
        <v>46321</v>
      </c>
      <c r="Z1517" s="19" t="inlineStr">
        <is>
          <t>Nivel 1: propuesta del comentario del desarrollador o de confianza alta, o regla de fecha/responsable/motivo.</t>
        </is>
      </c>
      <c r="AA1517" s="18">
        <f>IF(OR(V1517="Aprobada"),R1517,IF(AND(OR(V1517="Aprobada con ajuste",V1517="Rechazada"),W1517&lt;&gt;""),W1517,""))</f>
        <v/>
      </c>
    </row>
    <row r="1518">
      <c r="A1518" s="18" t="inlineStr">
        <is>
          <t>C1517</t>
        </is>
      </c>
      <c r="B1518" s="18" t="inlineStr">
        <is>
          <t>Control interno</t>
        </is>
      </c>
      <c r="C1518" s="18" t="inlineStr">
        <is>
          <t>control_interno</t>
        </is>
      </c>
      <c r="D1518" s="18" t="inlineStr">
        <is>
          <t>cronograma_auditoria</t>
        </is>
      </c>
      <c r="E1518" s="18" t="n">
        <v>0</v>
      </c>
      <c r="F1518" s="18" t="inlineStr">
        <is>
          <t>nivel_riesgo</t>
        </is>
      </c>
      <c r="G1518" s="18" t="inlineStr">
        <is>
          <t>character varying(20)</t>
        </is>
      </c>
      <c r="H1518" s="18" t="inlineStr">
        <is>
          <t>Sí</t>
        </is>
      </c>
      <c r="I1518" s="18" t="inlineStr">
        <is>
          <t>CHECK</t>
        </is>
      </c>
      <c r="J1518" s="18" t="inlineStr">
        <is>
          <t>Alto, Bajo, Medio</t>
        </is>
      </c>
      <c r="K1518" s="18" t="inlineStr"/>
      <c r="L1518" s="18" t="inlineStr">
        <is>
          <t>Sí</t>
        </is>
      </c>
      <c r="M1518" s="18" t="inlineStr">
        <is>
          <t>No</t>
        </is>
      </c>
      <c r="N1518" s="18" t="inlineStr"/>
      <c r="O1518" s="18" t="inlineStr"/>
      <c r="P1518" s="18" t="inlineStr"/>
      <c r="Q1518" s="18" t="inlineStr">
        <is>
          <t>Propuesta semántica</t>
        </is>
      </c>
      <c r="R1518" s="18" t="inlineStr">
        <is>
          <t>Nivel de riesgo del proceso. Valores permitidos: Alto, Medio, Bajo.</t>
        </is>
      </c>
      <c r="S1518" s="18" t="inlineStr">
        <is>
          <t>Alta</t>
        </is>
      </c>
      <c r="T1518" s="18" t="inlineStr">
        <is>
          <t>valores permitidos del CHECK ~</t>
        </is>
      </c>
      <c r="U1518" s="18" t="inlineStr"/>
      <c r="V1518" s="19" t="inlineStr">
        <is>
          <t>Aprobada</t>
        </is>
      </c>
      <c r="W1518" s="19" t="inlineStr"/>
      <c r="X1518" s="19" t="inlineStr">
        <is>
          <t>Aldair González (aprobación en bloque)</t>
        </is>
      </c>
      <c r="Y1518" s="20" t="n">
        <v>46321</v>
      </c>
      <c r="Z1518" s="19" t="inlineStr">
        <is>
          <t>Nivel 1: propuesta del comentario del desarrollador o de confianza alta, o regla de fecha/responsable/motivo.</t>
        </is>
      </c>
      <c r="AA1518" s="18">
        <f>IF(OR(V1518="Aprobada"),R1518,IF(AND(OR(V1518="Aprobada con ajuste",V1518="Rechazada"),W1518&lt;&gt;""),W1518,""))</f>
        <v/>
      </c>
    </row>
    <row r="1519">
      <c r="A1519" s="18" t="inlineStr">
        <is>
          <t>C1518</t>
        </is>
      </c>
      <c r="B1519" s="18" t="inlineStr">
        <is>
          <t>Control interno</t>
        </is>
      </c>
      <c r="C1519" s="18" t="inlineStr">
        <is>
          <t>control_interno</t>
        </is>
      </c>
      <c r="D1519" s="18" t="inlineStr">
        <is>
          <t>cronograma_auditoria</t>
        </is>
      </c>
      <c r="E1519" s="18" t="n">
        <v>0</v>
      </c>
      <c r="F1519" s="18" t="inlineStr">
        <is>
          <t>trimestre</t>
        </is>
      </c>
      <c r="G1519" s="18" t="inlineStr">
        <is>
          <t>character varying(10)</t>
        </is>
      </c>
      <c r="H1519" s="18" t="inlineStr">
        <is>
          <t>No</t>
        </is>
      </c>
      <c r="I1519" s="18" t="inlineStr"/>
      <c r="J1519" s="18" t="inlineStr"/>
      <c r="K1519" s="18" t="inlineStr"/>
      <c r="L1519" s="18" t="inlineStr">
        <is>
          <t>No</t>
        </is>
      </c>
      <c r="M1519" s="18" t="inlineStr">
        <is>
          <t>No</t>
        </is>
      </c>
      <c r="N1519" s="18" t="inlineStr"/>
      <c r="O1519" s="18" t="inlineStr">
        <is>
          <t>idx_cronograma_trimestre</t>
        </is>
      </c>
      <c r="P1519" s="18" t="inlineStr"/>
      <c r="Q1519" s="18" t="inlineStr">
        <is>
          <t>Código fuente (verificado)</t>
        </is>
      </c>
      <c r="R1519" s="18" t="inlineStr">
        <is>
          <t>Trimestre del año en que se programa la auditoría.</t>
        </is>
      </c>
      <c r="S1519" s="18" t="inlineStr">
        <is>
          <t>Media</t>
        </is>
      </c>
      <c r="T1519" s="18" t="inlineStr">
        <is>
          <t>db/init/005_control_interno_ddl_20260129_215540.sql:1394: varchar(10) NOT NULL sin CHECK | sin entidad ni uso en el código del servicio</t>
        </is>
      </c>
      <c r="U1519" s="18" t="inlineStr">
        <is>
          <t>¿Qué formato tiene trimestre (Q1, T1, 1)? La tabla no tiene entidad en el código.</t>
        </is>
      </c>
      <c r="V1519" s="19" t="inlineStr">
        <is>
          <t>Aprobada</t>
        </is>
      </c>
      <c r="W1519" s="19" t="inlineStr"/>
      <c r="X1519" s="19" t="inlineStr">
        <is>
          <t>Aldair González (validación del responsable de BD)</t>
        </is>
      </c>
      <c r="Y1519" s="20" t="n">
        <v>46321</v>
      </c>
      <c r="Z1519" s="19" t="inlineStr">
        <is>
          <t>Nivel 3: validada por decisión del responsable de la base de datos. Pregunta registrada para desarrollo: ¿Qué formato tiene trimestre (Q1, T1, 1)? La tabla no tiene entidad en el código.</t>
        </is>
      </c>
      <c r="AA1519" s="18">
        <f>IF(OR(V1519="Aprobada"),R1519,IF(AND(OR(V1519="Aprobada con ajuste",V1519="Rechazada"),W1519&lt;&gt;""),W1519,""))</f>
        <v/>
      </c>
    </row>
    <row r="1520">
      <c r="A1520" s="18" t="inlineStr">
        <is>
          <t>C1519</t>
        </is>
      </c>
      <c r="B1520" s="18" t="inlineStr">
        <is>
          <t>Control interno</t>
        </is>
      </c>
      <c r="C1520" s="18" t="inlineStr">
        <is>
          <t>control_interno</t>
        </is>
      </c>
      <c r="D1520" s="18" t="inlineStr">
        <is>
          <t>cronograma_auditoria</t>
        </is>
      </c>
      <c r="E1520" s="18" t="n">
        <v>0</v>
      </c>
      <c r="F1520" s="18" t="inlineStr">
        <is>
          <t>fecha_inicio</t>
        </is>
      </c>
      <c r="G1520" s="18" t="inlineStr">
        <is>
          <t>date</t>
        </is>
      </c>
      <c r="H1520" s="18" t="inlineStr">
        <is>
          <t>No</t>
        </is>
      </c>
      <c r="I1520" s="18" t="inlineStr"/>
      <c r="J1520" s="18" t="inlineStr"/>
      <c r="K1520" s="18" t="inlineStr"/>
      <c r="L1520" s="18" t="inlineStr">
        <is>
          <t>No</t>
        </is>
      </c>
      <c r="M1520" s="18" t="inlineStr">
        <is>
          <t>No</t>
        </is>
      </c>
      <c r="N1520" s="18" t="inlineStr"/>
      <c r="O1520" s="18" t="inlineStr"/>
      <c r="P1520" s="18" t="inlineStr"/>
      <c r="Q1520" s="18" t="inlineStr">
        <is>
          <t>Regla estructural (redacción revisada)</t>
        </is>
      </c>
      <c r="R1520" s="18" t="inlineStr">
        <is>
          <t>Fecha de inicio de la auditoría en el cronograma.</t>
        </is>
      </c>
      <c r="S1520" s="18" t="inlineStr">
        <is>
          <t>Alta</t>
        </is>
      </c>
      <c r="T1520" s="18" t="inlineStr">
        <is>
          <t>Convención de nombre, redactada con el contexto de la tabla y el código.</t>
        </is>
      </c>
      <c r="U1520" s="18" t="inlineStr"/>
      <c r="V1520" s="19" t="inlineStr">
        <is>
          <t>Aprobada</t>
        </is>
      </c>
      <c r="W1520" s="19" t="inlineStr"/>
      <c r="X1520" s="19" t="inlineStr">
        <is>
          <t>Aldair González (aprobación en bloque)</t>
        </is>
      </c>
      <c r="Y1520" s="20" t="n">
        <v>46321</v>
      </c>
      <c r="Z1520" s="19" t="inlineStr">
        <is>
          <t>Nivel 2: regla estructural con redacción revisada.</t>
        </is>
      </c>
      <c r="AA1520" s="18">
        <f>IF(OR(V1520="Aprobada"),R1520,IF(AND(OR(V1520="Aprobada con ajuste",V1520="Rechazada"),W1520&lt;&gt;""),W1520,""))</f>
        <v/>
      </c>
    </row>
    <row r="1521">
      <c r="A1521" s="18" t="inlineStr">
        <is>
          <t>C1520</t>
        </is>
      </c>
      <c r="B1521" s="18" t="inlineStr">
        <is>
          <t>Control interno</t>
        </is>
      </c>
      <c r="C1521" s="18" t="inlineStr">
        <is>
          <t>control_interno</t>
        </is>
      </c>
      <c r="D1521" s="18" t="inlineStr">
        <is>
          <t>cronograma_auditoria</t>
        </is>
      </c>
      <c r="E1521" s="18" t="n">
        <v>0</v>
      </c>
      <c r="F1521" s="18" t="inlineStr">
        <is>
          <t>fecha_fin</t>
        </is>
      </c>
      <c r="G1521" s="18" t="inlineStr">
        <is>
          <t>date</t>
        </is>
      </c>
      <c r="H1521" s="18" t="inlineStr">
        <is>
          <t>No</t>
        </is>
      </c>
      <c r="I1521" s="18" t="inlineStr"/>
      <c r="J1521" s="18" t="inlineStr"/>
      <c r="K1521" s="18" t="inlineStr"/>
      <c r="L1521" s="18" t="inlineStr">
        <is>
          <t>No</t>
        </is>
      </c>
      <c r="M1521" s="18" t="inlineStr">
        <is>
          <t>No</t>
        </is>
      </c>
      <c r="N1521" s="18" t="inlineStr"/>
      <c r="O1521" s="18" t="inlineStr"/>
      <c r="P1521" s="18" t="inlineStr"/>
      <c r="Q1521" s="18" t="inlineStr">
        <is>
          <t>Regla estructural (redacción revisada)</t>
        </is>
      </c>
      <c r="R1521" s="18" t="inlineStr">
        <is>
          <t>Fecha de finalización de la auditoría en el cronograma.</t>
        </is>
      </c>
      <c r="S1521" s="18" t="inlineStr">
        <is>
          <t>Alta</t>
        </is>
      </c>
      <c r="T1521" s="18" t="inlineStr">
        <is>
          <t>Convención de nombre, redactada con el contexto de la tabla y el código.</t>
        </is>
      </c>
      <c r="U1521" s="18" t="inlineStr"/>
      <c r="V1521" s="19" t="inlineStr">
        <is>
          <t>Aprobada</t>
        </is>
      </c>
      <c r="W1521" s="19" t="inlineStr"/>
      <c r="X1521" s="19" t="inlineStr">
        <is>
          <t>Aldair González (aprobación en bloque)</t>
        </is>
      </c>
      <c r="Y1521" s="20" t="n">
        <v>46321</v>
      </c>
      <c r="Z1521" s="19" t="inlineStr">
        <is>
          <t>Nivel 2: regla estructural con redacción revisada.</t>
        </is>
      </c>
      <c r="AA1521" s="18">
        <f>IF(OR(V1521="Aprobada"),R1521,IF(AND(OR(V1521="Aprobada con ajuste",V1521="Rechazada"),W1521&lt;&gt;""),W1521,""))</f>
        <v/>
      </c>
    </row>
    <row r="1522">
      <c r="A1522" s="18" t="inlineStr">
        <is>
          <t>C1521</t>
        </is>
      </c>
      <c r="B1522" s="18" t="inlineStr">
        <is>
          <t>Control interno</t>
        </is>
      </c>
      <c r="C1522" s="18" t="inlineStr">
        <is>
          <t>control_interno</t>
        </is>
      </c>
      <c r="D1522" s="18" t="inlineStr">
        <is>
          <t>cronograma_auditoria</t>
        </is>
      </c>
      <c r="E1522" s="18" t="n">
        <v>0</v>
      </c>
      <c r="F1522" s="18" t="inlineStr">
        <is>
          <t>auditor_responsable</t>
        </is>
      </c>
      <c r="G1522" s="18" t="inlineStr">
        <is>
          <t>character varying(255)</t>
        </is>
      </c>
      <c r="H1522" s="18" t="inlineStr">
        <is>
          <t>Sí</t>
        </is>
      </c>
      <c r="I1522" s="18" t="inlineStr"/>
      <c r="J1522" s="18" t="inlineStr"/>
      <c r="K1522" s="18" t="inlineStr"/>
      <c r="L1522" s="18" t="inlineStr">
        <is>
          <t>No</t>
        </is>
      </c>
      <c r="M1522" s="18" t="inlineStr">
        <is>
          <t>No</t>
        </is>
      </c>
      <c r="N1522" s="18" t="inlineStr"/>
      <c r="O1522" s="18" t="inlineStr"/>
      <c r="P1522" s="18" t="inlineStr"/>
      <c r="Q1522" s="18" t="inlineStr">
        <is>
          <t>Código fuente (verificado)</t>
        </is>
      </c>
      <c r="R1522" s="18" t="inlineStr">
        <is>
          <t>Auditor responsable de la auditoría programada.</t>
        </is>
      </c>
      <c r="S1522" s="18" t="inlineStr">
        <is>
          <t>Media</t>
        </is>
      </c>
      <c r="T1522" s="18" t="inlineStr">
        <is>
          <t>db/init/old/009_schema_control-interno.sql:385: varchar(255) | sin entidad ni uso en el código del servicio</t>
        </is>
      </c>
      <c r="U1522" s="18" t="inlineStr">
        <is>
          <t>¿auditor_responsable guarda el nombre, el correo o el identificador del auditor? La tabla no tiene entidad en el código.</t>
        </is>
      </c>
      <c r="V1522" s="19" t="inlineStr">
        <is>
          <t>Aprobada</t>
        </is>
      </c>
      <c r="W1522" s="19" t="inlineStr"/>
      <c r="X1522" s="19" t="inlineStr">
        <is>
          <t>Aldair González (validación del responsable de BD)</t>
        </is>
      </c>
      <c r="Y1522" s="20" t="n">
        <v>46321</v>
      </c>
      <c r="Z1522" s="19" t="inlineStr">
        <is>
          <t>Nivel 3: validada por decisión del responsable de la base de datos. Pregunta registrada para desarrollo: ¿auditor_responsable guarda el nombre, el correo o el identificador del auditor? La tabla no tiene entidad en el código.</t>
        </is>
      </c>
      <c r="AA1522" s="18">
        <f>IF(OR(V1522="Aprobada"),R1522,IF(AND(OR(V1522="Aprobada con ajuste",V1522="Rechazada"),W1522&lt;&gt;""),W1522,""))</f>
        <v/>
      </c>
    </row>
    <row r="1523">
      <c r="A1523" s="18" t="inlineStr">
        <is>
          <t>C1522</t>
        </is>
      </c>
      <c r="B1523" s="18" t="inlineStr">
        <is>
          <t>Control interno</t>
        </is>
      </c>
      <c r="C1523" s="18" t="inlineStr">
        <is>
          <t>control_interno</t>
        </is>
      </c>
      <c r="D1523" s="18" t="inlineStr">
        <is>
          <t>cronograma_auditoria</t>
        </is>
      </c>
      <c r="E1523" s="18" t="n">
        <v>0</v>
      </c>
      <c r="F1523" s="18" t="inlineStr">
        <is>
          <t>horas_estimadas</t>
        </is>
      </c>
      <c r="G1523" s="18" t="inlineStr">
        <is>
          <t>integer</t>
        </is>
      </c>
      <c r="H1523" s="18" t="inlineStr">
        <is>
          <t>No</t>
        </is>
      </c>
      <c r="I1523" s="18" t="inlineStr"/>
      <c r="J1523" s="18" t="inlineStr"/>
      <c r="K1523" s="18" t="inlineStr"/>
      <c r="L1523" s="18" t="inlineStr">
        <is>
          <t>No</t>
        </is>
      </c>
      <c r="M1523" s="18" t="inlineStr">
        <is>
          <t>No</t>
        </is>
      </c>
      <c r="N1523" s="18" t="inlineStr"/>
      <c r="O1523" s="18" t="inlineStr"/>
      <c r="P1523" s="18" t="inlineStr"/>
      <c r="Q1523" s="18" t="inlineStr">
        <is>
          <t>Propuesta semántica</t>
        </is>
      </c>
      <c r="R1523" s="18" t="inlineStr">
        <is>
          <t>Horas estimadas para ejecutar la auditoría.</t>
        </is>
      </c>
      <c r="S1523" s="18" t="inlineStr">
        <is>
          <t>Alta</t>
        </is>
      </c>
      <c r="T1523" s="18" t="inlineStr">
        <is>
          <t>nombre + tipo ~</t>
        </is>
      </c>
      <c r="U1523" s="18" t="inlineStr"/>
      <c r="V1523" s="19" t="inlineStr">
        <is>
          <t>Aprobada</t>
        </is>
      </c>
      <c r="W1523" s="19" t="inlineStr"/>
      <c r="X1523" s="19" t="inlineStr">
        <is>
          <t>Aldair González (aprobación en bloque)</t>
        </is>
      </c>
      <c r="Y1523" s="20" t="n">
        <v>46321</v>
      </c>
      <c r="Z1523" s="19" t="inlineStr">
        <is>
          <t>Nivel 1: propuesta del comentario del desarrollador o de confianza alta, o regla de fecha/responsable/motivo.</t>
        </is>
      </c>
      <c r="AA1523" s="18">
        <f>IF(OR(V1523="Aprobada"),R1523,IF(AND(OR(V1523="Aprobada con ajuste",V1523="Rechazada"),W1523&lt;&gt;""),W1523,""))</f>
        <v/>
      </c>
    </row>
    <row r="1524">
      <c r="A1524" s="18" t="inlineStr">
        <is>
          <t>C1523</t>
        </is>
      </c>
      <c r="B1524" s="18" t="inlineStr">
        <is>
          <t>Control interno</t>
        </is>
      </c>
      <c r="C1524" s="18" t="inlineStr">
        <is>
          <t>control_interno</t>
        </is>
      </c>
      <c r="D1524" s="18" t="inlineStr">
        <is>
          <t>cronograma_auditoria</t>
        </is>
      </c>
      <c r="E1524" s="18" t="n">
        <v>0</v>
      </c>
      <c r="F1524" s="18" t="inlineStr">
        <is>
          <t>estado</t>
        </is>
      </c>
      <c r="G1524" s="18" t="inlineStr">
        <is>
          <t>character varying(50)</t>
        </is>
      </c>
      <c r="H1524" s="18" t="inlineStr">
        <is>
          <t>Sí</t>
        </is>
      </c>
      <c r="I1524" s="18" t="inlineStr">
        <is>
          <t>CHECK</t>
        </is>
      </c>
      <c r="J1524" s="18" t="inlineStr">
        <is>
          <t>cancelada, completada, en-ejecucion, en-revision, planificado</t>
        </is>
      </c>
      <c r="K1524" s="18" t="inlineStr"/>
      <c r="L1524" s="18" t="inlineStr">
        <is>
          <t>Sí</t>
        </is>
      </c>
      <c r="M1524" s="18" t="inlineStr">
        <is>
          <t>No</t>
        </is>
      </c>
      <c r="N1524" s="18" t="inlineStr"/>
      <c r="O1524" s="18" t="inlineStr">
        <is>
          <t>idx_cronograma_estado</t>
        </is>
      </c>
      <c r="P1524" s="18" t="inlineStr"/>
      <c r="Q1524" s="18" t="inlineStr">
        <is>
          <t>Regla estructural (redacción revisada)</t>
        </is>
      </c>
      <c r="R1524" s="18" t="inlineStr">
        <is>
          <t>Estado de la auditoría en el cronograma (planificado, en ejecución, en revisión, completada o cancelada).</t>
        </is>
      </c>
      <c r="S1524" s="18" t="inlineStr">
        <is>
          <t>Alta</t>
        </is>
      </c>
      <c r="T1524" s="18" t="inlineStr">
        <is>
          <t>Convención de nombre, redactada con el contexto de la tabla y el código.</t>
        </is>
      </c>
      <c r="U1524" s="18" t="inlineStr"/>
      <c r="V1524" s="19" t="inlineStr">
        <is>
          <t>Aprobada</t>
        </is>
      </c>
      <c r="W1524" s="19" t="inlineStr"/>
      <c r="X1524" s="19" t="inlineStr">
        <is>
          <t>Aldair González (aprobación en bloque)</t>
        </is>
      </c>
      <c r="Y1524" s="20" t="n">
        <v>46321</v>
      </c>
      <c r="Z1524" s="19" t="inlineStr">
        <is>
          <t>Nivel 2: regla estructural con redacción revisada.</t>
        </is>
      </c>
      <c r="AA1524" s="18">
        <f>IF(OR(V1524="Aprobada"),R1524,IF(AND(OR(V1524="Aprobada con ajuste",V1524="Rechazada"),W1524&lt;&gt;""),W1524,""))</f>
        <v/>
      </c>
    </row>
    <row r="1525">
      <c r="A1525" s="18" t="inlineStr">
        <is>
          <t>C1524</t>
        </is>
      </c>
      <c r="B1525" s="18" t="inlineStr">
        <is>
          <t>Control interno</t>
        </is>
      </c>
      <c r="C1525" s="18" t="inlineStr">
        <is>
          <t>control_interno</t>
        </is>
      </c>
      <c r="D1525" s="18" t="inlineStr">
        <is>
          <t>cronograma_auditoria</t>
        </is>
      </c>
      <c r="E1525" s="18" t="n">
        <v>0</v>
      </c>
      <c r="F1525" s="18" t="inlineStr">
        <is>
          <t>es_territorial</t>
        </is>
      </c>
      <c r="G1525" s="18" t="inlineStr">
        <is>
          <t>boolean</t>
        </is>
      </c>
      <c r="H1525" s="18" t="inlineStr">
        <is>
          <t>Sí</t>
        </is>
      </c>
      <c r="I1525" s="18" t="inlineStr"/>
      <c r="J1525" s="18" t="inlineStr"/>
      <c r="K1525" s="18" t="inlineStr"/>
      <c r="L1525" s="18" t="inlineStr">
        <is>
          <t>No</t>
        </is>
      </c>
      <c r="M1525" s="18" t="inlineStr">
        <is>
          <t>No</t>
        </is>
      </c>
      <c r="N1525" s="18" t="inlineStr"/>
      <c r="O1525" s="18" t="inlineStr"/>
      <c r="P1525" s="18" t="inlineStr"/>
      <c r="Q1525" s="18" t="inlineStr">
        <is>
          <t>Regla estructural (redacción revisada)</t>
        </is>
      </c>
      <c r="R1525" s="18" t="inlineStr">
        <is>
          <t>Indica si la auditoría del cronograma es territorial.</t>
        </is>
      </c>
      <c r="S1525" s="18" t="inlineStr">
        <is>
          <t>Alta</t>
        </is>
      </c>
      <c r="T1525" s="18" t="inlineStr">
        <is>
          <t>Convención de nombre, redactada con el contexto de la tabla y el código.</t>
        </is>
      </c>
      <c r="U1525" s="18" t="inlineStr"/>
      <c r="V1525" s="19" t="inlineStr">
        <is>
          <t>Aprobada</t>
        </is>
      </c>
      <c r="W1525" s="19" t="inlineStr"/>
      <c r="X1525" s="19" t="inlineStr">
        <is>
          <t>Aldair González (aprobación en bloque)</t>
        </is>
      </c>
      <c r="Y1525" s="20" t="n">
        <v>46321</v>
      </c>
      <c r="Z1525" s="19" t="inlineStr">
        <is>
          <t>Nivel 2: regla estructural con redacción revisada.</t>
        </is>
      </c>
      <c r="AA1525" s="18">
        <f>IF(OR(V1525="Aprobada"),R1525,IF(AND(OR(V1525="Aprobada con ajuste",V1525="Rechazada"),W1525&lt;&gt;""),W1525,""))</f>
        <v/>
      </c>
    </row>
    <row r="1526">
      <c r="A1526" s="18" t="inlineStr">
        <is>
          <t>C1525</t>
        </is>
      </c>
      <c r="B1526" s="18" t="inlineStr">
        <is>
          <t>Control interno</t>
        </is>
      </c>
      <c r="C1526" s="18" t="inlineStr">
        <is>
          <t>control_interno</t>
        </is>
      </c>
      <c r="D1526" s="18" t="inlineStr">
        <is>
          <t>cronograma_auditoria</t>
        </is>
      </c>
      <c r="E1526" s="18" t="n">
        <v>0</v>
      </c>
      <c r="F1526" s="18" t="inlineStr">
        <is>
          <t>territorial</t>
        </is>
      </c>
      <c r="G1526" s="18" t="inlineStr">
        <is>
          <t>character varying(255)</t>
        </is>
      </c>
      <c r="H1526" s="18" t="inlineStr">
        <is>
          <t>Sí</t>
        </is>
      </c>
      <c r="I1526" s="18" t="inlineStr"/>
      <c r="J1526" s="18" t="inlineStr"/>
      <c r="K1526" s="18" t="inlineStr"/>
      <c r="L1526" s="18" t="inlineStr">
        <is>
          <t>No</t>
        </is>
      </c>
      <c r="M1526" s="18" t="inlineStr">
        <is>
          <t>No</t>
        </is>
      </c>
      <c r="N1526" s="18" t="inlineStr"/>
      <c r="O1526" s="18" t="inlineStr"/>
      <c r="P1526" s="18" t="inlineStr"/>
      <c r="Q1526" s="18" t="inlineStr">
        <is>
          <t>Código fuente (verificado)</t>
        </is>
      </c>
      <c r="R1526" s="18" t="inlineStr">
        <is>
          <t>Dirección territorial de la auditoría, cuando es territorial.</t>
        </is>
      </c>
      <c r="S1526" s="18" t="inlineStr">
        <is>
          <t>Media</t>
        </is>
      </c>
      <c r="T1526" s="18" t="inlineStr">
        <is>
          <t>db/init/old/009_schema_control-interno.sql:389: varchar(255) | sin entidad ni uso en el código del servicio</t>
        </is>
      </c>
      <c r="U1526" s="18" t="inlineStr">
        <is>
          <t>¿territorial se toma de un catálogo de direcciones territoriales o es texto libre? La tabla no tiene entidad en el código.</t>
        </is>
      </c>
      <c r="V1526" s="19" t="inlineStr">
        <is>
          <t>Aprobada</t>
        </is>
      </c>
      <c r="W1526" s="19" t="inlineStr"/>
      <c r="X1526" s="19" t="inlineStr">
        <is>
          <t>Aldair González (validación del responsable de BD)</t>
        </is>
      </c>
      <c r="Y1526" s="20" t="n">
        <v>46321</v>
      </c>
      <c r="Z1526" s="19" t="inlineStr">
        <is>
          <t>Nivel 3: validada por decisión del responsable de la base de datos. Pregunta registrada para desarrollo: ¿territorial se toma de un catálogo de direcciones territoriales o es texto libre? La tabla no tiene entidad en el código.</t>
        </is>
      </c>
      <c r="AA1526" s="18">
        <f>IF(OR(V1526="Aprobada"),R1526,IF(AND(OR(V1526="Aprobada con ajuste",V1526="Rechazada"),W1526&lt;&gt;""),W1526,""))</f>
        <v/>
      </c>
    </row>
    <row r="1527">
      <c r="A1527" s="18" t="inlineStr">
        <is>
          <t>C1526</t>
        </is>
      </c>
      <c r="B1527" s="18" t="inlineStr">
        <is>
          <t>Control interno</t>
        </is>
      </c>
      <c r="C1527" s="18" t="inlineStr">
        <is>
          <t>control_interno</t>
        </is>
      </c>
      <c r="D1527" s="18" t="inlineStr">
        <is>
          <t>cronograma_auditoria</t>
        </is>
      </c>
      <c r="E1527" s="18" t="n">
        <v>0</v>
      </c>
      <c r="F1527" s="18" t="inlineStr">
        <is>
          <t>es_especial</t>
        </is>
      </c>
      <c r="G1527" s="18" t="inlineStr">
        <is>
          <t>boolean</t>
        </is>
      </c>
      <c r="H1527" s="18" t="inlineStr">
        <is>
          <t>Sí</t>
        </is>
      </c>
      <c r="I1527" s="18" t="inlineStr"/>
      <c r="J1527" s="18" t="inlineStr"/>
      <c r="K1527" s="18" t="inlineStr"/>
      <c r="L1527" s="18" t="inlineStr">
        <is>
          <t>No</t>
        </is>
      </c>
      <c r="M1527" s="18" t="inlineStr">
        <is>
          <t>No</t>
        </is>
      </c>
      <c r="N1527" s="18" t="inlineStr"/>
      <c r="O1527" s="18" t="inlineStr"/>
      <c r="P1527" s="18" t="inlineStr"/>
      <c r="Q1527" s="18" t="inlineStr">
        <is>
          <t>Regla estructural (redacción revisada)</t>
        </is>
      </c>
      <c r="R1527" s="18" t="inlineStr">
        <is>
          <t>Indica si la auditoría del cronograma es especial.</t>
        </is>
      </c>
      <c r="S1527" s="18" t="inlineStr">
        <is>
          <t>Alta</t>
        </is>
      </c>
      <c r="T1527" s="18" t="inlineStr">
        <is>
          <t>Convención de nombre, redactada con el contexto de la tabla y el código.</t>
        </is>
      </c>
      <c r="U1527" s="18" t="inlineStr"/>
      <c r="V1527" s="19" t="inlineStr">
        <is>
          <t>Aprobada</t>
        </is>
      </c>
      <c r="W1527" s="19" t="inlineStr"/>
      <c r="X1527" s="19" t="inlineStr">
        <is>
          <t>Aldair González (aprobación en bloque)</t>
        </is>
      </c>
      <c r="Y1527" s="20" t="n">
        <v>46321</v>
      </c>
      <c r="Z1527" s="19" t="inlineStr">
        <is>
          <t>Nivel 2: regla estructural con redacción revisada.</t>
        </is>
      </c>
      <c r="AA1527" s="18">
        <f>IF(OR(V1527="Aprobada"),R1527,IF(AND(OR(V1527="Aprobada con ajuste",V1527="Rechazada"),W1527&lt;&gt;""),W1527,""))</f>
        <v/>
      </c>
    </row>
    <row r="1528">
      <c r="A1528" s="18" t="inlineStr">
        <is>
          <t>C1527</t>
        </is>
      </c>
      <c r="B1528" s="18" t="inlineStr">
        <is>
          <t>Control interno</t>
        </is>
      </c>
      <c r="C1528" s="18" t="inlineStr">
        <is>
          <t>control_interno</t>
        </is>
      </c>
      <c r="D1528" s="18" t="inlineStr">
        <is>
          <t>cronograma_auditoria</t>
        </is>
      </c>
      <c r="E1528" s="18" t="n">
        <v>0</v>
      </c>
      <c r="F1528" s="18" t="inlineStr">
        <is>
          <t>equipo</t>
        </is>
      </c>
      <c r="G1528" s="18" t="inlineStr">
        <is>
          <t>jsonb</t>
        </is>
      </c>
      <c r="H1528" s="18" t="inlineStr">
        <is>
          <t>Sí</t>
        </is>
      </c>
      <c r="I1528" s="18" t="inlineStr"/>
      <c r="J1528" s="18" t="inlineStr"/>
      <c r="K1528" s="18" t="inlineStr"/>
      <c r="L1528" s="18" t="inlineStr">
        <is>
          <t>No</t>
        </is>
      </c>
      <c r="M1528" s="18" t="inlineStr">
        <is>
          <t>No</t>
        </is>
      </c>
      <c r="N1528" s="18" t="inlineStr"/>
      <c r="O1528" s="18" t="inlineStr"/>
      <c r="P1528" s="18" t="inlineStr"/>
      <c r="Q1528" s="18" t="inlineStr">
        <is>
          <t>Código fuente (verificado)</t>
        </is>
      </c>
      <c r="R1528" s="18" t="inlineStr">
        <is>
          <t>Integrantes del equipo auditor, en formato JSON.</t>
        </is>
      </c>
      <c r="S1528" s="18" t="inlineStr">
        <is>
          <t>Media</t>
        </is>
      </c>
      <c r="T1528" s="18" t="inlineStr">
        <is>
          <t>db/init/old/009_schema_control-interno.sql:391: jsonb | sin entidad ni uso en el código del servicio</t>
        </is>
      </c>
      <c r="U1528" s="18" t="inlineStr">
        <is>
          <t>¿Qué estructura tiene equipo? La tabla no tiene entidad en el código.</t>
        </is>
      </c>
      <c r="V1528" s="19" t="inlineStr">
        <is>
          <t>Aprobada</t>
        </is>
      </c>
      <c r="W1528" s="19" t="inlineStr"/>
      <c r="X1528" s="19" t="inlineStr">
        <is>
          <t>Aldair González (validación del responsable de BD)</t>
        </is>
      </c>
      <c r="Y1528" s="20" t="n">
        <v>46321</v>
      </c>
      <c r="Z1528" s="19" t="inlineStr">
        <is>
          <t>Nivel 3: validada por decisión del responsable de la base de datos. Pregunta registrada para desarrollo: ¿Qué estructura tiene equipo? La tabla no tiene entidad en el código.</t>
        </is>
      </c>
      <c r="AA1528" s="18">
        <f>IF(OR(V1528="Aprobada"),R1528,IF(AND(OR(V1528="Aprobada con ajuste",V1528="Rechazada"),W1528&lt;&gt;""),W1528,""))</f>
        <v/>
      </c>
    </row>
    <row r="1529">
      <c r="A1529" s="18" t="inlineStr">
        <is>
          <t>C1528</t>
        </is>
      </c>
      <c r="B1529" s="18" t="inlineStr">
        <is>
          <t>Control interno</t>
        </is>
      </c>
      <c r="C1529" s="18" t="inlineStr">
        <is>
          <t>control_interno</t>
        </is>
      </c>
      <c r="D1529" s="18" t="inlineStr">
        <is>
          <t>cronograma_auditoria</t>
        </is>
      </c>
      <c r="E1529" s="18" t="n">
        <v>0</v>
      </c>
      <c r="F1529" s="18" t="inlineStr">
        <is>
          <t>etapas_cronograma</t>
        </is>
      </c>
      <c r="G1529" s="18" t="inlineStr">
        <is>
          <t>jsonb</t>
        </is>
      </c>
      <c r="H1529" s="18" t="inlineStr">
        <is>
          <t>Sí</t>
        </is>
      </c>
      <c r="I1529" s="18" t="inlineStr"/>
      <c r="J1529" s="18" t="inlineStr"/>
      <c r="K1529" s="18" t="inlineStr"/>
      <c r="L1529" s="18" t="inlineStr">
        <is>
          <t>No</t>
        </is>
      </c>
      <c r="M1529" s="18" t="inlineStr">
        <is>
          <t>No</t>
        </is>
      </c>
      <c r="N1529" s="18" t="inlineStr"/>
      <c r="O1529" s="18" t="inlineStr"/>
      <c r="P1529" s="18" t="inlineStr"/>
      <c r="Q1529" s="18" t="inlineStr">
        <is>
          <t>Código fuente (verificado)</t>
        </is>
      </c>
      <c r="R1529" s="18" t="inlineStr">
        <is>
          <t>Etapas del cronograma de la auditoría, en formato JSON.</t>
        </is>
      </c>
      <c r="S1529" s="18" t="inlineStr">
        <is>
          <t>Media</t>
        </is>
      </c>
      <c r="T1529" s="18" t="inlineStr">
        <is>
          <t>db/init/old/009_schema_control-interno.sql:392: jsonb | sin entidad ni uso en el código del servicio</t>
        </is>
      </c>
      <c r="U1529" s="18" t="inlineStr">
        <is>
          <t>¿Qué estructura tiene etapas_cronograma? La tabla no tiene entidad en el código.</t>
        </is>
      </c>
      <c r="V1529" s="19" t="inlineStr">
        <is>
          <t>Aprobada</t>
        </is>
      </c>
      <c r="W1529" s="19" t="inlineStr"/>
      <c r="X1529" s="19" t="inlineStr">
        <is>
          <t>Aldair González (validación del responsable de BD)</t>
        </is>
      </c>
      <c r="Y1529" s="20" t="n">
        <v>46321</v>
      </c>
      <c r="Z1529" s="19" t="inlineStr">
        <is>
          <t>Nivel 3: validada por decisión del responsable de la base de datos. Pregunta registrada para desarrollo: ¿Qué estructura tiene etapas_cronograma? La tabla no tiene entidad en el código.</t>
        </is>
      </c>
      <c r="AA1529" s="18">
        <f>IF(OR(V1529="Aprobada"),R1529,IF(AND(OR(V1529="Aprobada con ajuste",V1529="Rechazada"),W1529&lt;&gt;""),W1529,""))</f>
        <v/>
      </c>
    </row>
    <row r="1530">
      <c r="A1530" s="18" t="inlineStr">
        <is>
          <t>C1529</t>
        </is>
      </c>
      <c r="B1530" s="18" t="inlineStr">
        <is>
          <t>Control interno</t>
        </is>
      </c>
      <c r="C1530" s="18" t="inlineStr">
        <is>
          <t>control_interno</t>
        </is>
      </c>
      <c r="D1530" s="18" t="inlineStr">
        <is>
          <t>cronograma_fase_auditoria</t>
        </is>
      </c>
      <c r="E1530" s="18" t="n">
        <v>0</v>
      </c>
      <c r="F1530" s="18" t="inlineStr">
        <is>
          <t>fase</t>
        </is>
      </c>
      <c r="G1530" s="18" t="inlineStr">
        <is>
          <t>character varying(50)</t>
        </is>
      </c>
      <c r="H1530" s="18" t="inlineStr">
        <is>
          <t>No</t>
        </is>
      </c>
      <c r="I1530" s="18" t="inlineStr">
        <is>
          <t>CHECK</t>
        </is>
      </c>
      <c r="J1530" s="18" t="inlineStr">
        <is>
          <t>Comunicación, Ejecución, Planeación, Seguimiento</t>
        </is>
      </c>
      <c r="K1530" s="18" t="inlineStr"/>
      <c r="L1530" s="18" t="inlineStr">
        <is>
          <t>Sí</t>
        </is>
      </c>
      <c r="M1530" s="18" t="inlineStr">
        <is>
          <t>No</t>
        </is>
      </c>
      <c r="N1530" s="18" t="inlineStr"/>
      <c r="O1530" s="18" t="inlineStr">
        <is>
          <t>idx_cronograma_fase, uq_cronograma_fase</t>
        </is>
      </c>
      <c r="P1530" s="18" t="inlineStr"/>
      <c r="Q1530" s="18" t="inlineStr">
        <is>
          <t>Propuesta semántica</t>
        </is>
      </c>
      <c r="R1530" s="18" t="inlineStr">
        <is>
          <t>Fase de la auditoría a la que corresponde el cronograma. Valores permitidos: Planeación, Comunicación, Ejecución, Seguimiento.</t>
        </is>
      </c>
      <c r="S1530" s="18" t="inlineStr">
        <is>
          <t>Alta</t>
        </is>
      </c>
      <c r="T1530" s="18" t="inlineStr">
        <is>
          <t>valores permitidos del CHECK + índice único ~</t>
        </is>
      </c>
      <c r="U1530" s="18" t="inlineStr"/>
      <c r="V1530" s="19" t="inlineStr">
        <is>
          <t>Aprobada</t>
        </is>
      </c>
      <c r="W1530" s="19" t="inlineStr"/>
      <c r="X1530" s="19" t="inlineStr">
        <is>
          <t>Aldair González (aprobación en bloque)</t>
        </is>
      </c>
      <c r="Y1530" s="20" t="n">
        <v>46321</v>
      </c>
      <c r="Z1530" s="19" t="inlineStr">
        <is>
          <t>Nivel 1: propuesta del comentario del desarrollador o de confianza alta, o regla de fecha/responsable/motivo.</t>
        </is>
      </c>
      <c r="AA1530" s="18">
        <f>IF(OR(V1530="Aprobada"),R1530,IF(AND(OR(V1530="Aprobada con ajuste",V1530="Rechazada"),W1530&lt;&gt;""),W1530,""))</f>
        <v/>
      </c>
    </row>
    <row r="1531">
      <c r="A1531" s="18" t="inlineStr">
        <is>
          <t>C1530</t>
        </is>
      </c>
      <c r="B1531" s="18" t="inlineStr">
        <is>
          <t>Control interno</t>
        </is>
      </c>
      <c r="C1531" s="18" t="inlineStr">
        <is>
          <t>control_interno</t>
        </is>
      </c>
      <c r="D1531" s="18" t="inlineStr">
        <is>
          <t>cronograma_fase_auditoria</t>
        </is>
      </c>
      <c r="E1531" s="18" t="n">
        <v>0</v>
      </c>
      <c r="F1531" s="18" t="inlineStr">
        <is>
          <t>fecha_inicio</t>
        </is>
      </c>
      <c r="G1531" s="18" t="inlineStr">
        <is>
          <t>date</t>
        </is>
      </c>
      <c r="H1531" s="18" t="inlineStr">
        <is>
          <t>No</t>
        </is>
      </c>
      <c r="I1531" s="18" t="inlineStr"/>
      <c r="J1531" s="18" t="inlineStr"/>
      <c r="K1531" s="18" t="inlineStr"/>
      <c r="L1531" s="18" t="inlineStr">
        <is>
          <t>No</t>
        </is>
      </c>
      <c r="M1531" s="18" t="inlineStr">
        <is>
          <t>No</t>
        </is>
      </c>
      <c r="N1531" s="18" t="inlineStr"/>
      <c r="O1531" s="18" t="inlineStr"/>
      <c r="P1531" s="18" t="inlineStr"/>
      <c r="Q1531" s="18" t="inlineStr">
        <is>
          <t>Regla estructural (redacción revisada)</t>
        </is>
      </c>
      <c r="R1531" s="18" t="inlineStr">
        <is>
          <t>Fecha estimada de inicio de la fase de la auditoría.</t>
        </is>
      </c>
      <c r="S1531" s="18" t="inlineStr">
        <is>
          <t>Alta</t>
        </is>
      </c>
      <c r="T1531" s="18" t="inlineStr">
        <is>
          <t>Convención de nombre, redactada con el contexto de la tabla y el código.</t>
        </is>
      </c>
      <c r="U1531" s="18" t="inlineStr"/>
      <c r="V1531" s="19" t="inlineStr">
        <is>
          <t>Aprobada</t>
        </is>
      </c>
      <c r="W1531" s="19" t="inlineStr"/>
      <c r="X1531" s="19" t="inlineStr">
        <is>
          <t>Aldair González (aprobación en bloque)</t>
        </is>
      </c>
      <c r="Y1531" s="20" t="n">
        <v>46321</v>
      </c>
      <c r="Z1531" s="19" t="inlineStr">
        <is>
          <t>Nivel 2: regla estructural con redacción revisada.</t>
        </is>
      </c>
      <c r="AA1531" s="18">
        <f>IF(OR(V1531="Aprobada"),R1531,IF(AND(OR(V1531="Aprobada con ajuste",V1531="Rechazada"),W1531&lt;&gt;""),W1531,""))</f>
        <v/>
      </c>
    </row>
    <row r="1532">
      <c r="A1532" s="18" t="inlineStr">
        <is>
          <t>C1531</t>
        </is>
      </c>
      <c r="B1532" s="18" t="inlineStr">
        <is>
          <t>Control interno</t>
        </is>
      </c>
      <c r="C1532" s="18" t="inlineStr">
        <is>
          <t>control_interno</t>
        </is>
      </c>
      <c r="D1532" s="18" t="inlineStr">
        <is>
          <t>cronograma_fase_auditoria</t>
        </is>
      </c>
      <c r="E1532" s="18" t="n">
        <v>0</v>
      </c>
      <c r="F1532" s="18" t="inlineStr">
        <is>
          <t>fecha_fin</t>
        </is>
      </c>
      <c r="G1532" s="18" t="inlineStr">
        <is>
          <t>date</t>
        </is>
      </c>
      <c r="H1532" s="18" t="inlineStr">
        <is>
          <t>No</t>
        </is>
      </c>
      <c r="I1532" s="18" t="inlineStr"/>
      <c r="J1532" s="18" t="inlineStr"/>
      <c r="K1532" s="18" t="inlineStr"/>
      <c r="L1532" s="18" t="inlineStr">
        <is>
          <t>No</t>
        </is>
      </c>
      <c r="M1532" s="18" t="inlineStr">
        <is>
          <t>No</t>
        </is>
      </c>
      <c r="N1532" s="18" t="inlineStr"/>
      <c r="O1532" s="18" t="inlineStr"/>
      <c r="P1532" s="18" t="inlineStr"/>
      <c r="Q1532" s="18" t="inlineStr">
        <is>
          <t>Regla estructural (redacción revisada)</t>
        </is>
      </c>
      <c r="R1532" s="18" t="inlineStr">
        <is>
          <t>Fecha estimada de finalización de la fase de la auditoría.</t>
        </is>
      </c>
      <c r="S1532" s="18" t="inlineStr">
        <is>
          <t>Alta</t>
        </is>
      </c>
      <c r="T1532" s="18" t="inlineStr">
        <is>
          <t>Convención de nombre, redactada con el contexto de la tabla y el código.</t>
        </is>
      </c>
      <c r="U1532" s="18" t="inlineStr"/>
      <c r="V1532" s="19" t="inlineStr">
        <is>
          <t>Aprobada</t>
        </is>
      </c>
      <c r="W1532" s="19" t="inlineStr"/>
      <c r="X1532" s="19" t="inlineStr">
        <is>
          <t>Aldair González (aprobación en bloque)</t>
        </is>
      </c>
      <c r="Y1532" s="20" t="n">
        <v>46321</v>
      </c>
      <c r="Z1532" s="19" t="inlineStr">
        <is>
          <t>Nivel 2: regla estructural con redacción revisada.</t>
        </is>
      </c>
      <c r="AA1532" s="18">
        <f>IF(OR(V1532="Aprobada"),R1532,IF(AND(OR(V1532="Aprobada con ajuste",V1532="Rechazada"),W1532&lt;&gt;""),W1532,""))</f>
        <v/>
      </c>
    </row>
    <row r="1533">
      <c r="A1533" s="18" t="inlineStr">
        <is>
          <t>C1532</t>
        </is>
      </c>
      <c r="B1533" s="18" t="inlineStr">
        <is>
          <t>Control interno</t>
        </is>
      </c>
      <c r="C1533" s="18" t="inlineStr">
        <is>
          <t>control_interno</t>
        </is>
      </c>
      <c r="D1533" s="18" t="inlineStr">
        <is>
          <t>cronograma_fase_auditoria</t>
        </is>
      </c>
      <c r="E1533" s="18" t="n">
        <v>0</v>
      </c>
      <c r="F1533" s="18" t="inlineStr">
        <is>
          <t>dias_estimados</t>
        </is>
      </c>
      <c r="G1533" s="18" t="inlineStr">
        <is>
          <t>integer</t>
        </is>
      </c>
      <c r="H1533" s="18" t="inlineStr">
        <is>
          <t>No</t>
        </is>
      </c>
      <c r="I1533" s="18" t="inlineStr"/>
      <c r="J1533" s="18" t="inlineStr"/>
      <c r="K1533" s="18" t="inlineStr"/>
      <c r="L1533" s="18" t="inlineStr">
        <is>
          <t>No</t>
        </is>
      </c>
      <c r="M1533" s="18" t="inlineStr">
        <is>
          <t>No</t>
        </is>
      </c>
      <c r="N1533" s="18" t="inlineStr"/>
      <c r="O1533" s="18" t="inlineStr"/>
      <c r="P1533" s="18" t="inlineStr"/>
      <c r="Q1533" s="18" t="inlineStr">
        <is>
          <t>Código fuente (verificado)</t>
        </is>
      </c>
      <c r="R1533" s="18" t="inlineStr">
        <is>
          <t>Duración estimada de la fase de la auditoría, en días.</t>
        </is>
      </c>
      <c r="S1533" s="18" t="inlineStr">
        <is>
          <t>Media</t>
        </is>
      </c>
      <c r="T1533" s="18" t="inlineStr">
        <is>
          <t>db/init/005_control_interno_ddl_20260129_215540.sql:1429: integer NOT NULL | comentario de tabla 'Cronograma estimado por fase de la auditoría (duración de cada fase)' | sin entidad ni uso en el código del servicio</t>
        </is>
      </c>
      <c r="U1533" s="18" t="inlineStr">
        <is>
          <t>¿dias_estimados cuenta días calendario o hábiles? La tabla no tiene entidad en el código.</t>
        </is>
      </c>
      <c r="V1533" s="19" t="inlineStr">
        <is>
          <t>Aprobada</t>
        </is>
      </c>
      <c r="W1533" s="19" t="inlineStr"/>
      <c r="X1533" s="19" t="inlineStr">
        <is>
          <t>Aldair González (validación del responsable de BD)</t>
        </is>
      </c>
      <c r="Y1533" s="20" t="n">
        <v>46321</v>
      </c>
      <c r="Z1533" s="19" t="inlineStr">
        <is>
          <t>Nivel 3: validada por decisión del responsable de la base de datos. Pregunta registrada para desarrollo: ¿dias_estimados cuenta días calendario o hábiles? La tabla no tiene entidad en el código.</t>
        </is>
      </c>
      <c r="AA1533" s="18">
        <f>IF(OR(V1533="Aprobada"),R1533,IF(AND(OR(V1533="Aprobada con ajuste",V1533="Rechazada"),W1533&lt;&gt;""),W1533,""))</f>
        <v/>
      </c>
    </row>
    <row r="1534">
      <c r="A1534" s="18" t="inlineStr">
        <is>
          <t>C1533</t>
        </is>
      </c>
      <c r="B1534" s="18" t="inlineStr">
        <is>
          <t>Control interno</t>
        </is>
      </c>
      <c r="C1534" s="18" t="inlineStr">
        <is>
          <t>control_interno</t>
        </is>
      </c>
      <c r="D1534" s="18" t="inlineStr">
        <is>
          <t>cronograma_fase_auditoria</t>
        </is>
      </c>
      <c r="E1534" s="18" t="n">
        <v>0</v>
      </c>
      <c r="F1534" s="18" t="inlineStr">
        <is>
          <t>observaciones</t>
        </is>
      </c>
      <c r="G1534" s="18" t="inlineStr">
        <is>
          <t>text</t>
        </is>
      </c>
      <c r="H1534" s="18" t="inlineStr">
        <is>
          <t>Sí</t>
        </is>
      </c>
      <c r="I1534" s="18" t="inlineStr"/>
      <c r="J1534" s="18" t="inlineStr"/>
      <c r="K1534" s="18" t="inlineStr"/>
      <c r="L1534" s="18" t="inlineStr">
        <is>
          <t>No</t>
        </is>
      </c>
      <c r="M1534" s="18" t="inlineStr">
        <is>
          <t>No</t>
        </is>
      </c>
      <c r="N1534" s="18" t="inlineStr"/>
      <c r="O1534" s="18" t="inlineStr"/>
      <c r="P1534" s="18" t="inlineStr"/>
      <c r="Q1534" s="18" t="inlineStr">
        <is>
          <t>Regla estructural (redacción revisada)</t>
        </is>
      </c>
      <c r="R1534" s="18" t="inlineStr">
        <is>
          <t>Observaciones sobre el cronograma de la fase.</t>
        </is>
      </c>
      <c r="S1534" s="18" t="inlineStr">
        <is>
          <t>Alta</t>
        </is>
      </c>
      <c r="T1534" s="18" t="inlineStr">
        <is>
          <t>Convención de nombre, redactada con el contexto de la tabla y el código.</t>
        </is>
      </c>
      <c r="U1534" s="18" t="inlineStr"/>
      <c r="V1534" s="19" t="inlineStr">
        <is>
          <t>Aprobada</t>
        </is>
      </c>
      <c r="W1534" s="19" t="inlineStr"/>
      <c r="X1534" s="19" t="inlineStr">
        <is>
          <t>Aldair González (aprobación en bloque)</t>
        </is>
      </c>
      <c r="Y1534" s="20" t="n">
        <v>46321</v>
      </c>
      <c r="Z1534" s="19" t="inlineStr">
        <is>
          <t>Nivel 2: regla estructural con redacción revisada.</t>
        </is>
      </c>
      <c r="AA1534" s="18">
        <f>IF(OR(V1534="Aprobada"),R1534,IF(AND(OR(V1534="Aprobada con ajuste",V1534="Rechazada"),W1534&lt;&gt;""),W1534,""))</f>
        <v/>
      </c>
    </row>
    <row r="1535">
      <c r="A1535" s="18" t="inlineStr">
        <is>
          <t>C1534</t>
        </is>
      </c>
      <c r="B1535" s="18" t="inlineStr">
        <is>
          <t>Control interno</t>
        </is>
      </c>
      <c r="C1535" s="18" t="inlineStr">
        <is>
          <t>control_interno</t>
        </is>
      </c>
      <c r="D1535" s="18" t="inlineStr">
        <is>
          <t>datos_automaticos_informe</t>
        </is>
      </c>
      <c r="E1535" s="18" t="n">
        <v>0</v>
      </c>
      <c r="F1535" s="18" t="inlineStr">
        <is>
          <t>tipo_dato</t>
        </is>
      </c>
      <c r="G1535" s="18" t="inlineStr">
        <is>
          <t>character varying(100)</t>
        </is>
      </c>
      <c r="H1535" s="18" t="inlineStr">
        <is>
          <t>No</t>
        </is>
      </c>
      <c r="I1535" s="18" t="inlineStr"/>
      <c r="J1535" s="18" t="inlineStr"/>
      <c r="K1535" s="18" t="inlineStr"/>
      <c r="L1535" s="18" t="inlineStr">
        <is>
          <t>No</t>
        </is>
      </c>
      <c r="M1535" s="18" t="inlineStr">
        <is>
          <t>No</t>
        </is>
      </c>
      <c r="N1535" s="18" t="inlineStr"/>
      <c r="O1535" s="18" t="inlineStr">
        <is>
          <t>idx_datos_tipo</t>
        </is>
      </c>
      <c r="P1535" s="18" t="inlineStr">
        <is>
          <t>internal-institutional-control-service/src/esap/informes-ley/entities/datos-automaticos-informe.entity.ts:27: 'auditorias', 'planes_mejoramiento', 'indicadores', 'hallazgos', etc. | db/migrations/old/080_create_informes_ley_plantillas_workflow.sql:94: 'auditorias', 'planes_mejoramiento', 'indicadores', etc.</t>
        </is>
      </c>
      <c r="Q1535" s="18" t="inlineStr">
        <is>
          <t>Código fuente</t>
        </is>
      </c>
      <c r="R1535" s="18" t="inlineStr">
        <is>
          <t>Tipo de dato poblado automáticamente desde el sistema para el informe, por ejemplo auditorias, planes_mejoramiento, indicadores o hallazgos (US-022).</t>
        </is>
      </c>
      <c r="S1535" s="18" t="inlineStr">
        <is>
          <t>Alta</t>
        </is>
      </c>
      <c r="T1535" s="18" t="inlineStr">
        <is>
          <t>código: internal-institutional-control-service/src/esap/informes-ley/entities/datos-automaticos-informe.entity.ts:27</t>
        </is>
      </c>
      <c r="U1535" s="18" t="inlineStr"/>
      <c r="V1535" s="19" t="inlineStr">
        <is>
          <t>Aprobada</t>
        </is>
      </c>
      <c r="W1535" s="19" t="inlineStr"/>
      <c r="X1535" s="19" t="inlineStr">
        <is>
          <t>Aldair González (aprobación en bloque)</t>
        </is>
      </c>
      <c r="Y1535" s="20" t="n">
        <v>46321</v>
      </c>
      <c r="Z1535" s="19" t="inlineStr">
        <is>
          <t>Nivel 1: propuesta del comentario del desarrollador o de confianza alta, o regla de fecha/responsable/motivo.</t>
        </is>
      </c>
      <c r="AA1535" s="18">
        <f>IF(OR(V1535="Aprobada"),R1535,IF(AND(OR(V1535="Aprobada con ajuste",V1535="Rechazada"),W1535&lt;&gt;""),W1535,""))</f>
        <v/>
      </c>
    </row>
    <row r="1536">
      <c r="A1536" s="18" t="inlineStr">
        <is>
          <t>C1535</t>
        </is>
      </c>
      <c r="B1536" s="18" t="inlineStr">
        <is>
          <t>Control interno</t>
        </is>
      </c>
      <c r="C1536" s="18" t="inlineStr">
        <is>
          <t>control_interno</t>
        </is>
      </c>
      <c r="D1536" s="18" t="inlineStr">
        <is>
          <t>datos_automaticos_informe</t>
        </is>
      </c>
      <c r="E1536" s="18" t="n">
        <v>0</v>
      </c>
      <c r="F1536" s="18" t="inlineStr">
        <is>
          <t>fecha_generacion</t>
        </is>
      </c>
      <c r="G1536" s="18" t="inlineStr">
        <is>
          <t>timestamp without time zone</t>
        </is>
      </c>
      <c r="H1536" s="18" t="inlineStr">
        <is>
          <t>Sí</t>
        </is>
      </c>
      <c r="I1536" s="18" t="inlineStr"/>
      <c r="J1536" s="18" t="inlineStr"/>
      <c r="K1536" s="18" t="inlineStr"/>
      <c r="L1536" s="18" t="inlineStr">
        <is>
          <t>No</t>
        </is>
      </c>
      <c r="M1536" s="18" t="inlineStr">
        <is>
          <t>No</t>
        </is>
      </c>
      <c r="N1536" s="18" t="inlineStr"/>
      <c r="O1536" s="18" t="inlineStr"/>
      <c r="P1536" s="18" t="inlineStr">
        <is>
          <t>Mapeada en internal-institutional-control-service/src/esap/informes-ley/entities/datos-automaticos-informe.entity.ts:33 (DatosAutomaticosInforme.fechaGeneracion) | Validación: IsDateString, IsOptional</t>
        </is>
      </c>
      <c r="Q1536" s="18" t="inlineStr">
        <is>
          <t>Regla estructural (redacción revisada)</t>
        </is>
      </c>
      <c r="R1536" s="18" t="inlineStr">
        <is>
          <t>Fecha y hora en que se generaron los datos automáticos del informe.</t>
        </is>
      </c>
      <c r="S1536" s="18" t="inlineStr">
        <is>
          <t>Alta</t>
        </is>
      </c>
      <c r="T1536" s="18" t="inlineStr">
        <is>
          <t>Convención de nombre, redactada con el contexto de la tabla y el código.</t>
        </is>
      </c>
      <c r="U1536" s="18" t="inlineStr"/>
      <c r="V1536" s="19" t="inlineStr">
        <is>
          <t>Aprobada</t>
        </is>
      </c>
      <c r="W1536" s="19" t="inlineStr"/>
      <c r="X1536" s="19" t="inlineStr">
        <is>
          <t>Aldair González (aprobación en bloque)</t>
        </is>
      </c>
      <c r="Y1536" s="20" t="n">
        <v>46321</v>
      </c>
      <c r="Z1536" s="19" t="inlineStr">
        <is>
          <t>Nivel 2: regla estructural con redacción revisada.</t>
        </is>
      </c>
      <c r="AA1536" s="18">
        <f>IF(OR(V1536="Aprobada"),R1536,IF(AND(OR(V1536="Aprobada con ajuste",V1536="Rechazada"),W1536&lt;&gt;""),W1536,""))</f>
        <v/>
      </c>
    </row>
    <row r="1537">
      <c r="A1537" s="18" t="inlineStr">
        <is>
          <t>C1536</t>
        </is>
      </c>
      <c r="B1537" s="18" t="inlineStr">
        <is>
          <t>Control interno</t>
        </is>
      </c>
      <c r="C1537" s="18" t="inlineStr">
        <is>
          <t>control_interno</t>
        </is>
      </c>
      <c r="D1537" s="18" t="inlineStr">
        <is>
          <t>datos_automaticos_informe</t>
        </is>
      </c>
      <c r="E1537" s="18" t="n">
        <v>0</v>
      </c>
      <c r="F1537" s="18" t="inlineStr">
        <is>
          <t>fuente_datos</t>
        </is>
      </c>
      <c r="G1537" s="18" t="inlineStr">
        <is>
          <t>character varying(255)</t>
        </is>
      </c>
      <c r="H1537" s="18" t="inlineStr">
        <is>
          <t>Sí</t>
        </is>
      </c>
      <c r="I1537" s="18" t="inlineStr"/>
      <c r="J1537" s="18" t="inlineStr"/>
      <c r="K1537" s="18" t="inlineStr"/>
      <c r="L1537" s="18" t="inlineStr">
        <is>
          <t>No</t>
        </is>
      </c>
      <c r="M1537" s="18" t="inlineStr">
        <is>
          <t>No</t>
        </is>
      </c>
      <c r="N1537" s="18" t="inlineStr"/>
      <c r="O1537" s="18" t="inlineStr"/>
      <c r="P1537" s="18" t="inlineStr">
        <is>
          <t>internal-institutional-control-service/src/esap/informes-ley/entities/datos-automaticos-informe.entity.ts:36: 'sistema', 'api_externa', 'manual' | db/migrations/old/080_create_informes_ley_plantillas_workflow.sql:97: 'sistema', 'api_externa', 'manual'</t>
        </is>
      </c>
      <c r="Q1537" s="18" t="inlineStr">
        <is>
          <t>Código fuente</t>
        </is>
      </c>
      <c r="R1537" s="18" t="inlineStr">
        <is>
          <t>Fuente de los datos automáticos del informe, por ejemplo sistema, api_externa o manual.</t>
        </is>
      </c>
      <c r="S1537" s="18" t="inlineStr">
        <is>
          <t>Alta</t>
        </is>
      </c>
      <c r="T1537" s="18" t="inlineStr">
        <is>
          <t>código: internal-institutional-control-service/src/esap/informes-ley/entities/datos-automaticos-informe.entity.ts:36</t>
        </is>
      </c>
      <c r="U1537" s="18" t="inlineStr"/>
      <c r="V1537" s="19" t="inlineStr">
        <is>
          <t>Aprobada</t>
        </is>
      </c>
      <c r="W1537" s="19" t="inlineStr"/>
      <c r="X1537" s="19" t="inlineStr">
        <is>
          <t>Aldair González (aprobación en bloque)</t>
        </is>
      </c>
      <c r="Y1537" s="20" t="n">
        <v>46321</v>
      </c>
      <c r="Z1537" s="19" t="inlineStr">
        <is>
          <t>Nivel 1: propuesta del comentario del desarrollador o de confianza alta, o regla de fecha/responsable/motivo.</t>
        </is>
      </c>
      <c r="AA1537" s="18">
        <f>IF(OR(V1537="Aprobada"),R1537,IF(AND(OR(V1537="Aprobada con ajuste",V1537="Rechazada"),W1537&lt;&gt;""),W1537,""))</f>
        <v/>
      </c>
    </row>
    <row r="1538">
      <c r="A1538" s="18" t="inlineStr">
        <is>
          <t>C1537</t>
        </is>
      </c>
      <c r="B1538" s="18" t="inlineStr">
        <is>
          <t>Control interno</t>
        </is>
      </c>
      <c r="C1538" s="18" t="inlineStr">
        <is>
          <t>control_interno</t>
        </is>
      </c>
      <c r="D1538" s="18" t="inlineStr">
        <is>
          <t>datos_automaticos_informe</t>
        </is>
      </c>
      <c r="E1538" s="18" t="n">
        <v>0</v>
      </c>
      <c r="F1538" s="18" t="inlineStr">
        <is>
          <t>version_datos</t>
        </is>
      </c>
      <c r="G1538" s="18" t="inlineStr">
        <is>
          <t>character varying(50)</t>
        </is>
      </c>
      <c r="H1538" s="18" t="inlineStr">
        <is>
          <t>Sí</t>
        </is>
      </c>
      <c r="I1538" s="18" t="inlineStr"/>
      <c r="J1538" s="18" t="inlineStr"/>
      <c r="K1538" s="18" t="inlineStr"/>
      <c r="L1538" s="18" t="inlineStr">
        <is>
          <t>No</t>
        </is>
      </c>
      <c r="M1538" s="18" t="inlineStr">
        <is>
          <t>No</t>
        </is>
      </c>
      <c r="N1538" s="18" t="inlineStr"/>
      <c r="O1538" s="18" t="inlineStr"/>
      <c r="P1538" s="18" t="inlineStr">
        <is>
          <t>Mapeada en internal-institutional-control-service/src/esap/informes-ley/entities/datos-automaticos-informe.entity.ts:39 (DatosAutomaticosInforme.versionDatos)</t>
        </is>
      </c>
      <c r="Q1538" s="18" t="inlineStr">
        <is>
          <t>Código fuente (verificado)</t>
        </is>
      </c>
      <c r="R1538" s="18" t="inlineStr">
        <is>
          <t>Versión del conjunto de datos automáticos del informe. Por defecto 1.0.</t>
        </is>
      </c>
      <c r="S1538" s="18" t="inlineStr">
        <is>
          <t>Media</t>
        </is>
      </c>
      <c r="T1538" s="18" t="inlineStr">
        <is>
          <t>backend/internal-institutional-control-service/src/esap/informes-ley/entities/datos-automaticos-informe.entity.ts:39-40: default '1.0' | ningún servicio escribe versionDatos</t>
        </is>
      </c>
      <c r="U1538" s="18" t="inlineStr">
        <is>
          <t>¿Cuándo se incrementa version_datos? El código solo define el valor por defecto.</t>
        </is>
      </c>
      <c r="V1538" s="19" t="inlineStr">
        <is>
          <t>Aprobada</t>
        </is>
      </c>
      <c r="W1538" s="19" t="inlineStr"/>
      <c r="X1538" s="19" t="inlineStr">
        <is>
          <t>Aldair González (validación del responsable de BD)</t>
        </is>
      </c>
      <c r="Y1538" s="20" t="n">
        <v>46321</v>
      </c>
      <c r="Z1538" s="19" t="inlineStr">
        <is>
          <t>Nivel 3: validada por decisión del responsable de la base de datos. Pregunta registrada para desarrollo: ¿Cuándo se incrementa version_datos? El código solo define el valor por defecto.</t>
        </is>
      </c>
      <c r="AA1538" s="18">
        <f>IF(OR(V1538="Aprobada"),R1538,IF(AND(OR(V1538="Aprobada con ajuste",V1538="Rechazada"),W1538&lt;&gt;""),W1538,""))</f>
        <v/>
      </c>
    </row>
    <row r="1539">
      <c r="A1539" s="18" t="inlineStr">
        <is>
          <t>C1538</t>
        </is>
      </c>
      <c r="B1539" s="18" t="inlineStr">
        <is>
          <t>Control interno</t>
        </is>
      </c>
      <c r="C1539" s="18" t="inlineStr">
        <is>
          <t>control_interno</t>
        </is>
      </c>
      <c r="D1539" s="18" t="inlineStr">
        <is>
          <t>documento</t>
        </is>
      </c>
      <c r="E1539" s="18" t="n">
        <v>77</v>
      </c>
      <c r="F1539" s="18" t="inlineStr">
        <is>
          <t>nombre</t>
        </is>
      </c>
      <c r="G1539" s="18" t="inlineStr">
        <is>
          <t>character varying(255)</t>
        </is>
      </c>
      <c r="H1539" s="18" t="inlineStr">
        <is>
          <t>No</t>
        </is>
      </c>
      <c r="I1539" s="18" t="inlineStr"/>
      <c r="J1539" s="18" t="inlineStr"/>
      <c r="K1539" s="18" t="inlineStr"/>
      <c r="L1539" s="18" t="inlineStr">
        <is>
          <t>No</t>
        </is>
      </c>
      <c r="M1539" s="18" t="inlineStr">
        <is>
          <t>Sí</t>
        </is>
      </c>
      <c r="N1539" s="18" t="inlineStr">
        <is>
          <t>Función academic_registration.validate_graduate_management_update — academic_registration.validate_graduate_management_update: 'El nombre completo debe tener entre 5 y 150 caracteres y solo puede contener letras, espacios, apostrofes y guiones.'</t>
        </is>
      </c>
      <c r="O1539" s="18" t="inlineStr"/>
      <c r="P1539" s="18" t="inlineStr">
        <is>
          <t>Mapeada en internal-institutional-control-service/src/esap/documentos/entities/documento.entity.ts:62 (Documento.nombre) | Validación: IsNotEmpty, IsNotEmpty({ message: 'El nombre del documento es obligatorio' }), IsOptional, IsString, Length(1, 500), MaxLength(120)</t>
        </is>
      </c>
      <c r="Q1539" s="18" t="inlineStr">
        <is>
          <t>Regla estructural (redacción revisada)</t>
        </is>
      </c>
      <c r="R1539" s="18" t="inlineStr">
        <is>
          <t>Nombre del documento.</t>
        </is>
      </c>
      <c r="S1539" s="18" t="inlineStr">
        <is>
          <t>Alta</t>
        </is>
      </c>
      <c r="T1539" s="18" t="inlineStr">
        <is>
          <t>Convención de nombre, redactada con el contexto de la tabla y el código.</t>
        </is>
      </c>
      <c r="U1539" s="18" t="inlineStr"/>
      <c r="V1539" s="19" t="inlineStr">
        <is>
          <t>Aprobada</t>
        </is>
      </c>
      <c r="W1539" s="19" t="inlineStr"/>
      <c r="X1539" s="19" t="inlineStr">
        <is>
          <t>Aldair González (aprobación en bloque)</t>
        </is>
      </c>
      <c r="Y1539" s="20" t="n">
        <v>46321</v>
      </c>
      <c r="Z1539" s="19" t="inlineStr">
        <is>
          <t>Nivel 2: regla estructural con redacción revisada.</t>
        </is>
      </c>
      <c r="AA1539" s="18">
        <f>IF(OR(V1539="Aprobada"),R1539,IF(AND(OR(V1539="Aprobada con ajuste",V1539="Rechazada"),W1539&lt;&gt;""),W1539,""))</f>
        <v/>
      </c>
    </row>
    <row r="1540">
      <c r="A1540" s="18" t="inlineStr">
        <is>
          <t>C1539</t>
        </is>
      </c>
      <c r="B1540" s="18" t="inlineStr">
        <is>
          <t>Control interno</t>
        </is>
      </c>
      <c r="C1540" s="18" t="inlineStr">
        <is>
          <t>control_interno</t>
        </is>
      </c>
      <c r="D1540" s="18" t="inlineStr">
        <is>
          <t>documento</t>
        </is>
      </c>
      <c r="E1540" s="18" t="n">
        <v>77</v>
      </c>
      <c r="F1540" s="18" t="inlineStr">
        <is>
          <t>descripcion</t>
        </is>
      </c>
      <c r="G1540" s="18" t="inlineStr">
        <is>
          <t>text</t>
        </is>
      </c>
      <c r="H1540" s="18" t="inlineStr">
        <is>
          <t>Sí</t>
        </is>
      </c>
      <c r="I1540" s="18" t="inlineStr"/>
      <c r="J1540" s="18" t="inlineStr"/>
      <c r="K1540" s="18" t="inlineStr"/>
      <c r="L1540" s="18" t="inlineStr">
        <is>
          <t>No</t>
        </is>
      </c>
      <c r="M1540" s="18" t="inlineStr">
        <is>
          <t>No</t>
        </is>
      </c>
      <c r="N1540" s="18" t="inlineStr"/>
      <c r="O1540" s="18" t="inlineStr"/>
      <c r="P1540" s="18" t="inlineStr">
        <is>
          <t>Mapeada en internal-institutional-control-service/src/esap/documentos/entities/documento.entity.ts:65 (Documento.descripcion) | Validación: IsNotEmpty, IsOptional, IsString</t>
        </is>
      </c>
      <c r="Q1540" s="18" t="inlineStr">
        <is>
          <t>Regla estructural (redacción revisada)</t>
        </is>
      </c>
      <c r="R1540" s="18" t="inlineStr">
        <is>
          <t>Descripción del documento.</t>
        </is>
      </c>
      <c r="S1540" s="18" t="inlineStr">
        <is>
          <t>Alta</t>
        </is>
      </c>
      <c r="T1540" s="18" t="inlineStr">
        <is>
          <t>Convención de nombre, redactada con el contexto de la tabla y el código.</t>
        </is>
      </c>
      <c r="U1540" s="18" t="inlineStr"/>
      <c r="V1540" s="19" t="inlineStr">
        <is>
          <t>Aprobada</t>
        </is>
      </c>
      <c r="W1540" s="19" t="inlineStr"/>
      <c r="X1540" s="19" t="inlineStr">
        <is>
          <t>Aldair González (aprobación en bloque)</t>
        </is>
      </c>
      <c r="Y1540" s="20" t="n">
        <v>46321</v>
      </c>
      <c r="Z1540" s="19" t="inlineStr">
        <is>
          <t>Nivel 2: regla estructural con redacción revisada.</t>
        </is>
      </c>
      <c r="AA1540" s="18">
        <f>IF(OR(V1540="Aprobada"),R1540,IF(AND(OR(V1540="Aprobada con ajuste",V1540="Rechazada"),W1540&lt;&gt;""),W1540,""))</f>
        <v/>
      </c>
    </row>
    <row r="1541">
      <c r="A1541" s="18" t="inlineStr">
        <is>
          <t>C1540</t>
        </is>
      </c>
      <c r="B1541" s="18" t="inlineStr">
        <is>
          <t>Control interno</t>
        </is>
      </c>
      <c r="C1541" s="18" t="inlineStr">
        <is>
          <t>control_interno</t>
        </is>
      </c>
      <c r="D1541" s="18" t="inlineStr">
        <is>
          <t>documento</t>
        </is>
      </c>
      <c r="E1541" s="18" t="n">
        <v>77</v>
      </c>
      <c r="F1541" s="18" t="inlineStr">
        <is>
          <t>tipo_documento</t>
        </is>
      </c>
      <c r="G1541" s="18" t="inlineStr">
        <is>
          <t>character varying(100)</t>
        </is>
      </c>
      <c r="H1541" s="18" t="inlineStr">
        <is>
          <t>No</t>
        </is>
      </c>
      <c r="I1541" s="18" t="inlineStr"/>
      <c r="J1541" s="18" t="inlineStr"/>
      <c r="K1541" s="18" t="inlineStr"/>
      <c r="L1541" s="18" t="inlineStr">
        <is>
          <t>No</t>
        </is>
      </c>
      <c r="M1541" s="18" t="inlineStr">
        <is>
          <t>Sí</t>
        </is>
      </c>
      <c r="N1541" s="18" t="inlineStr">
        <is>
          <t>Función control_interno.actualizar_contadores_documentos_informes; Trigger trigger_actualizar_contadores_documentos — control_interno.actualizar_contadores_documentos_informes: v_tipo_documento := OLD.tipo_documento;</t>
        </is>
      </c>
      <c r="O1541" s="18" t="inlineStr">
        <is>
          <t>idx_documento_tipo</t>
        </is>
      </c>
      <c r="P1541" s="18" t="inlineStr">
        <is>
          <t>Mapeada en internal-institutional-control-service/src/esap/documentos/entities/documento.entity.ts:68 (Documento.tipoDocumento) | Validación: IsEnum(TipoDocumento), IsEnum(TipoDocumentoEvidencia), IsNotEmpty, IsOptional</t>
        </is>
      </c>
      <c r="Q1541" s="18" t="inlineStr">
        <is>
          <t>Código fuente (verificado)</t>
        </is>
      </c>
      <c r="R1541" s="18" t="inlineStr">
        <is>
          <t>Tipo de documento: oficio_anuncio, carta_representacion, carta_compromiso, programa_individual, acta_reunion_apertura, acta_reunion_cierre, lista_chequeo, evidencia_hallazgo, evidencia_controversia, informe_preliminar, informe_final, informe_ejecutivo, evidencia_plan_mejoramiento y, para la biblioteca de plantillas, plantilla, oficio, acta, informe, evidencia, formato, guia u otro. Los tipos informe_preliminar, informe_final e informe_ejecutivo se cuentan como informes de la auditoría.</t>
        </is>
      </c>
      <c r="S1541" s="18" t="inlineStr">
        <is>
          <t>Alta</t>
        </is>
      </c>
      <c r="T1541" s="18" t="inlineStr">
        <is>
          <t>backend/internal-institutional-control-service/src/esap/documentos/entities/documento.entity.ts:15-38: enum TipoDocumento completo</t>
        </is>
      </c>
      <c r="U1541" s="18" t="inlineStr"/>
      <c r="V1541" s="19" t="inlineStr">
        <is>
          <t>Aprobada</t>
        </is>
      </c>
      <c r="W1541" s="19" t="inlineStr"/>
      <c r="X1541" s="19" t="inlineStr">
        <is>
          <t>Aldair González (aprobación en bloque)</t>
        </is>
      </c>
      <c r="Y1541" s="20" t="n">
        <v>46321</v>
      </c>
      <c r="Z1541" s="19" t="inlineStr">
        <is>
          <t>Nivel 3: verificada con el código de la aplicación.</t>
        </is>
      </c>
      <c r="AA1541" s="18">
        <f>IF(OR(V1541="Aprobada"),R1541,IF(AND(OR(V1541="Aprobada con ajuste",V1541="Rechazada"),W1541&lt;&gt;""),W1541,""))</f>
        <v/>
      </c>
    </row>
    <row r="1542">
      <c r="A1542" s="18" t="inlineStr">
        <is>
          <t>C1541</t>
        </is>
      </c>
      <c r="B1542" s="18" t="inlineStr">
        <is>
          <t>Control interno</t>
        </is>
      </c>
      <c r="C1542" s="18" t="inlineStr">
        <is>
          <t>control_interno</t>
        </is>
      </c>
      <c r="D1542" s="18" t="inlineStr">
        <is>
          <t>documento</t>
        </is>
      </c>
      <c r="E1542" s="18" t="n">
        <v>77</v>
      </c>
      <c r="F1542" s="18" t="inlineStr">
        <is>
          <t>etapa</t>
        </is>
      </c>
      <c r="G1542" s="18" t="inlineStr">
        <is>
          <t>character varying(50)</t>
        </is>
      </c>
      <c r="H1542" s="18" t="inlineStr">
        <is>
          <t>Sí</t>
        </is>
      </c>
      <c r="I1542" s="18" t="inlineStr">
        <is>
          <t>CHECK</t>
        </is>
      </c>
      <c r="J1542" s="18" t="inlineStr">
        <is>
          <t>cierre, comunicacion, comunicacion_resultados, ejecucion, hallazgos, planeacion, planificacion, seguimiento</t>
        </is>
      </c>
      <c r="K1542" s="18" t="inlineStr"/>
      <c r="L1542" s="18" t="inlineStr">
        <is>
          <t>Sí</t>
        </is>
      </c>
      <c r="M1542" s="18" t="inlineStr">
        <is>
          <t>No</t>
        </is>
      </c>
      <c r="N1542" s="18" t="inlineStr"/>
      <c r="O1542" s="18" t="inlineStr">
        <is>
          <t>idx_documento_etapa</t>
        </is>
      </c>
      <c r="P1542" s="18" t="inlineStr">
        <is>
          <t>Mapeada en internal-institutional-control-service/src/esap/documentos/entities/documento.entity.ts:76 (Documento.etapa) | Validación: IsEnum(EtapaDocumento), IsOptional</t>
        </is>
      </c>
      <c r="Q1542" s="18" t="inlineStr">
        <is>
          <t>Propuesta semántica</t>
        </is>
      </c>
      <c r="R1542" s="18" t="inlineStr">
        <is>
          <t>Etapa de la auditoría a la que pertenece el documento. Valores permitidos: planeacion, planificacion, comunicacion, ejecucion, hallazgos, comunicacion_resultados, seguimiento, cierre.</t>
        </is>
      </c>
      <c r="S1542" s="18" t="inlineStr">
        <is>
          <t>Alta</t>
        </is>
      </c>
      <c r="T1542" s="18" t="inlineStr">
        <is>
          <t>valores permitidos del CHECK ~</t>
        </is>
      </c>
      <c r="U1542" s="18" t="inlineStr"/>
      <c r="V1542" s="19" t="inlineStr">
        <is>
          <t>Aprobada</t>
        </is>
      </c>
      <c r="W1542" s="19" t="inlineStr"/>
      <c r="X1542" s="19" t="inlineStr">
        <is>
          <t>Aldair González (aprobación en bloque)</t>
        </is>
      </c>
      <c r="Y1542" s="20" t="n">
        <v>46321</v>
      </c>
      <c r="Z1542" s="19" t="inlineStr">
        <is>
          <t>Nivel 1: propuesta del comentario del desarrollador o de confianza alta, o regla de fecha/responsable/motivo.</t>
        </is>
      </c>
      <c r="AA1542" s="18">
        <f>IF(OR(V1542="Aprobada"),R1542,IF(AND(OR(V1542="Aprobada con ajuste",V1542="Rechazada"),W1542&lt;&gt;""),W1542,""))</f>
        <v/>
      </c>
    </row>
    <row r="1543">
      <c r="A1543" s="18" t="inlineStr">
        <is>
          <t>C1542</t>
        </is>
      </c>
      <c r="B1543" s="18" t="inlineStr">
        <is>
          <t>Control interno</t>
        </is>
      </c>
      <c r="C1543" s="18" t="inlineStr">
        <is>
          <t>control_interno</t>
        </is>
      </c>
      <c r="D1543" s="18" t="inlineStr">
        <is>
          <t>documento</t>
        </is>
      </c>
      <c r="E1543" s="18" t="n">
        <v>77</v>
      </c>
      <c r="F1543" s="18" t="inlineStr">
        <is>
          <t>hallazgo_id</t>
        </is>
      </c>
      <c r="G1543" s="18" t="inlineStr">
        <is>
          <t>uuid</t>
        </is>
      </c>
      <c r="H1543" s="18" t="inlineStr">
        <is>
          <t>Sí</t>
        </is>
      </c>
      <c r="I1543" s="18" t="inlineStr"/>
      <c r="J1543" s="18" t="inlineStr"/>
      <c r="K1543" s="18" t="inlineStr"/>
      <c r="L1543" s="18" t="inlineStr">
        <is>
          <t>No</t>
        </is>
      </c>
      <c r="M1543" s="18" t="inlineStr">
        <is>
          <t>No</t>
        </is>
      </c>
      <c r="N1543" s="18" t="inlineStr"/>
      <c r="O1543" s="18" t="inlineStr"/>
      <c r="P1543" s="18" t="inlineStr">
        <is>
          <t>Mapeada en internal-institutional-control-service/src/esap/documentos/entities/documento.entity.ts:98 (Documento.hallazgoId) | Validación: IsOptional, IsString, IsUUID</t>
        </is>
      </c>
      <c r="Q1543" s="18" t="inlineStr">
        <is>
          <t>Regla estructural (redacción revisada)</t>
        </is>
      </c>
      <c r="R1543" s="18" t="inlineStr">
        <is>
          <t>Hallazgo al que se vincula el documento; relación sin llave foránea declarada.</t>
        </is>
      </c>
      <c r="S1543" s="18" t="inlineStr">
        <is>
          <t>Alta</t>
        </is>
      </c>
      <c r="T1543" s="18" t="inlineStr">
        <is>
          <t>Convención de nombre, redactada con el contexto de la tabla y el código.</t>
        </is>
      </c>
      <c r="U1543" s="18" t="inlineStr"/>
      <c r="V1543" s="19" t="inlineStr">
        <is>
          <t>Aprobada</t>
        </is>
      </c>
      <c r="W1543" s="19" t="inlineStr"/>
      <c r="X1543" s="19" t="inlineStr">
        <is>
          <t>Aldair González (aprobación en bloque)</t>
        </is>
      </c>
      <c r="Y1543" s="20" t="n">
        <v>46321</v>
      </c>
      <c r="Z1543" s="19" t="inlineStr">
        <is>
          <t>Nivel 2: regla estructural con redacción revisada.</t>
        </is>
      </c>
      <c r="AA1543" s="18">
        <f>IF(OR(V1543="Aprobada"),R1543,IF(AND(OR(V1543="Aprobada con ajuste",V1543="Rechazada"),W1543&lt;&gt;""),W1543,""))</f>
        <v/>
      </c>
    </row>
    <row r="1544">
      <c r="A1544" s="18" t="inlineStr">
        <is>
          <t>C1543</t>
        </is>
      </c>
      <c r="B1544" s="18" t="inlineStr">
        <is>
          <t>Control interno</t>
        </is>
      </c>
      <c r="C1544" s="18" t="inlineStr">
        <is>
          <t>control_interno</t>
        </is>
      </c>
      <c r="D1544" s="18" t="inlineStr">
        <is>
          <t>documento</t>
        </is>
      </c>
      <c r="E1544" s="18" t="n">
        <v>77</v>
      </c>
      <c r="F1544" s="18" t="inlineStr">
        <is>
          <t>plan_mejoramiento_id</t>
        </is>
      </c>
      <c r="G1544" s="18" t="inlineStr">
        <is>
          <t>uuid</t>
        </is>
      </c>
      <c r="H1544" s="18" t="inlineStr">
        <is>
          <t>Sí</t>
        </is>
      </c>
      <c r="I1544" s="18" t="inlineStr"/>
      <c r="J1544" s="18" t="inlineStr"/>
      <c r="K1544" s="18" t="inlineStr"/>
      <c r="L1544" s="18" t="inlineStr">
        <is>
          <t>No</t>
        </is>
      </c>
      <c r="M1544" s="18" t="inlineStr">
        <is>
          <t>No</t>
        </is>
      </c>
      <c r="N1544" s="18" t="inlineStr"/>
      <c r="O1544" s="18" t="inlineStr"/>
      <c r="P1544" s="18" t="inlineStr">
        <is>
          <t>Mapeada en internal-institutional-control-service/src/esap/documentos/entities/documento.entity.ts:105 (Documento.planMejoramientoId) | Validación: IsOptional, IsUUID</t>
        </is>
      </c>
      <c r="Q1544" s="18" t="inlineStr">
        <is>
          <t>Código fuente (verificado)</t>
        </is>
      </c>
      <c r="R1544" s="18" t="inlineStr">
        <is>
          <t>Identificador del plan de mejoramiento (control_interno.plan_mejoramiento) al que se vincula el documento; se deja en nulo si se borra el plan.</t>
        </is>
      </c>
      <c r="S1544" s="18" t="inlineStr">
        <is>
          <t>Alta</t>
        </is>
      </c>
      <c r="T1544" s="18" t="inlineStr">
        <is>
          <t>backend/internal-institutional-control-service/src/esap/documentos/entities/documento.entity.ts:105-111: ManyToOne PlanMejoramiento, JoinColumn plan_mejoramiento_id, onDelete SET NULL | backend/internal-institutional-control-service/src/esap/planes-mejoramiento/entities/plan-mejoramiento.entity.ts:26: tabla plan_mejoramiento</t>
        </is>
      </c>
      <c r="U1544" s="18" t="inlineStr"/>
      <c r="V1544" s="19" t="inlineStr">
        <is>
          <t>Aprobada</t>
        </is>
      </c>
      <c r="W1544" s="19" t="inlineStr"/>
      <c r="X1544" s="19" t="inlineStr">
        <is>
          <t>Aldair González (aprobación en bloque)</t>
        </is>
      </c>
      <c r="Y1544" s="20" t="n">
        <v>46321</v>
      </c>
      <c r="Z1544" s="19" t="inlineStr">
        <is>
          <t>Nivel 3: verificada con el código de la aplicación.</t>
        </is>
      </c>
      <c r="AA1544" s="18">
        <f>IF(OR(V1544="Aprobada"),R1544,IF(AND(OR(V1544="Aprobada con ajuste",V1544="Rechazada"),W1544&lt;&gt;""),W1544,""))</f>
        <v/>
      </c>
    </row>
    <row r="1545">
      <c r="A1545" s="18" t="inlineStr">
        <is>
          <t>C1544</t>
        </is>
      </c>
      <c r="B1545" s="18" t="inlineStr">
        <is>
          <t>Control interno</t>
        </is>
      </c>
      <c r="C1545" s="18" t="inlineStr">
        <is>
          <t>control_interno</t>
        </is>
      </c>
      <c r="D1545" s="18" t="inlineStr">
        <is>
          <t>documento</t>
        </is>
      </c>
      <c r="E1545" s="18" t="n">
        <v>77</v>
      </c>
      <c r="F1545" s="18" t="inlineStr">
        <is>
          <t>ruta_archivo</t>
        </is>
      </c>
      <c r="G1545" s="18" t="inlineStr">
        <is>
          <t>character varying(500)</t>
        </is>
      </c>
      <c r="H1545" s="18" t="inlineStr">
        <is>
          <t>No</t>
        </is>
      </c>
      <c r="I1545" s="18" t="inlineStr"/>
      <c r="J1545" s="18" t="inlineStr"/>
      <c r="K1545" s="18" t="inlineStr"/>
      <c r="L1545" s="18" t="inlineStr">
        <is>
          <t>No</t>
        </is>
      </c>
      <c r="M1545" s="18" t="inlineStr">
        <is>
          <t>No</t>
        </is>
      </c>
      <c r="N1545" s="18" t="inlineStr"/>
      <c r="O1545" s="18" t="inlineStr"/>
      <c r="P1545" s="18" t="inlineStr">
        <is>
          <t>Mapeada en internal-institutional-control-service/src/esap/documentos/entities/documento.entity.ts:131 (Documento.rutaArchivo) | Validación: IsOptional, IsString</t>
        </is>
      </c>
      <c r="Q1545" s="18" t="inlineStr">
        <is>
          <t>Propuesta semántica</t>
        </is>
      </c>
      <c r="R1545" s="18" t="inlineStr">
        <is>
          <t>Ruta de almacenamiento del archivo del documento.</t>
        </is>
      </c>
      <c r="S1545" s="18" t="inlineStr">
        <is>
          <t>Alta</t>
        </is>
      </c>
      <c r="T1545" s="18" t="inlineStr">
        <is>
          <t>nombre + tipo ~</t>
        </is>
      </c>
      <c r="U1545" s="18" t="inlineStr"/>
      <c r="V1545" s="19" t="inlineStr">
        <is>
          <t>Aprobada</t>
        </is>
      </c>
      <c r="W1545" s="19" t="inlineStr"/>
      <c r="X1545" s="19" t="inlineStr">
        <is>
          <t>Aldair González (aprobación en bloque)</t>
        </is>
      </c>
      <c r="Y1545" s="20" t="n">
        <v>46321</v>
      </c>
      <c r="Z1545" s="19" t="inlineStr">
        <is>
          <t>Nivel 1: propuesta del comentario del desarrollador o de confianza alta, o regla de fecha/responsable/motivo.</t>
        </is>
      </c>
      <c r="AA1545" s="18">
        <f>IF(OR(V1545="Aprobada"),R1545,IF(AND(OR(V1545="Aprobada con ajuste",V1545="Rechazada"),W1545&lt;&gt;""),W1545,""))</f>
        <v/>
      </c>
    </row>
    <row r="1546">
      <c r="A1546" s="18" t="inlineStr">
        <is>
          <t>C1545</t>
        </is>
      </c>
      <c r="B1546" s="18" t="inlineStr">
        <is>
          <t>Control interno</t>
        </is>
      </c>
      <c r="C1546" s="18" t="inlineStr">
        <is>
          <t>control_interno</t>
        </is>
      </c>
      <c r="D1546" s="18" t="inlineStr">
        <is>
          <t>documento</t>
        </is>
      </c>
      <c r="E1546" s="18" t="n">
        <v>77</v>
      </c>
      <c r="F1546" s="18" t="inlineStr">
        <is>
          <t>nombre_archivo</t>
        </is>
      </c>
      <c r="G1546" s="18" t="inlineStr">
        <is>
          <t>character varying(255)</t>
        </is>
      </c>
      <c r="H1546" s="18" t="inlineStr">
        <is>
          <t>No</t>
        </is>
      </c>
      <c r="I1546" s="18" t="inlineStr"/>
      <c r="J1546" s="18" t="inlineStr"/>
      <c r="K1546" s="18" t="inlineStr"/>
      <c r="L1546" s="18" t="inlineStr">
        <is>
          <t>No</t>
        </is>
      </c>
      <c r="M1546" s="18" t="inlineStr">
        <is>
          <t>No</t>
        </is>
      </c>
      <c r="N1546" s="18" t="inlineStr"/>
      <c r="O1546" s="18" t="inlineStr"/>
      <c r="P1546" s="18" t="inlineStr">
        <is>
          <t>Mapeada en internal-institutional-control-service/src/esap/documentos/entities/documento.entity.ts:134 (Documento.nombreArchivo) | Validación: IsNotEmpty, IsOptional, IsString</t>
        </is>
      </c>
      <c r="Q1546" s="18" t="inlineStr">
        <is>
          <t>Propuesta semántica</t>
        </is>
      </c>
      <c r="R1546" s="18" t="inlineStr">
        <is>
          <t>Nombre del archivo del documento.</t>
        </is>
      </c>
      <c r="S1546" s="18" t="inlineStr">
        <is>
          <t>Alta</t>
        </is>
      </c>
      <c r="T1546" s="18" t="inlineStr">
        <is>
          <t>nombre + tipo ~</t>
        </is>
      </c>
      <c r="U1546" s="18" t="inlineStr"/>
      <c r="V1546" s="19" t="inlineStr">
        <is>
          <t>Aprobada</t>
        </is>
      </c>
      <c r="W1546" s="19" t="inlineStr"/>
      <c r="X1546" s="19" t="inlineStr">
        <is>
          <t>Aldair González (aprobación en bloque)</t>
        </is>
      </c>
      <c r="Y1546" s="20" t="n">
        <v>46321</v>
      </c>
      <c r="Z1546" s="19" t="inlineStr">
        <is>
          <t>Nivel 1: propuesta del comentario del desarrollador o de confianza alta, o regla de fecha/responsable/motivo.</t>
        </is>
      </c>
      <c r="AA1546" s="18">
        <f>IF(OR(V1546="Aprobada"),R1546,IF(AND(OR(V1546="Aprobada con ajuste",V1546="Rechazada"),W1546&lt;&gt;""),W1546,""))</f>
        <v/>
      </c>
    </row>
    <row r="1547">
      <c r="A1547" s="18" t="inlineStr">
        <is>
          <t>C1546</t>
        </is>
      </c>
      <c r="B1547" s="18" t="inlineStr">
        <is>
          <t>Control interno</t>
        </is>
      </c>
      <c r="C1547" s="18" t="inlineStr">
        <is>
          <t>control_interno</t>
        </is>
      </c>
      <c r="D1547" s="18" t="inlineStr">
        <is>
          <t>documento</t>
        </is>
      </c>
      <c r="E1547" s="18" t="n">
        <v>77</v>
      </c>
      <c r="F1547" s="18" t="inlineStr">
        <is>
          <t>tipo_mime</t>
        </is>
      </c>
      <c r="G1547" s="18" t="inlineStr">
        <is>
          <t>character varying(100)</t>
        </is>
      </c>
      <c r="H1547" s="18" t="inlineStr">
        <is>
          <t>No</t>
        </is>
      </c>
      <c r="I1547" s="18" t="inlineStr"/>
      <c r="J1547" s="18" t="inlineStr"/>
      <c r="K1547" s="18" t="inlineStr"/>
      <c r="L1547" s="18" t="inlineStr">
        <is>
          <t>No</t>
        </is>
      </c>
      <c r="M1547" s="18" t="inlineStr">
        <is>
          <t>No</t>
        </is>
      </c>
      <c r="N1547" s="18" t="inlineStr"/>
      <c r="O1547" s="18" t="inlineStr"/>
      <c r="P1547" s="18" t="inlineStr">
        <is>
          <t>Mapeada en internal-institutional-control-service/src/esap/documentos/entities/documento.entity.ts:137 (Documento.tipoMime) | Validación: IsNotEmpty, IsString</t>
        </is>
      </c>
      <c r="Q1547" s="18" t="inlineStr">
        <is>
          <t>Propuesta semántica</t>
        </is>
      </c>
      <c r="R1547" s="18" t="inlineStr">
        <is>
          <t>Tipo MIME del archivo (por ejemplo, application/pdf).</t>
        </is>
      </c>
      <c r="S1547" s="18" t="inlineStr">
        <is>
          <t>Alta</t>
        </is>
      </c>
      <c r="T1547" s="18" t="inlineStr">
        <is>
          <t>nombre + tipo ~</t>
        </is>
      </c>
      <c r="U1547" s="18" t="inlineStr"/>
      <c r="V1547" s="19" t="inlineStr">
        <is>
          <t>Aprobada</t>
        </is>
      </c>
      <c r="W1547" s="19" t="inlineStr"/>
      <c r="X1547" s="19" t="inlineStr">
        <is>
          <t>Aldair González (aprobación en bloque)</t>
        </is>
      </c>
      <c r="Y1547" s="20" t="n">
        <v>46321</v>
      </c>
      <c r="Z1547" s="19" t="inlineStr">
        <is>
          <t>Nivel 1: propuesta del comentario del desarrollador o de confianza alta, o regla de fecha/responsable/motivo.</t>
        </is>
      </c>
      <c r="AA1547" s="18">
        <f>IF(OR(V1547="Aprobada"),R1547,IF(AND(OR(V1547="Aprobada con ajuste",V1547="Rechazada"),W1547&lt;&gt;""),W1547,""))</f>
        <v/>
      </c>
    </row>
    <row r="1548">
      <c r="A1548" s="18" t="inlineStr">
        <is>
          <t>C1547</t>
        </is>
      </c>
      <c r="B1548" s="18" t="inlineStr">
        <is>
          <t>Control interno</t>
        </is>
      </c>
      <c r="C1548" s="18" t="inlineStr">
        <is>
          <t>control_interno</t>
        </is>
      </c>
      <c r="D1548" s="18" t="inlineStr">
        <is>
          <t>documento</t>
        </is>
      </c>
      <c r="E1548" s="18" t="n">
        <v>77</v>
      </c>
      <c r="F1548" s="18" t="inlineStr">
        <is>
          <t>tamanio_bytes</t>
        </is>
      </c>
      <c r="G1548" s="18" t="inlineStr">
        <is>
          <t>bigint</t>
        </is>
      </c>
      <c r="H1548" s="18" t="inlineStr">
        <is>
          <t>No</t>
        </is>
      </c>
      <c r="I1548" s="18" t="inlineStr"/>
      <c r="J1548" s="18" t="inlineStr"/>
      <c r="K1548" s="18" t="inlineStr"/>
      <c r="L1548" s="18" t="inlineStr">
        <is>
          <t>No</t>
        </is>
      </c>
      <c r="M1548" s="18" t="inlineStr">
        <is>
          <t>No</t>
        </is>
      </c>
      <c r="N1548" s="18" t="inlineStr"/>
      <c r="O1548" s="18" t="inlineStr"/>
      <c r="P1548" s="18" t="inlineStr">
        <is>
          <t>Mapeada en internal-institutional-control-service/src/esap/documentos/entities/documento.entity.ts:140 (Documento.tamanioBytes) | Validación: IsNumber, Min(0)</t>
        </is>
      </c>
      <c r="Q1548" s="18" t="inlineStr">
        <is>
          <t>Propuesta semántica</t>
        </is>
      </c>
      <c r="R1548" s="18" t="inlineStr">
        <is>
          <t>Tamaño del archivo, en bytes.</t>
        </is>
      </c>
      <c r="S1548" s="18" t="inlineStr">
        <is>
          <t>Alta</t>
        </is>
      </c>
      <c r="T1548" s="18" t="inlineStr">
        <is>
          <t>nombre + tipo + validación Min(0) ~</t>
        </is>
      </c>
      <c r="U1548" s="18" t="inlineStr"/>
      <c r="V1548" s="19" t="inlineStr">
        <is>
          <t>Aprobada</t>
        </is>
      </c>
      <c r="W1548" s="19" t="inlineStr"/>
      <c r="X1548" s="19" t="inlineStr">
        <is>
          <t>Aldair González (aprobación en bloque)</t>
        </is>
      </c>
      <c r="Y1548" s="20" t="n">
        <v>46321</v>
      </c>
      <c r="Z1548" s="19" t="inlineStr">
        <is>
          <t>Nivel 1: propuesta del comentario del desarrollador o de confianza alta, o regla de fecha/responsable/motivo.</t>
        </is>
      </c>
      <c r="AA1548" s="18">
        <f>IF(OR(V1548="Aprobada"),R1548,IF(AND(OR(V1548="Aprobada con ajuste",V1548="Rechazada"),W1548&lt;&gt;""),W1548,""))</f>
        <v/>
      </c>
    </row>
    <row r="1549">
      <c r="A1549" s="18" t="inlineStr">
        <is>
          <t>C1548</t>
        </is>
      </c>
      <c r="B1549" s="18" t="inlineStr">
        <is>
          <t>Control interno</t>
        </is>
      </c>
      <c r="C1549" s="18" t="inlineStr">
        <is>
          <t>control_interno</t>
        </is>
      </c>
      <c r="D1549" s="18" t="inlineStr">
        <is>
          <t>documento</t>
        </is>
      </c>
      <c r="E1549" s="18" t="n">
        <v>77</v>
      </c>
      <c r="F1549" s="18" t="inlineStr">
        <is>
          <t>version</t>
        </is>
      </c>
      <c r="G1549" s="18" t="inlineStr">
        <is>
          <t>integer</t>
        </is>
      </c>
      <c r="H1549" s="18" t="inlineStr">
        <is>
          <t>Sí</t>
        </is>
      </c>
      <c r="I1549" s="18" t="inlineStr"/>
      <c r="J1549" s="18" t="inlineStr"/>
      <c r="K1549" s="18" t="inlineStr"/>
      <c r="L1549" s="18" t="inlineStr">
        <is>
          <t>No</t>
        </is>
      </c>
      <c r="M1549" s="18" t="inlineStr">
        <is>
          <t>No</t>
        </is>
      </c>
      <c r="N1549" s="18" t="inlineStr"/>
      <c r="O1549" s="18" t="inlineStr"/>
      <c r="P1549" s="18" t="inlineStr">
        <is>
          <t>Mapeada en internal-institutional-control-service/src/esap/documentos/entities/documento.entity.ts:143 (Documento.version) | Validación: IsOptional, IsString</t>
        </is>
      </c>
      <c r="Q1549" s="18" t="inlineStr">
        <is>
          <t>Regla estructural (redacción revisada)</t>
        </is>
      </c>
      <c r="R1549" s="18" t="inlineStr">
        <is>
          <t>Número de versión del documento.</t>
        </is>
      </c>
      <c r="S1549" s="18" t="inlineStr">
        <is>
          <t>Alta</t>
        </is>
      </c>
      <c r="T1549" s="18" t="inlineStr">
        <is>
          <t>Convención de nombre, redactada con el contexto de la tabla y el código.</t>
        </is>
      </c>
      <c r="U1549" s="18" t="inlineStr"/>
      <c r="V1549" s="19" t="inlineStr">
        <is>
          <t>Aprobada</t>
        </is>
      </c>
      <c r="W1549" s="19" t="inlineStr"/>
      <c r="X1549" s="19" t="inlineStr">
        <is>
          <t>Aldair González (aprobación en bloque)</t>
        </is>
      </c>
      <c r="Y1549" s="20" t="n">
        <v>46321</v>
      </c>
      <c r="Z1549" s="19" t="inlineStr">
        <is>
          <t>Nivel 2: regla estructural con redacción revisada.</t>
        </is>
      </c>
      <c r="AA1549" s="18">
        <f>IF(OR(V1549="Aprobada"),R1549,IF(AND(OR(V1549="Aprobada con ajuste",V1549="Rechazada"),W1549&lt;&gt;""),W1549,""))</f>
        <v/>
      </c>
    </row>
    <row r="1550">
      <c r="A1550" s="18" t="inlineStr">
        <is>
          <t>C1549</t>
        </is>
      </c>
      <c r="B1550" s="18" t="inlineStr">
        <is>
          <t>Control interno</t>
        </is>
      </c>
      <c r="C1550" s="18" t="inlineStr">
        <is>
          <t>control_interno</t>
        </is>
      </c>
      <c r="D1550" s="18" t="inlineStr">
        <is>
          <t>documento</t>
        </is>
      </c>
      <c r="E1550" s="18" t="n">
        <v>77</v>
      </c>
      <c r="F1550" s="18" t="inlineStr">
        <is>
          <t>subido_por</t>
        </is>
      </c>
      <c r="G1550" s="18" t="inlineStr">
        <is>
          <t>character varying(255)</t>
        </is>
      </c>
      <c r="H1550" s="18" t="inlineStr">
        <is>
          <t>No</t>
        </is>
      </c>
      <c r="I1550" s="18" t="inlineStr"/>
      <c r="J1550" s="18" t="inlineStr"/>
      <c r="K1550" s="18" t="inlineStr"/>
      <c r="L1550" s="18" t="inlineStr">
        <is>
          <t>No</t>
        </is>
      </c>
      <c r="M1550" s="18" t="inlineStr">
        <is>
          <t>No</t>
        </is>
      </c>
      <c r="N1550" s="18" t="inlineStr"/>
      <c r="O1550" s="18" t="inlineStr"/>
      <c r="P1550" s="18" t="inlineStr">
        <is>
          <t>Mapeada en internal-institutional-control-service/src/esap/documentos/entities/documento.entity.ts:153 (Documento.subidoPor) | Validación: IsNotEmpty, IsString</t>
        </is>
      </c>
      <c r="Q1550" s="18" t="inlineStr">
        <is>
          <t>Regla estructural</t>
        </is>
      </c>
      <c r="R1550" s="18" t="inlineStr">
        <is>
          <t>Usuario que realizó la carga.</t>
        </is>
      </c>
      <c r="S1550" s="18" t="inlineStr">
        <is>
          <t>Media</t>
        </is>
      </c>
      <c r="T1550" s="18" t="inlineStr">
        <is>
          <t>Convención de nombre de la columna.</t>
        </is>
      </c>
      <c r="U1550" s="18" t="inlineStr"/>
      <c r="V1550" s="19" t="inlineStr">
        <is>
          <t>Aprobada</t>
        </is>
      </c>
      <c r="W1550" s="19" t="inlineStr"/>
      <c r="X1550" s="19" t="inlineStr">
        <is>
          <t>Aldair González (aprobación en bloque)</t>
        </is>
      </c>
      <c r="Y1550" s="20" t="n">
        <v>46321</v>
      </c>
      <c r="Z1550" s="19" t="inlineStr">
        <is>
          <t>Nivel 1: propuesta del comentario del desarrollador o de confianza alta, o regla de fecha/responsable/motivo.</t>
        </is>
      </c>
      <c r="AA1550" s="18">
        <f>IF(OR(V1550="Aprobada"),R1550,IF(AND(OR(V1550="Aprobada con ajuste",V1550="Rechazada"),W1550&lt;&gt;""),W1550,""))</f>
        <v/>
      </c>
    </row>
    <row r="1551">
      <c r="A1551" s="18" t="inlineStr">
        <is>
          <t>C1550</t>
        </is>
      </c>
      <c r="B1551" s="18" t="inlineStr">
        <is>
          <t>Control interno</t>
        </is>
      </c>
      <c r="C1551" s="18" t="inlineStr">
        <is>
          <t>control_interno</t>
        </is>
      </c>
      <c r="D1551" s="18" t="inlineStr">
        <is>
          <t>documento</t>
        </is>
      </c>
      <c r="E1551" s="18" t="n">
        <v>77</v>
      </c>
      <c r="F1551" s="18" t="inlineStr">
        <is>
          <t>hash_archivo</t>
        </is>
      </c>
      <c r="G1551" s="18" t="inlineStr">
        <is>
          <t>character varying(255)</t>
        </is>
      </c>
      <c r="H1551" s="18" t="inlineStr">
        <is>
          <t>Sí</t>
        </is>
      </c>
      <c r="I1551" s="18" t="inlineStr"/>
      <c r="J1551" s="18" t="inlineStr"/>
      <c r="K1551" s="18" t="inlineStr"/>
      <c r="L1551" s="18" t="inlineStr">
        <is>
          <t>No</t>
        </is>
      </c>
      <c r="M1551" s="18" t="inlineStr">
        <is>
          <t>No</t>
        </is>
      </c>
      <c r="N1551" s="18" t="inlineStr"/>
      <c r="O1551" s="18" t="inlineStr"/>
      <c r="P1551" s="18" t="inlineStr">
        <is>
          <t>Mapeada en internal-institutional-control-service/src/esap/documentos/entities/documento.entity.ts:156 (Documento.hashArchivo) | Validación: IsOptional, IsString</t>
        </is>
      </c>
      <c r="Q1551" s="18" t="inlineStr">
        <is>
          <t>Código fuente (verificado)</t>
        </is>
      </c>
      <c r="R1551" s="18" t="inlineStr">
        <is>
          <t>Hash SHA-256 (hexadecimal) del contenido del archivo; se calcula al subirlo y se usa para detectar duplicados y crear una nueva versión.</t>
        </is>
      </c>
      <c r="S1551" s="18" t="inlineStr">
        <is>
          <t>Alta</t>
        </is>
      </c>
      <c r="T1551" s="18" t="inlineStr">
        <is>
          <t>backend/internal-institutional-control-service/src/esap/documentos/documentos.service.ts:31-39: calcularHashArchivo con sha256 | backend/internal-institutional-control-service/src/esap/documentos/documentos.service.ts:249-258: búsqueda de un documento con el mismo hash</t>
        </is>
      </c>
      <c r="U1551" s="18" t="inlineStr"/>
      <c r="V1551" s="19" t="inlineStr">
        <is>
          <t>Aprobada</t>
        </is>
      </c>
      <c r="W1551" s="19" t="inlineStr"/>
      <c r="X1551" s="19" t="inlineStr">
        <is>
          <t>Aldair González (aprobación en bloque)</t>
        </is>
      </c>
      <c r="Y1551" s="20" t="n">
        <v>46321</v>
      </c>
      <c r="Z1551" s="19" t="inlineStr">
        <is>
          <t>Nivel 3: verificada con el código de la aplicación.</t>
        </is>
      </c>
      <c r="AA1551" s="18">
        <f>IF(OR(V1551="Aprobada"),R1551,IF(AND(OR(V1551="Aprobada con ajuste",V1551="Rechazada"),W1551&lt;&gt;""),W1551,""))</f>
        <v/>
      </c>
    </row>
    <row r="1552">
      <c r="A1552" s="18" t="inlineStr">
        <is>
          <t>C1551</t>
        </is>
      </c>
      <c r="B1552" s="18" t="inlineStr">
        <is>
          <t>Control interno</t>
        </is>
      </c>
      <c r="C1552" s="18" t="inlineStr">
        <is>
          <t>control_interno</t>
        </is>
      </c>
      <c r="D1552" s="18" t="inlineStr">
        <is>
          <t>documento</t>
        </is>
      </c>
      <c r="E1552" s="18" t="n">
        <v>77</v>
      </c>
      <c r="F1552" s="18" t="inlineStr">
        <is>
          <t>comprimido</t>
        </is>
      </c>
      <c r="G1552" s="18" t="inlineStr">
        <is>
          <t>boolean</t>
        </is>
      </c>
      <c r="H1552" s="18" t="inlineStr">
        <is>
          <t>Sí</t>
        </is>
      </c>
      <c r="I1552" s="18" t="inlineStr"/>
      <c r="J1552" s="18" t="inlineStr"/>
      <c r="K1552" s="18" t="inlineStr"/>
      <c r="L1552" s="18" t="inlineStr">
        <is>
          <t>No</t>
        </is>
      </c>
      <c r="M1552" s="18" t="inlineStr">
        <is>
          <t>No</t>
        </is>
      </c>
      <c r="N1552" s="18" t="inlineStr"/>
      <c r="O1552" s="18" t="inlineStr"/>
      <c r="P1552" s="18" t="inlineStr">
        <is>
          <t>Mapeada en internal-institutional-control-service/src/esap/documentos/entities/documento.entity.ts:159 (Documento.comprimido)</t>
        </is>
      </c>
      <c r="Q1552" s="18" t="inlineStr">
        <is>
          <t>Regla estructural (redacción revisada)</t>
        </is>
      </c>
      <c r="R1552" s="18" t="inlineStr">
        <is>
          <t>Indica si el archivo del documento está comprimido.</t>
        </is>
      </c>
      <c r="S1552" s="18" t="inlineStr">
        <is>
          <t>Alta</t>
        </is>
      </c>
      <c r="T1552" s="18" t="inlineStr">
        <is>
          <t>Convención de nombre, redactada con el contexto de la tabla y el código.</t>
        </is>
      </c>
      <c r="U1552" s="18" t="inlineStr"/>
      <c r="V1552" s="19" t="inlineStr">
        <is>
          <t>Aprobada</t>
        </is>
      </c>
      <c r="W1552" s="19" t="inlineStr"/>
      <c r="X1552" s="19" t="inlineStr">
        <is>
          <t>Aldair González (aprobación en bloque)</t>
        </is>
      </c>
      <c r="Y1552" s="20" t="n">
        <v>46321</v>
      </c>
      <c r="Z1552" s="19" t="inlineStr">
        <is>
          <t>Nivel 2: regla estructural con redacción revisada.</t>
        </is>
      </c>
      <c r="AA1552" s="18">
        <f>IF(OR(V1552="Aprobada"),R1552,IF(AND(OR(V1552="Aprobada con ajuste",V1552="Rechazada"),W1552&lt;&gt;""),W1552,""))</f>
        <v/>
      </c>
    </row>
    <row r="1553">
      <c r="A1553" s="18" t="inlineStr">
        <is>
          <t>C1552</t>
        </is>
      </c>
      <c r="B1553" s="18" t="inlineStr">
        <is>
          <t>Control interno</t>
        </is>
      </c>
      <c r="C1553" s="18" t="inlineStr">
        <is>
          <t>control_interno</t>
        </is>
      </c>
      <c r="D1553" s="18" t="inlineStr">
        <is>
          <t>documento</t>
        </is>
      </c>
      <c r="E1553" s="18" t="n">
        <v>77</v>
      </c>
      <c r="F1553" s="18" t="inlineStr">
        <is>
          <t>ruta_servidor_g</t>
        </is>
      </c>
      <c r="G1553" s="18" t="inlineStr">
        <is>
          <t>character varying(500)</t>
        </is>
      </c>
      <c r="H1553" s="18" t="inlineStr">
        <is>
          <t>Sí</t>
        </is>
      </c>
      <c r="I1553" s="18" t="inlineStr"/>
      <c r="J1553" s="18" t="inlineStr"/>
      <c r="K1553" s="18" t="inlineStr"/>
      <c r="L1553" s="18" t="inlineStr">
        <is>
          <t>No</t>
        </is>
      </c>
      <c r="M1553" s="18" t="inlineStr">
        <is>
          <t>No</t>
        </is>
      </c>
      <c r="N1553" s="18" t="inlineStr"/>
      <c r="O1553" s="18" t="inlineStr"/>
      <c r="P1553" s="18" t="inlineStr">
        <is>
          <t>Mapeada en internal-institutional-control-service/src/esap/documentos/entities/documento.entity.ts:162 (Documento.rutaServidorG)</t>
        </is>
      </c>
      <c r="Q1553" s="18" t="inlineStr">
        <is>
          <t>Código fuente (verificado)</t>
        </is>
      </c>
      <c r="R1553" s="18" t="inlineStr">
        <is>
          <t>Ruta del archivo en el servidor G, registrada al marcar el documento como sincronizado junto con sincronizado_servidor_g y fecha_sincronizacion.</t>
        </is>
      </c>
      <c r="S1553" s="18" t="inlineStr">
        <is>
          <t>Media</t>
        </is>
      </c>
      <c r="T1553" s="18" t="inlineStr">
        <is>
          <t>backend/internal-institutional-control-service/src/esap/documentos/documentos.controller.ts:376-385: POST documentos/:id/sincronizar recibe rutaServidorG | backend/internal-institutional-control-service/src/esap/documentos/documentos.service.ts:396-401: marcarSincronizado</t>
        </is>
      </c>
      <c r="U1553" s="18" t="inlineStr">
        <is>
          <t>¿Qué es el servidor G y qué proceso invoca la sincronización? El código solo registra la ruta que recibe.</t>
        </is>
      </c>
      <c r="V1553" s="19" t="inlineStr">
        <is>
          <t>Aprobada</t>
        </is>
      </c>
      <c r="W1553" s="19" t="inlineStr"/>
      <c r="X1553" s="19" t="inlineStr">
        <is>
          <t>Aldair González (validación del responsable de BD)</t>
        </is>
      </c>
      <c r="Y1553" s="20" t="n">
        <v>46321</v>
      </c>
      <c r="Z1553" s="19" t="inlineStr">
        <is>
          <t>Nivel 3: validada por decisión del responsable de la base de datos. Pregunta registrada para desarrollo: ¿Qué es el servidor G y qué proceso invoca la sincronización? El código solo registra la ruta que recibe.</t>
        </is>
      </c>
      <c r="AA1553" s="18">
        <f>IF(OR(V1553="Aprobada"),R1553,IF(AND(OR(V1553="Aprobada con ajuste",V1553="Rechazada"),W1553&lt;&gt;""),W1553,""))</f>
        <v/>
      </c>
    </row>
    <row r="1554">
      <c r="A1554" s="18" t="inlineStr">
        <is>
          <t>C1553</t>
        </is>
      </c>
      <c r="B1554" s="18" t="inlineStr">
        <is>
          <t>Control interno</t>
        </is>
      </c>
      <c r="C1554" s="18" t="inlineStr">
        <is>
          <t>control_interno</t>
        </is>
      </c>
      <c r="D1554" s="18" t="inlineStr">
        <is>
          <t>documento</t>
        </is>
      </c>
      <c r="E1554" s="18" t="n">
        <v>77</v>
      </c>
      <c r="F1554" s="18" t="inlineStr">
        <is>
          <t>sincronizado_servidor_g</t>
        </is>
      </c>
      <c r="G1554" s="18" t="inlineStr">
        <is>
          <t>boolean</t>
        </is>
      </c>
      <c r="H1554" s="18" t="inlineStr">
        <is>
          <t>Sí</t>
        </is>
      </c>
      <c r="I1554" s="18" t="inlineStr"/>
      <c r="J1554" s="18" t="inlineStr"/>
      <c r="K1554" s="18" t="inlineStr"/>
      <c r="L1554" s="18" t="inlineStr">
        <is>
          <t>No</t>
        </is>
      </c>
      <c r="M1554" s="18" t="inlineStr">
        <is>
          <t>No</t>
        </is>
      </c>
      <c r="N1554" s="18" t="inlineStr"/>
      <c r="O1554" s="18" t="inlineStr"/>
      <c r="P1554" s="18" t="inlineStr">
        <is>
          <t>Mapeada en internal-institutional-control-service/src/esap/documentos/entities/documento.entity.ts:165 (Documento.sincronizadoServidorG)</t>
        </is>
      </c>
      <c r="Q1554" s="18" t="inlineStr">
        <is>
          <t>Regla estructural (redacción revisada)</t>
        </is>
      </c>
      <c r="R1554" s="18" t="inlineStr">
        <is>
          <t>Indica si el documento está sincronizado con el servidor G.</t>
        </is>
      </c>
      <c r="S1554" s="18" t="inlineStr">
        <is>
          <t>Alta</t>
        </is>
      </c>
      <c r="T1554" s="18" t="inlineStr">
        <is>
          <t>Convención de nombre, redactada con el contexto de la tabla y el código.</t>
        </is>
      </c>
      <c r="U1554" s="18" t="inlineStr"/>
      <c r="V1554" s="19" t="inlineStr">
        <is>
          <t>Aprobada</t>
        </is>
      </c>
      <c r="W1554" s="19" t="inlineStr"/>
      <c r="X1554" s="19" t="inlineStr">
        <is>
          <t>Aldair González (aprobación en bloque)</t>
        </is>
      </c>
      <c r="Y1554" s="20" t="n">
        <v>46321</v>
      </c>
      <c r="Z1554" s="19" t="inlineStr">
        <is>
          <t>Nivel 2: regla estructural con redacción revisada.</t>
        </is>
      </c>
      <c r="AA1554" s="18">
        <f>IF(OR(V1554="Aprobada"),R1554,IF(AND(OR(V1554="Aprobada con ajuste",V1554="Rechazada"),W1554&lt;&gt;""),W1554,""))</f>
        <v/>
      </c>
    </row>
    <row r="1555">
      <c r="A1555" s="18" t="inlineStr">
        <is>
          <t>C1554</t>
        </is>
      </c>
      <c r="B1555" s="18" t="inlineStr">
        <is>
          <t>Control interno</t>
        </is>
      </c>
      <c r="C1555" s="18" t="inlineStr">
        <is>
          <t>control_interno</t>
        </is>
      </c>
      <c r="D1555" s="18" t="inlineStr">
        <is>
          <t>documento</t>
        </is>
      </c>
      <c r="E1555" s="18" t="n">
        <v>77</v>
      </c>
      <c r="F1555" s="18" t="inlineStr">
        <is>
          <t>fecha_sincronizacion</t>
        </is>
      </c>
      <c r="G1555" s="18" t="inlineStr">
        <is>
          <t>timestamp without time zone</t>
        </is>
      </c>
      <c r="H1555" s="18" t="inlineStr">
        <is>
          <t>Sí</t>
        </is>
      </c>
      <c r="I1555" s="18" t="inlineStr"/>
      <c r="J1555" s="18" t="inlineStr"/>
      <c r="K1555" s="18" t="inlineStr"/>
      <c r="L1555" s="18" t="inlineStr">
        <is>
          <t>No</t>
        </is>
      </c>
      <c r="M1555" s="18" t="inlineStr">
        <is>
          <t>No</t>
        </is>
      </c>
      <c r="N1555" s="18" t="inlineStr"/>
      <c r="O1555" s="18" t="inlineStr"/>
      <c r="P1555" s="18" t="inlineStr">
        <is>
          <t>Mapeada en internal-institutional-control-service/src/esap/documentos/entities/documento.entity.ts:168 (Documento.fechaSincronizacion)</t>
        </is>
      </c>
      <c r="Q1555" s="18" t="inlineStr">
        <is>
          <t>Regla estructural (redacción revisada)</t>
        </is>
      </c>
      <c r="R1555" s="18" t="inlineStr">
        <is>
          <t>Fecha y hora de la sincronización del documento con el servidor G.</t>
        </is>
      </c>
      <c r="S1555" s="18" t="inlineStr">
        <is>
          <t>Alta</t>
        </is>
      </c>
      <c r="T1555" s="18" t="inlineStr">
        <is>
          <t>Convención de nombre, redactada con el contexto de la tabla y el código.</t>
        </is>
      </c>
      <c r="U1555" s="18" t="inlineStr"/>
      <c r="V1555" s="19" t="inlineStr">
        <is>
          <t>Aprobada</t>
        </is>
      </c>
      <c r="W1555" s="19" t="inlineStr"/>
      <c r="X1555" s="19" t="inlineStr">
        <is>
          <t>Aldair González (aprobación en bloque)</t>
        </is>
      </c>
      <c r="Y1555" s="20" t="n">
        <v>46321</v>
      </c>
      <c r="Z1555" s="19" t="inlineStr">
        <is>
          <t>Nivel 2: regla estructural con redacción revisada.</t>
        </is>
      </c>
      <c r="AA1555" s="18">
        <f>IF(OR(V1555="Aprobada"),R1555,IF(AND(OR(V1555="Aprobada con ajuste",V1555="Rechazada"),W1555&lt;&gt;""),W1555,""))</f>
        <v/>
      </c>
    </row>
    <row r="1556">
      <c r="A1556" s="18" t="inlineStr">
        <is>
          <t>C1555</t>
        </is>
      </c>
      <c r="B1556" s="18" t="inlineStr">
        <is>
          <t>Control interno</t>
        </is>
      </c>
      <c r="C1556" s="18" t="inlineStr">
        <is>
          <t>control_interno</t>
        </is>
      </c>
      <c r="D1556" s="18" t="inlineStr">
        <is>
          <t>documento</t>
        </is>
      </c>
      <c r="E1556" s="18" t="n">
        <v>77</v>
      </c>
      <c r="F1556" s="18" t="inlineStr">
        <is>
          <t>tipo_reporte</t>
        </is>
      </c>
      <c r="G1556" s="18" t="inlineStr">
        <is>
          <t>character varying(100)</t>
        </is>
      </c>
      <c r="H1556" s="18" t="inlineStr">
        <is>
          <t>Sí</t>
        </is>
      </c>
      <c r="I1556" s="18" t="inlineStr">
        <is>
          <t>CHECK</t>
        </is>
      </c>
      <c r="J1556" s="18" t="inlineStr">
        <is>
          <t>acta-apertura, acta-cierre, informe-auditoria, matriz-hallazgos, otro, plan-anual, plan-mejora, reporte-cumplimiento, reporte-ejecutivo, reporte-gravedad, reporte-territorial</t>
        </is>
      </c>
      <c r="K1556" s="18" t="inlineStr"/>
      <c r="L1556" s="18" t="inlineStr">
        <is>
          <t>Sí</t>
        </is>
      </c>
      <c r="M1556" s="18" t="inlineStr">
        <is>
          <t>No</t>
        </is>
      </c>
      <c r="N1556" s="18" t="inlineStr"/>
      <c r="O1556" s="18" t="inlineStr"/>
      <c r="P1556" s="18" t="inlineStr"/>
      <c r="Q1556" s="18" t="inlineStr">
        <is>
          <t>Propuesta semántica</t>
        </is>
      </c>
      <c r="R1556" s="18" t="inlineStr">
        <is>
          <t>Tipo de reporte cuando el documento es un reporte generado. Valores permitidos: acta-apertura, acta-cierre, informe-auditoria, matriz-hallazgos, plan-anual, plan-mejora, reporte-cumplimiento, reporte-ejecutivo, reporte-gravedad, reporte-territorial, otro.</t>
        </is>
      </c>
      <c r="S1556" s="18" t="inlineStr">
        <is>
          <t>Alta</t>
        </is>
      </c>
      <c r="T1556" s="18" t="inlineStr">
        <is>
          <t>valores permitidos del CHECK ~</t>
        </is>
      </c>
      <c r="U1556" s="18" t="inlineStr"/>
      <c r="V1556" s="19" t="inlineStr">
        <is>
          <t>Aprobada</t>
        </is>
      </c>
      <c r="W1556" s="19" t="inlineStr"/>
      <c r="X1556" s="19" t="inlineStr">
        <is>
          <t>Aldair González (aprobación en bloque)</t>
        </is>
      </c>
      <c r="Y1556" s="20" t="n">
        <v>46321</v>
      </c>
      <c r="Z1556" s="19" t="inlineStr">
        <is>
          <t>Nivel 1: propuesta del comentario del desarrollador o de confianza alta, o regla de fecha/responsable/motivo.</t>
        </is>
      </c>
      <c r="AA1556" s="18">
        <f>IF(OR(V1556="Aprobada"),R1556,IF(AND(OR(V1556="Aprobada con ajuste",V1556="Rechazada"),W1556&lt;&gt;""),W1556,""))</f>
        <v/>
      </c>
    </row>
    <row r="1557">
      <c r="A1557" s="18" t="inlineStr">
        <is>
          <t>C1556</t>
        </is>
      </c>
      <c r="B1557" s="18" t="inlineStr">
        <is>
          <t>Control interno</t>
        </is>
      </c>
      <c r="C1557" s="18" t="inlineStr">
        <is>
          <t>control_interno</t>
        </is>
      </c>
      <c r="D1557" s="18" t="inlineStr">
        <is>
          <t>documento</t>
        </is>
      </c>
      <c r="E1557" s="18" t="n">
        <v>77</v>
      </c>
      <c r="F1557" s="18" t="inlineStr">
        <is>
          <t>visible_auditoria_id</t>
        </is>
      </c>
      <c r="G1557" s="18" t="inlineStr">
        <is>
          <t>uuid</t>
        </is>
      </c>
      <c r="H1557" s="18" t="inlineStr">
        <is>
          <t>Sí</t>
        </is>
      </c>
      <c r="I1557" s="18" t="inlineStr"/>
      <c r="J1557" s="18" t="inlineStr"/>
      <c r="K1557" s="18" t="inlineStr"/>
      <c r="L1557" s="18" t="inlineStr">
        <is>
          <t>No</t>
        </is>
      </c>
      <c r="M1557" s="18" t="inlineStr">
        <is>
          <t>No</t>
        </is>
      </c>
      <c r="N1557" s="18" t="inlineStr"/>
      <c r="O1557" s="18" t="inlineStr">
        <is>
          <t>idx_documento_visible_auditoria_id</t>
        </is>
      </c>
      <c r="P1557" s="18" t="inlineStr">
        <is>
          <t>internal-institutional-control-service/src/esap/documentos/entities/documento.entity.ts:117: Plantilla: visible solo para esta auditoría. NULL = visible para todas | Validación: IsOptional, IsUUID</t>
        </is>
      </c>
      <c r="Q1557" s="18" t="inlineStr">
        <is>
          <t>Código fuente</t>
        </is>
      </c>
      <c r="R1557" s="18" t="inlineStr">
        <is>
          <t>Identificador de la auditoría para la que es visible el documento plantilla; nulo indica que es visible para todas.</t>
        </is>
      </c>
      <c r="S1557" s="18" t="inlineStr">
        <is>
          <t>Alta</t>
        </is>
      </c>
      <c r="T1557" s="18" t="inlineStr">
        <is>
          <t>código: internal-institutional-control-service/src/esap/documentos/entities/documento.entity.ts:117</t>
        </is>
      </c>
      <c r="U1557" s="18" t="inlineStr"/>
      <c r="V1557" s="19" t="inlineStr">
        <is>
          <t>Aprobada</t>
        </is>
      </c>
      <c r="W1557" s="19" t="inlineStr"/>
      <c r="X1557" s="19" t="inlineStr">
        <is>
          <t>Aldair González (aprobación en bloque)</t>
        </is>
      </c>
      <c r="Y1557" s="20" t="n">
        <v>46321</v>
      </c>
      <c r="Z1557" s="19" t="inlineStr">
        <is>
          <t>Nivel 1: propuesta del comentario del desarrollador o de confianza alta, o regla de fecha/responsable/motivo.</t>
        </is>
      </c>
      <c r="AA1557" s="18">
        <f>IF(OR(V1557="Aprobada"),R1557,IF(AND(OR(V1557="Aprobada con ajuste",V1557="Rechazada"),W1557&lt;&gt;""),W1557,""))</f>
        <v/>
      </c>
    </row>
    <row r="1558">
      <c r="A1558" s="18" t="inlineStr">
        <is>
          <t>C1557</t>
        </is>
      </c>
      <c r="B1558" s="18" t="inlineStr">
        <is>
          <t>Control interno</t>
        </is>
      </c>
      <c r="C1558" s="18" t="inlineStr">
        <is>
          <t>control_interno</t>
        </is>
      </c>
      <c r="D1558" s="18" t="inlineStr">
        <is>
          <t>documento_aprobacion</t>
        </is>
      </c>
      <c r="E1558" s="18" t="n">
        <v>0</v>
      </c>
      <c r="F1558" s="18" t="inlineStr">
        <is>
          <t>nombre_archivo</t>
        </is>
      </c>
      <c r="G1558" s="18" t="inlineStr">
        <is>
          <t>character varying(255)</t>
        </is>
      </c>
      <c r="H1558" s="18" t="inlineStr">
        <is>
          <t>No</t>
        </is>
      </c>
      <c r="I1558" s="18" t="inlineStr"/>
      <c r="J1558" s="18" t="inlineStr"/>
      <c r="K1558" s="18" t="inlineStr"/>
      <c r="L1558" s="18" t="inlineStr">
        <is>
          <t>No</t>
        </is>
      </c>
      <c r="M1558" s="18" t="inlineStr">
        <is>
          <t>No</t>
        </is>
      </c>
      <c r="N1558" s="18" t="inlineStr"/>
      <c r="O1558" s="18" t="inlineStr"/>
      <c r="P1558" s="18" t="inlineStr"/>
      <c r="Q1558" s="18" t="inlineStr">
        <is>
          <t>Propuesta semántica</t>
        </is>
      </c>
      <c r="R1558" s="18" t="inlineStr">
        <is>
          <t>Nombre del archivo adjunto a la solicitud de aprobación.</t>
        </is>
      </c>
      <c r="S1558" s="18" t="inlineStr">
        <is>
          <t>Alta</t>
        </is>
      </c>
      <c r="T1558" s="18" t="inlineStr">
        <is>
          <t>nombre + tipo + columnas vecinas (aprobacion_id) ~</t>
        </is>
      </c>
      <c r="U1558" s="18" t="inlineStr"/>
      <c r="V1558" s="19" t="inlineStr">
        <is>
          <t>Aprobada</t>
        </is>
      </c>
      <c r="W1558" s="19" t="inlineStr"/>
      <c r="X1558" s="19" t="inlineStr">
        <is>
          <t>Aldair González (aprobación en bloque)</t>
        </is>
      </c>
      <c r="Y1558" s="20" t="n">
        <v>46321</v>
      </c>
      <c r="Z1558" s="19" t="inlineStr">
        <is>
          <t>Nivel 1: propuesta del comentario del desarrollador o de confianza alta, o regla de fecha/responsable/motivo.</t>
        </is>
      </c>
      <c r="AA1558" s="18">
        <f>IF(OR(V1558="Aprobada"),R1558,IF(AND(OR(V1558="Aprobada con ajuste",V1558="Rechazada"),W1558&lt;&gt;""),W1558,""))</f>
        <v/>
      </c>
    </row>
    <row r="1559">
      <c r="A1559" s="18" t="inlineStr">
        <is>
          <t>C1558</t>
        </is>
      </c>
      <c r="B1559" s="18" t="inlineStr">
        <is>
          <t>Control interno</t>
        </is>
      </c>
      <c r="C1559" s="18" t="inlineStr">
        <is>
          <t>control_interno</t>
        </is>
      </c>
      <c r="D1559" s="18" t="inlineStr">
        <is>
          <t>documento_aprobacion</t>
        </is>
      </c>
      <c r="E1559" s="18" t="n">
        <v>0</v>
      </c>
      <c r="F1559" s="18" t="inlineStr">
        <is>
          <t>ruta_archivo</t>
        </is>
      </c>
      <c r="G1559" s="18" t="inlineStr">
        <is>
          <t>character varying(500)</t>
        </is>
      </c>
      <c r="H1559" s="18" t="inlineStr">
        <is>
          <t>Sí</t>
        </is>
      </c>
      <c r="I1559" s="18" t="inlineStr"/>
      <c r="J1559" s="18" t="inlineStr"/>
      <c r="K1559" s="18" t="inlineStr"/>
      <c r="L1559" s="18" t="inlineStr">
        <is>
          <t>No</t>
        </is>
      </c>
      <c r="M1559" s="18" t="inlineStr">
        <is>
          <t>No</t>
        </is>
      </c>
      <c r="N1559" s="18" t="inlineStr"/>
      <c r="O1559" s="18" t="inlineStr"/>
      <c r="P1559" s="18" t="inlineStr"/>
      <c r="Q1559" s="18" t="inlineStr">
        <is>
          <t>Propuesta semántica</t>
        </is>
      </c>
      <c r="R1559" s="18" t="inlineStr">
        <is>
          <t>Ruta de almacenamiento del archivo adjunto.</t>
        </is>
      </c>
      <c r="S1559" s="18" t="inlineStr">
        <is>
          <t>Alta</t>
        </is>
      </c>
      <c r="T1559" s="18" t="inlineStr">
        <is>
          <t>nombre + tipo ~</t>
        </is>
      </c>
      <c r="U1559" s="18" t="inlineStr"/>
      <c r="V1559" s="19" t="inlineStr">
        <is>
          <t>Aprobada</t>
        </is>
      </c>
      <c r="W1559" s="19" t="inlineStr"/>
      <c r="X1559" s="19" t="inlineStr">
        <is>
          <t>Aldair González (aprobación en bloque)</t>
        </is>
      </c>
      <c r="Y1559" s="20" t="n">
        <v>46321</v>
      </c>
      <c r="Z1559" s="19" t="inlineStr">
        <is>
          <t>Nivel 1: propuesta del comentario del desarrollador o de confianza alta, o regla de fecha/responsable/motivo.</t>
        </is>
      </c>
      <c r="AA1559" s="18">
        <f>IF(OR(V1559="Aprobada"),R1559,IF(AND(OR(V1559="Aprobada con ajuste",V1559="Rechazada"),W1559&lt;&gt;""),W1559,""))</f>
        <v/>
      </c>
    </row>
    <row r="1560">
      <c r="A1560" s="18" t="inlineStr">
        <is>
          <t>C1559</t>
        </is>
      </c>
      <c r="B1560" s="18" t="inlineStr">
        <is>
          <t>Control interno</t>
        </is>
      </c>
      <c r="C1560" s="18" t="inlineStr">
        <is>
          <t>control_interno</t>
        </is>
      </c>
      <c r="D1560" s="18" t="inlineStr">
        <is>
          <t>documento_aprobacion</t>
        </is>
      </c>
      <c r="E1560" s="18" t="n">
        <v>0</v>
      </c>
      <c r="F1560" s="18" t="inlineStr">
        <is>
          <t>tipo_mime</t>
        </is>
      </c>
      <c r="G1560" s="18" t="inlineStr">
        <is>
          <t>character varying(100)</t>
        </is>
      </c>
      <c r="H1560" s="18" t="inlineStr">
        <is>
          <t>Sí</t>
        </is>
      </c>
      <c r="I1560" s="18" t="inlineStr"/>
      <c r="J1560" s="18" t="inlineStr"/>
      <c r="K1560" s="18" t="inlineStr"/>
      <c r="L1560" s="18" t="inlineStr">
        <is>
          <t>No</t>
        </is>
      </c>
      <c r="M1560" s="18" t="inlineStr">
        <is>
          <t>No</t>
        </is>
      </c>
      <c r="N1560" s="18" t="inlineStr"/>
      <c r="O1560" s="18" t="inlineStr"/>
      <c r="P1560" s="18" t="inlineStr"/>
      <c r="Q1560" s="18" t="inlineStr">
        <is>
          <t>Propuesta semántica</t>
        </is>
      </c>
      <c r="R1560" s="18" t="inlineStr">
        <is>
          <t>Tipo MIME del archivo adjunto.</t>
        </is>
      </c>
      <c r="S1560" s="18" t="inlineStr">
        <is>
          <t>Alta</t>
        </is>
      </c>
      <c r="T1560" s="18" t="inlineStr">
        <is>
          <t>nombre + tipo ~</t>
        </is>
      </c>
      <c r="U1560" s="18" t="inlineStr"/>
      <c r="V1560" s="19" t="inlineStr">
        <is>
          <t>Aprobada</t>
        </is>
      </c>
      <c r="W1560" s="19" t="inlineStr"/>
      <c r="X1560" s="19" t="inlineStr">
        <is>
          <t>Aldair González (aprobación en bloque)</t>
        </is>
      </c>
      <c r="Y1560" s="20" t="n">
        <v>46321</v>
      </c>
      <c r="Z1560" s="19" t="inlineStr">
        <is>
          <t>Nivel 1: propuesta del comentario del desarrollador o de confianza alta, o regla de fecha/responsable/motivo.</t>
        </is>
      </c>
      <c r="AA1560" s="18">
        <f>IF(OR(V1560="Aprobada"),R1560,IF(AND(OR(V1560="Aprobada con ajuste",V1560="Rechazada"),W1560&lt;&gt;""),W1560,""))</f>
        <v/>
      </c>
    </row>
    <row r="1561">
      <c r="A1561" s="18" t="inlineStr">
        <is>
          <t>C1560</t>
        </is>
      </c>
      <c r="B1561" s="18" t="inlineStr">
        <is>
          <t>Control interno</t>
        </is>
      </c>
      <c r="C1561" s="18" t="inlineStr">
        <is>
          <t>control_interno</t>
        </is>
      </c>
      <c r="D1561" s="18" t="inlineStr">
        <is>
          <t>documento_aprobacion</t>
        </is>
      </c>
      <c r="E1561" s="18" t="n">
        <v>0</v>
      </c>
      <c r="F1561" s="18" t="inlineStr">
        <is>
          <t>tamanio_bytes</t>
        </is>
      </c>
      <c r="G1561" s="18" t="inlineStr">
        <is>
          <t>bigint</t>
        </is>
      </c>
      <c r="H1561" s="18" t="inlineStr">
        <is>
          <t>Sí</t>
        </is>
      </c>
      <c r="I1561" s="18" t="inlineStr"/>
      <c r="J1561" s="18" t="inlineStr"/>
      <c r="K1561" s="18" t="inlineStr"/>
      <c r="L1561" s="18" t="inlineStr">
        <is>
          <t>No</t>
        </is>
      </c>
      <c r="M1561" s="18" t="inlineStr">
        <is>
          <t>No</t>
        </is>
      </c>
      <c r="N1561" s="18" t="inlineStr"/>
      <c r="O1561" s="18" t="inlineStr"/>
      <c r="P1561" s="18" t="inlineStr"/>
      <c r="Q1561" s="18" t="inlineStr">
        <is>
          <t>Propuesta semántica</t>
        </is>
      </c>
      <c r="R1561" s="18" t="inlineStr">
        <is>
          <t>Tamaño del archivo adjunto, en bytes.</t>
        </is>
      </c>
      <c r="S1561" s="18" t="inlineStr">
        <is>
          <t>Alta</t>
        </is>
      </c>
      <c r="T1561" s="18" t="inlineStr">
        <is>
          <t>nombre + tipo ~</t>
        </is>
      </c>
      <c r="U1561" s="18" t="inlineStr"/>
      <c r="V1561" s="19" t="inlineStr">
        <is>
          <t>Aprobada</t>
        </is>
      </c>
      <c r="W1561" s="19" t="inlineStr"/>
      <c r="X1561" s="19" t="inlineStr">
        <is>
          <t>Aldair González (aprobación en bloque)</t>
        </is>
      </c>
      <c r="Y1561" s="20" t="n">
        <v>46321</v>
      </c>
      <c r="Z1561" s="19" t="inlineStr">
        <is>
          <t>Nivel 1: propuesta del comentario del desarrollador o de confianza alta, o regla de fecha/responsable/motivo.</t>
        </is>
      </c>
      <c r="AA1561" s="18">
        <f>IF(OR(V1561="Aprobada"),R1561,IF(AND(OR(V1561="Aprobada con ajuste",V1561="Rechazada"),W1561&lt;&gt;""),W1561,""))</f>
        <v/>
      </c>
    </row>
    <row r="1562">
      <c r="A1562" s="18" t="inlineStr">
        <is>
          <t>C1561</t>
        </is>
      </c>
      <c r="B1562" s="18" t="inlineStr">
        <is>
          <t>Control interno</t>
        </is>
      </c>
      <c r="C1562" s="18" t="inlineStr">
        <is>
          <t>control_interno</t>
        </is>
      </c>
      <c r="D1562" s="18" t="inlineStr">
        <is>
          <t>documento_plan_mejoramiento</t>
        </is>
      </c>
      <c r="E1562" s="18" t="n">
        <v>0</v>
      </c>
      <c r="F1562" s="18" t="inlineStr">
        <is>
          <t>nombre</t>
        </is>
      </c>
      <c r="G1562" s="18" t="inlineStr">
        <is>
          <t>character varying(255)</t>
        </is>
      </c>
      <c r="H1562" s="18" t="inlineStr">
        <is>
          <t>No</t>
        </is>
      </c>
      <c r="I1562" s="18" t="inlineStr"/>
      <c r="J1562" s="18" t="inlineStr"/>
      <c r="K1562" s="18" t="inlineStr"/>
      <c r="L1562" s="18" t="inlineStr">
        <is>
          <t>No</t>
        </is>
      </c>
      <c r="M1562" s="18" t="inlineStr">
        <is>
          <t>No</t>
        </is>
      </c>
      <c r="N1562" s="18" t="inlineStr"/>
      <c r="O1562" s="18" t="inlineStr"/>
      <c r="P1562" s="18" t="inlineStr">
        <is>
          <t>Mapeada en internal-institutional-control-service/src/esap/planes-mejoramiento/entities/documento-plan.entity.ts:36 (DocumentoPlanMejoramiento.nombre) | Validación: IsNotEmpty, IsNotEmpty({ message: 'El nombre del documento es obligatorio' }), IsOptional, IsString, Length(1, 500), MaxLength(120)</t>
        </is>
      </c>
      <c r="Q1562" s="18" t="inlineStr">
        <is>
          <t>Regla estructural (redacción revisada)</t>
        </is>
      </c>
      <c r="R1562" s="18" t="inlineStr">
        <is>
          <t>Nombre del documento del plan de mejoramiento.</t>
        </is>
      </c>
      <c r="S1562" s="18" t="inlineStr">
        <is>
          <t>Alta</t>
        </is>
      </c>
      <c r="T1562" s="18" t="inlineStr">
        <is>
          <t>Convención de nombre, redactada con el contexto de la tabla y el código.</t>
        </is>
      </c>
      <c r="U1562" s="18" t="inlineStr"/>
      <c r="V1562" s="19" t="inlineStr">
        <is>
          <t>Aprobada</t>
        </is>
      </c>
      <c r="W1562" s="19" t="inlineStr"/>
      <c r="X1562" s="19" t="inlineStr">
        <is>
          <t>Aldair González (aprobación en bloque)</t>
        </is>
      </c>
      <c r="Y1562" s="20" t="n">
        <v>46321</v>
      </c>
      <c r="Z1562" s="19" t="inlineStr">
        <is>
          <t>Nivel 2: regla estructural con redacción revisada.</t>
        </is>
      </c>
      <c r="AA1562" s="18">
        <f>IF(OR(V1562="Aprobada"),R1562,IF(AND(OR(V1562="Aprobada con ajuste",V1562="Rechazada"),W1562&lt;&gt;""),W1562,""))</f>
        <v/>
      </c>
    </row>
    <row r="1563">
      <c r="A1563" s="18" t="inlineStr">
        <is>
          <t>C1562</t>
        </is>
      </c>
      <c r="B1563" s="18" t="inlineStr">
        <is>
          <t>Control interno</t>
        </is>
      </c>
      <c r="C1563" s="18" t="inlineStr">
        <is>
          <t>control_interno</t>
        </is>
      </c>
      <c r="D1563" s="18" t="inlineStr">
        <is>
          <t>documento_plan_mejoramiento</t>
        </is>
      </c>
      <c r="E1563" s="18" t="n">
        <v>0</v>
      </c>
      <c r="F1563" s="18" t="inlineStr">
        <is>
          <t>descripcion</t>
        </is>
      </c>
      <c r="G1563" s="18" t="inlineStr">
        <is>
          <t>text</t>
        </is>
      </c>
      <c r="H1563" s="18" t="inlineStr">
        <is>
          <t>Sí</t>
        </is>
      </c>
      <c r="I1563" s="18" t="inlineStr"/>
      <c r="J1563" s="18" t="inlineStr"/>
      <c r="K1563" s="18" t="inlineStr"/>
      <c r="L1563" s="18" t="inlineStr">
        <is>
          <t>No</t>
        </is>
      </c>
      <c r="M1563" s="18" t="inlineStr">
        <is>
          <t>No</t>
        </is>
      </c>
      <c r="N1563" s="18" t="inlineStr"/>
      <c r="O1563" s="18" t="inlineStr"/>
      <c r="P1563" s="18" t="inlineStr">
        <is>
          <t>Mapeada en internal-institutional-control-service/src/esap/planes-mejoramiento/entities/documento-plan.entity.ts:39 (DocumentoPlanMejoramiento.descripcion) | Validación: IsNotEmpty, IsOptional, IsString</t>
        </is>
      </c>
      <c r="Q1563" s="18" t="inlineStr">
        <is>
          <t>Regla estructural (redacción revisada)</t>
        </is>
      </c>
      <c r="R1563" s="18" t="inlineStr">
        <is>
          <t>Descripción del documento del plan de mejoramiento.</t>
        </is>
      </c>
      <c r="S1563" s="18" t="inlineStr">
        <is>
          <t>Alta</t>
        </is>
      </c>
      <c r="T1563" s="18" t="inlineStr">
        <is>
          <t>Convención de nombre, redactada con el contexto de la tabla y el código.</t>
        </is>
      </c>
      <c r="U1563" s="18" t="inlineStr"/>
      <c r="V1563" s="19" t="inlineStr">
        <is>
          <t>Aprobada</t>
        </is>
      </c>
      <c r="W1563" s="19" t="inlineStr"/>
      <c r="X1563" s="19" t="inlineStr">
        <is>
          <t>Aldair González (aprobación en bloque)</t>
        </is>
      </c>
      <c r="Y1563" s="20" t="n">
        <v>46321</v>
      </c>
      <c r="Z1563" s="19" t="inlineStr">
        <is>
          <t>Nivel 2: regla estructural con redacción revisada.</t>
        </is>
      </c>
      <c r="AA1563" s="18">
        <f>IF(OR(V1563="Aprobada"),R1563,IF(AND(OR(V1563="Aprobada con ajuste",V1563="Rechazada"),W1563&lt;&gt;""),W1563,""))</f>
        <v/>
      </c>
    </row>
    <row r="1564">
      <c r="A1564" s="18" t="inlineStr">
        <is>
          <t>C1563</t>
        </is>
      </c>
      <c r="B1564" s="18" t="inlineStr">
        <is>
          <t>Control interno</t>
        </is>
      </c>
      <c r="C1564" s="18" t="inlineStr">
        <is>
          <t>control_interno</t>
        </is>
      </c>
      <c r="D1564" s="18" t="inlineStr">
        <is>
          <t>documento_plan_mejoramiento</t>
        </is>
      </c>
      <c r="E1564" s="18" t="n">
        <v>0</v>
      </c>
      <c r="F1564" s="18" t="inlineStr">
        <is>
          <t>tipo_documento</t>
        </is>
      </c>
      <c r="G1564" s="18" t="inlineStr">
        <is>
          <t>character varying(100)</t>
        </is>
      </c>
      <c r="H1564" s="18" t="inlineStr">
        <is>
          <t>No</t>
        </is>
      </c>
      <c r="I1564" s="18" t="inlineStr"/>
      <c r="J1564" s="18" t="inlineStr"/>
      <c r="K1564" s="18" t="inlineStr"/>
      <c r="L1564" s="18" t="inlineStr">
        <is>
          <t>No</t>
        </is>
      </c>
      <c r="M1564" s="18" t="inlineStr">
        <is>
          <t>No</t>
        </is>
      </c>
      <c r="N1564" s="18" t="inlineStr"/>
      <c r="O1564" s="18" t="inlineStr"/>
      <c r="P1564" s="18" t="inlineStr">
        <is>
          <t>Mapeada en internal-institutional-control-service/src/esap/planes-mejoramiento/entities/documento-plan.entity.ts:42 (DocumentoPlanMejoramiento.tipoDocumento) | Validación: IsEnum(TipoDocumento), IsEnum(TipoDocumentoEvidencia), IsNotEmpty, IsOptional</t>
        </is>
      </c>
      <c r="Q1564" s="18" t="inlineStr">
        <is>
          <t>Código fuente (verificado)</t>
        </is>
      </c>
      <c r="R1564" s="18" t="inlineStr">
        <is>
          <t>Tipo de documento del plan de mejoramiento, en texto recibido del cliente; por defecto documento_plan para los documentos del plan y evidencia_accion para las evidencias de una acción.</t>
        </is>
      </c>
      <c r="S1564" s="18" t="inlineStr">
        <is>
          <t>Alta</t>
        </is>
      </c>
      <c r="T1564" s="18" t="inlineStr">
        <is>
          <t>backend/internal-institutional-control-service/src/esap/planes-mejoramiento/entities/documento-plan.entity.ts:42: varchar(100) sin enumeración | backend/internal-institutional-control-service/src/esap/planes-mejoramiento/documentos-plan.controller.ts:88: default 'documento_plan' | backend/internal-institutional-control-service/src/esap/planes-mejoramiento/documentos-plan.controller.ts:218: default 'evidencia_accion'</t>
        </is>
      </c>
      <c r="U1564" s="18" t="inlineStr"/>
      <c r="V1564" s="19" t="inlineStr">
        <is>
          <t>Aprobada</t>
        </is>
      </c>
      <c r="W1564" s="19" t="inlineStr"/>
      <c r="X1564" s="19" t="inlineStr">
        <is>
          <t>Aldair González (aprobación en bloque)</t>
        </is>
      </c>
      <c r="Y1564" s="20" t="n">
        <v>46321</v>
      </c>
      <c r="Z1564" s="19" t="inlineStr">
        <is>
          <t>Nivel 3: verificada con el código de la aplicación.</t>
        </is>
      </c>
      <c r="AA1564" s="18">
        <f>IF(OR(V1564="Aprobada"),R1564,IF(AND(OR(V1564="Aprobada con ajuste",V1564="Rechazada"),W1564&lt;&gt;""),W1564,""))</f>
        <v/>
      </c>
    </row>
    <row r="1565">
      <c r="A1565" s="18" t="inlineStr">
        <is>
          <t>C1564</t>
        </is>
      </c>
      <c r="B1565" s="18" t="inlineStr">
        <is>
          <t>Control interno</t>
        </is>
      </c>
      <c r="C1565" s="18" t="inlineStr">
        <is>
          <t>control_interno</t>
        </is>
      </c>
      <c r="D1565" s="18" t="inlineStr">
        <is>
          <t>documento_plan_mejoramiento</t>
        </is>
      </c>
      <c r="E1565" s="18" t="n">
        <v>0</v>
      </c>
      <c r="F1565" s="18" t="inlineStr">
        <is>
          <t>ruta_archivo</t>
        </is>
      </c>
      <c r="G1565" s="18" t="inlineStr">
        <is>
          <t>character varying(500)</t>
        </is>
      </c>
      <c r="H1565" s="18" t="inlineStr">
        <is>
          <t>No</t>
        </is>
      </c>
      <c r="I1565" s="18" t="inlineStr"/>
      <c r="J1565" s="18" t="inlineStr"/>
      <c r="K1565" s="18" t="inlineStr"/>
      <c r="L1565" s="18" t="inlineStr">
        <is>
          <t>No</t>
        </is>
      </c>
      <c r="M1565" s="18" t="inlineStr">
        <is>
          <t>No</t>
        </is>
      </c>
      <c r="N1565" s="18" t="inlineStr"/>
      <c r="O1565" s="18" t="inlineStr"/>
      <c r="P1565" s="18" t="inlineStr">
        <is>
          <t>Mapeada en internal-institutional-control-service/src/esap/planes-mejoramiento/entities/documento-plan.entity.ts:45 (DocumentoPlanMejoramiento.rutaArchivo) | Validación: IsOptional, IsString</t>
        </is>
      </c>
      <c r="Q1565" s="18" t="inlineStr">
        <is>
          <t>Propuesta semántica</t>
        </is>
      </c>
      <c r="R1565" s="18" t="inlineStr">
        <is>
          <t>Ruta de almacenamiento del archivo.</t>
        </is>
      </c>
      <c r="S1565" s="18" t="inlineStr">
        <is>
          <t>Alta</t>
        </is>
      </c>
      <c r="T1565" s="18" t="inlineStr">
        <is>
          <t>nombre + tipo ~</t>
        </is>
      </c>
      <c r="U1565" s="18" t="inlineStr"/>
      <c r="V1565" s="19" t="inlineStr">
        <is>
          <t>Aprobada</t>
        </is>
      </c>
      <c r="W1565" s="19" t="inlineStr"/>
      <c r="X1565" s="19" t="inlineStr">
        <is>
          <t>Aldair González (aprobación en bloque)</t>
        </is>
      </c>
      <c r="Y1565" s="20" t="n">
        <v>46321</v>
      </c>
      <c r="Z1565" s="19" t="inlineStr">
        <is>
          <t>Nivel 1: propuesta del comentario del desarrollador o de confianza alta, o regla de fecha/responsable/motivo.</t>
        </is>
      </c>
      <c r="AA1565" s="18">
        <f>IF(OR(V1565="Aprobada"),R1565,IF(AND(OR(V1565="Aprobada con ajuste",V1565="Rechazada"),W1565&lt;&gt;""),W1565,""))</f>
        <v/>
      </c>
    </row>
    <row r="1566">
      <c r="A1566" s="18" t="inlineStr">
        <is>
          <t>C1565</t>
        </is>
      </c>
      <c r="B1566" s="18" t="inlineStr">
        <is>
          <t>Control interno</t>
        </is>
      </c>
      <c r="C1566" s="18" t="inlineStr">
        <is>
          <t>control_interno</t>
        </is>
      </c>
      <c r="D1566" s="18" t="inlineStr">
        <is>
          <t>documento_plan_mejoramiento</t>
        </is>
      </c>
      <c r="E1566" s="18" t="n">
        <v>0</v>
      </c>
      <c r="F1566" s="18" t="inlineStr">
        <is>
          <t>nombre_archivo_original</t>
        </is>
      </c>
      <c r="G1566" s="18" t="inlineStr">
        <is>
          <t>character varying(255)</t>
        </is>
      </c>
      <c r="H1566" s="18" t="inlineStr">
        <is>
          <t>No</t>
        </is>
      </c>
      <c r="I1566" s="18" t="inlineStr"/>
      <c r="J1566" s="18" t="inlineStr"/>
      <c r="K1566" s="18" t="inlineStr"/>
      <c r="L1566" s="18" t="inlineStr">
        <is>
          <t>No</t>
        </is>
      </c>
      <c r="M1566" s="18" t="inlineStr">
        <is>
          <t>No</t>
        </is>
      </c>
      <c r="N1566" s="18" t="inlineStr"/>
      <c r="O1566" s="18" t="inlineStr"/>
      <c r="P1566" s="18" t="inlineStr">
        <is>
          <t>Mapeada en internal-institutional-control-service/src/esap/planes-mejoramiento/entities/documento-plan.entity.ts:48 (DocumentoPlanMejoramiento.nombreArchivoOriginal)</t>
        </is>
      </c>
      <c r="Q1566" s="18" t="inlineStr">
        <is>
          <t>Propuesta semántica</t>
        </is>
      </c>
      <c r="R1566" s="18" t="inlineStr">
        <is>
          <t>Nombre original del archivo al momento de subirlo.</t>
        </is>
      </c>
      <c r="S1566" s="18" t="inlineStr">
        <is>
          <t>Alta</t>
        </is>
      </c>
      <c r="T1566" s="18" t="inlineStr">
        <is>
          <t>nombre + tipo ~</t>
        </is>
      </c>
      <c r="U1566" s="18" t="inlineStr"/>
      <c r="V1566" s="19" t="inlineStr">
        <is>
          <t>Aprobada</t>
        </is>
      </c>
      <c r="W1566" s="19" t="inlineStr"/>
      <c r="X1566" s="19" t="inlineStr">
        <is>
          <t>Aldair González (aprobación en bloque)</t>
        </is>
      </c>
      <c r="Y1566" s="20" t="n">
        <v>46321</v>
      </c>
      <c r="Z1566" s="19" t="inlineStr">
        <is>
          <t>Nivel 1: propuesta del comentario del desarrollador o de confianza alta, o regla de fecha/responsable/motivo.</t>
        </is>
      </c>
      <c r="AA1566" s="18">
        <f>IF(OR(V1566="Aprobada"),R1566,IF(AND(OR(V1566="Aprobada con ajuste",V1566="Rechazada"),W1566&lt;&gt;""),W1566,""))</f>
        <v/>
      </c>
    </row>
    <row r="1567">
      <c r="A1567" s="18" t="inlineStr">
        <is>
          <t>C1566</t>
        </is>
      </c>
      <c r="B1567" s="18" t="inlineStr">
        <is>
          <t>Control interno</t>
        </is>
      </c>
      <c r="C1567" s="18" t="inlineStr">
        <is>
          <t>control_interno</t>
        </is>
      </c>
      <c r="D1567" s="18" t="inlineStr">
        <is>
          <t>documento_plan_mejoramiento</t>
        </is>
      </c>
      <c r="E1567" s="18" t="n">
        <v>0</v>
      </c>
      <c r="F1567" s="18" t="inlineStr">
        <is>
          <t>tipo_mime</t>
        </is>
      </c>
      <c r="G1567" s="18" t="inlineStr">
        <is>
          <t>character varying(100)</t>
        </is>
      </c>
      <c r="H1567" s="18" t="inlineStr">
        <is>
          <t>No</t>
        </is>
      </c>
      <c r="I1567" s="18" t="inlineStr"/>
      <c r="J1567" s="18" t="inlineStr"/>
      <c r="K1567" s="18" t="inlineStr"/>
      <c r="L1567" s="18" t="inlineStr">
        <is>
          <t>No</t>
        </is>
      </c>
      <c r="M1567" s="18" t="inlineStr">
        <is>
          <t>No</t>
        </is>
      </c>
      <c r="N1567" s="18" t="inlineStr"/>
      <c r="O1567" s="18" t="inlineStr"/>
      <c r="P1567" s="18" t="inlineStr">
        <is>
          <t>Mapeada en internal-institutional-control-service/src/esap/planes-mejoramiento/entities/documento-plan.entity.ts:51 (DocumentoPlanMejoramiento.tipoMime) | Validación: IsNotEmpty, IsString</t>
        </is>
      </c>
      <c r="Q1567" s="18" t="inlineStr">
        <is>
          <t>Propuesta semántica</t>
        </is>
      </c>
      <c r="R1567" s="18" t="inlineStr">
        <is>
          <t>Tipo MIME del archivo.</t>
        </is>
      </c>
      <c r="S1567" s="18" t="inlineStr">
        <is>
          <t>Alta</t>
        </is>
      </c>
      <c r="T1567" s="18" t="inlineStr">
        <is>
          <t>nombre + tipo ~</t>
        </is>
      </c>
      <c r="U1567" s="18" t="inlineStr"/>
      <c r="V1567" s="19" t="inlineStr">
        <is>
          <t>Aprobada</t>
        </is>
      </c>
      <c r="W1567" s="19" t="inlineStr"/>
      <c r="X1567" s="19" t="inlineStr">
        <is>
          <t>Aldair González (aprobación en bloque)</t>
        </is>
      </c>
      <c r="Y1567" s="20" t="n">
        <v>46321</v>
      </c>
      <c r="Z1567" s="19" t="inlineStr">
        <is>
          <t>Nivel 1: propuesta del comentario del desarrollador o de confianza alta, o regla de fecha/responsable/motivo.</t>
        </is>
      </c>
      <c r="AA1567" s="18">
        <f>IF(OR(V1567="Aprobada"),R1567,IF(AND(OR(V1567="Aprobada con ajuste",V1567="Rechazada"),W1567&lt;&gt;""),W1567,""))</f>
        <v/>
      </c>
    </row>
    <row r="1568">
      <c r="A1568" s="18" t="inlineStr">
        <is>
          <t>C1567</t>
        </is>
      </c>
      <c r="B1568" s="18" t="inlineStr">
        <is>
          <t>Control interno</t>
        </is>
      </c>
      <c r="C1568" s="18" t="inlineStr">
        <is>
          <t>control_interno</t>
        </is>
      </c>
      <c r="D1568" s="18" t="inlineStr">
        <is>
          <t>documento_plan_mejoramiento</t>
        </is>
      </c>
      <c r="E1568" s="18" t="n">
        <v>0</v>
      </c>
      <c r="F1568" s="18" t="inlineStr">
        <is>
          <t>tamanio_bytes</t>
        </is>
      </c>
      <c r="G1568" s="18" t="inlineStr">
        <is>
          <t>bigint</t>
        </is>
      </c>
      <c r="H1568" s="18" t="inlineStr">
        <is>
          <t>No</t>
        </is>
      </c>
      <c r="I1568" s="18" t="inlineStr"/>
      <c r="J1568" s="18" t="inlineStr"/>
      <c r="K1568" s="18" t="inlineStr"/>
      <c r="L1568" s="18" t="inlineStr">
        <is>
          <t>No</t>
        </is>
      </c>
      <c r="M1568" s="18" t="inlineStr">
        <is>
          <t>No</t>
        </is>
      </c>
      <c r="N1568" s="18" t="inlineStr"/>
      <c r="O1568" s="18" t="inlineStr"/>
      <c r="P1568" s="18" t="inlineStr">
        <is>
          <t>Mapeada en internal-institutional-control-service/src/esap/planes-mejoramiento/entities/documento-plan.entity.ts:54 (DocumentoPlanMejoramiento.tamanioBytes) | Validación: IsNumber, Min(0)</t>
        </is>
      </c>
      <c r="Q1568" s="18" t="inlineStr">
        <is>
          <t>Propuesta semántica</t>
        </is>
      </c>
      <c r="R1568" s="18" t="inlineStr">
        <is>
          <t>Tamaño del archivo, en bytes.</t>
        </is>
      </c>
      <c r="S1568" s="18" t="inlineStr">
        <is>
          <t>Alta</t>
        </is>
      </c>
      <c r="T1568" s="18" t="inlineStr">
        <is>
          <t>nombre + tipo + validación Min(0) ~</t>
        </is>
      </c>
      <c r="U1568" s="18" t="inlineStr"/>
      <c r="V1568" s="19" t="inlineStr">
        <is>
          <t>Aprobada</t>
        </is>
      </c>
      <c r="W1568" s="19" t="inlineStr"/>
      <c r="X1568" s="19" t="inlineStr">
        <is>
          <t>Aldair González (aprobación en bloque)</t>
        </is>
      </c>
      <c r="Y1568" s="20" t="n">
        <v>46321</v>
      </c>
      <c r="Z1568" s="19" t="inlineStr">
        <is>
          <t>Nivel 1: propuesta del comentario del desarrollador o de confianza alta, o regla de fecha/responsable/motivo.</t>
        </is>
      </c>
      <c r="AA1568" s="18">
        <f>IF(OR(V1568="Aprobada"),R1568,IF(AND(OR(V1568="Aprobada con ajuste",V1568="Rechazada"),W1568&lt;&gt;""),W1568,""))</f>
        <v/>
      </c>
    </row>
    <row r="1569">
      <c r="A1569" s="18" t="inlineStr">
        <is>
          <t>C1568</t>
        </is>
      </c>
      <c r="B1569" s="18" t="inlineStr">
        <is>
          <t>Control interno</t>
        </is>
      </c>
      <c r="C1569" s="18" t="inlineStr">
        <is>
          <t>control_interno</t>
        </is>
      </c>
      <c r="D1569" s="18" t="inlineStr">
        <is>
          <t>documento_plan_mejoramiento</t>
        </is>
      </c>
      <c r="E1569" s="18" t="n">
        <v>0</v>
      </c>
      <c r="F1569" s="18" t="inlineStr">
        <is>
          <t>subido_por</t>
        </is>
      </c>
      <c r="G1569" s="18" t="inlineStr">
        <is>
          <t>character varying(255)</t>
        </is>
      </c>
      <c r="H1569" s="18" t="inlineStr">
        <is>
          <t>No</t>
        </is>
      </c>
      <c r="I1569" s="18" t="inlineStr"/>
      <c r="J1569" s="18" t="inlineStr"/>
      <c r="K1569" s="18" t="inlineStr"/>
      <c r="L1569" s="18" t="inlineStr">
        <is>
          <t>No</t>
        </is>
      </c>
      <c r="M1569" s="18" t="inlineStr">
        <is>
          <t>No</t>
        </is>
      </c>
      <c r="N1569" s="18" t="inlineStr"/>
      <c r="O1569" s="18" t="inlineStr"/>
      <c r="P1569" s="18" t="inlineStr">
        <is>
          <t>Mapeada en internal-institutional-control-service/src/esap/planes-mejoramiento/entities/documento-plan.entity.ts:57 (DocumentoPlanMejoramiento.subidoPor) | Validación: IsNotEmpty, IsString</t>
        </is>
      </c>
      <c r="Q1569" s="18" t="inlineStr">
        <is>
          <t>Regla estructural</t>
        </is>
      </c>
      <c r="R1569" s="18" t="inlineStr">
        <is>
          <t>Usuario que realizó la carga.</t>
        </is>
      </c>
      <c r="S1569" s="18" t="inlineStr">
        <is>
          <t>Media</t>
        </is>
      </c>
      <c r="T1569" s="18" t="inlineStr">
        <is>
          <t>Convención de nombre de la columna.</t>
        </is>
      </c>
      <c r="U1569" s="18" t="inlineStr"/>
      <c r="V1569" s="19" t="inlineStr">
        <is>
          <t>Aprobada</t>
        </is>
      </c>
      <c r="W1569" s="19" t="inlineStr"/>
      <c r="X1569" s="19" t="inlineStr">
        <is>
          <t>Aldair González (aprobación en bloque)</t>
        </is>
      </c>
      <c r="Y1569" s="20" t="n">
        <v>46321</v>
      </c>
      <c r="Z1569" s="19" t="inlineStr">
        <is>
          <t>Nivel 1: propuesta del comentario del desarrollador o de confianza alta, o regla de fecha/responsable/motivo.</t>
        </is>
      </c>
      <c r="AA1569" s="18">
        <f>IF(OR(V1569="Aprobada"),R1569,IF(AND(OR(V1569="Aprobada con ajuste",V1569="Rechazada"),W1569&lt;&gt;""),W1569,""))</f>
        <v/>
      </c>
    </row>
    <row r="1570">
      <c r="A1570" s="18" t="inlineStr">
        <is>
          <t>C1569</t>
        </is>
      </c>
      <c r="B1570" s="18" t="inlineStr">
        <is>
          <t>Control interno</t>
        </is>
      </c>
      <c r="C1570" s="18" t="inlineStr">
        <is>
          <t>control_interno</t>
        </is>
      </c>
      <c r="D1570" s="18" t="inlineStr">
        <is>
          <t>documento_plan_mejoramiento</t>
        </is>
      </c>
      <c r="E1570" s="18" t="n">
        <v>0</v>
      </c>
      <c r="F1570" s="18" t="inlineStr">
        <is>
          <t>subido_por_id</t>
        </is>
      </c>
      <c r="G1570" s="18" t="inlineStr">
        <is>
          <t>bigint</t>
        </is>
      </c>
      <c r="H1570" s="18" t="inlineStr">
        <is>
          <t>Sí</t>
        </is>
      </c>
      <c r="I1570" s="18" t="inlineStr"/>
      <c r="J1570" s="18" t="inlineStr"/>
      <c r="K1570" s="18" t="inlineStr"/>
      <c r="L1570" s="18" t="inlineStr">
        <is>
          <t>No</t>
        </is>
      </c>
      <c r="M1570" s="18" t="inlineStr">
        <is>
          <t>No</t>
        </is>
      </c>
      <c r="N1570" s="18" t="inlineStr"/>
      <c r="O1570" s="18" t="inlineStr"/>
      <c r="P1570" s="18" t="inlineStr">
        <is>
          <t>Mapeada en internal-institutional-control-service/src/esap/planes-mejoramiento/entities/documento-plan.entity.ts:60 (DocumentoPlanMejoramiento.subidoPorId)</t>
        </is>
      </c>
      <c r="Q1570" s="18" t="inlineStr">
        <is>
          <t>Código fuente (verificado)</t>
        </is>
      </c>
      <c r="R1570" s="18" t="inlineStr">
        <is>
          <t>Identificador numérico del usuario que subió el documento, enviado por el cliente.</t>
        </is>
      </c>
      <c r="S1570" s="18" t="inlineStr">
        <is>
          <t>Media</t>
        </is>
      </c>
      <c r="T1570" s="18" t="inlineStr">
        <is>
          <t>backend/internal-institutional-control-service/src/esap/planes-mejoramiento/entities/documento-plan.entity.ts:60: bigint nulo | backend/internal-institutional-control-service/src/esap/planes-mejoramiento/documentos-plan.controller.ts:90: parseInt(body.subidoPorId) | backend/auth-service/src/users/user.entity.ts:7-8: id_user es uuid</t>
        </is>
      </c>
      <c r="U1570" s="18" t="inlineStr">
        <is>
          <t>¿A qué tabla corresponde subido_por_id? Es bigint y auth."user".id_user es uuid, así que no puede referenciarlo.</t>
        </is>
      </c>
      <c r="V1570" s="19" t="inlineStr">
        <is>
          <t>Aprobada</t>
        </is>
      </c>
      <c r="W1570" s="19" t="inlineStr"/>
      <c r="X1570" s="19" t="inlineStr">
        <is>
          <t>Aldair González (validación del responsable de BD)</t>
        </is>
      </c>
      <c r="Y1570" s="20" t="n">
        <v>46321</v>
      </c>
      <c r="Z1570" s="19" t="inlineStr">
        <is>
          <t>Nivel 3: validada por decisión del responsable de la base de datos. Pregunta registrada para desarrollo: ¿A qué tabla corresponde subido_por_id? Es bigint y auth."user".id_user es uuid, así que no puede referenciarlo.</t>
        </is>
      </c>
      <c r="AA1570" s="18">
        <f>IF(OR(V1570="Aprobada"),R1570,IF(AND(OR(V1570="Aprobada con ajuste",V1570="Rechazada"),W1570&lt;&gt;""),W1570,""))</f>
        <v/>
      </c>
    </row>
    <row r="1571">
      <c r="A1571" s="18" t="inlineStr">
        <is>
          <t>C1570</t>
        </is>
      </c>
      <c r="B1571" s="18" t="inlineStr">
        <is>
          <t>Control interno</t>
        </is>
      </c>
      <c r="C1571" s="18" t="inlineStr">
        <is>
          <t>control_interno</t>
        </is>
      </c>
      <c r="D1571" s="18" t="inlineStr">
        <is>
          <t>documento_plan_mejoramiento</t>
        </is>
      </c>
      <c r="E1571" s="18" t="n">
        <v>0</v>
      </c>
      <c r="F1571" s="18" t="inlineStr">
        <is>
          <t>fecha_subida</t>
        </is>
      </c>
      <c r="G1571" s="18" t="inlineStr">
        <is>
          <t>timestamp with time zone</t>
        </is>
      </c>
      <c r="H1571" s="18" t="inlineStr">
        <is>
          <t>Sí</t>
        </is>
      </c>
      <c r="I1571" s="18" t="inlineStr"/>
      <c r="J1571" s="18" t="inlineStr"/>
      <c r="K1571" s="18" t="inlineStr"/>
      <c r="L1571" s="18" t="inlineStr">
        <is>
          <t>No</t>
        </is>
      </c>
      <c r="M1571" s="18" t="inlineStr">
        <is>
          <t>No</t>
        </is>
      </c>
      <c r="N1571" s="18" t="inlineStr"/>
      <c r="O1571" s="18" t="inlineStr"/>
      <c r="P1571" s="18" t="inlineStr">
        <is>
          <t>Mapeada en internal-institutional-control-service/src/esap/planes-mejoramiento/entities/documento-plan.entity.ts:63 (DocumentoPlanMejoramiento.fechaSubida)</t>
        </is>
      </c>
      <c r="Q1571" s="18" t="inlineStr">
        <is>
          <t>Regla estructural (redacción revisada)</t>
        </is>
      </c>
      <c r="R1571" s="18" t="inlineStr">
        <is>
          <t>Fecha y hora en que se cargó el documento.</t>
        </is>
      </c>
      <c r="S1571" s="18" t="inlineStr">
        <is>
          <t>Alta</t>
        </is>
      </c>
      <c r="T1571" s="18" t="inlineStr">
        <is>
          <t>Convención de nombre, redactada con el contexto de la tabla y el código.</t>
        </is>
      </c>
      <c r="U1571" s="18" t="inlineStr"/>
      <c r="V1571" s="19" t="inlineStr">
        <is>
          <t>Aprobada</t>
        </is>
      </c>
      <c r="W1571" s="19" t="inlineStr"/>
      <c r="X1571" s="19" t="inlineStr">
        <is>
          <t>Aldair González (aprobación en bloque)</t>
        </is>
      </c>
      <c r="Y1571" s="20" t="n">
        <v>46321</v>
      </c>
      <c r="Z1571" s="19" t="inlineStr">
        <is>
          <t>Nivel 2: regla estructural con redacción revisada.</t>
        </is>
      </c>
      <c r="AA1571" s="18">
        <f>IF(OR(V1571="Aprobada"),R1571,IF(AND(OR(V1571="Aprobada con ajuste",V1571="Rechazada"),W1571&lt;&gt;""),W1571,""))</f>
        <v/>
      </c>
    </row>
    <row r="1572">
      <c r="A1572" s="18" t="inlineStr">
        <is>
          <t>C1571</t>
        </is>
      </c>
      <c r="B1572" s="18" t="inlineStr">
        <is>
          <t>Control interno</t>
        </is>
      </c>
      <c r="C1572" s="18" t="inlineStr">
        <is>
          <t>control_interno</t>
        </is>
      </c>
      <c r="D1572" s="18" t="inlineStr">
        <is>
          <t>documento_plan_mejoramiento</t>
        </is>
      </c>
      <c r="E1572" s="18" t="n">
        <v>0</v>
      </c>
      <c r="F1572" s="18" t="inlineStr">
        <is>
          <t>estado_validacion</t>
        </is>
      </c>
      <c r="G1572" s="18" t="inlineStr">
        <is>
          <t>character varying(50)</t>
        </is>
      </c>
      <c r="H1572" s="18" t="inlineStr">
        <is>
          <t>Sí</t>
        </is>
      </c>
      <c r="I1572" s="18" t="inlineStr"/>
      <c r="J1572" s="18" t="inlineStr"/>
      <c r="K1572" s="18" t="inlineStr"/>
      <c r="L1572" s="18" t="inlineStr">
        <is>
          <t>No</t>
        </is>
      </c>
      <c r="M1572" s="18" t="inlineStr">
        <is>
          <t>No</t>
        </is>
      </c>
      <c r="N1572" s="18" t="inlineStr"/>
      <c r="O1572" s="18" t="inlineStr"/>
      <c r="P1572" s="18" t="inlineStr">
        <is>
          <t>internal-institutional-control-service/src/esap/planes-mejoramiento/entities/documento-plan.entity.ts:67: Campos para validación de evidencia por el auditor | Validación: IsEnum(EstadoValidacion)</t>
        </is>
      </c>
      <c r="Q1572" s="18" t="inlineStr">
        <is>
          <t>Código fuente (verificado)</t>
        </is>
      </c>
      <c r="R1572" s="18" t="inlineStr">
        <is>
          <t>Estado de la validación de la evidencia por el auditor: PENDIENTE_REVISION, ACEPTADA, CON_OBSERVACIONES o RECHAZADA; por defecto PENDIENTE_REVISION.</t>
        </is>
      </c>
      <c r="S1572" s="18" t="inlineStr">
        <is>
          <t>Alta</t>
        </is>
      </c>
      <c r="T1572" s="18" t="inlineStr">
        <is>
          <t>backend/internal-institutional-control-service/src/esap/planes-mejoramiento/entities/documento-plan.entity.ts:66-68: tipo 'PENDIENTE_REVISION' | 'ACEPTADA' | 'CON_OBSERVACIONES' | 'RECHAZADA', default PENDIENTE_REVISION</t>
        </is>
      </c>
      <c r="U1572" s="18" t="inlineStr"/>
      <c r="V1572" s="19" t="inlineStr">
        <is>
          <t>Aprobada</t>
        </is>
      </c>
      <c r="W1572" s="19" t="inlineStr"/>
      <c r="X1572" s="19" t="inlineStr">
        <is>
          <t>Aldair González (aprobación en bloque)</t>
        </is>
      </c>
      <c r="Y1572" s="20" t="n">
        <v>46321</v>
      </c>
      <c r="Z1572" s="19" t="inlineStr">
        <is>
          <t>Nivel 3: verificada con el código de la aplicación.</t>
        </is>
      </c>
      <c r="AA1572" s="18">
        <f>IF(OR(V1572="Aprobada"),R1572,IF(AND(OR(V1572="Aprobada con ajuste",V1572="Rechazada"),W1572&lt;&gt;""),W1572,""))</f>
        <v/>
      </c>
    </row>
    <row r="1573">
      <c r="A1573" s="18" t="inlineStr">
        <is>
          <t>C1572</t>
        </is>
      </c>
      <c r="B1573" s="18" t="inlineStr">
        <is>
          <t>Control interno</t>
        </is>
      </c>
      <c r="C1573" s="18" t="inlineStr">
        <is>
          <t>control_interno</t>
        </is>
      </c>
      <c r="D1573" s="18" t="inlineStr">
        <is>
          <t>documento_plan_mejoramiento</t>
        </is>
      </c>
      <c r="E1573" s="18" t="n">
        <v>0</v>
      </c>
      <c r="F1573" s="18" t="inlineStr">
        <is>
          <t>comentarios_auditor</t>
        </is>
      </c>
      <c r="G1573" s="18" t="inlineStr">
        <is>
          <t>text</t>
        </is>
      </c>
      <c r="H1573" s="18" t="inlineStr">
        <is>
          <t>Sí</t>
        </is>
      </c>
      <c r="I1573" s="18" t="inlineStr"/>
      <c r="J1573" s="18" t="inlineStr"/>
      <c r="K1573" s="18" t="inlineStr"/>
      <c r="L1573" s="18" t="inlineStr">
        <is>
          <t>No</t>
        </is>
      </c>
      <c r="M1573" s="18" t="inlineStr">
        <is>
          <t>No</t>
        </is>
      </c>
      <c r="N1573" s="18" t="inlineStr"/>
      <c r="O1573" s="18" t="inlineStr"/>
      <c r="P1573" s="18" t="inlineStr">
        <is>
          <t>Mapeada en internal-institutional-control-service/src/esap/planes-mejoramiento/entities/documento-plan.entity.ts:70 (DocumentoPlanMejoramiento.comentariosAuditor)</t>
        </is>
      </c>
      <c r="Q1573" s="18" t="inlineStr">
        <is>
          <t>Propuesta semántica</t>
        </is>
      </c>
      <c r="R1573" s="18" t="inlineStr">
        <is>
          <t>Comentarios del auditor al validar el documento.</t>
        </is>
      </c>
      <c r="S1573" s="18" t="inlineStr">
        <is>
          <t>Alta</t>
        </is>
      </c>
      <c r="T1573" s="18" t="inlineStr">
        <is>
          <t>nombre + columnas vecinas (estado_validacion, validado_por) ~</t>
        </is>
      </c>
      <c r="U1573" s="18" t="inlineStr"/>
      <c r="V1573" s="19" t="inlineStr">
        <is>
          <t>Aprobada</t>
        </is>
      </c>
      <c r="W1573" s="19" t="inlineStr"/>
      <c r="X1573" s="19" t="inlineStr">
        <is>
          <t>Aldair González (aprobación en bloque)</t>
        </is>
      </c>
      <c r="Y1573" s="20" t="n">
        <v>46321</v>
      </c>
      <c r="Z1573" s="19" t="inlineStr">
        <is>
          <t>Nivel 1: propuesta del comentario del desarrollador o de confianza alta, o regla de fecha/responsable/motivo.</t>
        </is>
      </c>
      <c r="AA1573" s="18">
        <f>IF(OR(V1573="Aprobada"),R1573,IF(AND(OR(V1573="Aprobada con ajuste",V1573="Rechazada"),W1573&lt;&gt;""),W1573,""))</f>
        <v/>
      </c>
    </row>
    <row r="1574">
      <c r="A1574" s="18" t="inlineStr">
        <is>
          <t>C1573</t>
        </is>
      </c>
      <c r="B1574" s="18" t="inlineStr">
        <is>
          <t>Control interno</t>
        </is>
      </c>
      <c r="C1574" s="18" t="inlineStr">
        <is>
          <t>control_interno</t>
        </is>
      </c>
      <c r="D1574" s="18" t="inlineStr">
        <is>
          <t>documento_plan_mejoramiento</t>
        </is>
      </c>
      <c r="E1574" s="18" t="n">
        <v>0</v>
      </c>
      <c r="F1574" s="18" t="inlineStr">
        <is>
          <t>fecha_validacion</t>
        </is>
      </c>
      <c r="G1574" s="18" t="inlineStr">
        <is>
          <t>timestamp with time zone</t>
        </is>
      </c>
      <c r="H1574" s="18" t="inlineStr">
        <is>
          <t>Sí</t>
        </is>
      </c>
      <c r="I1574" s="18" t="inlineStr"/>
      <c r="J1574" s="18" t="inlineStr"/>
      <c r="K1574" s="18" t="inlineStr"/>
      <c r="L1574" s="18" t="inlineStr">
        <is>
          <t>No</t>
        </is>
      </c>
      <c r="M1574" s="18" t="inlineStr">
        <is>
          <t>No</t>
        </is>
      </c>
      <c r="N1574" s="18" t="inlineStr"/>
      <c r="O1574" s="18" t="inlineStr"/>
      <c r="P1574" s="18" t="inlineStr">
        <is>
          <t>Mapeada en internal-institutional-control-service/src/esap/planes-mejoramiento/entities/documento-plan.entity.ts:73 (DocumentoPlanMejoramiento.fechaValidacion)</t>
        </is>
      </c>
      <c r="Q1574" s="18" t="inlineStr">
        <is>
          <t>Regla estructural (redacción revisada)</t>
        </is>
      </c>
      <c r="R1574" s="18" t="inlineStr">
        <is>
          <t>Fecha y hora en que se validó el documento.</t>
        </is>
      </c>
      <c r="S1574" s="18" t="inlineStr">
        <is>
          <t>Alta</t>
        </is>
      </c>
      <c r="T1574" s="18" t="inlineStr">
        <is>
          <t>Convención de nombre, redactada con el contexto de la tabla y el código.</t>
        </is>
      </c>
      <c r="U1574" s="18" t="inlineStr"/>
      <c r="V1574" s="19" t="inlineStr">
        <is>
          <t>Aprobada</t>
        </is>
      </c>
      <c r="W1574" s="19" t="inlineStr"/>
      <c r="X1574" s="19" t="inlineStr">
        <is>
          <t>Aldair González (aprobación en bloque)</t>
        </is>
      </c>
      <c r="Y1574" s="20" t="n">
        <v>46321</v>
      </c>
      <c r="Z1574" s="19" t="inlineStr">
        <is>
          <t>Nivel 2: regla estructural con redacción revisada.</t>
        </is>
      </c>
      <c r="AA1574" s="18">
        <f>IF(OR(V1574="Aprobada"),R1574,IF(AND(OR(V1574="Aprobada con ajuste",V1574="Rechazada"),W1574&lt;&gt;""),W1574,""))</f>
        <v/>
      </c>
    </row>
    <row r="1575">
      <c r="A1575" s="18" t="inlineStr">
        <is>
          <t>C1574</t>
        </is>
      </c>
      <c r="B1575" s="18" t="inlineStr">
        <is>
          <t>Control interno</t>
        </is>
      </c>
      <c r="C1575" s="18" t="inlineStr">
        <is>
          <t>control_interno</t>
        </is>
      </c>
      <c r="D1575" s="18" t="inlineStr">
        <is>
          <t>documento_plan_mejoramiento</t>
        </is>
      </c>
      <c r="E1575" s="18" t="n">
        <v>0</v>
      </c>
      <c r="F1575" s="18" t="inlineStr">
        <is>
          <t>validado_por</t>
        </is>
      </c>
      <c r="G1575" s="18" t="inlineStr">
        <is>
          <t>character varying(255)</t>
        </is>
      </c>
      <c r="H1575" s="18" t="inlineStr">
        <is>
          <t>Sí</t>
        </is>
      </c>
      <c r="I1575" s="18" t="inlineStr"/>
      <c r="J1575" s="18" t="inlineStr"/>
      <c r="K1575" s="18" t="inlineStr"/>
      <c r="L1575" s="18" t="inlineStr">
        <is>
          <t>No</t>
        </is>
      </c>
      <c r="M1575" s="18" t="inlineStr">
        <is>
          <t>No</t>
        </is>
      </c>
      <c r="N1575" s="18" t="inlineStr"/>
      <c r="O1575" s="18" t="inlineStr"/>
      <c r="P1575" s="18" t="inlineStr">
        <is>
          <t>Mapeada en internal-institutional-control-service/src/esap/planes-mejoramiento/entities/documento-plan.entity.ts:76 (DocumentoPlanMejoramiento.validadoPor)</t>
        </is>
      </c>
      <c r="Q1575" s="18" t="inlineStr">
        <is>
          <t>Regla estructural</t>
        </is>
      </c>
      <c r="R1575" s="18" t="inlineStr">
        <is>
          <t>Usuario que realizó la validación.</t>
        </is>
      </c>
      <c r="S1575" s="18" t="inlineStr">
        <is>
          <t>Media</t>
        </is>
      </c>
      <c r="T1575" s="18" t="inlineStr">
        <is>
          <t>Convención de nombre de la columna.</t>
        </is>
      </c>
      <c r="U1575" s="18" t="inlineStr"/>
      <c r="V1575" s="19" t="inlineStr">
        <is>
          <t>Aprobada</t>
        </is>
      </c>
      <c r="W1575" s="19" t="inlineStr"/>
      <c r="X1575" s="19" t="inlineStr">
        <is>
          <t>Aldair González (aprobación en bloque)</t>
        </is>
      </c>
      <c r="Y1575" s="20" t="n">
        <v>46321</v>
      </c>
      <c r="Z1575" s="19" t="inlineStr">
        <is>
          <t>Nivel 1: propuesta del comentario del desarrollador o de confianza alta, o regla de fecha/responsable/motivo.</t>
        </is>
      </c>
      <c r="AA1575" s="18">
        <f>IF(OR(V1575="Aprobada"),R1575,IF(AND(OR(V1575="Aprobada con ajuste",V1575="Rechazada"),W1575&lt;&gt;""),W1575,""))</f>
        <v/>
      </c>
    </row>
    <row r="1576">
      <c r="A1576" s="18" t="inlineStr">
        <is>
          <t>C1575</t>
        </is>
      </c>
      <c r="B1576" s="18" t="inlineStr">
        <is>
          <t>Control interno</t>
        </is>
      </c>
      <c r="C1576" s="18" t="inlineStr">
        <is>
          <t>control_interno</t>
        </is>
      </c>
      <c r="D1576" s="18" t="inlineStr">
        <is>
          <t>documento_plan_mejoramiento</t>
        </is>
      </c>
      <c r="E1576" s="18" t="n">
        <v>0</v>
      </c>
      <c r="F1576" s="18" t="inlineStr">
        <is>
          <t>solicita_nueva_evidencia</t>
        </is>
      </c>
      <c r="G1576" s="18" t="inlineStr">
        <is>
          <t>boolean</t>
        </is>
      </c>
      <c r="H1576" s="18" t="inlineStr">
        <is>
          <t>Sí</t>
        </is>
      </c>
      <c r="I1576" s="18" t="inlineStr"/>
      <c r="J1576" s="18" t="inlineStr"/>
      <c r="K1576" s="18" t="inlineStr"/>
      <c r="L1576" s="18" t="inlineStr">
        <is>
          <t>No</t>
        </is>
      </c>
      <c r="M1576" s="18" t="inlineStr">
        <is>
          <t>No</t>
        </is>
      </c>
      <c r="N1576" s="18" t="inlineStr"/>
      <c r="O1576" s="18" t="inlineStr"/>
      <c r="P1576" s="18" t="inlineStr">
        <is>
          <t>Mapeada en internal-institutional-control-service/src/esap/planes-mejoramiento/entities/documento-plan.entity.ts:79 (DocumentoPlanMejoramiento.solicitaNuevaEvidencia)</t>
        </is>
      </c>
      <c r="Q1576" s="18" t="inlineStr">
        <is>
          <t>Regla estructural (redacción revisada)</t>
        </is>
      </c>
      <c r="R1576" s="18" t="inlineStr">
        <is>
          <t>Indica si se solicitó una nueva evidencia para el documento.</t>
        </is>
      </c>
      <c r="S1576" s="18" t="inlineStr">
        <is>
          <t>Alta</t>
        </is>
      </c>
      <c r="T1576" s="18" t="inlineStr">
        <is>
          <t>Convención de nombre, redactada con el contexto de la tabla y el código.</t>
        </is>
      </c>
      <c r="U1576" s="18" t="inlineStr"/>
      <c r="V1576" s="19" t="inlineStr">
        <is>
          <t>Aprobada</t>
        </is>
      </c>
      <c r="W1576" s="19" t="inlineStr"/>
      <c r="X1576" s="19" t="inlineStr">
        <is>
          <t>Aldair González (aprobación en bloque)</t>
        </is>
      </c>
      <c r="Y1576" s="20" t="n">
        <v>46321</v>
      </c>
      <c r="Z1576" s="19" t="inlineStr">
        <is>
          <t>Nivel 2: regla estructural con redacción revisada.</t>
        </is>
      </c>
      <c r="AA1576" s="18">
        <f>IF(OR(V1576="Aprobada"),R1576,IF(AND(OR(V1576="Aprobada con ajuste",V1576="Rechazada"),W1576&lt;&gt;""),W1576,""))</f>
        <v/>
      </c>
    </row>
    <row r="1577">
      <c r="A1577" s="18" t="inlineStr">
        <is>
          <t>C1576</t>
        </is>
      </c>
      <c r="B1577" s="18" t="inlineStr">
        <is>
          <t>Control interno</t>
        </is>
      </c>
      <c r="C1577" s="18" t="inlineStr">
        <is>
          <t>control_interno</t>
        </is>
      </c>
      <c r="D1577" s="18" t="inlineStr">
        <is>
          <t>entrega_informe_ley</t>
        </is>
      </c>
      <c r="E1577" s="18" t="n">
        <v>0</v>
      </c>
      <c r="F1577" s="18" t="inlineStr">
        <is>
          <t>periodo</t>
        </is>
      </c>
      <c r="G1577" s="18" t="inlineStr">
        <is>
          <t>character varying(50)</t>
        </is>
      </c>
      <c r="H1577" s="18" t="inlineStr">
        <is>
          <t>No</t>
        </is>
      </c>
      <c r="I1577" s="18" t="inlineStr"/>
      <c r="J1577" s="18" t="inlineStr"/>
      <c r="K1577" s="18" t="inlineStr"/>
      <c r="L1577" s="18" t="inlineStr">
        <is>
          <t>No</t>
        </is>
      </c>
      <c r="M1577" s="18" t="inlineStr">
        <is>
          <t>No</t>
        </is>
      </c>
      <c r="N1577" s="18" t="inlineStr"/>
      <c r="O1577" s="18" t="inlineStr"/>
      <c r="P1577" s="18" t="inlineStr">
        <is>
          <t>internal-institutional-control-service/src/esap/informes-ley/entities/entrega-informe-ley.entity.ts:29: "2025-01", "2025-Q1", "2025-S1", "2025" | internal-institutional-control-service/schema-esap.sql:315: "2025-01", "2025-Q1", "2025-S1", "2025" | Validación: IsNotEmpty, IsOptional, IsString, Length(1, 50)</t>
        </is>
      </c>
      <c r="Q1577" s="18" t="inlineStr">
        <is>
          <t>Código fuente</t>
        </is>
      </c>
      <c r="R1577" s="18" t="inlineStr">
        <is>
          <t>Periodo que reporta la entrega del informe de ley, en formato mes (2025-01), trimestre (2025-Q1), semestre (2025-S1) o año (2025).</t>
        </is>
      </c>
      <c r="S1577" s="18" t="inlineStr">
        <is>
          <t>Alta</t>
        </is>
      </c>
      <c r="T1577" s="18" t="inlineStr">
        <is>
          <t>código: internal-institutional-control-service/src/esap/informes-ley/entities/entrega-informe-ley.entity.ts:29</t>
        </is>
      </c>
      <c r="U1577" s="18" t="inlineStr"/>
      <c r="V1577" s="19" t="inlineStr">
        <is>
          <t>Aprobada</t>
        </is>
      </c>
      <c r="W1577" s="19" t="inlineStr"/>
      <c r="X1577" s="19" t="inlineStr">
        <is>
          <t>Aldair González (aprobación en bloque)</t>
        </is>
      </c>
      <c r="Y1577" s="20" t="n">
        <v>46321</v>
      </c>
      <c r="Z1577" s="19" t="inlineStr">
        <is>
          <t>Nivel 1: propuesta del comentario del desarrollador o de confianza alta, o regla de fecha/responsable/motivo.</t>
        </is>
      </c>
      <c r="AA1577" s="18">
        <f>IF(OR(V1577="Aprobada"),R1577,IF(AND(OR(V1577="Aprobada con ajuste",V1577="Rechazada"),W1577&lt;&gt;""),W1577,""))</f>
        <v/>
      </c>
    </row>
    <row r="1578">
      <c r="A1578" s="18" t="inlineStr">
        <is>
          <t>C1577</t>
        </is>
      </c>
      <c r="B1578" s="18" t="inlineStr">
        <is>
          <t>Control interno</t>
        </is>
      </c>
      <c r="C1578" s="18" t="inlineStr">
        <is>
          <t>control_interno</t>
        </is>
      </c>
      <c r="D1578" s="18" t="inlineStr">
        <is>
          <t>entrega_informe_ley</t>
        </is>
      </c>
      <c r="E1578" s="18" t="n">
        <v>0</v>
      </c>
      <c r="F1578" s="18" t="inlineStr">
        <is>
          <t>fecha_vencimiento</t>
        </is>
      </c>
      <c r="G1578" s="18" t="inlineStr">
        <is>
          <t>date</t>
        </is>
      </c>
      <c r="H1578" s="18" t="inlineStr">
        <is>
          <t>No</t>
        </is>
      </c>
      <c r="I1578" s="18" t="inlineStr"/>
      <c r="J1578" s="18" t="inlineStr"/>
      <c r="K1578" s="18" t="inlineStr"/>
      <c r="L1578" s="18" t="inlineStr">
        <is>
          <t>No</t>
        </is>
      </c>
      <c r="M1578" s="18" t="inlineStr">
        <is>
          <t>No</t>
        </is>
      </c>
      <c r="N1578" s="18" t="inlineStr"/>
      <c r="O1578" s="18" t="inlineStr">
        <is>
          <t>idx_entrega_vencimiento</t>
        </is>
      </c>
      <c r="P1578" s="18" t="inlineStr">
        <is>
          <t>Mapeada en internal-institutional-control-service/src/esap/informes-ley/entities/entrega-informe-ley.entity.ts:32 (EntregaInformeLey.fechaVencimiento) | Validación: IsDateString, IsNotEmpty, IsOptional</t>
        </is>
      </c>
      <c r="Q1578" s="18" t="inlineStr">
        <is>
          <t>Regla estructural (redacción revisada)</t>
        </is>
      </c>
      <c r="R1578" s="18" t="inlineStr">
        <is>
          <t>Fecha de vencimiento de la entrega del informe de ley.</t>
        </is>
      </c>
      <c r="S1578" s="18" t="inlineStr">
        <is>
          <t>Alta</t>
        </is>
      </c>
      <c r="T1578" s="18" t="inlineStr">
        <is>
          <t>Convención de nombre, redactada con el contexto de la tabla y el código.</t>
        </is>
      </c>
      <c r="U1578" s="18" t="inlineStr"/>
      <c r="V1578" s="19" t="inlineStr">
        <is>
          <t>Aprobada</t>
        </is>
      </c>
      <c r="W1578" s="19" t="inlineStr"/>
      <c r="X1578" s="19" t="inlineStr">
        <is>
          <t>Aldair González (aprobación en bloque)</t>
        </is>
      </c>
      <c r="Y1578" s="20" t="n">
        <v>46321</v>
      </c>
      <c r="Z1578" s="19" t="inlineStr">
        <is>
          <t>Nivel 2: regla estructural con redacción revisada.</t>
        </is>
      </c>
      <c r="AA1578" s="18">
        <f>IF(OR(V1578="Aprobada"),R1578,IF(AND(OR(V1578="Aprobada con ajuste",V1578="Rechazada"),W1578&lt;&gt;""),W1578,""))</f>
        <v/>
      </c>
    </row>
    <row r="1579">
      <c r="A1579" s="18" t="inlineStr">
        <is>
          <t>C1578</t>
        </is>
      </c>
      <c r="B1579" s="18" t="inlineStr">
        <is>
          <t>Control interno</t>
        </is>
      </c>
      <c r="C1579" s="18" t="inlineStr">
        <is>
          <t>control_interno</t>
        </is>
      </c>
      <c r="D1579" s="18" t="inlineStr">
        <is>
          <t>entrega_informe_ley</t>
        </is>
      </c>
      <c r="E1579" s="18" t="n">
        <v>0</v>
      </c>
      <c r="F1579" s="18" t="inlineStr">
        <is>
          <t>fecha_entrega</t>
        </is>
      </c>
      <c r="G1579" s="18" t="inlineStr">
        <is>
          <t>timestamp without time zone</t>
        </is>
      </c>
      <c r="H1579" s="18" t="inlineStr">
        <is>
          <t>Sí</t>
        </is>
      </c>
      <c r="I1579" s="18" t="inlineStr"/>
      <c r="J1579" s="18" t="inlineStr"/>
      <c r="K1579" s="18" t="inlineStr"/>
      <c r="L1579" s="18" t="inlineStr">
        <is>
          <t>No</t>
        </is>
      </c>
      <c r="M1579" s="18" t="inlineStr">
        <is>
          <t>No</t>
        </is>
      </c>
      <c r="N1579" s="18" t="inlineStr"/>
      <c r="O1579" s="18" t="inlineStr"/>
      <c r="P1579" s="18" t="inlineStr">
        <is>
          <t>Mapeada en internal-institutional-control-service/src/esap/informes-ley/entities/entrega-informe-ley.entity.ts:35 (EntregaInformeLey.fechaEntrega) | Validación: IsDateString, IsOptional</t>
        </is>
      </c>
      <c r="Q1579" s="18" t="inlineStr">
        <is>
          <t>Regla estructural (redacción revisada)</t>
        </is>
      </c>
      <c r="R1579" s="18" t="inlineStr">
        <is>
          <t>Fecha y hora en que se entregó el informe de ley.</t>
        </is>
      </c>
      <c r="S1579" s="18" t="inlineStr">
        <is>
          <t>Alta</t>
        </is>
      </c>
      <c r="T1579" s="18" t="inlineStr">
        <is>
          <t>Convención de nombre, redactada con el contexto de la tabla y el código.</t>
        </is>
      </c>
      <c r="U1579" s="18" t="inlineStr"/>
      <c r="V1579" s="19" t="inlineStr">
        <is>
          <t>Aprobada</t>
        </is>
      </c>
      <c r="W1579" s="19" t="inlineStr"/>
      <c r="X1579" s="19" t="inlineStr">
        <is>
          <t>Aldair González (aprobación en bloque)</t>
        </is>
      </c>
      <c r="Y1579" s="20" t="n">
        <v>46321</v>
      </c>
      <c r="Z1579" s="19" t="inlineStr">
        <is>
          <t>Nivel 2: regla estructural con redacción revisada.</t>
        </is>
      </c>
      <c r="AA1579" s="18">
        <f>IF(OR(V1579="Aprobada"),R1579,IF(AND(OR(V1579="Aprobada con ajuste",V1579="Rechazada"),W1579&lt;&gt;""),W1579,""))</f>
        <v/>
      </c>
    </row>
    <row r="1580">
      <c r="A1580" s="18" t="inlineStr">
        <is>
          <t>C1579</t>
        </is>
      </c>
      <c r="B1580" s="18" t="inlineStr">
        <is>
          <t>Control interno</t>
        </is>
      </c>
      <c r="C1580" s="18" t="inlineStr">
        <is>
          <t>control_interno</t>
        </is>
      </c>
      <c r="D1580" s="18" t="inlineStr">
        <is>
          <t>entrega_informe_ley</t>
        </is>
      </c>
      <c r="E1580" s="18" t="n">
        <v>0</v>
      </c>
      <c r="F1580" s="18" t="inlineStr">
        <is>
          <t>estado</t>
        </is>
      </c>
      <c r="G1580" s="18" t="inlineStr">
        <is>
          <t>character varying(50)</t>
        </is>
      </c>
      <c r="H1580" s="18" t="inlineStr">
        <is>
          <t>No</t>
        </is>
      </c>
      <c r="I1580" s="18" t="inlineStr">
        <is>
          <t>CHECK</t>
        </is>
      </c>
      <c r="J1580" s="18" t="inlineStr">
        <is>
          <t>en-proceso, entregado, pendiente, rechazado, vencido</t>
        </is>
      </c>
      <c r="K1580" s="18" t="inlineStr"/>
      <c r="L1580" s="18" t="inlineStr">
        <is>
          <t>Sí</t>
        </is>
      </c>
      <c r="M1580" s="18" t="inlineStr">
        <is>
          <t>No</t>
        </is>
      </c>
      <c r="N1580" s="18" t="inlineStr"/>
      <c r="O1580" s="18" t="inlineStr">
        <is>
          <t>idx_entrega_estado</t>
        </is>
      </c>
      <c r="P1580" s="18" t="inlineStr">
        <is>
          <t>Mapeada en internal-institutional-control-service/src/esap/informes-ley/entities/entrega-informe-ley.entity.ts:38 (EntregaInformeLey.estado) | Validación: IsEnum(AccionCorrectivaEstado), IsEnum(EstadoEtapa), IsEnum(EstadoPlanIndividual), IsEnum(EstadoTarea), IsEnum(HallazgoEstado), IsEnum(PlanMejoramientoEstado)</t>
        </is>
      </c>
      <c r="Q1580" s="18" t="inlineStr">
        <is>
          <t>Regla estructural (redacción revisada)</t>
        </is>
      </c>
      <c r="R1580" s="18" t="inlineStr">
        <is>
          <t>Estado de la entrega del informe de ley (pendiente, en proceso, entregado, rechazado o vencido).</t>
        </is>
      </c>
      <c r="S1580" s="18" t="inlineStr">
        <is>
          <t>Alta</t>
        </is>
      </c>
      <c r="T1580" s="18" t="inlineStr">
        <is>
          <t>Convención de nombre, redactada con el contexto de la tabla y el código.</t>
        </is>
      </c>
      <c r="U1580" s="18" t="inlineStr"/>
      <c r="V1580" s="19" t="inlineStr">
        <is>
          <t>Aprobada</t>
        </is>
      </c>
      <c r="W1580" s="19" t="inlineStr"/>
      <c r="X1580" s="19" t="inlineStr">
        <is>
          <t>Aldair González (aprobación en bloque)</t>
        </is>
      </c>
      <c r="Y1580" s="20" t="n">
        <v>46321</v>
      </c>
      <c r="Z1580" s="19" t="inlineStr">
        <is>
          <t>Nivel 2: regla estructural con redacción revisada.</t>
        </is>
      </c>
      <c r="AA1580" s="18">
        <f>IF(OR(V1580="Aprobada"),R1580,IF(AND(OR(V1580="Aprobada con ajuste",V1580="Rechazada"),W1580&lt;&gt;""),W1580,""))</f>
        <v/>
      </c>
    </row>
    <row r="1581">
      <c r="A1581" s="18" t="inlineStr">
        <is>
          <t>C1580</t>
        </is>
      </c>
      <c r="B1581" s="18" t="inlineStr">
        <is>
          <t>Control interno</t>
        </is>
      </c>
      <c r="C1581" s="18" t="inlineStr">
        <is>
          <t>control_interno</t>
        </is>
      </c>
      <c r="D1581" s="18" t="inlineStr">
        <is>
          <t>entrega_informe_ley</t>
        </is>
      </c>
      <c r="E1581" s="18" t="n">
        <v>0</v>
      </c>
      <c r="F1581" s="18" t="inlineStr">
        <is>
          <t>archivo_nombre</t>
        </is>
      </c>
      <c r="G1581" s="18" t="inlineStr">
        <is>
          <t>character varying(255)</t>
        </is>
      </c>
      <c r="H1581" s="18" t="inlineStr">
        <is>
          <t>Sí</t>
        </is>
      </c>
      <c r="I1581" s="18" t="inlineStr"/>
      <c r="J1581" s="18" t="inlineStr"/>
      <c r="K1581" s="18" t="inlineStr"/>
      <c r="L1581" s="18" t="inlineStr">
        <is>
          <t>No</t>
        </is>
      </c>
      <c r="M1581" s="18" t="inlineStr">
        <is>
          <t>No</t>
        </is>
      </c>
      <c r="N1581" s="18" t="inlineStr"/>
      <c r="O1581" s="18" t="inlineStr"/>
      <c r="P1581" s="18" t="inlineStr">
        <is>
          <t>internal-institutional-control-service/src/esap/informes-ley/entities/entrega-informe-ley.entity.ts:46: Archivo | Validación: IsOptional, IsString, Length(0, 255)</t>
        </is>
      </c>
      <c r="Q1581" s="18" t="inlineStr">
        <is>
          <t>Código fuente</t>
        </is>
      </c>
      <c r="R1581" s="18" t="inlineStr">
        <is>
          <t>Nombre del archivo del informe entregado.</t>
        </is>
      </c>
      <c r="S1581" s="18" t="inlineStr">
        <is>
          <t>Alta</t>
        </is>
      </c>
      <c r="T1581" s="18" t="inlineStr">
        <is>
          <t>código: internal-institutional-control-service/src/esap/informes-ley/entities/entrega-informe-ley.entity.ts:46</t>
        </is>
      </c>
      <c r="U1581" s="18" t="inlineStr"/>
      <c r="V1581" s="19" t="inlineStr">
        <is>
          <t>Aprobada</t>
        </is>
      </c>
      <c r="W1581" s="19" t="inlineStr"/>
      <c r="X1581" s="19" t="inlineStr">
        <is>
          <t>Aldair González (aprobación en bloque)</t>
        </is>
      </c>
      <c r="Y1581" s="20" t="n">
        <v>46321</v>
      </c>
      <c r="Z1581" s="19" t="inlineStr">
        <is>
          <t>Nivel 1: propuesta del comentario del desarrollador o de confianza alta, o regla de fecha/responsable/motivo.</t>
        </is>
      </c>
      <c r="AA1581" s="18">
        <f>IF(OR(V1581="Aprobada"),R1581,IF(AND(OR(V1581="Aprobada con ajuste",V1581="Rechazada"),W1581&lt;&gt;""),W1581,""))</f>
        <v/>
      </c>
    </row>
    <row r="1582">
      <c r="A1582" s="18" t="inlineStr">
        <is>
          <t>C1581</t>
        </is>
      </c>
      <c r="B1582" s="18" t="inlineStr">
        <is>
          <t>Control interno</t>
        </is>
      </c>
      <c r="C1582" s="18" t="inlineStr">
        <is>
          <t>control_interno</t>
        </is>
      </c>
      <c r="D1582" s="18" t="inlineStr">
        <is>
          <t>entrega_informe_ley</t>
        </is>
      </c>
      <c r="E1582" s="18" t="n">
        <v>0</v>
      </c>
      <c r="F1582" s="18" t="inlineStr">
        <is>
          <t>archivo_url</t>
        </is>
      </c>
      <c r="G1582" s="18" t="inlineStr">
        <is>
          <t>character varying(500)</t>
        </is>
      </c>
      <c r="H1582" s="18" t="inlineStr">
        <is>
          <t>Sí</t>
        </is>
      </c>
      <c r="I1582" s="18" t="inlineStr"/>
      <c r="J1582" s="18" t="inlineStr"/>
      <c r="K1582" s="18" t="inlineStr"/>
      <c r="L1582" s="18" t="inlineStr">
        <is>
          <t>No</t>
        </is>
      </c>
      <c r="M1582" s="18" t="inlineStr">
        <is>
          <t>No</t>
        </is>
      </c>
      <c r="N1582" s="18" t="inlineStr"/>
      <c r="O1582" s="18" t="inlineStr"/>
      <c r="P1582" s="18" t="inlineStr">
        <is>
          <t>Mapeada en internal-institutional-control-service/src/esap/informes-ley/entities/entrega-informe-ley.entity.ts:49 (EntregaInformeLey.archivoUrl) | Validación: IsOptional, IsString, Length(0, 500)</t>
        </is>
      </c>
      <c r="Q1582" s="18" t="inlineStr">
        <is>
          <t>Propuesta semántica</t>
        </is>
      </c>
      <c r="R1582" s="18" t="inlineStr">
        <is>
          <t>URL del archivo entregado del informe de ley.</t>
        </is>
      </c>
      <c r="S1582" s="18" t="inlineStr">
        <is>
          <t>Alta</t>
        </is>
      </c>
      <c r="T1582" s="18" t="inlineStr">
        <is>
          <t>nombre + tipo + columnas vecinas (archivo_nombre) ~</t>
        </is>
      </c>
      <c r="U1582" s="18" t="inlineStr"/>
      <c r="V1582" s="19" t="inlineStr">
        <is>
          <t>Aprobada</t>
        </is>
      </c>
      <c r="W1582" s="19" t="inlineStr"/>
      <c r="X1582" s="19" t="inlineStr">
        <is>
          <t>Aldair González (aprobación en bloque)</t>
        </is>
      </c>
      <c r="Y1582" s="20" t="n">
        <v>46321</v>
      </c>
      <c r="Z1582" s="19" t="inlineStr">
        <is>
          <t>Nivel 1: propuesta del comentario del desarrollador o de confianza alta, o regla de fecha/responsable/motivo.</t>
        </is>
      </c>
      <c r="AA1582" s="18">
        <f>IF(OR(V1582="Aprobada"),R1582,IF(AND(OR(V1582="Aprobada con ajuste",V1582="Rechazada"),W1582&lt;&gt;""),W1582,""))</f>
        <v/>
      </c>
    </row>
    <row r="1583">
      <c r="A1583" s="18" t="inlineStr">
        <is>
          <t>C1582</t>
        </is>
      </c>
      <c r="B1583" s="18" t="inlineStr">
        <is>
          <t>Control interno</t>
        </is>
      </c>
      <c r="C1583" s="18" t="inlineStr">
        <is>
          <t>control_interno</t>
        </is>
      </c>
      <c r="D1583" s="18" t="inlineStr">
        <is>
          <t>entrega_informe_ley</t>
        </is>
      </c>
      <c r="E1583" s="18" t="n">
        <v>0</v>
      </c>
      <c r="F1583" s="18" t="inlineStr">
        <is>
          <t>archivo_tamano</t>
        </is>
      </c>
      <c r="G1583" s="18" t="inlineStr">
        <is>
          <t>bigint</t>
        </is>
      </c>
      <c r="H1583" s="18" t="inlineStr">
        <is>
          <t>Sí</t>
        </is>
      </c>
      <c r="I1583" s="18" t="inlineStr"/>
      <c r="J1583" s="18" t="inlineStr"/>
      <c r="K1583" s="18" t="inlineStr"/>
      <c r="L1583" s="18" t="inlineStr">
        <is>
          <t>No</t>
        </is>
      </c>
      <c r="M1583" s="18" t="inlineStr">
        <is>
          <t>No</t>
        </is>
      </c>
      <c r="N1583" s="18" t="inlineStr"/>
      <c r="O1583" s="18" t="inlineStr"/>
      <c r="P1583" s="18" t="inlineStr">
        <is>
          <t>Mapeada en internal-institutional-control-service/src/esap/informes-ley/entities/entrega-informe-ley.entity.ts:52 (EntregaInformeLey.archivoTamano) | Validación: IsNumber, IsOptional</t>
        </is>
      </c>
      <c r="Q1583" s="18" t="inlineStr">
        <is>
          <t>Código fuente (verificado)</t>
        </is>
      </c>
      <c r="R1583" s="18" t="inlineStr">
        <is>
          <t>Tamaño en bytes del archivo del informe entregado, cargado por el usuario o generado desde la plantilla.</t>
        </is>
      </c>
      <c r="S1583" s="18" t="inlineStr">
        <is>
          <t>Alta</t>
        </is>
      </c>
      <c r="T1583" s="18" t="inlineStr">
        <is>
          <t>backend/internal-institutional-control-service/src/esap/informes-ley/informes-ley.controller.ts:484: tamano = file.size del archivo cargado | backend/internal-institutional-control-service/src/esap/informes-ley/services/informe-generator.service.ts:308-313: tamano = fs.statSync(...).size del archivo generado | backend/internal-institutional-control-service/src/esap/informes-ley/informes-ley.service.ts:486: entrega.archivoTamano = archivo.tamano</t>
        </is>
      </c>
      <c r="U1583" s="18" t="inlineStr"/>
      <c r="V1583" s="19" t="inlineStr">
        <is>
          <t>Aprobada</t>
        </is>
      </c>
      <c r="W1583" s="19" t="inlineStr"/>
      <c r="X1583" s="19" t="inlineStr">
        <is>
          <t>Aldair González (aprobación en bloque)</t>
        </is>
      </c>
      <c r="Y1583" s="20" t="n">
        <v>46321</v>
      </c>
      <c r="Z1583" s="19" t="inlineStr">
        <is>
          <t>Nivel 3: verificada con el código de la aplicación.</t>
        </is>
      </c>
      <c r="AA1583" s="18">
        <f>IF(OR(V1583="Aprobada"),R1583,IF(AND(OR(V1583="Aprobada con ajuste",V1583="Rechazada"),W1583&lt;&gt;""),W1583,""))</f>
        <v/>
      </c>
    </row>
    <row r="1584">
      <c r="A1584" s="18" t="inlineStr">
        <is>
          <t>C1583</t>
        </is>
      </c>
      <c r="B1584" s="18" t="inlineStr">
        <is>
          <t>Control interno</t>
        </is>
      </c>
      <c r="C1584" s="18" t="inlineStr">
        <is>
          <t>control_interno</t>
        </is>
      </c>
      <c r="D1584" s="18" t="inlineStr">
        <is>
          <t>entrega_informe_ley</t>
        </is>
      </c>
      <c r="E1584" s="18" t="n">
        <v>0</v>
      </c>
      <c r="F1584" s="18" t="inlineStr">
        <is>
          <t>elaborado_por</t>
        </is>
      </c>
      <c r="G1584" s="18" t="inlineStr">
        <is>
          <t>character varying(255)</t>
        </is>
      </c>
      <c r="H1584" s="18" t="inlineStr">
        <is>
          <t>Sí</t>
        </is>
      </c>
      <c r="I1584" s="18" t="inlineStr"/>
      <c r="J1584" s="18" t="inlineStr"/>
      <c r="K1584" s="18" t="inlineStr"/>
      <c r="L1584" s="18" t="inlineStr">
        <is>
          <t>No</t>
        </is>
      </c>
      <c r="M1584" s="18" t="inlineStr">
        <is>
          <t>No</t>
        </is>
      </c>
      <c r="N1584" s="18" t="inlineStr"/>
      <c r="O1584" s="18" t="inlineStr"/>
      <c r="P1584" s="18" t="inlineStr">
        <is>
          <t>internal-institutional-control-service/src/esap/informes-ley/entities/entrega-informe-ley.entity.ts:56: Proceso | Validación: IsOptional, IsString, Length(0, 255)</t>
        </is>
      </c>
      <c r="Q1584" s="18" t="inlineStr">
        <is>
          <t>Código fuente (verificado)</t>
        </is>
      </c>
      <c r="R1584" s="18" t="inlineStr">
        <is>
          <t>Nombre del usuario que elaboró la entrega del informe; «Sistema» cuando no se conoce el nombre.</t>
        </is>
      </c>
      <c r="S1584" s="18" t="inlineStr">
        <is>
          <t>Alta</t>
        </is>
      </c>
      <c r="T1584" s="18" t="inlineStr">
        <is>
          <t>backend/internal-institutional-control-service/src/esap/informes-ley/services/informe-generator.service.ts:89: elaboradoPor: usuarioNombre || «Sistema» | backend/internal-institutional-control-service/src/esap/informes-ley/informes-ley.controller.ts:244: usuarioNombre = req.user?.name || req.user?.nombre || «Sistema» | backend/internal-institutional-control-service/src/esap/informes-ley/dto/create-entrega.dto.ts:49: texto opcional</t>
        </is>
      </c>
      <c r="U1584" s="18" t="inlineStr"/>
      <c r="V1584" s="19" t="inlineStr">
        <is>
          <t>Aprobada</t>
        </is>
      </c>
      <c r="W1584" s="19" t="inlineStr"/>
      <c r="X1584" s="19" t="inlineStr">
        <is>
          <t>Aldair González (aprobación en bloque)</t>
        </is>
      </c>
      <c r="Y1584" s="20" t="n">
        <v>46321</v>
      </c>
      <c r="Z1584" s="19" t="inlineStr">
        <is>
          <t>Nivel 3: verificada con el código de la aplicación.</t>
        </is>
      </c>
      <c r="AA1584" s="18">
        <f>IF(OR(V1584="Aprobada"),R1584,IF(AND(OR(V1584="Aprobada con ajuste",V1584="Rechazada"),W1584&lt;&gt;""),W1584,""))</f>
        <v/>
      </c>
    </row>
    <row r="1585">
      <c r="A1585" s="18" t="inlineStr">
        <is>
          <t>C1584</t>
        </is>
      </c>
      <c r="B1585" s="18" t="inlineStr">
        <is>
          <t>Control interno</t>
        </is>
      </c>
      <c r="C1585" s="18" t="inlineStr">
        <is>
          <t>control_interno</t>
        </is>
      </c>
      <c r="D1585" s="18" t="inlineStr">
        <is>
          <t>entrega_informe_ley</t>
        </is>
      </c>
      <c r="E1585" s="18" t="n">
        <v>0</v>
      </c>
      <c r="F1585" s="18" t="inlineStr">
        <is>
          <t>fecha_elaboracion</t>
        </is>
      </c>
      <c r="G1585" s="18" t="inlineStr">
        <is>
          <t>timestamp without time zone</t>
        </is>
      </c>
      <c r="H1585" s="18" t="inlineStr">
        <is>
          <t>Sí</t>
        </is>
      </c>
      <c r="I1585" s="18" t="inlineStr"/>
      <c r="J1585" s="18" t="inlineStr"/>
      <c r="K1585" s="18" t="inlineStr"/>
      <c r="L1585" s="18" t="inlineStr">
        <is>
          <t>No</t>
        </is>
      </c>
      <c r="M1585" s="18" t="inlineStr">
        <is>
          <t>No</t>
        </is>
      </c>
      <c r="N1585" s="18" t="inlineStr"/>
      <c r="O1585" s="18" t="inlineStr"/>
      <c r="P1585" s="18" t="inlineStr">
        <is>
          <t>Mapeada en internal-institutional-control-service/src/esap/informes-ley/entities/entrega-informe-ley.entity.ts:59 (EntregaInformeLey.fechaElaboracion) | Validación: IsDateString, IsOptional</t>
        </is>
      </c>
      <c r="Q1585" s="18" t="inlineStr">
        <is>
          <t>Regla estructural (redacción revisada)</t>
        </is>
      </c>
      <c r="R1585" s="18" t="inlineStr">
        <is>
          <t>Fecha y hora en que se elaboró el informe de ley.</t>
        </is>
      </c>
      <c r="S1585" s="18" t="inlineStr">
        <is>
          <t>Alta</t>
        </is>
      </c>
      <c r="T1585" s="18" t="inlineStr">
        <is>
          <t>Convención de nombre, redactada con el contexto de la tabla y el código.</t>
        </is>
      </c>
      <c r="U1585" s="18" t="inlineStr"/>
      <c r="V1585" s="19" t="inlineStr">
        <is>
          <t>Aprobada</t>
        </is>
      </c>
      <c r="W1585" s="19" t="inlineStr"/>
      <c r="X1585" s="19" t="inlineStr">
        <is>
          <t>Aldair González (aprobación en bloque)</t>
        </is>
      </c>
      <c r="Y1585" s="20" t="n">
        <v>46321</v>
      </c>
      <c r="Z1585" s="19" t="inlineStr">
        <is>
          <t>Nivel 2: regla estructural con redacción revisada.</t>
        </is>
      </c>
      <c r="AA1585" s="18">
        <f>IF(OR(V1585="Aprobada"),R1585,IF(AND(OR(V1585="Aprobada con ajuste",V1585="Rechazada"),W1585&lt;&gt;""),W1585,""))</f>
        <v/>
      </c>
    </row>
    <row r="1586">
      <c r="A1586" s="18" t="inlineStr">
        <is>
          <t>C1585</t>
        </is>
      </c>
      <c r="B1586" s="18" t="inlineStr">
        <is>
          <t>Control interno</t>
        </is>
      </c>
      <c r="C1586" s="18" t="inlineStr">
        <is>
          <t>control_interno</t>
        </is>
      </c>
      <c r="D1586" s="18" t="inlineStr">
        <is>
          <t>entrega_informe_ley</t>
        </is>
      </c>
      <c r="E1586" s="18" t="n">
        <v>0</v>
      </c>
      <c r="F1586" s="18" t="inlineStr">
        <is>
          <t>aprobado_por</t>
        </is>
      </c>
      <c r="G1586" s="18" t="inlineStr">
        <is>
          <t>character varying(255)</t>
        </is>
      </c>
      <c r="H1586" s="18" t="inlineStr">
        <is>
          <t>Sí</t>
        </is>
      </c>
      <c r="I1586" s="18" t="inlineStr"/>
      <c r="J1586" s="18" t="inlineStr"/>
      <c r="K1586" s="18" t="inlineStr"/>
      <c r="L1586" s="18" t="inlineStr">
        <is>
          <t>No</t>
        </is>
      </c>
      <c r="M1586" s="18" t="inlineStr">
        <is>
          <t>No</t>
        </is>
      </c>
      <c r="N1586" s="18" t="inlineStr"/>
      <c r="O1586" s="18" t="inlineStr"/>
      <c r="P1586" s="18" t="inlineStr">
        <is>
          <t>Mapeada en internal-institutional-control-service/src/esap/informes-ley/entities/entrega-informe-ley.entity.ts:62 (EntregaInformeLey.aprobadoPor) | Validación: IsOptional, IsString, Length(0, 255)</t>
        </is>
      </c>
      <c r="Q1586" s="18" t="inlineStr">
        <is>
          <t>Regla estructural</t>
        </is>
      </c>
      <c r="R1586" s="18" t="inlineStr">
        <is>
          <t>Usuario que realizó la aprobación.</t>
        </is>
      </c>
      <c r="S1586" s="18" t="inlineStr">
        <is>
          <t>Media</t>
        </is>
      </c>
      <c r="T1586" s="18" t="inlineStr">
        <is>
          <t>Convención de nombre de la columna.</t>
        </is>
      </c>
      <c r="U1586" s="18" t="inlineStr"/>
      <c r="V1586" s="19" t="inlineStr">
        <is>
          <t>Aprobada</t>
        </is>
      </c>
      <c r="W1586" s="19" t="inlineStr"/>
      <c r="X1586" s="19" t="inlineStr">
        <is>
          <t>Aldair González (aprobación en bloque)</t>
        </is>
      </c>
      <c r="Y1586" s="20" t="n">
        <v>46321</v>
      </c>
      <c r="Z1586" s="19" t="inlineStr">
        <is>
          <t>Nivel 1: propuesta del comentario del desarrollador o de confianza alta, o regla de fecha/responsable/motivo.</t>
        </is>
      </c>
      <c r="AA1586" s="18">
        <f>IF(OR(V1586="Aprobada"),R1586,IF(AND(OR(V1586="Aprobada con ajuste",V1586="Rechazada"),W1586&lt;&gt;""),W1586,""))</f>
        <v/>
      </c>
    </row>
    <row r="1587">
      <c r="A1587" s="18" t="inlineStr">
        <is>
          <t>C1586</t>
        </is>
      </c>
      <c r="B1587" s="18" t="inlineStr">
        <is>
          <t>Control interno</t>
        </is>
      </c>
      <c r="C1587" s="18" t="inlineStr">
        <is>
          <t>control_interno</t>
        </is>
      </c>
      <c r="D1587" s="18" t="inlineStr">
        <is>
          <t>entrega_informe_ley</t>
        </is>
      </c>
      <c r="E1587" s="18" t="n">
        <v>0</v>
      </c>
      <c r="F1587" s="18" t="inlineStr">
        <is>
          <t>fecha_aprobacion</t>
        </is>
      </c>
      <c r="G1587" s="18" t="inlineStr">
        <is>
          <t>timestamp without time zone</t>
        </is>
      </c>
      <c r="H1587" s="18" t="inlineStr">
        <is>
          <t>Sí</t>
        </is>
      </c>
      <c r="I1587" s="18" t="inlineStr"/>
      <c r="J1587" s="18" t="inlineStr"/>
      <c r="K1587" s="18" t="inlineStr"/>
      <c r="L1587" s="18" t="inlineStr">
        <is>
          <t>No</t>
        </is>
      </c>
      <c r="M1587" s="18" t="inlineStr">
        <is>
          <t>No</t>
        </is>
      </c>
      <c r="N1587" s="18" t="inlineStr"/>
      <c r="O1587" s="18" t="inlineStr"/>
      <c r="P1587" s="18" t="inlineStr">
        <is>
          <t>Mapeada en internal-institutional-control-service/src/esap/informes-ley/entities/entrega-informe-ley.entity.ts:65 (EntregaInformeLey.fechaAprobacion) | Validación: IsDateString, IsOptional</t>
        </is>
      </c>
      <c r="Q1587" s="18" t="inlineStr">
        <is>
          <t>Regla estructural (redacción revisada)</t>
        </is>
      </c>
      <c r="R1587" s="18" t="inlineStr">
        <is>
          <t>Fecha y hora en que se aprobó el informe de ley.</t>
        </is>
      </c>
      <c r="S1587" s="18" t="inlineStr">
        <is>
          <t>Alta</t>
        </is>
      </c>
      <c r="T1587" s="18" t="inlineStr">
        <is>
          <t>Convención de nombre, redactada con el contexto de la tabla y el código.</t>
        </is>
      </c>
      <c r="U1587" s="18" t="inlineStr"/>
      <c r="V1587" s="19" t="inlineStr">
        <is>
          <t>Aprobada</t>
        </is>
      </c>
      <c r="W1587" s="19" t="inlineStr"/>
      <c r="X1587" s="19" t="inlineStr">
        <is>
          <t>Aldair González (aprobación en bloque)</t>
        </is>
      </c>
      <c r="Y1587" s="20" t="n">
        <v>46321</v>
      </c>
      <c r="Z1587" s="19" t="inlineStr">
        <is>
          <t>Nivel 2: regla estructural con redacción revisada.</t>
        </is>
      </c>
      <c r="AA1587" s="18">
        <f>IF(OR(V1587="Aprobada"),R1587,IF(AND(OR(V1587="Aprobada con ajuste",V1587="Rechazada"),W1587&lt;&gt;""),W1587,""))</f>
        <v/>
      </c>
    </row>
    <row r="1588">
      <c r="A1588" s="18" t="inlineStr">
        <is>
          <t>C1587</t>
        </is>
      </c>
      <c r="B1588" s="18" t="inlineStr">
        <is>
          <t>Control interno</t>
        </is>
      </c>
      <c r="C1588" s="18" t="inlineStr">
        <is>
          <t>control_interno</t>
        </is>
      </c>
      <c r="D1588" s="18" t="inlineStr">
        <is>
          <t>entrega_informe_ley</t>
        </is>
      </c>
      <c r="E1588" s="18" t="n">
        <v>0</v>
      </c>
      <c r="F1588" s="18" t="inlineStr">
        <is>
          <t>enviado_por</t>
        </is>
      </c>
      <c r="G1588" s="18" t="inlineStr">
        <is>
          <t>character varying(255)</t>
        </is>
      </c>
      <c r="H1588" s="18" t="inlineStr">
        <is>
          <t>Sí</t>
        </is>
      </c>
      <c r="I1588" s="18" t="inlineStr"/>
      <c r="J1588" s="18" t="inlineStr"/>
      <c r="K1588" s="18" t="inlineStr"/>
      <c r="L1588" s="18" t="inlineStr">
        <is>
          <t>No</t>
        </is>
      </c>
      <c r="M1588" s="18" t="inlineStr">
        <is>
          <t>No</t>
        </is>
      </c>
      <c r="N1588" s="18" t="inlineStr"/>
      <c r="O1588" s="18" t="inlineStr"/>
      <c r="P1588" s="18" t="inlineStr">
        <is>
          <t>Mapeada en internal-institutional-control-service/src/esap/informes-ley/entities/entrega-informe-ley.entity.ts:68 (EntregaInformeLey.enviadoPor) | Validación: IsOptional, IsString, Length(0, 255)</t>
        </is>
      </c>
      <c r="Q1588" s="18" t="inlineStr">
        <is>
          <t>Regla estructural</t>
        </is>
      </c>
      <c r="R1588" s="18" t="inlineStr">
        <is>
          <t>Usuario que realizó el envío.</t>
        </is>
      </c>
      <c r="S1588" s="18" t="inlineStr">
        <is>
          <t>Media</t>
        </is>
      </c>
      <c r="T1588" s="18" t="inlineStr">
        <is>
          <t>Convención de nombre de la columna.</t>
        </is>
      </c>
      <c r="U1588" s="18" t="inlineStr"/>
      <c r="V1588" s="19" t="inlineStr">
        <is>
          <t>Aprobada</t>
        </is>
      </c>
      <c r="W1588" s="19" t="inlineStr"/>
      <c r="X1588" s="19" t="inlineStr">
        <is>
          <t>Aldair González (aprobación en bloque)</t>
        </is>
      </c>
      <c r="Y1588" s="20" t="n">
        <v>46321</v>
      </c>
      <c r="Z1588" s="19" t="inlineStr">
        <is>
          <t>Nivel 1: propuesta del comentario del desarrollador o de confianza alta, o regla de fecha/responsable/motivo.</t>
        </is>
      </c>
      <c r="AA1588" s="18">
        <f>IF(OR(V1588="Aprobada"),R1588,IF(AND(OR(V1588="Aprobada con ajuste",V1588="Rechazada"),W1588&lt;&gt;""),W1588,""))</f>
        <v/>
      </c>
    </row>
    <row r="1589">
      <c r="A1589" s="18" t="inlineStr">
        <is>
          <t>C1588</t>
        </is>
      </c>
      <c r="B1589" s="18" t="inlineStr">
        <is>
          <t>Control interno</t>
        </is>
      </c>
      <c r="C1589" s="18" t="inlineStr">
        <is>
          <t>control_interno</t>
        </is>
      </c>
      <c r="D1589" s="18" t="inlineStr">
        <is>
          <t>entrega_informe_ley</t>
        </is>
      </c>
      <c r="E1589" s="18" t="n">
        <v>0</v>
      </c>
      <c r="F1589" s="18" t="inlineStr">
        <is>
          <t>observaciones</t>
        </is>
      </c>
      <c r="G1589" s="18" t="inlineStr">
        <is>
          <t>text</t>
        </is>
      </c>
      <c r="H1589" s="18" t="inlineStr">
        <is>
          <t>Sí</t>
        </is>
      </c>
      <c r="I1589" s="18" t="inlineStr"/>
      <c r="J1589" s="18" t="inlineStr"/>
      <c r="K1589" s="18" t="inlineStr"/>
      <c r="L1589" s="18" t="inlineStr">
        <is>
          <t>No</t>
        </is>
      </c>
      <c r="M1589" s="18" t="inlineStr">
        <is>
          <t>No</t>
        </is>
      </c>
      <c r="N1589" s="18" t="inlineStr"/>
      <c r="O1589" s="18" t="inlineStr"/>
      <c r="P1589" s="18" t="inlineStr">
        <is>
          <t>internal-institutional-control-service/src/esap/informes-ley/entities/entrega-informe-ley.entity.ts:79: Observaciones | Validación: IsOptional, IsString</t>
        </is>
      </c>
      <c r="Q1589" s="18" t="inlineStr">
        <is>
          <t>Código fuente</t>
        </is>
      </c>
      <c r="R1589" s="18" t="inlineStr">
        <is>
          <t>Observaciones sobre la entrega del informe.</t>
        </is>
      </c>
      <c r="S1589" s="18" t="inlineStr">
        <is>
          <t>Alta</t>
        </is>
      </c>
      <c r="T1589" s="18" t="inlineStr">
        <is>
          <t>código: internal-institutional-control-service/src/esap/informes-ley/entities/entrega-informe-ley.entity.ts:79</t>
        </is>
      </c>
      <c r="U1589" s="18" t="inlineStr"/>
      <c r="V1589" s="19" t="inlineStr">
        <is>
          <t>Aprobada</t>
        </is>
      </c>
      <c r="W1589" s="19" t="inlineStr"/>
      <c r="X1589" s="19" t="inlineStr">
        <is>
          <t>Aldair González (aprobación en bloque)</t>
        </is>
      </c>
      <c r="Y1589" s="20" t="n">
        <v>46321</v>
      </c>
      <c r="Z1589" s="19" t="inlineStr">
        <is>
          <t>Nivel 1: propuesta del comentario del desarrollador o de confianza alta, o regla de fecha/responsable/motivo.</t>
        </is>
      </c>
      <c r="AA1589" s="18">
        <f>IF(OR(V1589="Aprobada"),R1589,IF(AND(OR(V1589="Aprobada con ajuste",V1589="Rechazada"),W1589&lt;&gt;""),W1589,""))</f>
        <v/>
      </c>
    </row>
    <row r="1590">
      <c r="A1590" s="18" t="inlineStr">
        <is>
          <t>C1589</t>
        </is>
      </c>
      <c r="B1590" s="18" t="inlineStr">
        <is>
          <t>Control interno</t>
        </is>
      </c>
      <c r="C1590" s="18" t="inlineStr">
        <is>
          <t>control_interno</t>
        </is>
      </c>
      <c r="D1590" s="18" t="inlineStr">
        <is>
          <t>entrega_informe_ley</t>
        </is>
      </c>
      <c r="E1590" s="18" t="n">
        <v>0</v>
      </c>
      <c r="F1590" s="18" t="inlineStr">
        <is>
          <t>motivo_rechazo</t>
        </is>
      </c>
      <c r="G1590" s="18" t="inlineStr">
        <is>
          <t>text</t>
        </is>
      </c>
      <c r="H1590" s="18" t="inlineStr">
        <is>
          <t>Sí</t>
        </is>
      </c>
      <c r="I1590" s="18" t="inlineStr"/>
      <c r="J1590" s="18" t="inlineStr"/>
      <c r="K1590" s="18" t="inlineStr"/>
      <c r="L1590" s="18" t="inlineStr">
        <is>
          <t>No</t>
        </is>
      </c>
      <c r="M1590" s="18" t="inlineStr">
        <is>
          <t>No</t>
        </is>
      </c>
      <c r="N1590" s="18" t="inlineStr"/>
      <c r="O1590" s="18" t="inlineStr"/>
      <c r="P1590" s="18" t="inlineStr">
        <is>
          <t>Mapeada en internal-institutional-control-service/src/esap/informes-ley/entities/entrega-informe-ley.entity.ts:82 (EntregaInformeLey.motivoRechazo) | Validación: IsNotEmpty, IsOptional, IsString</t>
        </is>
      </c>
      <c r="Q1590" s="18" t="inlineStr">
        <is>
          <t>Regla estructural</t>
        </is>
      </c>
      <c r="R1590" s="18" t="inlineStr">
        <is>
          <t>Motivo del rechazo.</t>
        </is>
      </c>
      <c r="S1590" s="18" t="inlineStr">
        <is>
          <t>Media</t>
        </is>
      </c>
      <c r="T1590" s="18" t="inlineStr">
        <is>
          <t>Convención de nombre de la columna.</t>
        </is>
      </c>
      <c r="U1590" s="18" t="inlineStr"/>
      <c r="V1590" s="19" t="inlineStr">
        <is>
          <t>Aprobada</t>
        </is>
      </c>
      <c r="W1590" s="19" t="inlineStr"/>
      <c r="X1590" s="19" t="inlineStr">
        <is>
          <t>Aldair González (aprobación en bloque)</t>
        </is>
      </c>
      <c r="Y1590" s="20" t="n">
        <v>46321</v>
      </c>
      <c r="Z1590" s="19" t="inlineStr">
        <is>
          <t>Nivel 1: propuesta del comentario del desarrollador o de confianza alta, o regla de fecha/responsable/motivo.</t>
        </is>
      </c>
      <c r="AA1590" s="18">
        <f>IF(OR(V1590="Aprobada"),R1590,IF(AND(OR(V1590="Aprobada con ajuste",V1590="Rechazada"),W1590&lt;&gt;""),W1590,""))</f>
        <v/>
      </c>
    </row>
    <row r="1591">
      <c r="A1591" s="18" t="inlineStr">
        <is>
          <t>C1590</t>
        </is>
      </c>
      <c r="B1591" s="18" t="inlineStr">
        <is>
          <t>Control interno</t>
        </is>
      </c>
      <c r="C1591" s="18" t="inlineStr">
        <is>
          <t>control_interno</t>
        </is>
      </c>
      <c r="D1591" s="18" t="inlineStr">
        <is>
          <t>entrega_informe_ley</t>
        </is>
      </c>
      <c r="E1591" s="18" t="n">
        <v>0</v>
      </c>
      <c r="F1591" s="18" t="inlineStr">
        <is>
          <t>numero_radicado</t>
        </is>
      </c>
      <c r="G1591" s="18" t="inlineStr">
        <is>
          <t>character varying(255)</t>
        </is>
      </c>
      <c r="H1591" s="18" t="inlineStr">
        <is>
          <t>Sí</t>
        </is>
      </c>
      <c r="I1591" s="18" t="inlineStr"/>
      <c r="J1591" s="18" t="inlineStr"/>
      <c r="K1591" s="18" t="inlineStr"/>
      <c r="L1591" s="18" t="inlineStr">
        <is>
          <t>No</t>
        </is>
      </c>
      <c r="M1591" s="18" t="inlineStr">
        <is>
          <t>No</t>
        </is>
      </c>
      <c r="N1591" s="18" t="inlineStr"/>
      <c r="O1591" s="18" t="inlineStr"/>
      <c r="P1591" s="18" t="inlineStr">
        <is>
          <t>internal-institutional-control-service/src/esap/informes-ley/entities/entrega-informe-ley.entity.ts:72: Radicado | Validación: IsOptional, IsString, Length(0, 255)</t>
        </is>
      </c>
      <c r="Q1591" s="18" t="inlineStr">
        <is>
          <t>Código fuente</t>
        </is>
      </c>
      <c r="R1591" s="18" t="inlineStr">
        <is>
          <t>Número de radicado de la entrega del informe.</t>
        </is>
      </c>
      <c r="S1591" s="18" t="inlineStr">
        <is>
          <t>Alta</t>
        </is>
      </c>
      <c r="T1591" s="18" t="inlineStr">
        <is>
          <t>código: internal-institutional-control-service/src/esap/informes-ley/entities/entrega-informe-ley.entity.ts:72</t>
        </is>
      </c>
      <c r="U1591" s="18" t="inlineStr"/>
      <c r="V1591" s="19" t="inlineStr">
        <is>
          <t>Aprobada</t>
        </is>
      </c>
      <c r="W1591" s="19" t="inlineStr"/>
      <c r="X1591" s="19" t="inlineStr">
        <is>
          <t>Aldair González (aprobación en bloque)</t>
        </is>
      </c>
      <c r="Y1591" s="20" t="n">
        <v>46321</v>
      </c>
      <c r="Z1591" s="19" t="inlineStr">
        <is>
          <t>Nivel 1: propuesta del comentario del desarrollador o de confianza alta, o regla de fecha/responsable/motivo.</t>
        </is>
      </c>
      <c r="AA1591" s="18">
        <f>IF(OR(V1591="Aprobada"),R1591,IF(AND(OR(V1591="Aprobada con ajuste",V1591="Rechazada"),W1591&lt;&gt;""),W1591,""))</f>
        <v/>
      </c>
    </row>
    <row r="1592">
      <c r="A1592" s="18" t="inlineStr">
        <is>
          <t>C1591</t>
        </is>
      </c>
      <c r="B1592" s="18" t="inlineStr">
        <is>
          <t>Control interno</t>
        </is>
      </c>
      <c r="C1592" s="18" t="inlineStr">
        <is>
          <t>control_interno</t>
        </is>
      </c>
      <c r="D1592" s="18" t="inlineStr">
        <is>
          <t>entrega_informe_ley</t>
        </is>
      </c>
      <c r="E1592" s="18" t="n">
        <v>0</v>
      </c>
      <c r="F1592" s="18" t="inlineStr">
        <is>
          <t>fecha_radicacion</t>
        </is>
      </c>
      <c r="G1592" s="18" t="inlineStr">
        <is>
          <t>timestamp without time zone</t>
        </is>
      </c>
      <c r="H1592" s="18" t="inlineStr">
        <is>
          <t>Sí</t>
        </is>
      </c>
      <c r="I1592" s="18" t="inlineStr"/>
      <c r="J1592" s="18" t="inlineStr"/>
      <c r="K1592" s="18" t="inlineStr"/>
      <c r="L1592" s="18" t="inlineStr">
        <is>
          <t>No</t>
        </is>
      </c>
      <c r="M1592" s="18" t="inlineStr">
        <is>
          <t>No</t>
        </is>
      </c>
      <c r="N1592" s="18" t="inlineStr"/>
      <c r="O1592" s="18" t="inlineStr"/>
      <c r="P1592" s="18" t="inlineStr">
        <is>
          <t>Mapeada en internal-institutional-control-service/src/esap/informes-ley/entities/entrega-informe-ley.entity.ts:75 (EntregaInformeLey.fechaRadicacion) | Validación: IsDateString, IsOptional</t>
        </is>
      </c>
      <c r="Q1592" s="18" t="inlineStr">
        <is>
          <t>Regla estructural (redacción revisada)</t>
        </is>
      </c>
      <c r="R1592" s="18" t="inlineStr">
        <is>
          <t>Fecha y hora en que se radicó el informe de ley.</t>
        </is>
      </c>
      <c r="S1592" s="18" t="inlineStr">
        <is>
          <t>Alta</t>
        </is>
      </c>
      <c r="T1592" s="18" t="inlineStr">
        <is>
          <t>Convención de nombre, redactada con el contexto de la tabla y el código.</t>
        </is>
      </c>
      <c r="U1592" s="18" t="inlineStr"/>
      <c r="V1592" s="19" t="inlineStr">
        <is>
          <t>Aprobada</t>
        </is>
      </c>
      <c r="W1592" s="19" t="inlineStr"/>
      <c r="X1592" s="19" t="inlineStr">
        <is>
          <t>Aldair González (aprobación en bloque)</t>
        </is>
      </c>
      <c r="Y1592" s="20" t="n">
        <v>46321</v>
      </c>
      <c r="Z1592" s="19" t="inlineStr">
        <is>
          <t>Nivel 2: regla estructural con redacción revisada.</t>
        </is>
      </c>
      <c r="AA1592" s="18">
        <f>IF(OR(V1592="Aprobada"),R1592,IF(AND(OR(V1592="Aprobada con ajuste",V1592="Rechazada"),W1592&lt;&gt;""),W1592,""))</f>
        <v/>
      </c>
    </row>
    <row r="1593">
      <c r="A1593" s="18" t="inlineStr">
        <is>
          <t>C1592</t>
        </is>
      </c>
      <c r="B1593" s="18" t="inlineStr">
        <is>
          <t>Control interno</t>
        </is>
      </c>
      <c r="C1593" s="18" t="inlineStr">
        <is>
          <t>control_interno</t>
        </is>
      </c>
      <c r="D1593" s="18" t="inlineStr">
        <is>
          <t>entrega_informe_ley</t>
        </is>
      </c>
      <c r="E1593" s="18" t="n">
        <v>0</v>
      </c>
      <c r="F1593" s="18" t="inlineStr">
        <is>
          <t>fecha_generacion</t>
        </is>
      </c>
      <c r="G1593" s="18" t="inlineStr">
        <is>
          <t>timestamp without time zone</t>
        </is>
      </c>
      <c r="H1593" s="18" t="inlineStr">
        <is>
          <t>Sí</t>
        </is>
      </c>
      <c r="I1593" s="18" t="inlineStr"/>
      <c r="J1593" s="18" t="inlineStr"/>
      <c r="K1593" s="18" t="inlineStr"/>
      <c r="L1593" s="18" t="inlineStr">
        <is>
          <t>No</t>
        </is>
      </c>
      <c r="M1593" s="18" t="inlineStr">
        <is>
          <t>No</t>
        </is>
      </c>
      <c r="N1593" s="18" t="inlineStr"/>
      <c r="O1593" s="18" t="inlineStr">
        <is>
          <t>idx_entrega_generacion</t>
        </is>
      </c>
      <c r="P1593" s="18" t="inlineStr">
        <is>
          <t>Mapeada en internal-institutional-control-service/src/esap/informes-ley/entities/entrega-informe-ley.entity.ts:98 (EntregaInformeLey.fechaGeneracion) | Validación: IsDateString, IsOptional</t>
        </is>
      </c>
      <c r="Q1593" s="18" t="inlineStr">
        <is>
          <t>Regla estructural (redacción revisada)</t>
        </is>
      </c>
      <c r="R1593" s="18" t="inlineStr">
        <is>
          <t>Fecha y hora en que se generó el archivo del informe de ley.</t>
        </is>
      </c>
      <c r="S1593" s="18" t="inlineStr">
        <is>
          <t>Alta</t>
        </is>
      </c>
      <c r="T1593" s="18" t="inlineStr">
        <is>
          <t>Convención de nombre, redactada con el contexto de la tabla y el código.</t>
        </is>
      </c>
      <c r="U1593" s="18" t="inlineStr"/>
      <c r="V1593" s="19" t="inlineStr">
        <is>
          <t>Aprobada</t>
        </is>
      </c>
      <c r="W1593" s="19" t="inlineStr"/>
      <c r="X1593" s="19" t="inlineStr">
        <is>
          <t>Aldair González (aprobación en bloque)</t>
        </is>
      </c>
      <c r="Y1593" s="20" t="n">
        <v>46321</v>
      </c>
      <c r="Z1593" s="19" t="inlineStr">
        <is>
          <t>Nivel 2: regla estructural con redacción revisada.</t>
        </is>
      </c>
      <c r="AA1593" s="18">
        <f>IF(OR(V1593="Aprobada"),R1593,IF(AND(OR(V1593="Aprobada con ajuste",V1593="Rechazada"),W1593&lt;&gt;""),W1593,""))</f>
        <v/>
      </c>
    </row>
    <row r="1594">
      <c r="A1594" s="18" t="inlineStr">
        <is>
          <t>C1593</t>
        </is>
      </c>
      <c r="B1594" s="18" t="inlineStr">
        <is>
          <t>Control interno</t>
        </is>
      </c>
      <c r="C1594" s="18" t="inlineStr">
        <is>
          <t>control_interno</t>
        </is>
      </c>
      <c r="D1594" s="18" t="inlineStr">
        <is>
          <t>entrega_informe_ley</t>
        </is>
      </c>
      <c r="E1594" s="18" t="n">
        <v>0</v>
      </c>
      <c r="F1594" s="18" t="inlineStr">
        <is>
          <t>generado_por</t>
        </is>
      </c>
      <c r="G1594" s="18" t="inlineStr">
        <is>
          <t>character varying(255)</t>
        </is>
      </c>
      <c r="H1594" s="18" t="inlineStr">
        <is>
          <t>Sí</t>
        </is>
      </c>
      <c r="I1594" s="18" t="inlineStr"/>
      <c r="J1594" s="18" t="inlineStr"/>
      <c r="K1594" s="18" t="inlineStr"/>
      <c r="L1594" s="18" t="inlineStr">
        <is>
          <t>No</t>
        </is>
      </c>
      <c r="M1594" s="18" t="inlineStr">
        <is>
          <t>No</t>
        </is>
      </c>
      <c r="N1594" s="18" t="inlineStr"/>
      <c r="O1594" s="18" t="inlineStr"/>
      <c r="P1594" s="18" t="inlineStr">
        <is>
          <t>Mapeada en internal-institutional-control-service/src/esap/informes-ley/entities/entrega-informe-ley.entity.ts:101 (EntregaInformeLey.generadoPor)</t>
        </is>
      </c>
      <c r="Q1594" s="18" t="inlineStr">
        <is>
          <t>Regla estructural</t>
        </is>
      </c>
      <c r="R1594" s="18" t="inlineStr">
        <is>
          <t>Usuario que realizó la generación.</t>
        </is>
      </c>
      <c r="S1594" s="18" t="inlineStr">
        <is>
          <t>Media</t>
        </is>
      </c>
      <c r="T1594" s="18" t="inlineStr">
        <is>
          <t>Convención de nombre de la columna.</t>
        </is>
      </c>
      <c r="U1594" s="18" t="inlineStr"/>
      <c r="V1594" s="19" t="inlineStr">
        <is>
          <t>Aprobada</t>
        </is>
      </c>
      <c r="W1594" s="19" t="inlineStr"/>
      <c r="X1594" s="19" t="inlineStr">
        <is>
          <t>Aldair González (aprobación en bloque)</t>
        </is>
      </c>
      <c r="Y1594" s="20" t="n">
        <v>46321</v>
      </c>
      <c r="Z1594" s="19" t="inlineStr">
        <is>
          <t>Nivel 1: propuesta del comentario del desarrollador o de confianza alta, o regla de fecha/responsable/motivo.</t>
        </is>
      </c>
      <c r="AA1594" s="18">
        <f>IF(OR(V1594="Aprobada"),R1594,IF(AND(OR(V1594="Aprobada con ajuste",V1594="Rechazada"),W1594&lt;&gt;""),W1594,""))</f>
        <v/>
      </c>
    </row>
    <row r="1595">
      <c r="A1595" s="18" t="inlineStr">
        <is>
          <t>C1594</t>
        </is>
      </c>
      <c r="B1595" s="18" t="inlineStr">
        <is>
          <t>Control interno</t>
        </is>
      </c>
      <c r="C1595" s="18" t="inlineStr">
        <is>
          <t>control_interno</t>
        </is>
      </c>
      <c r="D1595" s="18" t="inlineStr">
        <is>
          <t>entrega_informe_ley</t>
        </is>
      </c>
      <c r="E1595" s="18" t="n">
        <v>0</v>
      </c>
      <c r="F1595" s="18" t="inlineStr">
        <is>
          <t>formato_archivo</t>
        </is>
      </c>
      <c r="G1595" s="18" t="inlineStr">
        <is>
          <t>character varying(50)</t>
        </is>
      </c>
      <c r="H1595" s="18" t="inlineStr">
        <is>
          <t>Sí</t>
        </is>
      </c>
      <c r="I1595" s="18" t="inlineStr">
        <is>
          <t>CHECK</t>
        </is>
      </c>
      <c r="J1595" s="18" t="inlineStr">
        <is>
          <t>Excel, PDF, Word</t>
        </is>
      </c>
      <c r="K1595" s="18" t="inlineStr"/>
      <c r="L1595" s="18" t="inlineStr">
        <is>
          <t>Sí</t>
        </is>
      </c>
      <c r="M1595" s="18" t="inlineStr">
        <is>
          <t>No</t>
        </is>
      </c>
      <c r="N1595" s="18" t="inlineStr"/>
      <c r="O1595" s="18" t="inlineStr"/>
      <c r="P1595" s="18" t="inlineStr">
        <is>
          <t>Mapeada en internal-institutional-control-service/src/esap/informes-ley/entities/entrega-informe-ley.entity.ts:104 (EntregaInformeLey.formatoArchivo)</t>
        </is>
      </c>
      <c r="Q1595" s="18" t="inlineStr">
        <is>
          <t>Propuesta semántica</t>
        </is>
      </c>
      <c r="R1595" s="18" t="inlineStr">
        <is>
          <t>Formato del archivo generado. Valores permitidos: PDF, Word, Excel.</t>
        </is>
      </c>
      <c r="S1595" s="18" t="inlineStr">
        <is>
          <t>Alta</t>
        </is>
      </c>
      <c r="T1595" s="18" t="inlineStr">
        <is>
          <t>valores permitidos del CHECK ~</t>
        </is>
      </c>
      <c r="U1595" s="18" t="inlineStr"/>
      <c r="V1595" s="19" t="inlineStr">
        <is>
          <t>Aprobada</t>
        </is>
      </c>
      <c r="W1595" s="19" t="inlineStr"/>
      <c r="X1595" s="19" t="inlineStr">
        <is>
          <t>Aldair González (aprobación en bloque)</t>
        </is>
      </c>
      <c r="Y1595" s="20" t="n">
        <v>46321</v>
      </c>
      <c r="Z1595" s="19" t="inlineStr">
        <is>
          <t>Nivel 1: propuesta del comentario del desarrollador o de confianza alta, o regla de fecha/responsable/motivo.</t>
        </is>
      </c>
      <c r="AA1595" s="18">
        <f>IF(OR(V1595="Aprobada"),R1595,IF(AND(OR(V1595="Aprobada con ajuste",V1595="Rechazada"),W1595&lt;&gt;""),W1595,""))</f>
        <v/>
      </c>
    </row>
    <row r="1596">
      <c r="A1596" s="18" t="inlineStr">
        <is>
          <t>C1595</t>
        </is>
      </c>
      <c r="B1596" s="18" t="inlineStr">
        <is>
          <t>Control interno</t>
        </is>
      </c>
      <c r="C1596" s="18" t="inlineStr">
        <is>
          <t>control_interno</t>
        </is>
      </c>
      <c r="D1596" s="18" t="inlineStr">
        <is>
          <t>entrega_informe_ley</t>
        </is>
      </c>
      <c r="E1596" s="18" t="n">
        <v>0</v>
      </c>
      <c r="F1596" s="18" t="inlineStr">
        <is>
          <t>plantilla_usada</t>
        </is>
      </c>
      <c r="G1596" s="18" t="inlineStr">
        <is>
          <t>character varying(255)</t>
        </is>
      </c>
      <c r="H1596" s="18" t="inlineStr">
        <is>
          <t>Sí</t>
        </is>
      </c>
      <c r="I1596" s="18" t="inlineStr"/>
      <c r="J1596" s="18" t="inlineStr"/>
      <c r="K1596" s="18" t="inlineStr"/>
      <c r="L1596" s="18" t="inlineStr">
        <is>
          <t>No</t>
        </is>
      </c>
      <c r="M1596" s="18" t="inlineStr">
        <is>
          <t>No</t>
        </is>
      </c>
      <c r="N1596" s="18" t="inlineStr"/>
      <c r="O1596" s="18" t="inlineStr"/>
      <c r="P1596" s="18" t="inlineStr">
        <is>
          <t>Mapeada en internal-institutional-control-service/src/esap/informes-ley/entities/entrega-informe-ley.entity.ts:107 (EntregaInformeLey.plantillaUsada)</t>
        </is>
      </c>
      <c r="Q1596" s="18" t="inlineStr">
        <is>
          <t>Código fuente (verificado)</t>
        </is>
      </c>
      <c r="R1596" s="18" t="inlineStr">
        <is>
          <t>Plantilla con la que se generó el archivo de la entrega; copia el valor de url_plantilla del informe de ley (ruta o código de la plantilla) al generar el archivo.</t>
        </is>
      </c>
      <c r="S1596" s="18" t="inlineStr">
        <is>
          <t>Alta</t>
        </is>
      </c>
      <c r="T1596" s="18" t="inlineStr">
        <is>
          <t>backend/internal-institutional-control-service/src/esap/informes-ley/services/informe-generator.service.ts:177: entrega.plantillaUsada = informe.urlPlantilla | backend/internal-institutional-control-service/src/esap/informes-ley/services/informe-generator.service.ts:225-226: urlPlantilla se usa como código para plantillasService.findByCodigo</t>
        </is>
      </c>
      <c r="U1596" s="18" t="inlineStr"/>
      <c r="V1596" s="19" t="inlineStr">
        <is>
          <t>Aprobada</t>
        </is>
      </c>
      <c r="W1596" s="19" t="inlineStr"/>
      <c r="X1596" s="19" t="inlineStr">
        <is>
          <t>Aldair González (aprobación en bloque)</t>
        </is>
      </c>
      <c r="Y1596" s="20" t="n">
        <v>46321</v>
      </c>
      <c r="Z1596" s="19" t="inlineStr">
        <is>
          <t>Nivel 3: verificada con el código de la aplicación.</t>
        </is>
      </c>
      <c r="AA1596" s="18">
        <f>IF(OR(V1596="Aprobada"),R1596,IF(AND(OR(V1596="Aprobada con ajuste",V1596="Rechazada"),W1596&lt;&gt;""),W1596,""))</f>
        <v/>
      </c>
    </row>
    <row r="1597">
      <c r="A1597" s="18" t="inlineStr">
        <is>
          <t>C1596</t>
        </is>
      </c>
      <c r="B1597" s="18" t="inlineStr">
        <is>
          <t>Control interno</t>
        </is>
      </c>
      <c r="C1597" s="18" t="inlineStr">
        <is>
          <t>control_interno</t>
        </is>
      </c>
      <c r="D1597" s="18" t="inlineStr">
        <is>
          <t>entrega_informe_ley</t>
        </is>
      </c>
      <c r="E1597" s="18" t="n">
        <v>0</v>
      </c>
      <c r="F1597" s="18" t="inlineStr">
        <is>
          <t>version_plantilla</t>
        </is>
      </c>
      <c r="G1597" s="18" t="inlineStr">
        <is>
          <t>character varying(50)</t>
        </is>
      </c>
      <c r="H1597" s="18" t="inlineStr">
        <is>
          <t>Sí</t>
        </is>
      </c>
      <c r="I1597" s="18" t="inlineStr"/>
      <c r="J1597" s="18" t="inlineStr"/>
      <c r="K1597" s="18" t="inlineStr"/>
      <c r="L1597" s="18" t="inlineStr">
        <is>
          <t>No</t>
        </is>
      </c>
      <c r="M1597" s="18" t="inlineStr">
        <is>
          <t>No</t>
        </is>
      </c>
      <c r="N1597" s="18" t="inlineStr"/>
      <c r="O1597" s="18" t="inlineStr"/>
      <c r="P1597" s="18" t="inlineStr">
        <is>
          <t>Mapeada en internal-institutional-control-service/src/esap/informes-ley/entities/entrega-informe-ley.entity.ts:110 (EntregaInformeLey.versionPlantilla)</t>
        </is>
      </c>
      <c r="Q1597" s="18" t="inlineStr">
        <is>
          <t>Propuesta semántica</t>
        </is>
      </c>
      <c r="R1597" s="18" t="inlineStr">
        <is>
          <t>Versión de la plantilla usada para generar el informe.</t>
        </is>
      </c>
      <c r="S1597" s="18" t="inlineStr">
        <is>
          <t>Alta</t>
        </is>
      </c>
      <c r="T1597" s="18" t="inlineStr">
        <is>
          <t>nombre + columnas vecinas (plantilla_usada) ~</t>
        </is>
      </c>
      <c r="U1597" s="18" t="inlineStr"/>
      <c r="V1597" s="19" t="inlineStr">
        <is>
          <t>Aprobada</t>
        </is>
      </c>
      <c r="W1597" s="19" t="inlineStr"/>
      <c r="X1597" s="19" t="inlineStr">
        <is>
          <t>Aldair González (aprobación en bloque)</t>
        </is>
      </c>
      <c r="Y1597" s="20" t="n">
        <v>46321</v>
      </c>
      <c r="Z1597" s="19" t="inlineStr">
        <is>
          <t>Nivel 1: propuesta del comentario del desarrollador o de confianza alta, o regla de fecha/responsable/motivo.</t>
        </is>
      </c>
      <c r="AA1597" s="18">
        <f>IF(OR(V1597="Aprobada"),R1597,IF(AND(OR(V1597="Aprobada con ajuste",V1597="Rechazada"),W1597&lt;&gt;""),W1597,""))</f>
        <v/>
      </c>
    </row>
    <row r="1598">
      <c r="A1598" s="18" t="inlineStr">
        <is>
          <t>C1597</t>
        </is>
      </c>
      <c r="B1598" s="18" t="inlineStr">
        <is>
          <t>Control interno</t>
        </is>
      </c>
      <c r="C1598" s="18" t="inlineStr">
        <is>
          <t>control_interno</t>
        </is>
      </c>
      <c r="D1598" s="18" t="inlineStr">
        <is>
          <t>equipo_auditor</t>
        </is>
      </c>
      <c r="E1598" s="18" t="n">
        <v>160</v>
      </c>
      <c r="F1598" s="18" t="inlineStr">
        <is>
          <t>activo</t>
        </is>
      </c>
      <c r="G1598" s="18" t="inlineStr">
        <is>
          <t>boolean</t>
        </is>
      </c>
      <c r="H1598" s="18" t="inlineStr">
        <is>
          <t>Sí</t>
        </is>
      </c>
      <c r="I1598" s="18" t="inlineStr"/>
      <c r="J1598" s="18" t="inlineStr"/>
      <c r="K1598" s="18" t="inlineStr"/>
      <c r="L1598" s="18" t="inlineStr">
        <is>
          <t>No</t>
        </is>
      </c>
      <c r="M1598" s="18" t="inlineStr">
        <is>
          <t>Sí</t>
        </is>
      </c>
      <c r="N1598" s="18" t="inlineStr">
        <is>
          <t>Vista control_interno.v_auditor_disponibilidad</t>
        </is>
      </c>
      <c r="O1598" s="18" t="inlineStr">
        <is>
          <t>idx_equipo_auditor_activo</t>
        </is>
      </c>
      <c r="P1598" s="18" t="inlineStr">
        <is>
          <t>Mapeada en internal-institutional-control-service/src/esap/auditorias/entities/equipo-auditor.entity.ts:34 (EquipoAuditor.activo) | Validación: IsBoolean, IsOptional</t>
        </is>
      </c>
      <c r="Q1598" s="18" t="inlineStr">
        <is>
          <t>Regla estructural (redacción revisada)</t>
        </is>
      </c>
      <c r="R1598" s="18" t="inlineStr">
        <is>
          <t>Indica si la asignación del auditor a la auditoría está activa.</t>
        </is>
      </c>
      <c r="S1598" s="18" t="inlineStr">
        <is>
          <t>Alta</t>
        </is>
      </c>
      <c r="T1598" s="18" t="inlineStr">
        <is>
          <t>Convención de nombre, redactada con el contexto de la tabla y el código.</t>
        </is>
      </c>
      <c r="U1598" s="18" t="inlineStr"/>
      <c r="V1598" s="19" t="inlineStr">
        <is>
          <t>Aprobada</t>
        </is>
      </c>
      <c r="W1598" s="19" t="inlineStr"/>
      <c r="X1598" s="19" t="inlineStr">
        <is>
          <t>Aldair González (aprobación en bloque)</t>
        </is>
      </c>
      <c r="Y1598" s="20" t="n">
        <v>46321</v>
      </c>
      <c r="Z1598" s="19" t="inlineStr">
        <is>
          <t>Nivel 2: regla estructural con redacción revisada.</t>
        </is>
      </c>
      <c r="AA1598" s="18">
        <f>IF(OR(V1598="Aprobada"),R1598,IF(AND(OR(V1598="Aprobada con ajuste",V1598="Rechazada"),W1598&lt;&gt;""),W1598,""))</f>
        <v/>
      </c>
    </row>
    <row r="1599">
      <c r="A1599" s="18" t="inlineStr">
        <is>
          <t>C1598</t>
        </is>
      </c>
      <c r="B1599" s="18" t="inlineStr">
        <is>
          <t>Control interno</t>
        </is>
      </c>
      <c r="C1599" s="18" t="inlineStr">
        <is>
          <t>control_interno</t>
        </is>
      </c>
      <c r="D1599" s="18" t="inlineStr">
        <is>
          <t>equipo_auditor</t>
        </is>
      </c>
      <c r="E1599" s="18" t="n">
        <v>160</v>
      </c>
      <c r="F1599" s="18" t="inlineStr">
        <is>
          <t>fecha_asignacion</t>
        </is>
      </c>
      <c r="G1599" s="18" t="inlineStr">
        <is>
          <t>timestamp without time zone</t>
        </is>
      </c>
      <c r="H1599" s="18" t="inlineStr">
        <is>
          <t>Sí</t>
        </is>
      </c>
      <c r="I1599" s="18" t="inlineStr"/>
      <c r="J1599" s="18" t="inlineStr"/>
      <c r="K1599" s="18" t="inlineStr"/>
      <c r="L1599" s="18" t="inlineStr">
        <is>
          <t>No</t>
        </is>
      </c>
      <c r="M1599" s="18" t="inlineStr">
        <is>
          <t>No</t>
        </is>
      </c>
      <c r="N1599" s="18" t="inlineStr"/>
      <c r="O1599" s="18" t="inlineStr"/>
      <c r="P1599" s="18" t="inlineStr">
        <is>
          <t>Mapeada en internal-institutional-control-service/src/esap/auditorias/entities/equipo-auditor.entity.ts:37 (EquipoAuditor.fechaAsignacion)</t>
        </is>
      </c>
      <c r="Q1599" s="18" t="inlineStr">
        <is>
          <t>Regla estructural (redacción revisada)</t>
        </is>
      </c>
      <c r="R1599" s="18" t="inlineStr">
        <is>
          <t>Fecha y hora en que se asignó el auditor a la auditoría.</t>
        </is>
      </c>
      <c r="S1599" s="18" t="inlineStr">
        <is>
          <t>Alta</t>
        </is>
      </c>
      <c r="T1599" s="18" t="inlineStr">
        <is>
          <t>Convención de nombre, redactada con el contexto de la tabla y el código.</t>
        </is>
      </c>
      <c r="U1599" s="18" t="inlineStr"/>
      <c r="V1599" s="19" t="inlineStr">
        <is>
          <t>Aprobada</t>
        </is>
      </c>
      <c r="W1599" s="19" t="inlineStr"/>
      <c r="X1599" s="19" t="inlineStr">
        <is>
          <t>Aldair González (aprobación en bloque)</t>
        </is>
      </c>
      <c r="Y1599" s="20" t="n">
        <v>46321</v>
      </c>
      <c r="Z1599" s="19" t="inlineStr">
        <is>
          <t>Nivel 2: regla estructural con redacción revisada.</t>
        </is>
      </c>
      <c r="AA1599" s="18">
        <f>IF(OR(V1599="Aprobada"),R1599,IF(AND(OR(V1599="Aprobada con ajuste",V1599="Rechazada"),W1599&lt;&gt;""),W1599,""))</f>
        <v/>
      </c>
    </row>
    <row r="1600">
      <c r="A1600" s="18" t="inlineStr">
        <is>
          <t>C1599</t>
        </is>
      </c>
      <c r="B1600" s="18" t="inlineStr">
        <is>
          <t>Control interno</t>
        </is>
      </c>
      <c r="C1600" s="18" t="inlineStr">
        <is>
          <t>control_interno</t>
        </is>
      </c>
      <c r="D1600" s="18" t="inlineStr">
        <is>
          <t>equipo_auditor</t>
        </is>
      </c>
      <c r="E1600" s="18" t="n">
        <v>160</v>
      </c>
      <c r="F1600" s="18" t="inlineStr">
        <is>
          <t>fecha_retiro</t>
        </is>
      </c>
      <c r="G1600" s="18" t="inlineStr">
        <is>
          <t>timestamp without time zone</t>
        </is>
      </c>
      <c r="H1600" s="18" t="inlineStr">
        <is>
          <t>Sí</t>
        </is>
      </c>
      <c r="I1600" s="18" t="inlineStr"/>
      <c r="J1600" s="18" t="inlineStr"/>
      <c r="K1600" s="18" t="inlineStr"/>
      <c r="L1600" s="18" t="inlineStr">
        <is>
          <t>No</t>
        </is>
      </c>
      <c r="M1600" s="18" t="inlineStr">
        <is>
          <t>No</t>
        </is>
      </c>
      <c r="N1600" s="18" t="inlineStr"/>
      <c r="O1600" s="18" t="inlineStr"/>
      <c r="P1600" s="18" t="inlineStr">
        <is>
          <t>Mapeada en internal-institutional-control-service/src/esap/auditorias/entities/equipo-auditor.entity.ts:40 (EquipoAuditor.fechaRetiro)</t>
        </is>
      </c>
      <c r="Q1600" s="18" t="inlineStr">
        <is>
          <t>Regla estructural (redacción revisada)</t>
        </is>
      </c>
      <c r="R1600" s="18" t="inlineStr">
        <is>
          <t>Fecha y hora en que se retiró el auditor de la auditoría.</t>
        </is>
      </c>
      <c r="S1600" s="18" t="inlineStr">
        <is>
          <t>Alta</t>
        </is>
      </c>
      <c r="T1600" s="18" t="inlineStr">
        <is>
          <t>Convención de nombre, redactada con el contexto de la tabla y el código.</t>
        </is>
      </c>
      <c r="U1600" s="18" t="inlineStr"/>
      <c r="V1600" s="19" t="inlineStr">
        <is>
          <t>Aprobada</t>
        </is>
      </c>
      <c r="W1600" s="19" t="inlineStr"/>
      <c r="X1600" s="19" t="inlineStr">
        <is>
          <t>Aldair González (aprobación en bloque)</t>
        </is>
      </c>
      <c r="Y1600" s="20" t="n">
        <v>46321</v>
      </c>
      <c r="Z1600" s="19" t="inlineStr">
        <is>
          <t>Nivel 2: regla estructural con redacción revisada.</t>
        </is>
      </c>
      <c r="AA1600" s="18">
        <f>IF(OR(V1600="Aprobada"),R1600,IF(AND(OR(V1600="Aprobada con ajuste",V1600="Rechazada"),W1600&lt;&gt;""),W1600,""))</f>
        <v/>
      </c>
    </row>
    <row r="1601">
      <c r="A1601" s="18" t="inlineStr">
        <is>
          <t>C1600</t>
        </is>
      </c>
      <c r="B1601" s="18" t="inlineStr">
        <is>
          <t>Control interno</t>
        </is>
      </c>
      <c r="C1601" s="18" t="inlineStr">
        <is>
          <t>control_interno</t>
        </is>
      </c>
      <c r="D1601" s="18" t="inlineStr">
        <is>
          <t>equipo_auditor</t>
        </is>
      </c>
      <c r="E1601" s="18" t="n">
        <v>160</v>
      </c>
      <c r="F1601" s="18" t="inlineStr">
        <is>
          <t>observaciones</t>
        </is>
      </c>
      <c r="G1601" s="18" t="inlineStr">
        <is>
          <t>text</t>
        </is>
      </c>
      <c r="H1601" s="18" t="inlineStr">
        <is>
          <t>Sí</t>
        </is>
      </c>
      <c r="I1601" s="18" t="inlineStr"/>
      <c r="J1601" s="18" t="inlineStr"/>
      <c r="K1601" s="18" t="inlineStr"/>
      <c r="L1601" s="18" t="inlineStr">
        <is>
          <t>No</t>
        </is>
      </c>
      <c r="M1601" s="18" t="inlineStr">
        <is>
          <t>Sí</t>
        </is>
      </c>
      <c r="N1601" s="18" t="inlineStr">
        <is>
          <t>Vista control_interno.v_auditor_disponibilidad</t>
        </is>
      </c>
      <c r="O1601" s="18" t="inlineStr"/>
      <c r="P1601" s="18" t="inlineStr">
        <is>
          <t>Mapeada en internal-institutional-control-service/src/esap/auditorias/entities/equipo-auditor.entity.ts:43 (EquipoAuditor.observaciones) | Validación: IsOptional, IsString</t>
        </is>
      </c>
      <c r="Q1601" s="18" t="inlineStr">
        <is>
          <t>Regla estructural (redacción revisada)</t>
        </is>
      </c>
      <c r="R1601" s="18" t="inlineStr">
        <is>
          <t>Observaciones sobre la asignación del auditor a la auditoría.</t>
        </is>
      </c>
      <c r="S1601" s="18" t="inlineStr">
        <is>
          <t>Alta</t>
        </is>
      </c>
      <c r="T1601" s="18" t="inlineStr">
        <is>
          <t>Convención de nombre, redactada con el contexto de la tabla y el código.</t>
        </is>
      </c>
      <c r="U1601" s="18" t="inlineStr"/>
      <c r="V1601" s="19" t="inlineStr">
        <is>
          <t>Aprobada</t>
        </is>
      </c>
      <c r="W1601" s="19" t="inlineStr"/>
      <c r="X1601" s="19" t="inlineStr">
        <is>
          <t>Aldair González (aprobación en bloque)</t>
        </is>
      </c>
      <c r="Y1601" s="20" t="n">
        <v>46321</v>
      </c>
      <c r="Z1601" s="19" t="inlineStr">
        <is>
          <t>Nivel 2: regla estructural con redacción revisada.</t>
        </is>
      </c>
      <c r="AA1601" s="18">
        <f>IF(OR(V1601="Aprobada"),R1601,IF(AND(OR(V1601="Aprobada con ajuste",V1601="Rechazada"),W1601&lt;&gt;""),W1601,""))</f>
        <v/>
      </c>
    </row>
    <row r="1602">
      <c r="A1602" s="18" t="inlineStr">
        <is>
          <t>C1601</t>
        </is>
      </c>
      <c r="B1602" s="18" t="inlineStr">
        <is>
          <t>Control interno</t>
        </is>
      </c>
      <c r="C1602" s="18" t="inlineStr">
        <is>
          <t>control_interno</t>
        </is>
      </c>
      <c r="D1602" s="18" t="inlineStr">
        <is>
          <t>especialidades_ocig</t>
        </is>
      </c>
      <c r="E1602" s="18" t="n">
        <v>13</v>
      </c>
      <c r="F1602" s="18" t="inlineStr">
        <is>
          <t>nombre</t>
        </is>
      </c>
      <c r="G1602" s="18" t="inlineStr">
        <is>
          <t>character varying(100)</t>
        </is>
      </c>
      <c r="H1602" s="18" t="inlineStr">
        <is>
          <t>No</t>
        </is>
      </c>
      <c r="I1602" s="18" t="inlineStr">
        <is>
          <t>Única</t>
        </is>
      </c>
      <c r="J1602" s="18" t="inlineStr"/>
      <c r="K1602" s="18" t="inlineStr"/>
      <c r="L1602" s="18" t="inlineStr">
        <is>
          <t>No</t>
        </is>
      </c>
      <c r="M1602" s="18" t="inlineStr">
        <is>
          <t>No</t>
        </is>
      </c>
      <c r="N1602" s="18" t="inlineStr"/>
      <c r="O1602" s="18" t="inlineStr">
        <is>
          <t>especialidades_ocig_nombre_key</t>
        </is>
      </c>
      <c r="P1602" s="18" t="inlineStr"/>
      <c r="Q1602" s="18" t="inlineStr">
        <is>
          <t>Regla estructural (redacción revisada)</t>
        </is>
      </c>
      <c r="R1602" s="18" t="inlineStr">
        <is>
          <t>Nombre de la especialidad de la Oficina de Control Interno de Gestión.</t>
        </is>
      </c>
      <c r="S1602" s="18" t="inlineStr">
        <is>
          <t>Alta</t>
        </is>
      </c>
      <c r="T1602" s="18" t="inlineStr">
        <is>
          <t>Convención de nombre, redactada con el contexto de la tabla y el código.</t>
        </is>
      </c>
      <c r="U1602" s="18" t="inlineStr"/>
      <c r="V1602" s="19" t="inlineStr">
        <is>
          <t>Aprobada</t>
        </is>
      </c>
      <c r="W1602" s="19" t="inlineStr"/>
      <c r="X1602" s="19" t="inlineStr">
        <is>
          <t>Aldair González (aprobación en bloque)</t>
        </is>
      </c>
      <c r="Y1602" s="20" t="n">
        <v>46321</v>
      </c>
      <c r="Z1602" s="19" t="inlineStr">
        <is>
          <t>Nivel 2: regla estructural con redacción revisada.</t>
        </is>
      </c>
      <c r="AA1602" s="18">
        <f>IF(OR(V1602="Aprobada"),R1602,IF(AND(OR(V1602="Aprobada con ajuste",V1602="Rechazada"),W1602&lt;&gt;""),W1602,""))</f>
        <v/>
      </c>
    </row>
    <row r="1603">
      <c r="A1603" s="18" t="inlineStr">
        <is>
          <t>C1602</t>
        </is>
      </c>
      <c r="B1603" s="18" t="inlineStr">
        <is>
          <t>Control interno</t>
        </is>
      </c>
      <c r="C1603" s="18" t="inlineStr">
        <is>
          <t>control_interno</t>
        </is>
      </c>
      <c r="D1603" s="18" t="inlineStr">
        <is>
          <t>especialidades_ocig</t>
        </is>
      </c>
      <c r="E1603" s="18" t="n">
        <v>13</v>
      </c>
      <c r="F1603" s="18" t="inlineStr">
        <is>
          <t>descripcion</t>
        </is>
      </c>
      <c r="G1603" s="18" t="inlineStr">
        <is>
          <t>text</t>
        </is>
      </c>
      <c r="H1603" s="18" t="inlineStr">
        <is>
          <t>Sí</t>
        </is>
      </c>
      <c r="I1603" s="18" t="inlineStr"/>
      <c r="J1603" s="18" t="inlineStr"/>
      <c r="K1603" s="18" t="inlineStr"/>
      <c r="L1603" s="18" t="inlineStr">
        <is>
          <t>No</t>
        </is>
      </c>
      <c r="M1603" s="18" t="inlineStr">
        <is>
          <t>No</t>
        </is>
      </c>
      <c r="N1603" s="18" t="inlineStr"/>
      <c r="O1603" s="18" t="inlineStr"/>
      <c r="P1603" s="18" t="inlineStr"/>
      <c r="Q1603" s="18" t="inlineStr">
        <is>
          <t>Regla estructural (redacción revisada)</t>
        </is>
      </c>
      <c r="R1603" s="18" t="inlineStr">
        <is>
          <t>Descripción de la especialidad.</t>
        </is>
      </c>
      <c r="S1603" s="18" t="inlineStr">
        <is>
          <t>Alta</t>
        </is>
      </c>
      <c r="T1603" s="18" t="inlineStr">
        <is>
          <t>Convención de nombre, redactada con el contexto de la tabla y el código.</t>
        </is>
      </c>
      <c r="U1603" s="18" t="inlineStr"/>
      <c r="V1603" s="19" t="inlineStr">
        <is>
          <t>Aprobada</t>
        </is>
      </c>
      <c r="W1603" s="19" t="inlineStr"/>
      <c r="X1603" s="19" t="inlineStr">
        <is>
          <t>Aldair González (aprobación en bloque)</t>
        </is>
      </c>
      <c r="Y1603" s="20" t="n">
        <v>46321</v>
      </c>
      <c r="Z1603" s="19" t="inlineStr">
        <is>
          <t>Nivel 2: regla estructural con redacción revisada.</t>
        </is>
      </c>
      <c r="AA1603" s="18">
        <f>IF(OR(V1603="Aprobada"),R1603,IF(AND(OR(V1603="Aprobada con ajuste",V1603="Rechazada"),W1603&lt;&gt;""),W1603,""))</f>
        <v/>
      </c>
    </row>
    <row r="1604">
      <c r="A1604" s="18" t="inlineStr">
        <is>
          <t>C1603</t>
        </is>
      </c>
      <c r="B1604" s="18" t="inlineStr">
        <is>
          <t>Control interno</t>
        </is>
      </c>
      <c r="C1604" s="18" t="inlineStr">
        <is>
          <t>control_interno</t>
        </is>
      </c>
      <c r="D1604" s="18" t="inlineStr">
        <is>
          <t>especialidades_ocig</t>
        </is>
      </c>
      <c r="E1604" s="18" t="n">
        <v>13</v>
      </c>
      <c r="F1604" s="18" t="inlineStr">
        <is>
          <t>activo</t>
        </is>
      </c>
      <c r="G1604" s="18" t="inlineStr">
        <is>
          <t>boolean</t>
        </is>
      </c>
      <c r="H1604" s="18" t="inlineStr">
        <is>
          <t>Sí</t>
        </is>
      </c>
      <c r="I1604" s="18" t="inlineStr"/>
      <c r="J1604" s="18" t="inlineStr"/>
      <c r="K1604" s="18" t="inlineStr"/>
      <c r="L1604" s="18" t="inlineStr">
        <is>
          <t>No</t>
        </is>
      </c>
      <c r="M1604" s="18" t="inlineStr">
        <is>
          <t>No</t>
        </is>
      </c>
      <c r="N1604" s="18" t="inlineStr"/>
      <c r="O1604" s="18" t="inlineStr"/>
      <c r="P1604" s="18" t="inlineStr"/>
      <c r="Q1604" s="18" t="inlineStr">
        <is>
          <t>Regla estructural (redacción revisada)</t>
        </is>
      </c>
      <c r="R1604" s="18" t="inlineStr">
        <is>
          <t>Indica si la especialidad está activa.</t>
        </is>
      </c>
      <c r="S1604" s="18" t="inlineStr">
        <is>
          <t>Alta</t>
        </is>
      </c>
      <c r="T1604" s="18" t="inlineStr">
        <is>
          <t>Convención de nombre, redactada con el contexto de la tabla y el código.</t>
        </is>
      </c>
      <c r="U1604" s="18" t="inlineStr"/>
      <c r="V1604" s="19" t="inlineStr">
        <is>
          <t>Aprobada</t>
        </is>
      </c>
      <c r="W1604" s="19" t="inlineStr"/>
      <c r="X1604" s="19" t="inlineStr">
        <is>
          <t>Aldair González (aprobación en bloque)</t>
        </is>
      </c>
      <c r="Y1604" s="20" t="n">
        <v>46321</v>
      </c>
      <c r="Z1604" s="19" t="inlineStr">
        <is>
          <t>Nivel 2: regla estructural con redacción revisada.</t>
        </is>
      </c>
      <c r="AA1604" s="18">
        <f>IF(OR(V1604="Aprobada"),R1604,IF(AND(OR(V1604="Aprobada con ajuste",V1604="Rechazada"),W1604&lt;&gt;""),W1604,""))</f>
        <v/>
      </c>
    </row>
    <row r="1605">
      <c r="A1605" s="18" t="inlineStr">
        <is>
          <t>C1604</t>
        </is>
      </c>
      <c r="B1605" s="18" t="inlineStr">
        <is>
          <t>Control interno</t>
        </is>
      </c>
      <c r="C1605" s="18" t="inlineStr">
        <is>
          <t>control_interno</t>
        </is>
      </c>
      <c r="D1605" s="18" t="inlineStr">
        <is>
          <t>especialidades_ocig</t>
        </is>
      </c>
      <c r="E1605" s="18" t="n">
        <v>13</v>
      </c>
      <c r="F1605" s="18" t="inlineStr">
        <is>
          <t>orden</t>
        </is>
      </c>
      <c r="G1605" s="18" t="inlineStr">
        <is>
          <t>integer</t>
        </is>
      </c>
      <c r="H1605" s="18" t="inlineStr">
        <is>
          <t>Sí</t>
        </is>
      </c>
      <c r="I1605" s="18" t="inlineStr"/>
      <c r="J1605" s="18" t="inlineStr"/>
      <c r="K1605" s="18" t="inlineStr"/>
      <c r="L1605" s="18" t="inlineStr">
        <is>
          <t>No</t>
        </is>
      </c>
      <c r="M1605" s="18" t="inlineStr">
        <is>
          <t>No</t>
        </is>
      </c>
      <c r="N1605" s="18" t="inlineStr"/>
      <c r="O1605" s="18" t="inlineStr"/>
      <c r="P1605" s="18" t="inlineStr"/>
      <c r="Q1605" s="18" t="inlineStr">
        <is>
          <t>Regla estructural (redacción revisada)</t>
        </is>
      </c>
      <c r="R1605" s="18" t="inlineStr">
        <is>
          <t>Posición de la especialidad en el listado.</t>
        </is>
      </c>
      <c r="S1605" s="18" t="inlineStr">
        <is>
          <t>Alta</t>
        </is>
      </c>
      <c r="T1605" s="18" t="inlineStr">
        <is>
          <t>Convención de nombre, redactada con el contexto de la tabla y el código.</t>
        </is>
      </c>
      <c r="U1605" s="18" t="inlineStr"/>
      <c r="V1605" s="19" t="inlineStr">
        <is>
          <t>Aprobada</t>
        </is>
      </c>
      <c r="W1605" s="19" t="inlineStr"/>
      <c r="X1605" s="19" t="inlineStr">
        <is>
          <t>Aldair González (aprobación en bloque)</t>
        </is>
      </c>
      <c r="Y1605" s="20" t="n">
        <v>46321</v>
      </c>
      <c r="Z1605" s="19" t="inlineStr">
        <is>
          <t>Nivel 2: regla estructural con redacción revisada.</t>
        </is>
      </c>
      <c r="AA1605" s="18">
        <f>IF(OR(V1605="Aprobada"),R1605,IF(AND(OR(V1605="Aprobada con ajuste",V1605="Rechazada"),W1605&lt;&gt;""),W1605,""))</f>
        <v/>
      </c>
    </row>
    <row r="1606">
      <c r="A1606" s="18" t="inlineStr">
        <is>
          <t>C1605</t>
        </is>
      </c>
      <c r="B1606" s="18" t="inlineStr">
        <is>
          <t>Control interno</t>
        </is>
      </c>
      <c r="C1606" s="18" t="inlineStr">
        <is>
          <t>control_interno</t>
        </is>
      </c>
      <c r="D1606" s="18" t="inlineStr">
        <is>
          <t>etapa_auditoria</t>
        </is>
      </c>
      <c r="E1606" s="18" t="n">
        <v>0</v>
      </c>
      <c r="F1606" s="18" t="inlineStr">
        <is>
          <t>etapa</t>
        </is>
      </c>
      <c r="G1606" s="18" t="inlineStr">
        <is>
          <t>character varying(50)</t>
        </is>
      </c>
      <c r="H1606" s="18" t="inlineStr">
        <is>
          <t>No</t>
        </is>
      </c>
      <c r="I1606" s="18" t="inlineStr">
        <is>
          <t>CHECK</t>
        </is>
      </c>
      <c r="J1606" s="18" t="inlineStr">
        <is>
          <t>comunicacion, ejecucion, planeacion</t>
        </is>
      </c>
      <c r="K1606" s="18" t="inlineStr"/>
      <c r="L1606" s="18" t="inlineStr">
        <is>
          <t>Sí</t>
        </is>
      </c>
      <c r="M1606" s="18" t="inlineStr">
        <is>
          <t>No</t>
        </is>
      </c>
      <c r="N1606" s="18" t="inlineStr"/>
      <c r="O1606" s="18" t="inlineStr"/>
      <c r="P1606" s="18" t="inlineStr"/>
      <c r="Q1606" s="18" t="inlineStr">
        <is>
          <t>Propuesta semántica</t>
        </is>
      </c>
      <c r="R1606" s="18" t="inlineStr">
        <is>
          <t>Etapa de ejecución de la auditoría. Valores permitidos: planeacion, comunicacion, ejecucion.</t>
        </is>
      </c>
      <c r="S1606" s="18" t="inlineStr">
        <is>
          <t>Alta</t>
        </is>
      </c>
      <c r="T1606" s="18" t="inlineStr">
        <is>
          <t>valores permitidos del CHECK ~</t>
        </is>
      </c>
      <c r="U1606" s="18" t="inlineStr"/>
      <c r="V1606" s="19" t="inlineStr">
        <is>
          <t>Aprobada</t>
        </is>
      </c>
      <c r="W1606" s="19" t="inlineStr"/>
      <c r="X1606" s="19" t="inlineStr">
        <is>
          <t>Aldair González (aprobación en bloque)</t>
        </is>
      </c>
      <c r="Y1606" s="20" t="n">
        <v>46321</v>
      </c>
      <c r="Z1606" s="19" t="inlineStr">
        <is>
          <t>Nivel 1: propuesta del comentario del desarrollador o de confianza alta, o regla de fecha/responsable/motivo.</t>
        </is>
      </c>
      <c r="AA1606" s="18">
        <f>IF(OR(V1606="Aprobada"),R1606,IF(AND(OR(V1606="Aprobada con ajuste",V1606="Rechazada"),W1606&lt;&gt;""),W1606,""))</f>
        <v/>
      </c>
    </row>
    <row r="1607">
      <c r="A1607" s="18" t="inlineStr">
        <is>
          <t>C1606</t>
        </is>
      </c>
      <c r="B1607" s="18" t="inlineStr">
        <is>
          <t>Control interno</t>
        </is>
      </c>
      <c r="C1607" s="18" t="inlineStr">
        <is>
          <t>control_interno</t>
        </is>
      </c>
      <c r="D1607" s="18" t="inlineStr">
        <is>
          <t>etapa_auditoria</t>
        </is>
      </c>
      <c r="E1607" s="18" t="n">
        <v>0</v>
      </c>
      <c r="F1607" s="18" t="inlineStr">
        <is>
          <t>estado</t>
        </is>
      </c>
      <c r="G1607" s="18" t="inlineStr">
        <is>
          <t>character varying(50)</t>
        </is>
      </c>
      <c r="H1607" s="18" t="inlineStr">
        <is>
          <t>No</t>
        </is>
      </c>
      <c r="I1607" s="18" t="inlineStr">
        <is>
          <t>CHECK</t>
        </is>
      </c>
      <c r="J1607" s="18" t="inlineStr">
        <is>
          <t>completada, en_progreso, pendiente</t>
        </is>
      </c>
      <c r="K1607" s="18" t="inlineStr"/>
      <c r="L1607" s="18" t="inlineStr">
        <is>
          <t>Sí</t>
        </is>
      </c>
      <c r="M1607" s="18" t="inlineStr">
        <is>
          <t>No</t>
        </is>
      </c>
      <c r="N1607" s="18" t="inlineStr"/>
      <c r="O1607" s="18" t="inlineStr">
        <is>
          <t>idx_etapa_auditoria_estado</t>
        </is>
      </c>
      <c r="P1607" s="18" t="inlineStr"/>
      <c r="Q1607" s="18" t="inlineStr">
        <is>
          <t>Regla estructural (redacción revisada)</t>
        </is>
      </c>
      <c r="R1607" s="18" t="inlineStr">
        <is>
          <t>Estado de la etapa de la auditoría (pendiente, en progreso o completada).</t>
        </is>
      </c>
      <c r="S1607" s="18" t="inlineStr">
        <is>
          <t>Alta</t>
        </is>
      </c>
      <c r="T1607" s="18" t="inlineStr">
        <is>
          <t>Convención de nombre, redactada con el contexto de la tabla y el código.</t>
        </is>
      </c>
      <c r="U1607" s="18" t="inlineStr"/>
      <c r="V1607" s="19" t="inlineStr">
        <is>
          <t>Aprobada</t>
        </is>
      </c>
      <c r="W1607" s="19" t="inlineStr"/>
      <c r="X1607" s="19" t="inlineStr">
        <is>
          <t>Aldair González (aprobación en bloque)</t>
        </is>
      </c>
      <c r="Y1607" s="20" t="n">
        <v>46321</v>
      </c>
      <c r="Z1607" s="19" t="inlineStr">
        <is>
          <t>Nivel 2: regla estructural con redacción revisada.</t>
        </is>
      </c>
      <c r="AA1607" s="18">
        <f>IF(OR(V1607="Aprobada"),R1607,IF(AND(OR(V1607="Aprobada con ajuste",V1607="Rechazada"),W1607&lt;&gt;""),W1607,""))</f>
        <v/>
      </c>
    </row>
    <row r="1608">
      <c r="A1608" s="18" t="inlineStr">
        <is>
          <t>C1607</t>
        </is>
      </c>
      <c r="B1608" s="18" t="inlineStr">
        <is>
          <t>Control interno</t>
        </is>
      </c>
      <c r="C1608" s="18" t="inlineStr">
        <is>
          <t>control_interno</t>
        </is>
      </c>
      <c r="D1608" s="18" t="inlineStr">
        <is>
          <t>etapa_auditoria</t>
        </is>
      </c>
      <c r="E1608" s="18" t="n">
        <v>0</v>
      </c>
      <c r="F1608" s="18" t="inlineStr">
        <is>
          <t>fecha_inicio</t>
        </is>
      </c>
      <c r="G1608" s="18" t="inlineStr">
        <is>
          <t>date</t>
        </is>
      </c>
      <c r="H1608" s="18" t="inlineStr">
        <is>
          <t>No</t>
        </is>
      </c>
      <c r="I1608" s="18" t="inlineStr"/>
      <c r="J1608" s="18" t="inlineStr"/>
      <c r="K1608" s="18" t="inlineStr"/>
      <c r="L1608" s="18" t="inlineStr">
        <is>
          <t>No</t>
        </is>
      </c>
      <c r="M1608" s="18" t="inlineStr">
        <is>
          <t>No</t>
        </is>
      </c>
      <c r="N1608" s="18" t="inlineStr"/>
      <c r="O1608" s="18" t="inlineStr"/>
      <c r="P1608" s="18" t="inlineStr"/>
      <c r="Q1608" s="18" t="inlineStr">
        <is>
          <t>Regla estructural (redacción revisada)</t>
        </is>
      </c>
      <c r="R1608" s="18" t="inlineStr">
        <is>
          <t>Fecha de inicio de la etapa de la auditoría.</t>
        </is>
      </c>
      <c r="S1608" s="18" t="inlineStr">
        <is>
          <t>Alta</t>
        </is>
      </c>
      <c r="T1608" s="18" t="inlineStr">
        <is>
          <t>Convención de nombre, redactada con el contexto de la tabla y el código.</t>
        </is>
      </c>
      <c r="U1608" s="18" t="inlineStr"/>
      <c r="V1608" s="19" t="inlineStr">
        <is>
          <t>Aprobada</t>
        </is>
      </c>
      <c r="W1608" s="19" t="inlineStr"/>
      <c r="X1608" s="19" t="inlineStr">
        <is>
          <t>Aldair González (aprobación en bloque)</t>
        </is>
      </c>
      <c r="Y1608" s="20" t="n">
        <v>46321</v>
      </c>
      <c r="Z1608" s="19" t="inlineStr">
        <is>
          <t>Nivel 2: regla estructural con redacción revisada.</t>
        </is>
      </c>
      <c r="AA1608" s="18">
        <f>IF(OR(V1608="Aprobada"),R1608,IF(AND(OR(V1608="Aprobada con ajuste",V1608="Rechazada"),W1608&lt;&gt;""),W1608,""))</f>
        <v/>
      </c>
    </row>
    <row r="1609">
      <c r="A1609" s="18" t="inlineStr">
        <is>
          <t>C1608</t>
        </is>
      </c>
      <c r="B1609" s="18" t="inlineStr">
        <is>
          <t>Control interno</t>
        </is>
      </c>
      <c r="C1609" s="18" t="inlineStr">
        <is>
          <t>control_interno</t>
        </is>
      </c>
      <c r="D1609" s="18" t="inlineStr">
        <is>
          <t>etapa_auditoria</t>
        </is>
      </c>
      <c r="E1609" s="18" t="n">
        <v>0</v>
      </c>
      <c r="F1609" s="18" t="inlineStr">
        <is>
          <t>fecha_fin</t>
        </is>
      </c>
      <c r="G1609" s="18" t="inlineStr">
        <is>
          <t>date</t>
        </is>
      </c>
      <c r="H1609" s="18" t="inlineStr">
        <is>
          <t>Sí</t>
        </is>
      </c>
      <c r="I1609" s="18" t="inlineStr"/>
      <c r="J1609" s="18" t="inlineStr"/>
      <c r="K1609" s="18" t="inlineStr"/>
      <c r="L1609" s="18" t="inlineStr">
        <is>
          <t>No</t>
        </is>
      </c>
      <c r="M1609" s="18" t="inlineStr">
        <is>
          <t>No</t>
        </is>
      </c>
      <c r="N1609" s="18" t="inlineStr"/>
      <c r="O1609" s="18" t="inlineStr"/>
      <c r="P1609" s="18" t="inlineStr"/>
      <c r="Q1609" s="18" t="inlineStr">
        <is>
          <t>Regla estructural (redacción revisada)</t>
        </is>
      </c>
      <c r="R1609" s="18" t="inlineStr">
        <is>
          <t>Fecha de finalización de la etapa de la auditoría.</t>
        </is>
      </c>
      <c r="S1609" s="18" t="inlineStr">
        <is>
          <t>Alta</t>
        </is>
      </c>
      <c r="T1609" s="18" t="inlineStr">
        <is>
          <t>Convención de nombre, redactada con el contexto de la tabla y el código.</t>
        </is>
      </c>
      <c r="U1609" s="18" t="inlineStr"/>
      <c r="V1609" s="19" t="inlineStr">
        <is>
          <t>Aprobada</t>
        </is>
      </c>
      <c r="W1609" s="19" t="inlineStr"/>
      <c r="X1609" s="19" t="inlineStr">
        <is>
          <t>Aldair González (aprobación en bloque)</t>
        </is>
      </c>
      <c r="Y1609" s="20" t="n">
        <v>46321</v>
      </c>
      <c r="Z1609" s="19" t="inlineStr">
        <is>
          <t>Nivel 2: regla estructural con redacción revisada.</t>
        </is>
      </c>
      <c r="AA1609" s="18">
        <f>IF(OR(V1609="Aprobada"),R1609,IF(AND(OR(V1609="Aprobada con ajuste",V1609="Rechazada"),W1609&lt;&gt;""),W1609,""))</f>
        <v/>
      </c>
    </row>
    <row r="1610">
      <c r="A1610" s="18" t="inlineStr">
        <is>
          <t>C1609</t>
        </is>
      </c>
      <c r="B1610" s="18" t="inlineStr">
        <is>
          <t>Control interno</t>
        </is>
      </c>
      <c r="C1610" s="18" t="inlineStr">
        <is>
          <t>control_interno</t>
        </is>
      </c>
      <c r="D1610" s="18" t="inlineStr">
        <is>
          <t>etapa_auditoria</t>
        </is>
      </c>
      <c r="E1610" s="18" t="n">
        <v>0</v>
      </c>
      <c r="F1610" s="18" t="inlineStr">
        <is>
          <t>fecha_limite</t>
        </is>
      </c>
      <c r="G1610" s="18" t="inlineStr">
        <is>
          <t>date</t>
        </is>
      </c>
      <c r="H1610" s="18" t="inlineStr">
        <is>
          <t>No</t>
        </is>
      </c>
      <c r="I1610" s="18" t="inlineStr"/>
      <c r="J1610" s="18" t="inlineStr"/>
      <c r="K1610" s="18" t="inlineStr"/>
      <c r="L1610" s="18" t="inlineStr">
        <is>
          <t>No</t>
        </is>
      </c>
      <c r="M1610" s="18" t="inlineStr">
        <is>
          <t>No</t>
        </is>
      </c>
      <c r="N1610" s="18" t="inlineStr"/>
      <c r="O1610" s="18" t="inlineStr"/>
      <c r="P1610" s="18" t="inlineStr"/>
      <c r="Q1610" s="18" t="inlineStr">
        <is>
          <t>Regla estructural (redacción revisada)</t>
        </is>
      </c>
      <c r="R1610" s="18" t="inlineStr">
        <is>
          <t>Fecha límite de la etapa de la auditoría.</t>
        </is>
      </c>
      <c r="S1610" s="18" t="inlineStr">
        <is>
          <t>Alta</t>
        </is>
      </c>
      <c r="T1610" s="18" t="inlineStr">
        <is>
          <t>Convención de nombre, redactada con el contexto de la tabla y el código.</t>
        </is>
      </c>
      <c r="U1610" s="18" t="inlineStr"/>
      <c r="V1610" s="19" t="inlineStr">
        <is>
          <t>Aprobada</t>
        </is>
      </c>
      <c r="W1610" s="19" t="inlineStr"/>
      <c r="X1610" s="19" t="inlineStr">
        <is>
          <t>Aldair González (aprobación en bloque)</t>
        </is>
      </c>
      <c r="Y1610" s="20" t="n">
        <v>46321</v>
      </c>
      <c r="Z1610" s="19" t="inlineStr">
        <is>
          <t>Nivel 2: regla estructural con redacción revisada.</t>
        </is>
      </c>
      <c r="AA1610" s="18">
        <f>IF(OR(V1610="Aprobada"),R1610,IF(AND(OR(V1610="Aprobada con ajuste",V1610="Rechazada"),W1610&lt;&gt;""),W1610,""))</f>
        <v/>
      </c>
    </row>
    <row r="1611">
      <c r="A1611" s="18" t="inlineStr">
        <is>
          <t>C1610</t>
        </is>
      </c>
      <c r="B1611" s="18" t="inlineStr">
        <is>
          <t>Control interno</t>
        </is>
      </c>
      <c r="C1611" s="18" t="inlineStr">
        <is>
          <t>control_interno</t>
        </is>
      </c>
      <c r="D1611" s="18" t="inlineStr">
        <is>
          <t>etapa_auditoria</t>
        </is>
      </c>
      <c r="E1611" s="18" t="n">
        <v>0</v>
      </c>
      <c r="F1611" s="18" t="inlineStr">
        <is>
          <t>datos</t>
        </is>
      </c>
      <c r="G1611" s="18" t="inlineStr">
        <is>
          <t>jsonb</t>
        </is>
      </c>
      <c r="H1611" s="18" t="inlineStr">
        <is>
          <t>No</t>
        </is>
      </c>
      <c r="I1611" s="18" t="inlineStr"/>
      <c r="J1611" s="18" t="inlineStr"/>
      <c r="K1611" s="18" t="inlineStr"/>
      <c r="L1611" s="18" t="inlineStr">
        <is>
          <t>No</t>
        </is>
      </c>
      <c r="M1611" s="18" t="inlineStr">
        <is>
          <t>No</t>
        </is>
      </c>
      <c r="N1611" s="18" t="inlineStr"/>
      <c r="O1611" s="18" t="inlineStr"/>
      <c r="P1611" s="18" t="inlineStr"/>
      <c r="Q1611" s="18" t="inlineStr">
        <is>
          <t>Código fuente (verificado)</t>
        </is>
      </c>
      <c r="R1611" s="18" t="inlineStr">
        <is>
          <t>Datos registrados para la etapa de la auditoría, en formato JSON.</t>
        </is>
      </c>
      <c r="S1611" s="18" t="inlineStr">
        <is>
          <t>Media</t>
        </is>
      </c>
      <c r="T1611" s="18" t="inlineStr">
        <is>
          <t>db/init/005_control_interno_ddl_20260129_215540.sql:1643: datos jsonb NOT NULL; la tabla no tiene entidad ni consultas en el backend</t>
        </is>
      </c>
      <c r="U1611" s="18" t="inlineStr">
        <is>
          <t>¿Qué estructura tiene datos en cada etapa (planeacion, ejecucion, comunicacion) y qué componente escribe en control_interno.etapa_auditoria? El backend no mapea la tabla.</t>
        </is>
      </c>
      <c r="V1611" s="19" t="inlineStr">
        <is>
          <t>Aprobada</t>
        </is>
      </c>
      <c r="W1611" s="19" t="inlineStr"/>
      <c r="X1611" s="19" t="inlineStr">
        <is>
          <t>Aldair González (validación del responsable de BD)</t>
        </is>
      </c>
      <c r="Y1611" s="20" t="n">
        <v>46321</v>
      </c>
      <c r="Z1611" s="19" t="inlineStr">
        <is>
          <t>Nivel 3: validada por decisión del responsable de la base de datos. Pregunta registrada para desarrollo: ¿Qué estructura tiene datos en cada etapa (planeacion, ejecucion, comunicacion) y qué componente escribe en control_interno.etapa_auditoria? El backend no mapea la tabla.</t>
        </is>
      </c>
      <c r="AA1611" s="18">
        <f>IF(OR(V1611="Aprobada"),R1611,IF(AND(OR(V1611="Aprobada con ajuste",V1611="Rechazada"),W1611&lt;&gt;""),W1611,""))</f>
        <v/>
      </c>
    </row>
    <row r="1612">
      <c r="A1612" s="18" t="inlineStr">
        <is>
          <t>C1611</t>
        </is>
      </c>
      <c r="B1612" s="18" t="inlineStr">
        <is>
          <t>Control interno</t>
        </is>
      </c>
      <c r="C1612" s="18" t="inlineStr">
        <is>
          <t>control_interno</t>
        </is>
      </c>
      <c r="D1612" s="18" t="inlineStr">
        <is>
          <t>etapa_auditoria</t>
        </is>
      </c>
      <c r="E1612" s="18" t="n">
        <v>0</v>
      </c>
      <c r="F1612" s="18" t="inlineStr">
        <is>
          <t>porcentaje_avance</t>
        </is>
      </c>
      <c r="G1612" s="18" t="inlineStr">
        <is>
          <t>integer</t>
        </is>
      </c>
      <c r="H1612" s="18" t="inlineStr">
        <is>
          <t>Sí</t>
        </is>
      </c>
      <c r="I1612" s="18" t="inlineStr">
        <is>
          <t>CHECK</t>
        </is>
      </c>
      <c r="J1612" s="18" t="inlineStr"/>
      <c r="K1612" s="18" t="inlineStr"/>
      <c r="L1612" s="18" t="inlineStr">
        <is>
          <t>No</t>
        </is>
      </c>
      <c r="M1612" s="18" t="inlineStr">
        <is>
          <t>No</t>
        </is>
      </c>
      <c r="N1612" s="18" t="inlineStr"/>
      <c r="O1612" s="18" t="inlineStr"/>
      <c r="P1612" s="18" t="inlineStr"/>
      <c r="Q1612" s="18" t="inlineStr">
        <is>
          <t>Código fuente (verificado)</t>
        </is>
      </c>
      <c r="R1612" s="18" t="inlineStr">
        <is>
          <t>Porcentaje de avance de la etapa de la auditoría, de 0 a 100; 0 por defecto.</t>
        </is>
      </c>
      <c r="S1612" s="18" t="inlineStr">
        <is>
          <t>Media</t>
        </is>
      </c>
      <c r="T1612" s="18" t="inlineStr">
        <is>
          <t>db/init/005_control_interno_ddl_20260129_215540.sql:1644,1649: DEFAULT 0 y CHECK porcentaje_avance entre 0 y 100; la tabla no tiene entidad ni consultas en el backend</t>
        </is>
      </c>
      <c r="U1612" s="18" t="inlineStr">
        <is>
          <t>¿Quién actualiza porcentaje_avance? El backend no mapea control_interno.etapa_auditoria.</t>
        </is>
      </c>
      <c r="V1612" s="19" t="inlineStr">
        <is>
          <t>Aprobada</t>
        </is>
      </c>
      <c r="W1612" s="19" t="inlineStr"/>
      <c r="X1612" s="19" t="inlineStr">
        <is>
          <t>Aldair González (validación del responsable de BD)</t>
        </is>
      </c>
      <c r="Y1612" s="20" t="n">
        <v>46321</v>
      </c>
      <c r="Z1612" s="19" t="inlineStr">
        <is>
          <t>Nivel 3: validada por decisión del responsable de la base de datos. Pregunta registrada para desarrollo: ¿Quién actualiza porcentaje_avance? El backend no mapea control_interno.etapa_auditoria.</t>
        </is>
      </c>
      <c r="AA1612" s="18">
        <f>IF(OR(V1612="Aprobada"),R1612,IF(AND(OR(V1612="Aprobada con ajuste",V1612="Rechazada"),W1612&lt;&gt;""),W1612,""))</f>
        <v/>
      </c>
    </row>
    <row r="1613">
      <c r="A1613" s="18" t="inlineStr">
        <is>
          <t>C1612</t>
        </is>
      </c>
      <c r="B1613" s="18" t="inlineStr">
        <is>
          <t>Control interno</t>
        </is>
      </c>
      <c r="C1613" s="18" t="inlineStr">
        <is>
          <t>control_interno</t>
        </is>
      </c>
      <c r="D1613" s="18" t="inlineStr">
        <is>
          <t>etapa_kanban</t>
        </is>
      </c>
      <c r="E1613" s="18" t="n">
        <v>12</v>
      </c>
      <c r="F1613" s="18" t="inlineStr">
        <is>
          <t>nombre</t>
        </is>
      </c>
      <c r="G1613" s="18" t="inlineStr">
        <is>
          <t>character varying(255)</t>
        </is>
      </c>
      <c r="H1613" s="18" t="inlineStr">
        <is>
          <t>No</t>
        </is>
      </c>
      <c r="I1613" s="18" t="inlineStr"/>
      <c r="J1613" s="18" t="inlineStr"/>
      <c r="K1613" s="18" t="inlineStr"/>
      <c r="L1613" s="18" t="inlineStr">
        <is>
          <t>No</t>
        </is>
      </c>
      <c r="M1613" s="18" t="inlineStr">
        <is>
          <t>No</t>
        </is>
      </c>
      <c r="N1613" s="18" t="inlineStr"/>
      <c r="O1613" s="18" t="inlineStr"/>
      <c r="P1613" s="18" t="inlineStr">
        <is>
          <t>Mapeada en internal-institutional-control-service/src/esap/tableros-kanban/entities/etapa-kanban.entity.ts:38 (EtapaKanban.nombre) | Validación: IsNotEmpty, IsNotEmpty({ message: 'El nombre del documento es obligatorio' }), IsOptional, IsString, Length(1, 500), MaxLength(120)</t>
        </is>
      </c>
      <c r="Q1613" s="18" t="inlineStr">
        <is>
          <t>Regla estructural (redacción revisada)</t>
        </is>
      </c>
      <c r="R1613" s="18" t="inlineStr">
        <is>
          <t>Nombre de la etapa del tablero Kanban.</t>
        </is>
      </c>
      <c r="S1613" s="18" t="inlineStr">
        <is>
          <t>Alta</t>
        </is>
      </c>
      <c r="T1613" s="18" t="inlineStr">
        <is>
          <t>Convención de nombre, redactada con el contexto de la tabla y el código.</t>
        </is>
      </c>
      <c r="U1613" s="18" t="inlineStr"/>
      <c r="V1613" s="19" t="inlineStr">
        <is>
          <t>Aprobada</t>
        </is>
      </c>
      <c r="W1613" s="19" t="inlineStr"/>
      <c r="X1613" s="19" t="inlineStr">
        <is>
          <t>Aldair González (aprobación en bloque)</t>
        </is>
      </c>
      <c r="Y1613" s="20" t="n">
        <v>46321</v>
      </c>
      <c r="Z1613" s="19" t="inlineStr">
        <is>
          <t>Nivel 2: regla estructural con redacción revisada.</t>
        </is>
      </c>
      <c r="AA1613" s="18">
        <f>IF(OR(V1613="Aprobada"),R1613,IF(AND(OR(V1613="Aprobada con ajuste",V1613="Rechazada"),W1613&lt;&gt;""),W1613,""))</f>
        <v/>
      </c>
    </row>
    <row r="1614">
      <c r="A1614" s="18" t="inlineStr">
        <is>
          <t>C1613</t>
        </is>
      </c>
      <c r="B1614" s="18" t="inlineStr">
        <is>
          <t>Control interno</t>
        </is>
      </c>
      <c r="C1614" s="18" t="inlineStr">
        <is>
          <t>control_interno</t>
        </is>
      </c>
      <c r="D1614" s="18" t="inlineStr">
        <is>
          <t>etapa_kanban</t>
        </is>
      </c>
      <c r="E1614" s="18" t="n">
        <v>12</v>
      </c>
      <c r="F1614" s="18" t="inlineStr">
        <is>
          <t>descripcion</t>
        </is>
      </c>
      <c r="G1614" s="18" t="inlineStr">
        <is>
          <t>text</t>
        </is>
      </c>
      <c r="H1614" s="18" t="inlineStr">
        <is>
          <t>Sí</t>
        </is>
      </c>
      <c r="I1614" s="18" t="inlineStr"/>
      <c r="J1614" s="18" t="inlineStr"/>
      <c r="K1614" s="18" t="inlineStr"/>
      <c r="L1614" s="18" t="inlineStr">
        <is>
          <t>No</t>
        </is>
      </c>
      <c r="M1614" s="18" t="inlineStr">
        <is>
          <t>No</t>
        </is>
      </c>
      <c r="N1614" s="18" t="inlineStr"/>
      <c r="O1614" s="18" t="inlineStr"/>
      <c r="P1614" s="18" t="inlineStr">
        <is>
          <t>Mapeada en internal-institutional-control-service/src/esap/tableros-kanban/entities/etapa-kanban.entity.ts:41 (EtapaKanban.descripcion) | Validación: IsNotEmpty, IsOptional, IsString</t>
        </is>
      </c>
      <c r="Q1614" s="18" t="inlineStr">
        <is>
          <t>Regla estructural (redacción revisada)</t>
        </is>
      </c>
      <c r="R1614" s="18" t="inlineStr">
        <is>
          <t>Descripción de la etapa del tablero Kanban.</t>
        </is>
      </c>
      <c r="S1614" s="18" t="inlineStr">
        <is>
          <t>Alta</t>
        </is>
      </c>
      <c r="T1614" s="18" t="inlineStr">
        <is>
          <t>Convención de nombre, redactada con el contexto de la tabla y el código.</t>
        </is>
      </c>
      <c r="U1614" s="18" t="inlineStr"/>
      <c r="V1614" s="19" t="inlineStr">
        <is>
          <t>Aprobada</t>
        </is>
      </c>
      <c r="W1614" s="19" t="inlineStr"/>
      <c r="X1614" s="19" t="inlineStr">
        <is>
          <t>Aldair González (aprobación en bloque)</t>
        </is>
      </c>
      <c r="Y1614" s="20" t="n">
        <v>46321</v>
      </c>
      <c r="Z1614" s="19" t="inlineStr">
        <is>
          <t>Nivel 2: regla estructural con redacción revisada.</t>
        </is>
      </c>
      <c r="AA1614" s="18">
        <f>IF(OR(V1614="Aprobada"),R1614,IF(AND(OR(V1614="Aprobada con ajuste",V1614="Rechazada"),W1614&lt;&gt;""),W1614,""))</f>
        <v/>
      </c>
    </row>
    <row r="1615">
      <c r="A1615" s="18" t="inlineStr">
        <is>
          <t>C1614</t>
        </is>
      </c>
      <c r="B1615" s="18" t="inlineStr">
        <is>
          <t>Control interno</t>
        </is>
      </c>
      <c r="C1615" s="18" t="inlineStr">
        <is>
          <t>control_interno</t>
        </is>
      </c>
      <c r="D1615" s="18" t="inlineStr">
        <is>
          <t>etapa_kanban</t>
        </is>
      </c>
      <c r="E1615" s="18" t="n">
        <v>12</v>
      </c>
      <c r="F1615" s="18" t="inlineStr">
        <is>
          <t>orden</t>
        </is>
      </c>
      <c r="G1615" s="18" t="inlineStr">
        <is>
          <t>integer</t>
        </is>
      </c>
      <c r="H1615" s="18" t="inlineStr">
        <is>
          <t>No</t>
        </is>
      </c>
      <c r="I1615" s="18" t="inlineStr"/>
      <c r="J1615" s="18" t="inlineStr"/>
      <c r="K1615" s="18" t="inlineStr"/>
      <c r="L1615" s="18" t="inlineStr">
        <is>
          <t>No</t>
        </is>
      </c>
      <c r="M1615" s="18" t="inlineStr">
        <is>
          <t>No</t>
        </is>
      </c>
      <c r="N1615" s="18" t="inlineStr"/>
      <c r="O1615" s="18" t="inlineStr">
        <is>
          <t>idx_etapa_kanban_tablero_orden</t>
        </is>
      </c>
      <c r="P1615" s="18" t="inlineStr">
        <is>
          <t>Mapeada en internal-institutional-control-service/src/esap/tableros-kanban/entities/etapa-kanban.entity.ts:44 (EtapaKanban.orden) | Validación: IsInt, IsOptional, Min(1)</t>
        </is>
      </c>
      <c r="Q1615" s="18" t="inlineStr">
        <is>
          <t>Regla estructural (redacción revisada)</t>
        </is>
      </c>
      <c r="R1615" s="18" t="inlineStr">
        <is>
          <t>Posición de la etapa en el tablero Kanban.</t>
        </is>
      </c>
      <c r="S1615" s="18" t="inlineStr">
        <is>
          <t>Alta</t>
        </is>
      </c>
      <c r="T1615" s="18" t="inlineStr">
        <is>
          <t>Convención de nombre, redactada con el contexto de la tabla y el código.</t>
        </is>
      </c>
      <c r="U1615" s="18" t="inlineStr"/>
      <c r="V1615" s="19" t="inlineStr">
        <is>
          <t>Aprobada</t>
        </is>
      </c>
      <c r="W1615" s="19" t="inlineStr"/>
      <c r="X1615" s="19" t="inlineStr">
        <is>
          <t>Aldair González (aprobación en bloque)</t>
        </is>
      </c>
      <c r="Y1615" s="20" t="n">
        <v>46321</v>
      </c>
      <c r="Z1615" s="19" t="inlineStr">
        <is>
          <t>Nivel 2: regla estructural con redacción revisada.</t>
        </is>
      </c>
      <c r="AA1615" s="18">
        <f>IF(OR(V1615="Aprobada"),R1615,IF(AND(OR(V1615="Aprobada con ajuste",V1615="Rechazada"),W1615&lt;&gt;""),W1615,""))</f>
        <v/>
      </c>
    </row>
    <row r="1616">
      <c r="A1616" s="18" t="inlineStr">
        <is>
          <t>C1615</t>
        </is>
      </c>
      <c r="B1616" s="18" t="inlineStr">
        <is>
          <t>Control interno</t>
        </is>
      </c>
      <c r="C1616" s="18" t="inlineStr">
        <is>
          <t>control_interno</t>
        </is>
      </c>
      <c r="D1616" s="18" t="inlineStr">
        <is>
          <t>etapa_kanban</t>
        </is>
      </c>
      <c r="E1616" s="18" t="n">
        <v>12</v>
      </c>
      <c r="F1616" s="18" t="inlineStr">
        <is>
          <t>color</t>
        </is>
      </c>
      <c r="G1616" s="18" t="inlineStr">
        <is>
          <t>character varying(7)</t>
        </is>
      </c>
      <c r="H1616" s="18" t="inlineStr">
        <is>
          <t>No</t>
        </is>
      </c>
      <c r="I1616" s="18" t="inlineStr"/>
      <c r="J1616" s="18" t="inlineStr"/>
      <c r="K1616" s="18" t="inlineStr"/>
      <c r="L1616" s="18" t="inlineStr">
        <is>
          <t>No</t>
        </is>
      </c>
      <c r="M1616" s="18" t="inlineStr">
        <is>
          <t>No</t>
        </is>
      </c>
      <c r="N1616" s="18" t="inlineStr"/>
      <c r="O1616" s="18" t="inlineStr"/>
      <c r="P1616" s="18" t="inlineStr">
        <is>
          <t>internal-institutional-control-service/src/esap/tableros-kanban/entities/etapa-kanban.entity.ts:47: Hex color | db/migrations/old/089_create_tableros_kanban.sql:32: Hex color | Validación: IsOptional, IsString, MaxLength(120)</t>
        </is>
      </c>
      <c r="Q1616" s="18" t="inlineStr">
        <is>
          <t>Código fuente</t>
        </is>
      </c>
      <c r="R1616" s="18" t="inlineStr">
        <is>
          <t>Color de la etapa en el tablero Kanban, en formato hexadecimal.</t>
        </is>
      </c>
      <c r="S1616" s="18" t="inlineStr">
        <is>
          <t>Alta</t>
        </is>
      </c>
      <c r="T1616" s="18" t="inlineStr">
        <is>
          <t>código: internal-institutional-control-service/src/esap/tableros-kanban/entities/etapa-kanban.entity.ts:47</t>
        </is>
      </c>
      <c r="U1616" s="18" t="inlineStr"/>
      <c r="V1616" s="19" t="inlineStr">
        <is>
          <t>Aprobada</t>
        </is>
      </c>
      <c r="W1616" s="19" t="inlineStr"/>
      <c r="X1616" s="19" t="inlineStr">
        <is>
          <t>Aldair González (aprobación en bloque)</t>
        </is>
      </c>
      <c r="Y1616" s="20" t="n">
        <v>46321</v>
      </c>
      <c r="Z1616" s="19" t="inlineStr">
        <is>
          <t>Nivel 1: propuesta del comentario del desarrollador o de confianza alta, o regla de fecha/responsable/motivo.</t>
        </is>
      </c>
      <c r="AA1616" s="18">
        <f>IF(OR(V1616="Aprobada"),R1616,IF(AND(OR(V1616="Aprobada con ajuste",V1616="Rechazada"),W1616&lt;&gt;""),W1616,""))</f>
        <v/>
      </c>
    </row>
    <row r="1617">
      <c r="A1617" s="18" t="inlineStr">
        <is>
          <t>C1616</t>
        </is>
      </c>
      <c r="B1617" s="18" t="inlineStr">
        <is>
          <t>Control interno</t>
        </is>
      </c>
      <c r="C1617" s="18" t="inlineStr">
        <is>
          <t>control_interno</t>
        </is>
      </c>
      <c r="D1617" s="18" t="inlineStr">
        <is>
          <t>etapa_kanban</t>
        </is>
      </c>
      <c r="E1617" s="18" t="n">
        <v>12</v>
      </c>
      <c r="F1617" s="18" t="inlineStr">
        <is>
          <t>visible</t>
        </is>
      </c>
      <c r="G1617" s="18" t="inlineStr">
        <is>
          <t>boolean</t>
        </is>
      </c>
      <c r="H1617" s="18" t="inlineStr">
        <is>
          <t>No</t>
        </is>
      </c>
      <c r="I1617" s="18" t="inlineStr"/>
      <c r="J1617" s="18" t="inlineStr"/>
      <c r="K1617" s="18" t="inlineStr"/>
      <c r="L1617" s="18" t="inlineStr">
        <is>
          <t>No</t>
        </is>
      </c>
      <c r="M1617" s="18" t="inlineStr">
        <is>
          <t>No</t>
        </is>
      </c>
      <c r="N1617" s="18" t="inlineStr"/>
      <c r="O1617" s="18" t="inlineStr"/>
      <c r="P1617" s="18" t="inlineStr">
        <is>
          <t>Mapeada en internal-institutional-control-service/src/esap/tableros-kanban/entities/etapa-kanban.entity.ts:56 (EtapaKanban.visible) | Validación: IsBoolean, IsOptional</t>
        </is>
      </c>
      <c r="Q1617" s="18" t="inlineStr">
        <is>
          <t>Regla estructural (redacción revisada)</t>
        </is>
      </c>
      <c r="R1617" s="18" t="inlineStr">
        <is>
          <t>Indica si la etapa se muestra en el tablero Kanban.</t>
        </is>
      </c>
      <c r="S1617" s="18" t="inlineStr">
        <is>
          <t>Alta</t>
        </is>
      </c>
      <c r="T1617" s="18" t="inlineStr">
        <is>
          <t>Convención de nombre, redactada con el contexto de la tabla y el código.</t>
        </is>
      </c>
      <c r="U1617" s="18" t="inlineStr"/>
      <c r="V1617" s="19" t="inlineStr">
        <is>
          <t>Aprobada</t>
        </is>
      </c>
      <c r="W1617" s="19" t="inlineStr"/>
      <c r="X1617" s="19" t="inlineStr">
        <is>
          <t>Aldair González (aprobación en bloque)</t>
        </is>
      </c>
      <c r="Y1617" s="20" t="n">
        <v>46321</v>
      </c>
      <c r="Z1617" s="19" t="inlineStr">
        <is>
          <t>Nivel 2: regla estructural con redacción revisada.</t>
        </is>
      </c>
      <c r="AA1617" s="18">
        <f>IF(OR(V1617="Aprobada"),R1617,IF(AND(OR(V1617="Aprobada con ajuste",V1617="Rechazada"),W1617&lt;&gt;""),W1617,""))</f>
        <v/>
      </c>
    </row>
    <row r="1618">
      <c r="A1618" s="18" t="inlineStr">
        <is>
          <t>C1617</t>
        </is>
      </c>
      <c r="B1618" s="18" t="inlineStr">
        <is>
          <t>Control interno</t>
        </is>
      </c>
      <c r="C1618" s="18" t="inlineStr">
        <is>
          <t>control_interno</t>
        </is>
      </c>
      <c r="D1618" s="18" t="inlineStr">
        <is>
          <t>etapa_kanban</t>
        </is>
      </c>
      <c r="E1618" s="18" t="n">
        <v>12</v>
      </c>
      <c r="F1618" s="18" t="inlineStr">
        <is>
          <t>notificar_vencimiento</t>
        </is>
      </c>
      <c r="G1618" s="18" t="inlineStr">
        <is>
          <t>boolean</t>
        </is>
      </c>
      <c r="H1618" s="18" t="inlineStr">
        <is>
          <t>No</t>
        </is>
      </c>
      <c r="I1618" s="18" t="inlineStr"/>
      <c r="J1618" s="18" t="inlineStr"/>
      <c r="K1618" s="18" t="inlineStr"/>
      <c r="L1618" s="18" t="inlineStr">
        <is>
          <t>No</t>
        </is>
      </c>
      <c r="M1618" s="18" t="inlineStr">
        <is>
          <t>No</t>
        </is>
      </c>
      <c r="N1618" s="18" t="inlineStr"/>
      <c r="O1618" s="18" t="inlineStr"/>
      <c r="P1618" s="18" t="inlineStr">
        <is>
          <t>Mapeada en internal-institutional-control-service/src/esap/tableros-kanban/entities/etapa-kanban.entity.ts:59 (EtapaKanban.notificarVencimiento) | Validación: IsBoolean, IsOptional</t>
        </is>
      </c>
      <c r="Q1618" s="18" t="inlineStr">
        <is>
          <t>Regla estructural (redacción revisada)</t>
        </is>
      </c>
      <c r="R1618" s="18" t="inlineStr">
        <is>
          <t>Indica si se notifica el vencimiento en la etapa.</t>
        </is>
      </c>
      <c r="S1618" s="18" t="inlineStr">
        <is>
          <t>Alta</t>
        </is>
      </c>
      <c r="T1618" s="18" t="inlineStr">
        <is>
          <t>Convención de nombre, redactada con el contexto de la tabla y el código.</t>
        </is>
      </c>
      <c r="U1618" s="18" t="inlineStr"/>
      <c r="V1618" s="19" t="inlineStr">
        <is>
          <t>Aprobada</t>
        </is>
      </c>
      <c r="W1618" s="19" t="inlineStr"/>
      <c r="X1618" s="19" t="inlineStr">
        <is>
          <t>Aldair González (aprobación en bloque)</t>
        </is>
      </c>
      <c r="Y1618" s="20" t="n">
        <v>46321</v>
      </c>
      <c r="Z1618" s="19" t="inlineStr">
        <is>
          <t>Nivel 2: regla estructural con redacción revisada.</t>
        </is>
      </c>
      <c r="AA1618" s="18">
        <f>IF(OR(V1618="Aprobada"),R1618,IF(AND(OR(V1618="Aprobada con ajuste",V1618="Rechazada"),W1618&lt;&gt;""),W1618,""))</f>
        <v/>
      </c>
    </row>
    <row r="1619">
      <c r="A1619" s="18" t="inlineStr">
        <is>
          <t>C1618</t>
        </is>
      </c>
      <c r="B1619" s="18" t="inlineStr">
        <is>
          <t>Control interno</t>
        </is>
      </c>
      <c r="C1619" s="18" t="inlineStr">
        <is>
          <t>control_interno</t>
        </is>
      </c>
      <c r="D1619" s="18" t="inlineStr">
        <is>
          <t>etapa_kanban</t>
        </is>
      </c>
      <c r="E1619" s="18" t="n">
        <v>12</v>
      </c>
      <c r="F1619" s="18" t="inlineStr">
        <is>
          <t>dias_anticipacion_alerta</t>
        </is>
      </c>
      <c r="G1619" s="18" t="inlineStr">
        <is>
          <t>integer</t>
        </is>
      </c>
      <c r="H1619" s="18" t="inlineStr">
        <is>
          <t>No</t>
        </is>
      </c>
      <c r="I1619" s="18" t="inlineStr"/>
      <c r="J1619" s="18" t="inlineStr"/>
      <c r="K1619" s="18" t="inlineStr"/>
      <c r="L1619" s="18" t="inlineStr">
        <is>
          <t>No</t>
        </is>
      </c>
      <c r="M1619" s="18" t="inlineStr">
        <is>
          <t>No</t>
        </is>
      </c>
      <c r="N1619" s="18" t="inlineStr"/>
      <c r="O1619" s="18" t="inlineStr"/>
      <c r="P1619" s="18" t="inlineStr">
        <is>
          <t>Mapeada en internal-institutional-control-service/src/esap/tableros-kanban/entities/etapa-kanban.entity.ts:62 (EtapaKanban.diasAnticipacionAlerta) | Validación: IsInt, IsOptional, Max(90), Min(0), Min(1)</t>
        </is>
      </c>
      <c r="Q1619" s="18" t="inlineStr">
        <is>
          <t>Código fuente (verificado)</t>
        </is>
      </c>
      <c r="R1619" s="18" t="inlineStr">
        <is>
          <t>Días de anticipación con que se alerta el vencimiento de la etapa; mínimo 0 y 0 por defecto.</t>
        </is>
      </c>
      <c r="S1619" s="18" t="inlineStr">
        <is>
          <t>Alta</t>
        </is>
      </c>
      <c r="T1619" s="18" t="inlineStr">
        <is>
          <t>backend/internal-institutional-control-service/src/esap/tableros-kanban/dto/create-etapa-kanban.dto.ts:36-39 y update-etapa-kanban.dto.ts:40-43: IsInt, Min(0), sin máximo | backend/internal-institutional-control-service/src/esap/tableros-kanban/entities/etapa-kanban.entity.ts:62: default 0 | backend/internal-institutional-control-service/src/esap/tableros-kanban/tableros-kanban.service.ts:138-141: 0 si no se envía | Min(1) y Max(90) son de informe_ley (informes-ley/dto/create-informe-ley.dto.ts:80-83)</t>
        </is>
      </c>
      <c r="U1619" s="18" t="inlineStr"/>
      <c r="V1619" s="19" t="inlineStr">
        <is>
          <t>Aprobada</t>
        </is>
      </c>
      <c r="W1619" s="19" t="inlineStr"/>
      <c r="X1619" s="19" t="inlineStr">
        <is>
          <t>Aldair González (aprobación en bloque)</t>
        </is>
      </c>
      <c r="Y1619" s="20" t="n">
        <v>46321</v>
      </c>
      <c r="Z1619" s="19" t="inlineStr">
        <is>
          <t>Nivel 3: verificada con el código de la aplicación.</t>
        </is>
      </c>
      <c r="AA1619" s="18">
        <f>IF(OR(V1619="Aprobada"),R1619,IF(AND(OR(V1619="Aprobada con ajuste",V1619="Rechazada"),W1619&lt;&gt;""),W1619,""))</f>
        <v/>
      </c>
    </row>
    <row r="1620">
      <c r="A1620" s="18" t="inlineStr">
        <is>
          <t>C1619</t>
        </is>
      </c>
      <c r="B1620" s="18" t="inlineStr">
        <is>
          <t>Control interno</t>
        </is>
      </c>
      <c r="C1620" s="18" t="inlineStr">
        <is>
          <t>control_interno</t>
        </is>
      </c>
      <c r="D1620" s="18" t="inlineStr">
        <is>
          <t>etapa_kanban</t>
        </is>
      </c>
      <c r="E1620" s="18" t="n">
        <v>12</v>
      </c>
      <c r="F1620" s="18" t="inlineStr">
        <is>
          <t>permitir_retroceso</t>
        </is>
      </c>
      <c r="G1620" s="18" t="inlineStr">
        <is>
          <t>boolean</t>
        </is>
      </c>
      <c r="H1620" s="18" t="inlineStr">
        <is>
          <t>No</t>
        </is>
      </c>
      <c r="I1620" s="18" t="inlineStr"/>
      <c r="J1620" s="18" t="inlineStr"/>
      <c r="K1620" s="18" t="inlineStr"/>
      <c r="L1620" s="18" t="inlineStr">
        <is>
          <t>No</t>
        </is>
      </c>
      <c r="M1620" s="18" t="inlineStr">
        <is>
          <t>No</t>
        </is>
      </c>
      <c r="N1620" s="18" t="inlineStr"/>
      <c r="O1620" s="18" t="inlineStr"/>
      <c r="P1620" s="18" t="inlineStr">
        <is>
          <t>Mapeada en internal-institutional-control-service/src/esap/tableros-kanban/entities/etapa-kanban.entity.ts:73 (EtapaKanban.permitirRetroceso) | Validación: IsBoolean, IsOptional</t>
        </is>
      </c>
      <c r="Q1620" s="18" t="inlineStr">
        <is>
          <t>Regla estructural (redacción revisada)</t>
        </is>
      </c>
      <c r="R1620" s="18" t="inlineStr">
        <is>
          <t>Indica si se permite devolver elementos a una etapa anterior desde esta etapa.</t>
        </is>
      </c>
      <c r="S1620" s="18" t="inlineStr">
        <is>
          <t>Alta</t>
        </is>
      </c>
      <c r="T1620" s="18" t="inlineStr">
        <is>
          <t>Convención de nombre, redactada con el contexto de la tabla y el código.</t>
        </is>
      </c>
      <c r="U1620" s="18" t="inlineStr"/>
      <c r="V1620" s="19" t="inlineStr">
        <is>
          <t>Aprobada</t>
        </is>
      </c>
      <c r="W1620" s="19" t="inlineStr"/>
      <c r="X1620" s="19" t="inlineStr">
        <is>
          <t>Aldair González (aprobación en bloque)</t>
        </is>
      </c>
      <c r="Y1620" s="20" t="n">
        <v>46321</v>
      </c>
      <c r="Z1620" s="19" t="inlineStr">
        <is>
          <t>Nivel 2: regla estructural con redacción revisada.</t>
        </is>
      </c>
      <c r="AA1620" s="18">
        <f>IF(OR(V1620="Aprobada"),R1620,IF(AND(OR(V1620="Aprobada con ajuste",V1620="Rechazada"),W1620&lt;&gt;""),W1620,""))</f>
        <v/>
      </c>
    </row>
    <row r="1621">
      <c r="A1621" s="18" t="inlineStr">
        <is>
          <t>C1620</t>
        </is>
      </c>
      <c r="B1621" s="18" t="inlineStr">
        <is>
          <t>Control interno</t>
        </is>
      </c>
      <c r="C1621" s="18" t="inlineStr">
        <is>
          <t>control_interno</t>
        </is>
      </c>
      <c r="D1621" s="18" t="inlineStr">
        <is>
          <t>etapa_kanban</t>
        </is>
      </c>
      <c r="E1621" s="18" t="n">
        <v>12</v>
      </c>
      <c r="F1621" s="18" t="inlineStr">
        <is>
          <t>deleted_at</t>
        </is>
      </c>
      <c r="G1621" s="18" t="inlineStr">
        <is>
          <t>timestamp with time zone</t>
        </is>
      </c>
      <c r="H1621" s="18" t="inlineStr">
        <is>
          <t>Sí</t>
        </is>
      </c>
      <c r="I1621" s="18" t="inlineStr"/>
      <c r="J1621" s="18" t="inlineStr"/>
      <c r="K1621" s="18" t="inlineStr"/>
      <c r="L1621" s="18" t="inlineStr">
        <is>
          <t>No</t>
        </is>
      </c>
      <c r="M1621" s="18" t="inlineStr">
        <is>
          <t>No</t>
        </is>
      </c>
      <c r="N1621" s="18" t="inlineStr"/>
      <c r="O1621" s="18" t="inlineStr">
        <is>
          <t>idx_etapa_kanban_deleted_at</t>
        </is>
      </c>
      <c r="P1621" s="18" t="inlineStr">
        <is>
          <t>Mapeada en internal-institutional-control-service/src/esap/tableros-kanban/entities/etapa-kanban.entity.ts:82 (EtapaKanban.deletedAt)</t>
        </is>
      </c>
      <c r="Q1621" s="18" t="inlineStr">
        <is>
          <t>Regla estructural</t>
        </is>
      </c>
      <c r="R1621" s="18" t="inlineStr">
        <is>
          <t>Fecha y hora de la eliminación.</t>
        </is>
      </c>
      <c r="S1621" s="18" t="inlineStr">
        <is>
          <t>Media</t>
        </is>
      </c>
      <c r="T1621" s="18" t="inlineStr">
        <is>
          <t>Convención de nombre de la columna.</t>
        </is>
      </c>
      <c r="U1621" s="18" t="inlineStr"/>
      <c r="V1621" s="19" t="inlineStr">
        <is>
          <t>Aprobada</t>
        </is>
      </c>
      <c r="W1621" s="19" t="inlineStr"/>
      <c r="X1621" s="19" t="inlineStr">
        <is>
          <t>Aldair González (aprobación en bloque)</t>
        </is>
      </c>
      <c r="Y1621" s="20" t="n">
        <v>46321</v>
      </c>
      <c r="Z1621" s="19" t="inlineStr">
        <is>
          <t>Nivel 1: propuesta del comentario del desarrollador o de confianza alta, o regla de fecha/responsable/motivo.</t>
        </is>
      </c>
      <c r="AA1621" s="18">
        <f>IF(OR(V1621="Aprobada"),R1621,IF(AND(OR(V1621="Aprobada con ajuste",V1621="Rechazada"),W1621&lt;&gt;""),W1621,""))</f>
        <v/>
      </c>
    </row>
    <row r="1622">
      <c r="A1622" s="18" t="inlineStr">
        <is>
          <t>C1621</t>
        </is>
      </c>
      <c r="B1622" s="18" t="inlineStr">
        <is>
          <t>Control interno</t>
        </is>
      </c>
      <c r="C1622" s="18" t="inlineStr">
        <is>
          <t>control_interno</t>
        </is>
      </c>
      <c r="D1622" s="18" t="inlineStr">
        <is>
          <t>evaluacion_proceso</t>
        </is>
      </c>
      <c r="E1622" s="18" t="n">
        <v>54</v>
      </c>
      <c r="F1622" s="18" t="inlineStr">
        <is>
          <t>dependencia_responsable</t>
        </is>
      </c>
      <c r="G1622" s="18" t="inlineStr">
        <is>
          <t>text</t>
        </is>
      </c>
      <c r="H1622" s="18" t="inlineStr">
        <is>
          <t>No</t>
        </is>
      </c>
      <c r="I1622" s="18" t="inlineStr"/>
      <c r="J1622" s="18" t="inlineStr"/>
      <c r="K1622" s="18" t="inlineStr"/>
      <c r="L1622" s="18" t="inlineStr">
        <is>
          <t>No</t>
        </is>
      </c>
      <c r="M1622" s="18" t="inlineStr">
        <is>
          <t>No</t>
        </is>
      </c>
      <c r="N1622" s="18" t="inlineStr"/>
      <c r="O1622" s="18" t="inlineStr"/>
      <c r="P1622" s="18" t="inlineStr">
        <is>
          <t>internal-institutional-control-service/src/esap/universo-auditorias/entities/evaluacion-proceso.entity.ts:68: ═══════════════════════════════════════════════════════════════════════ RELACIÓN CON PROCESO MAESTRO ═══════════════════════════════════════════════════════════════════════ | Validación: IsNotEmpty, IsOptional, IsString</t>
        </is>
      </c>
      <c r="Q1622" s="18" t="inlineStr">
        <is>
          <t>Código fuente</t>
        </is>
      </c>
      <c r="R1622" s="18" t="inlineStr">
        <is>
          <t>Dependencia responsable del proceso evaluado.</t>
        </is>
      </c>
      <c r="S1622" s="18" t="inlineStr">
        <is>
          <t>Alta</t>
        </is>
      </c>
      <c r="T1622" s="18" t="inlineStr">
        <is>
          <t>nombre + tipo</t>
        </is>
      </c>
      <c r="U1622" s="18" t="inlineStr"/>
      <c r="V1622" s="19" t="inlineStr">
        <is>
          <t>Aprobada</t>
        </is>
      </c>
      <c r="W1622" s="19" t="inlineStr"/>
      <c r="X1622" s="19" t="inlineStr">
        <is>
          <t>Aldair González (aprobación en bloque)</t>
        </is>
      </c>
      <c r="Y1622" s="20" t="n">
        <v>46321</v>
      </c>
      <c r="Z1622" s="19" t="inlineStr">
        <is>
          <t>Nivel 1: propuesta del comentario del desarrollador o de confianza alta, o regla de fecha/responsable/motivo.</t>
        </is>
      </c>
      <c r="AA1622" s="18">
        <f>IF(OR(V1622="Aprobada"),R1622,IF(AND(OR(V1622="Aprobada con ajuste",V1622="Rechazada"),W1622&lt;&gt;""),W1622,""))</f>
        <v/>
      </c>
    </row>
    <row r="1623">
      <c r="A1623" s="18" t="inlineStr">
        <is>
          <t>C1622</t>
        </is>
      </c>
      <c r="B1623" s="18" t="inlineStr">
        <is>
          <t>Control interno</t>
        </is>
      </c>
      <c r="C1623" s="18" t="inlineStr">
        <is>
          <t>control_interno</t>
        </is>
      </c>
      <c r="D1623" s="18" t="inlineStr">
        <is>
          <t>evaluacion_proceso</t>
        </is>
      </c>
      <c r="E1623" s="18" t="n">
        <v>54</v>
      </c>
      <c r="F1623" s="18" t="inlineStr">
        <is>
          <t>riesgos_extremos</t>
        </is>
      </c>
      <c r="G1623" s="18" t="inlineStr">
        <is>
          <t>integer</t>
        </is>
      </c>
      <c r="H1623" s="18" t="inlineStr">
        <is>
          <t>Sí</t>
        </is>
      </c>
      <c r="I1623" s="18" t="inlineStr"/>
      <c r="J1623" s="18" t="inlineStr"/>
      <c r="K1623" s="18" t="inlineStr"/>
      <c r="L1623" s="18" t="inlineStr">
        <is>
          <t>No</t>
        </is>
      </c>
      <c r="M1623" s="18" t="inlineStr">
        <is>
          <t>No</t>
        </is>
      </c>
      <c r="N1623" s="18" t="inlineStr"/>
      <c r="O1623" s="18" t="inlineStr"/>
      <c r="P1623" s="18" t="inlineStr">
        <is>
          <t>internal-institutional-control-service/src/esap/universo-auditorias/entities/evaluacion-proceso.entity.ts:75: ═══════════════════════════════════════════════════════════════════════ RELACIÓN CON PROCESO MAESTRO ═══════════════════════════════════════════════════════════════════════ | db/migrations/175_create_evaluacion_proceso.sql:22: Sección 1: Número de riesgos inherentes (D, E, F, G, H) | Validación: IsNumber, IsOptional, Min(0)</t>
        </is>
      </c>
      <c r="Q1623" s="18" t="inlineStr">
        <is>
          <t>Código fuente</t>
        </is>
      </c>
      <c r="R1623" s="18" t="inlineStr">
        <is>
          <t>Número de riesgos inherentes de nivel extremo del proceso (sección 1 de la evaluación). Por defecto 0.</t>
        </is>
      </c>
      <c r="S1623" s="18" t="inlineStr">
        <is>
          <t>Alta</t>
        </is>
      </c>
      <c r="T1623" s="18" t="inlineStr">
        <is>
          <t>código: db/migrations/175_create_evaluacion_proceso.sql:22</t>
        </is>
      </c>
      <c r="U1623" s="18" t="inlineStr"/>
      <c r="V1623" s="19" t="inlineStr">
        <is>
          <t>Aprobada</t>
        </is>
      </c>
      <c r="W1623" s="19" t="inlineStr"/>
      <c r="X1623" s="19" t="inlineStr">
        <is>
          <t>Aldair González (aprobación en bloque)</t>
        </is>
      </c>
      <c r="Y1623" s="20" t="n">
        <v>46321</v>
      </c>
      <c r="Z1623" s="19" t="inlineStr">
        <is>
          <t>Nivel 1: propuesta del comentario del desarrollador o de confianza alta, o regla de fecha/responsable/motivo.</t>
        </is>
      </c>
      <c r="AA1623" s="18">
        <f>IF(OR(V1623="Aprobada"),R1623,IF(AND(OR(V1623="Aprobada con ajuste",V1623="Rechazada"),W1623&lt;&gt;""),W1623,""))</f>
        <v/>
      </c>
    </row>
    <row r="1624">
      <c r="A1624" s="18" t="inlineStr">
        <is>
          <t>C1623</t>
        </is>
      </c>
      <c r="B1624" s="18" t="inlineStr">
        <is>
          <t>Control interno</t>
        </is>
      </c>
      <c r="C1624" s="18" t="inlineStr">
        <is>
          <t>control_interno</t>
        </is>
      </c>
      <c r="D1624" s="18" t="inlineStr">
        <is>
          <t>evaluacion_proceso</t>
        </is>
      </c>
      <c r="E1624" s="18" t="n">
        <v>54</v>
      </c>
      <c r="F1624" s="18" t="inlineStr">
        <is>
          <t>riesgos_altos</t>
        </is>
      </c>
      <c r="G1624" s="18" t="inlineStr">
        <is>
          <t>integer</t>
        </is>
      </c>
      <c r="H1624" s="18" t="inlineStr">
        <is>
          <t>Sí</t>
        </is>
      </c>
      <c r="I1624" s="18" t="inlineStr"/>
      <c r="J1624" s="18" t="inlineStr"/>
      <c r="K1624" s="18" t="inlineStr"/>
      <c r="L1624" s="18" t="inlineStr">
        <is>
          <t>No</t>
        </is>
      </c>
      <c r="M1624" s="18" t="inlineStr">
        <is>
          <t>No</t>
        </is>
      </c>
      <c r="N1624" s="18" t="inlineStr"/>
      <c r="O1624" s="18" t="inlineStr"/>
      <c r="P1624" s="18" t="inlineStr">
        <is>
          <t>internal-institutional-control-service/src/esap/universo-auditorias/entities/evaluacion-proceso.entity.ts:78: ═══════════════════════════════════════════════════════════════════════ RELACIÓN CON PROCESO MAESTRO ═══════════════════════════════════════════════════════════════════════ | Validación: IsNumber, IsOptional, Min(0)</t>
        </is>
      </c>
      <c r="Q1624" s="18" t="inlineStr">
        <is>
          <t>Código fuente (verificado)</t>
        </is>
      </c>
      <c r="R1624" s="18" t="inlineStr">
        <is>
          <t>Número de riesgos inherentes de nivel alto del proceso. Por defecto 0.</t>
        </is>
      </c>
      <c r="S1624" s="18" t="inlineStr">
        <is>
          <t>Alta</t>
        </is>
      </c>
      <c r="T1624" s="18" t="inlineStr">
        <is>
          <t>backend/internal-institutional-control-service/src/esap/universo-auditorias/entities/evaluacion-proceso.entity.ts:72: sección 1 «Número de riesgos inherentes (D, E, F, G, H)» | db/migrations/175_create_evaluacion_proceso.sql:21: mismo comentario</t>
        </is>
      </c>
      <c r="U1624" s="18" t="inlineStr"/>
      <c r="V1624" s="19" t="inlineStr">
        <is>
          <t>Aprobada</t>
        </is>
      </c>
      <c r="W1624" s="19" t="inlineStr"/>
      <c r="X1624" s="19" t="inlineStr">
        <is>
          <t>Aldair González (aprobación en bloque)</t>
        </is>
      </c>
      <c r="Y1624" s="20" t="n">
        <v>46321</v>
      </c>
      <c r="Z1624" s="19" t="inlineStr">
        <is>
          <t>Nivel 3: verificada con el código de la aplicación.</t>
        </is>
      </c>
      <c r="AA1624" s="18">
        <f>IF(OR(V1624="Aprobada"),R1624,IF(AND(OR(V1624="Aprobada con ajuste",V1624="Rechazada"),W1624&lt;&gt;""),W1624,""))</f>
        <v/>
      </c>
    </row>
    <row r="1625">
      <c r="A1625" s="18" t="inlineStr">
        <is>
          <t>C1624</t>
        </is>
      </c>
      <c r="B1625" s="18" t="inlineStr">
        <is>
          <t>Control interno</t>
        </is>
      </c>
      <c r="C1625" s="18" t="inlineStr">
        <is>
          <t>control_interno</t>
        </is>
      </c>
      <c r="D1625" s="18" t="inlineStr">
        <is>
          <t>evaluacion_proceso</t>
        </is>
      </c>
      <c r="E1625" s="18" t="n">
        <v>54</v>
      </c>
      <c r="F1625" s="18" t="inlineStr">
        <is>
          <t>riesgos_moderados</t>
        </is>
      </c>
      <c r="G1625" s="18" t="inlineStr">
        <is>
          <t>integer</t>
        </is>
      </c>
      <c r="H1625" s="18" t="inlineStr">
        <is>
          <t>Sí</t>
        </is>
      </c>
      <c r="I1625" s="18" t="inlineStr"/>
      <c r="J1625" s="18" t="inlineStr"/>
      <c r="K1625" s="18" t="inlineStr"/>
      <c r="L1625" s="18" t="inlineStr">
        <is>
          <t>No</t>
        </is>
      </c>
      <c r="M1625" s="18" t="inlineStr">
        <is>
          <t>No</t>
        </is>
      </c>
      <c r="N1625" s="18" t="inlineStr"/>
      <c r="O1625" s="18" t="inlineStr"/>
      <c r="P1625" s="18" t="inlineStr">
        <is>
          <t>internal-institutional-control-service/src/esap/universo-auditorias/entities/evaluacion-proceso.entity.ts:81: ═══════════════════════════════════════════════════════════════════════ RELACIÓN CON PROCESO MAESTRO ═══════════════════════════════════════════════════════════════════════ | Validación: IsNumber, IsOptional, Min(0)</t>
        </is>
      </c>
      <c r="Q1625" s="18" t="inlineStr">
        <is>
          <t>Código fuente (verificado)</t>
        </is>
      </c>
      <c r="R1625" s="18" t="inlineStr">
        <is>
          <t>Número de riesgos inherentes de nivel moderado del proceso. Por defecto 0.</t>
        </is>
      </c>
      <c r="S1625" s="18" t="inlineStr">
        <is>
          <t>Alta</t>
        </is>
      </c>
      <c r="T1625" s="18" t="inlineStr">
        <is>
          <t>backend/internal-institutional-control-service/src/esap/universo-auditorias/entities/evaluacion-proceso.entity.ts:72: sección 1 «Número de riesgos inherentes (D, E, F, G, H)» | db/migrations/175_create_evaluacion_proceso.sql:21: mismo comentario</t>
        </is>
      </c>
      <c r="U1625" s="18" t="inlineStr"/>
      <c r="V1625" s="19" t="inlineStr">
        <is>
          <t>Aprobada</t>
        </is>
      </c>
      <c r="W1625" s="19" t="inlineStr"/>
      <c r="X1625" s="19" t="inlineStr">
        <is>
          <t>Aldair González (aprobación en bloque)</t>
        </is>
      </c>
      <c r="Y1625" s="20" t="n">
        <v>46321</v>
      </c>
      <c r="Z1625" s="19" t="inlineStr">
        <is>
          <t>Nivel 3: verificada con el código de la aplicación.</t>
        </is>
      </c>
      <c r="AA1625" s="18">
        <f>IF(OR(V1625="Aprobada"),R1625,IF(AND(OR(V1625="Aprobada con ajuste",V1625="Rechazada"),W1625&lt;&gt;""),W1625,""))</f>
        <v/>
      </c>
    </row>
    <row r="1626">
      <c r="A1626" s="18" t="inlineStr">
        <is>
          <t>C1625</t>
        </is>
      </c>
      <c r="B1626" s="18" t="inlineStr">
        <is>
          <t>Control interno</t>
        </is>
      </c>
      <c r="C1626" s="18" t="inlineStr">
        <is>
          <t>control_interno</t>
        </is>
      </c>
      <c r="D1626" s="18" t="inlineStr">
        <is>
          <t>evaluacion_proceso</t>
        </is>
      </c>
      <c r="E1626" s="18" t="n">
        <v>54</v>
      </c>
      <c r="F1626" s="18" t="inlineStr">
        <is>
          <t>riesgos_bajos</t>
        </is>
      </c>
      <c r="G1626" s="18" t="inlineStr">
        <is>
          <t>integer</t>
        </is>
      </c>
      <c r="H1626" s="18" t="inlineStr">
        <is>
          <t>Sí</t>
        </is>
      </c>
      <c r="I1626" s="18" t="inlineStr"/>
      <c r="J1626" s="18" t="inlineStr"/>
      <c r="K1626" s="18" t="inlineStr"/>
      <c r="L1626" s="18" t="inlineStr">
        <is>
          <t>No</t>
        </is>
      </c>
      <c r="M1626" s="18" t="inlineStr">
        <is>
          <t>No</t>
        </is>
      </c>
      <c r="N1626" s="18" t="inlineStr"/>
      <c r="O1626" s="18" t="inlineStr"/>
      <c r="P1626" s="18" t="inlineStr">
        <is>
          <t>internal-institutional-control-service/src/esap/universo-auditorias/entities/evaluacion-proceso.entity.ts:84: ═══════════════════════════════════════════════════════════════════════ RELACIÓN CON PROCESO MAESTRO ═══════════════════════════════════════════════════════════════════════ | Validación: IsNumber, IsOptional, Min(0)</t>
        </is>
      </c>
      <c r="Q1626" s="18" t="inlineStr">
        <is>
          <t>Código fuente (verificado)</t>
        </is>
      </c>
      <c r="R1626" s="18" t="inlineStr">
        <is>
          <t>Número de riesgos inherentes de nivel bajo del proceso. Por defecto 0.</t>
        </is>
      </c>
      <c r="S1626" s="18" t="inlineStr">
        <is>
          <t>Alta</t>
        </is>
      </c>
      <c r="T1626" s="18" t="inlineStr">
        <is>
          <t>backend/internal-institutional-control-service/src/esap/universo-auditorias/entities/evaluacion-proceso.entity.ts:72: sección 1 «Número de riesgos inherentes (D, E, F, G, H)» | db/migrations/175_create_evaluacion_proceso.sql:21: mismo comentario</t>
        </is>
      </c>
      <c r="U1626" s="18" t="inlineStr"/>
      <c r="V1626" s="19" t="inlineStr">
        <is>
          <t>Aprobada</t>
        </is>
      </c>
      <c r="W1626" s="19" t="inlineStr"/>
      <c r="X1626" s="19" t="inlineStr">
        <is>
          <t>Aldair González (aprobación en bloque)</t>
        </is>
      </c>
      <c r="Y1626" s="20" t="n">
        <v>46321</v>
      </c>
      <c r="Z1626" s="19" t="inlineStr">
        <is>
          <t>Nivel 3: verificada con el código de la aplicación.</t>
        </is>
      </c>
      <c r="AA1626" s="18">
        <f>IF(OR(V1626="Aprobada"),R1626,IF(AND(OR(V1626="Aprobada con ajuste",V1626="Rechazada"),W1626&lt;&gt;""),W1626,""))</f>
        <v/>
      </c>
    </row>
    <row r="1627">
      <c r="A1627" s="18" t="inlineStr">
        <is>
          <t>C1626</t>
        </is>
      </c>
      <c r="B1627" s="18" t="inlineStr">
        <is>
          <t>Control interno</t>
        </is>
      </c>
      <c r="C1627" s="18" t="inlineStr">
        <is>
          <t>control_interno</t>
        </is>
      </c>
      <c r="D1627" s="18" t="inlineStr">
        <is>
          <t>evaluacion_proceso</t>
        </is>
      </c>
      <c r="E1627" s="18" t="n">
        <v>54</v>
      </c>
      <c r="F1627" s="18" t="inlineStr">
        <is>
          <t>total_riesgos</t>
        </is>
      </c>
      <c r="G1627" s="18" t="inlineStr">
        <is>
          <t>integer</t>
        </is>
      </c>
      <c r="H1627" s="18" t="inlineStr">
        <is>
          <t>Sí</t>
        </is>
      </c>
      <c r="I1627" s="18" t="inlineStr"/>
      <c r="J1627" s="18" t="inlineStr"/>
      <c r="K1627" s="18" t="inlineStr"/>
      <c r="L1627" s="18" t="inlineStr">
        <is>
          <t>No</t>
        </is>
      </c>
      <c r="M1627" s="18" t="inlineStr">
        <is>
          <t>No</t>
        </is>
      </c>
      <c r="N1627" s="18" t="inlineStr"/>
      <c r="O1627" s="18" t="inlineStr"/>
      <c r="P1627" s="18" t="inlineStr">
        <is>
          <t>internal-institutional-control-service/src/esap/universo-auditorias/entities/evaluacion-proceso.entity.ts:87: ═══════════════════════════════════════════════════════════════════════ RELACIÓN CON PROCESO MAESTRO ═══════════════════════════════════════════════════════════════════════ | Validación: IsNumber, IsOptional, Min(0)</t>
        </is>
      </c>
      <c r="Q1627" s="18" t="inlineStr">
        <is>
          <t>Código fuente (verificado)</t>
        </is>
      </c>
      <c r="R1627" s="18" t="inlineStr">
        <is>
          <t>Número total de riesgos inherentes del proceso: suma de riesgos extremos, altos, moderados y bajos. Por defecto 0.</t>
        </is>
      </c>
      <c r="S1627" s="18" t="inlineStr">
        <is>
          <t>Alta</t>
        </is>
      </c>
      <c r="T1627" s="18" t="inlineStr">
        <is>
          <t>backend/internal-institutional-control-service/src/esap/universo-auditorias/evaluacion-proceso.service.ts:202-206: al crear se calcula como la suma si no viene en la solicitud | backend/internal-institutional-control-service/src/esap/universo-auditorias/evaluacion-proceso.service.ts:342-347: al actualizar siempre se recalcula como la suma</t>
        </is>
      </c>
      <c r="U1627" s="18" t="inlineStr"/>
      <c r="V1627" s="19" t="inlineStr">
        <is>
          <t>Aprobada</t>
        </is>
      </c>
      <c r="W1627" s="19" t="inlineStr"/>
      <c r="X1627" s="19" t="inlineStr">
        <is>
          <t>Aldair González (aprobación en bloque)</t>
        </is>
      </c>
      <c r="Y1627" s="20" t="n">
        <v>46321</v>
      </c>
      <c r="Z1627" s="19" t="inlineStr">
        <is>
          <t>Nivel 3: verificada con el código de la aplicación.</t>
        </is>
      </c>
      <c r="AA1627" s="18">
        <f>IF(OR(V1627="Aprobada"),R1627,IF(AND(OR(V1627="Aprobada con ajuste",V1627="Rechazada"),W1627&lt;&gt;""),W1627,""))</f>
        <v/>
      </c>
    </row>
    <row r="1628">
      <c r="A1628" s="18" t="inlineStr">
        <is>
          <t>C1627</t>
        </is>
      </c>
      <c r="B1628" s="18" t="inlineStr">
        <is>
          <t>Control interno</t>
        </is>
      </c>
      <c r="C1628" s="18" t="inlineStr">
        <is>
          <t>control_interno</t>
        </is>
      </c>
      <c r="D1628" s="18" t="inlineStr">
        <is>
          <t>evaluacion_proceso</t>
        </is>
      </c>
      <c r="E1628" s="18" t="n">
        <v>54</v>
      </c>
      <c r="F1628" s="18" t="inlineStr">
        <is>
          <t>requerimiento_comite</t>
        </is>
      </c>
      <c r="G1628" s="18" t="inlineStr">
        <is>
          <t>boolean</t>
        </is>
      </c>
      <c r="H1628" s="18" t="inlineStr">
        <is>
          <t>Sí</t>
        </is>
      </c>
      <c r="I1628" s="18" t="inlineStr"/>
      <c r="J1628" s="18" t="inlineStr"/>
      <c r="K1628" s="18" t="inlineStr"/>
      <c r="L1628" s="18" t="inlineStr">
        <is>
          <t>No</t>
        </is>
      </c>
      <c r="M1628" s="18" t="inlineStr">
        <is>
          <t>No</t>
        </is>
      </c>
      <c r="N1628" s="18" t="inlineStr"/>
      <c r="O1628" s="18" t="inlineStr"/>
      <c r="P1628" s="18" t="inlineStr">
        <is>
          <t>internal-institutional-control-service/src/esap/universo-auditorias/entities/evaluacion-proceso.entity.ts:94: ═══════════════════════════════════════════════════════════════════════ RELACIÓN CON PROCESO MAESTRO ═══════════════════════════════════════════════════════════════════════ | db/migrations/175_create_evaluacion_proceso.sql:29: Sección 2: Requerimientos especiales (J, K) | Validación: IsBoolean, IsOptional</t>
        </is>
      </c>
      <c r="Q1628" s="18" t="inlineStr">
        <is>
          <t>Código fuente (verificado)</t>
        </is>
      </c>
      <c r="R1628" s="18" t="inlineStr">
        <is>
          <t>Indica si existe un requerimiento del Comité de Auditoría o de la Dirección para auditar el proceso; si es verdadero, el proceso se incluye en el Plan Anual de Auditoría. Por defecto falso.</t>
        </is>
      </c>
      <c r="S1628" s="18" t="inlineStr">
        <is>
          <t>Alta</t>
        </is>
      </c>
      <c r="T1628" s="18" t="inlineStr">
        <is>
          <t>apps/mfe-control-interno/src/components/FormularioEvaluacionDafpCompleta.tsx:379-382: «¿Existe requerimiento del Comité de Auditoría o la Dirección?» e inclusión automática en el Plan Anual | db/migrations/175_create_evaluacion_proceso.sql:28-29: sección 2, requerimientos especiales</t>
        </is>
      </c>
      <c r="U1628" s="18" t="inlineStr"/>
      <c r="V1628" s="19" t="inlineStr">
        <is>
          <t>Aprobada</t>
        </is>
      </c>
      <c r="W1628" s="19" t="inlineStr"/>
      <c r="X1628" s="19" t="inlineStr">
        <is>
          <t>Aldair González (aprobación en bloque)</t>
        </is>
      </c>
      <c r="Y1628" s="20" t="n">
        <v>46321</v>
      </c>
      <c r="Z1628" s="19" t="inlineStr">
        <is>
          <t>Nivel 3: verificada con el código de la aplicación.</t>
        </is>
      </c>
      <c r="AA1628" s="18">
        <f>IF(OR(V1628="Aprobada"),R1628,IF(AND(OR(V1628="Aprobada con ajuste",V1628="Rechazada"),W1628&lt;&gt;""),W1628,""))</f>
        <v/>
      </c>
    </row>
    <row r="1629">
      <c r="A1629" s="18" t="inlineStr">
        <is>
          <t>C1628</t>
        </is>
      </c>
      <c r="B1629" s="18" t="inlineStr">
        <is>
          <t>Control interno</t>
        </is>
      </c>
      <c r="C1629" s="18" t="inlineStr">
        <is>
          <t>control_interno</t>
        </is>
      </c>
      <c r="D1629" s="18" t="inlineStr">
        <is>
          <t>evaluacion_proceso</t>
        </is>
      </c>
      <c r="E1629" s="18" t="n">
        <v>54</v>
      </c>
      <c r="F1629" s="18" t="inlineStr">
        <is>
          <t>requerimiento_entes_reg</t>
        </is>
      </c>
      <c r="G1629" s="18" t="inlineStr">
        <is>
          <t>boolean</t>
        </is>
      </c>
      <c r="H1629" s="18" t="inlineStr">
        <is>
          <t>Sí</t>
        </is>
      </c>
      <c r="I1629" s="18" t="inlineStr"/>
      <c r="J1629" s="18" t="inlineStr"/>
      <c r="K1629" s="18" t="inlineStr"/>
      <c r="L1629" s="18" t="inlineStr">
        <is>
          <t>No</t>
        </is>
      </c>
      <c r="M1629" s="18" t="inlineStr">
        <is>
          <t>No</t>
        </is>
      </c>
      <c r="N1629" s="18" t="inlineStr"/>
      <c r="O1629" s="18" t="inlineStr"/>
      <c r="P1629" s="18" t="inlineStr">
        <is>
          <t>internal-institutional-control-service/src/esap/universo-auditorias/entities/evaluacion-proceso.entity.ts:97: ═══════════════════════════════════════════════════════════════════════ RELACIÓN CON PROCESO MAESTRO ═══════════════════════════════════════════════════════════════════════ | Validación: IsBoolean, IsOptional</t>
        </is>
      </c>
      <c r="Q1629" s="18" t="inlineStr">
        <is>
          <t>Código fuente (verificado)</t>
        </is>
      </c>
      <c r="R1629" s="18" t="inlineStr">
        <is>
          <t>Indica si existe un requerimiento de entes reguladores (por ejemplo, Contraloría, Procuraduría o ministerios) para auditar el proceso; no registra cuál ente lo hizo. Por defecto falso.</t>
        </is>
      </c>
      <c r="S1629" s="18" t="inlineStr">
        <is>
          <t>Alta</t>
        </is>
      </c>
      <c r="T1629" s="18" t="inlineStr">
        <is>
          <t>apps/mfe-control-interno/src/components/FormularioEvaluacionDafpCompleta.tsx:407-410: «¿Existe requerimiento de Entes Reguladores?» con esos ejemplos | backend/internal-institutional-control-service/src/esap/universo-auditorias/entities/evaluacion-proceso.entity.ts:97: solo booleano; no hay columna para el ente</t>
        </is>
      </c>
      <c r="U1629" s="18" t="inlineStr"/>
      <c r="V1629" s="19" t="inlineStr">
        <is>
          <t>Aprobada</t>
        </is>
      </c>
      <c r="W1629" s="19" t="inlineStr"/>
      <c r="X1629" s="19" t="inlineStr">
        <is>
          <t>Aldair González (aprobación en bloque)</t>
        </is>
      </c>
      <c r="Y1629" s="20" t="n">
        <v>46321</v>
      </c>
      <c r="Z1629" s="19" t="inlineStr">
        <is>
          <t>Nivel 3: verificada con el código de la aplicación.</t>
        </is>
      </c>
      <c r="AA1629" s="18">
        <f>IF(OR(V1629="Aprobada"),R1629,IF(AND(OR(V1629="Aprobada con ajuste",V1629="Rechazada"),W1629&lt;&gt;""),W1629,""))</f>
        <v/>
      </c>
    </row>
    <row r="1630">
      <c r="A1630" s="18" t="inlineStr">
        <is>
          <t>C1629</t>
        </is>
      </c>
      <c r="B1630" s="18" t="inlineStr">
        <is>
          <t>Control interno</t>
        </is>
      </c>
      <c r="C1630" s="18" t="inlineStr">
        <is>
          <t>control_interno</t>
        </is>
      </c>
      <c r="D1630" s="18" t="inlineStr">
        <is>
          <t>evaluacion_proceso</t>
        </is>
      </c>
      <c r="E1630" s="18" t="n">
        <v>54</v>
      </c>
      <c r="F1630" s="18" t="inlineStr">
        <is>
          <t>fecha_ultima_auditoria</t>
        </is>
      </c>
      <c r="G1630" s="18" t="inlineStr">
        <is>
          <t>date</t>
        </is>
      </c>
      <c r="H1630" s="18" t="inlineStr">
        <is>
          <t>Sí</t>
        </is>
      </c>
      <c r="I1630" s="18" t="inlineStr"/>
      <c r="J1630" s="18" t="inlineStr"/>
      <c r="K1630" s="18" t="inlineStr"/>
      <c r="L1630" s="18" t="inlineStr">
        <is>
          <t>No</t>
        </is>
      </c>
      <c r="M1630" s="18" t="inlineStr">
        <is>
          <t>No</t>
        </is>
      </c>
      <c r="N1630" s="18" t="inlineStr"/>
      <c r="O1630" s="18" t="inlineStr"/>
      <c r="P1630" s="18" t="inlineStr">
        <is>
          <t>internal-institutional-control-service/src/esap/universo-auditorias/entities/evaluacion-proceso.entity.ts:104: ═══════════════════════════════════════════════════════════════════════ RELACIÓN CON PROCESO MAESTRO ═══════════════════════════════════════════════════════════════════════ | db/migrations/175_create_evaluacion_proceso.sql:33: Sección 3: Información de auditoría anterior (L, N) | Validación: IsDateString, IsOptional</t>
        </is>
      </c>
      <c r="Q1630" s="18" t="inlineStr">
        <is>
          <t>Código fuente</t>
        </is>
      </c>
      <c r="R1630" s="18" t="inlineStr">
        <is>
          <t>Fecha de la última auditoría realizada al proceso (sección 3 de la evaluación).</t>
        </is>
      </c>
      <c r="S1630" s="18" t="inlineStr">
        <is>
          <t>Alta</t>
        </is>
      </c>
      <c r="T1630" s="18" t="inlineStr">
        <is>
          <t>código: db/migrations/175_create_evaluacion_proceso.sql:33</t>
        </is>
      </c>
      <c r="U1630" s="18" t="inlineStr"/>
      <c r="V1630" s="19" t="inlineStr">
        <is>
          <t>Aprobada</t>
        </is>
      </c>
      <c r="W1630" s="19" t="inlineStr"/>
      <c r="X1630" s="19" t="inlineStr">
        <is>
          <t>Aldair González (aprobación en bloque)</t>
        </is>
      </c>
      <c r="Y1630" s="20" t="n">
        <v>46321</v>
      </c>
      <c r="Z1630" s="19" t="inlineStr">
        <is>
          <t>Nivel 1: propuesta del comentario del desarrollador o de confianza alta, o regla de fecha/responsable/motivo.</t>
        </is>
      </c>
      <c r="AA1630" s="18">
        <f>IF(OR(V1630="Aprobada"),R1630,IF(AND(OR(V1630="Aprobada con ajuste",V1630="Rechazada"),W1630&lt;&gt;""),W1630,""))</f>
        <v/>
      </c>
    </row>
    <row r="1631">
      <c r="A1631" s="18" t="inlineStr">
        <is>
          <t>C1630</t>
        </is>
      </c>
      <c r="B1631" s="18" t="inlineStr">
        <is>
          <t>Control interno</t>
        </is>
      </c>
      <c r="C1631" s="18" t="inlineStr">
        <is>
          <t>control_interno</t>
        </is>
      </c>
      <c r="D1631" s="18" t="inlineStr">
        <is>
          <t>evaluacion_proceso</t>
        </is>
      </c>
      <c r="E1631" s="18" t="n">
        <v>54</v>
      </c>
      <c r="F1631" s="18" t="inlineStr">
        <is>
          <t>resultado_ultima_auditoria</t>
        </is>
      </c>
      <c r="G1631" s="18" t="inlineStr">
        <is>
          <t>character varying(100)</t>
        </is>
      </c>
      <c r="H1631" s="18" t="inlineStr">
        <is>
          <t>Sí</t>
        </is>
      </c>
      <c r="I1631" s="18" t="inlineStr"/>
      <c r="J1631" s="18" t="inlineStr"/>
      <c r="K1631" s="18" t="inlineStr"/>
      <c r="L1631" s="18" t="inlineStr">
        <is>
          <t>No</t>
        </is>
      </c>
      <c r="M1631" s="18" t="inlineStr">
        <is>
          <t>No</t>
        </is>
      </c>
      <c r="N1631" s="18" t="inlineStr"/>
      <c r="O1631" s="18" t="inlineStr"/>
      <c r="P1631" s="18" t="inlineStr">
        <is>
          <t>internal-institutional-control-service/src/esap/universo-auditorias/entities/evaluacion-proceso.entity.ts:107: ═══════════════════════════════════════════════════════════════════════ RELACIÓN CON PROCESO MAESTRO ═══════════════════════════════════════════════════════════════════════ | Validación: IsOptional, IsString</t>
        </is>
      </c>
      <c r="Q1631" s="18" t="inlineStr">
        <is>
          <t>Código fuente (verificado)</t>
        </is>
      </c>
      <c r="R1631" s="18" t="inlineStr">
        <is>
          <t>Resultado de la última auditoría realizada al proceso. El formulario ofrece SIN_AUDITORIA, ADECUADO e INADECUADO; el backend admite texto libre de hasta 100 caracteres.</t>
        </is>
      </c>
      <c r="S1631" s="18" t="inlineStr">
        <is>
          <t>Alta</t>
        </is>
      </c>
      <c r="T1631" s="18" t="inlineStr">
        <is>
          <t>apps/mfe-control-interno/src/components/FormularioEvaluacionDafpCompleta.tsx:54,451: opciones SIN_AUDITORIA, ADECUADO, INADECUADO (SIN_AUDITORIA por defecto) | backend/internal-institutional-control-service/src/esap/universo-auditorias/dto/evaluacion-proceso.dto.ts:87-89: IsOptional, IsString, sin lista cerrada</t>
        </is>
      </c>
      <c r="U1631" s="18" t="inlineStr"/>
      <c r="V1631" s="19" t="inlineStr">
        <is>
          <t>Aprobada</t>
        </is>
      </c>
      <c r="W1631" s="19" t="inlineStr"/>
      <c r="X1631" s="19" t="inlineStr">
        <is>
          <t>Aldair González (aprobación en bloque)</t>
        </is>
      </c>
      <c r="Y1631" s="20" t="n">
        <v>46321</v>
      </c>
      <c r="Z1631" s="19" t="inlineStr">
        <is>
          <t>Nivel 3: verificada con el código de la aplicación.</t>
        </is>
      </c>
      <c r="AA1631" s="18">
        <f>IF(OR(V1631="Aprobada"),R1631,IF(AND(OR(V1631="Aprobada con ajuste",V1631="Rechazada"),W1631&lt;&gt;""),W1631,""))</f>
        <v/>
      </c>
    </row>
    <row r="1632">
      <c r="A1632" s="18" t="inlineStr">
        <is>
          <t>C1631</t>
        </is>
      </c>
      <c r="B1632" s="18" t="inlineStr">
        <is>
          <t>Control interno</t>
        </is>
      </c>
      <c r="C1632" s="18" t="inlineStr">
        <is>
          <t>control_interno</t>
        </is>
      </c>
      <c r="D1632" s="18" t="inlineStr">
        <is>
          <t>evaluacion_proceso</t>
        </is>
      </c>
      <c r="E1632" s="18" t="n">
        <v>54</v>
      </c>
      <c r="F1632" s="18" t="inlineStr">
        <is>
          <t>criticidad</t>
        </is>
      </c>
      <c r="G1632" s="18" t="inlineStr">
        <is>
          <t>integer</t>
        </is>
      </c>
      <c r="H1632" s="18" t="inlineStr">
        <is>
          <t>Sí</t>
        </is>
      </c>
      <c r="I1632" s="18" t="inlineStr"/>
      <c r="J1632" s="18" t="inlineStr"/>
      <c r="K1632" s="18" t="inlineStr"/>
      <c r="L1632" s="18" t="inlineStr">
        <is>
          <t>No</t>
        </is>
      </c>
      <c r="M1632" s="18" t="inlineStr">
        <is>
          <t>No</t>
        </is>
      </c>
      <c r="N1632" s="18" t="inlineStr"/>
      <c r="O1632" s="18" t="inlineStr"/>
      <c r="P1632" s="18" t="inlineStr">
        <is>
          <t>internal-institutional-control-service/src/esap/universo-auditorias/entities/evaluacion-proceso.entity.ts:114: ═══════════════════════════════════════════════════════════════════════ RELACIÓN CON PROCESO MAESTRO ═══════════════════════════════════════════════════════════════════════ | db/migrations/175_create_evaluacion_proceso.sql:37: Score de riesgo C+E-M (modelo simplificado 0-15) | Validación: IsNumber, IsOptional, Max(5), Min(0)</t>
        </is>
      </c>
      <c r="Q1632" s="18" t="inlineStr">
        <is>
          <t>Código fuente</t>
        </is>
      </c>
      <c r="R1632" s="18" t="inlineStr">
        <is>
          <t>Calificación de criticidad del proceso, de 0 a 5; componente C del puntaje de riesgo C+E-M. Por defecto 0.</t>
        </is>
      </c>
      <c r="S1632" s="18" t="inlineStr">
        <is>
          <t>Alta</t>
        </is>
      </c>
      <c r="T1632" s="18" t="inlineStr">
        <is>
          <t>código: db/migrations/175_create_evaluacion_proceso.sql:37</t>
        </is>
      </c>
      <c r="U1632" s="18" t="inlineStr"/>
      <c r="V1632" s="19" t="inlineStr">
        <is>
          <t>Aprobada</t>
        </is>
      </c>
      <c r="W1632" s="19" t="inlineStr"/>
      <c r="X1632" s="19" t="inlineStr">
        <is>
          <t>Aldair González (aprobación en bloque)</t>
        </is>
      </c>
      <c r="Y1632" s="20" t="n">
        <v>46321</v>
      </c>
      <c r="Z1632" s="19" t="inlineStr">
        <is>
          <t>Nivel 1: propuesta del comentario del desarrollador o de confianza alta, o regla de fecha/responsable/motivo.</t>
        </is>
      </c>
      <c r="AA1632" s="18">
        <f>IF(OR(V1632="Aprobada"),R1632,IF(AND(OR(V1632="Aprobada con ajuste",V1632="Rechazada"),W1632&lt;&gt;""),W1632,""))</f>
        <v/>
      </c>
    </row>
    <row r="1633">
      <c r="A1633" s="18" t="inlineStr">
        <is>
          <t>C1632</t>
        </is>
      </c>
      <c r="B1633" s="18" t="inlineStr">
        <is>
          <t>Control interno</t>
        </is>
      </c>
      <c r="C1633" s="18" t="inlineStr">
        <is>
          <t>control_interno</t>
        </is>
      </c>
      <c r="D1633" s="18" t="inlineStr">
        <is>
          <t>evaluacion_proceso</t>
        </is>
      </c>
      <c r="E1633" s="18" t="n">
        <v>54</v>
      </c>
      <c r="F1633" s="18" t="inlineStr">
        <is>
          <t>exposicion</t>
        </is>
      </c>
      <c r="G1633" s="18" t="inlineStr">
        <is>
          <t>integer</t>
        </is>
      </c>
      <c r="H1633" s="18" t="inlineStr">
        <is>
          <t>Sí</t>
        </is>
      </c>
      <c r="I1633" s="18" t="inlineStr"/>
      <c r="J1633" s="18" t="inlineStr"/>
      <c r="K1633" s="18" t="inlineStr"/>
      <c r="L1633" s="18" t="inlineStr">
        <is>
          <t>No</t>
        </is>
      </c>
      <c r="M1633" s="18" t="inlineStr">
        <is>
          <t>No</t>
        </is>
      </c>
      <c r="N1633" s="18" t="inlineStr"/>
      <c r="O1633" s="18" t="inlineStr"/>
      <c r="P1633" s="18" t="inlineStr">
        <is>
          <t>internal-institutional-control-service/src/esap/universo-auditorias/entities/evaluacion-proceso.entity.ts:117: ═══════════════════════════════════════════════════════════════════════ RELACIÓN CON PROCESO MAESTRO ═══════════════════════════════════════════════════════════════════════ | Validación: IsNumber, IsOptional, Max(5), Min(0)</t>
        </is>
      </c>
      <c r="Q1633" s="18" t="inlineStr">
        <is>
          <t>Código fuente (verificado)</t>
        </is>
      </c>
      <c r="R1633" s="18" t="inlineStr">
        <is>
          <t>Calificación de exposición del proceso, de 0 a 5; es el componente E del puntaje de riesgo C+E-M. Por defecto 0.</t>
        </is>
      </c>
      <c r="S1633" s="18" t="inlineStr">
        <is>
          <t>Alta</t>
        </is>
      </c>
      <c r="T1633" s="18" t="inlineStr">
        <is>
          <t>backend/internal-institutional-control-service/src/esap/universo-auditorias/entities/evaluacion-proceso.entity.ts:111-118: sección «Score de riesgo C+E-M» | backend/internal-institutional-control-service/src/esap/universo-auditorias/evaluacion-proceso.service.ts:211: criticidad + exposicion - mitigantes</t>
        </is>
      </c>
      <c r="U1633" s="18" t="inlineStr"/>
      <c r="V1633" s="19" t="inlineStr">
        <is>
          <t>Aprobada</t>
        </is>
      </c>
      <c r="W1633" s="19" t="inlineStr"/>
      <c r="X1633" s="19" t="inlineStr">
        <is>
          <t>Aldair González (aprobación en bloque)</t>
        </is>
      </c>
      <c r="Y1633" s="20" t="n">
        <v>46321</v>
      </c>
      <c r="Z1633" s="19" t="inlineStr">
        <is>
          <t>Nivel 3: verificada con el código de la aplicación.</t>
        </is>
      </c>
      <c r="AA1633" s="18">
        <f>IF(OR(V1633="Aprobada"),R1633,IF(AND(OR(V1633="Aprobada con ajuste",V1633="Rechazada"),W1633&lt;&gt;""),W1633,""))</f>
        <v/>
      </c>
    </row>
    <row r="1634">
      <c r="A1634" s="18" t="inlineStr">
        <is>
          <t>C1633</t>
        </is>
      </c>
      <c r="B1634" s="18" t="inlineStr">
        <is>
          <t>Control interno</t>
        </is>
      </c>
      <c r="C1634" s="18" t="inlineStr">
        <is>
          <t>control_interno</t>
        </is>
      </c>
      <c r="D1634" s="18" t="inlineStr">
        <is>
          <t>evaluacion_proceso</t>
        </is>
      </c>
      <c r="E1634" s="18" t="n">
        <v>54</v>
      </c>
      <c r="F1634" s="18" t="inlineStr">
        <is>
          <t>mitigantes</t>
        </is>
      </c>
      <c r="G1634" s="18" t="inlineStr">
        <is>
          <t>integer</t>
        </is>
      </c>
      <c r="H1634" s="18" t="inlineStr">
        <is>
          <t>Sí</t>
        </is>
      </c>
      <c r="I1634" s="18" t="inlineStr"/>
      <c r="J1634" s="18" t="inlineStr"/>
      <c r="K1634" s="18" t="inlineStr"/>
      <c r="L1634" s="18" t="inlineStr">
        <is>
          <t>No</t>
        </is>
      </c>
      <c r="M1634" s="18" t="inlineStr">
        <is>
          <t>No</t>
        </is>
      </c>
      <c r="N1634" s="18" t="inlineStr"/>
      <c r="O1634" s="18" t="inlineStr"/>
      <c r="P1634" s="18" t="inlineStr">
        <is>
          <t>internal-institutional-control-service/src/esap/universo-auditorias/entities/evaluacion-proceso.entity.ts:120: ═══════════════════════════════════════════════════════════════════════ RELACIÓN CON PROCESO MAESTRO ═══════════════════════════════════════════════════════════════════════ | Validación: IsNumber, IsOptional, Max(5), Min(0)</t>
        </is>
      </c>
      <c r="Q1634" s="18" t="inlineStr">
        <is>
          <t>Código fuente (verificado)</t>
        </is>
      </c>
      <c r="R1634" s="18" t="inlineStr">
        <is>
          <t>Calificación de los mitigantes del proceso, de 0 a 5; es el componente M que se resta en el puntaje de riesgo C+E-M. Por defecto 0.</t>
        </is>
      </c>
      <c r="S1634" s="18" t="inlineStr">
        <is>
          <t>Alta</t>
        </is>
      </c>
      <c r="T1634" s="18" t="inlineStr">
        <is>
          <t>backend/internal-institutional-control-service/src/esap/universo-auditorias/entities/evaluacion-proceso.entity.ts:111-121: sección «Score de riesgo C+E-M» | backend/internal-institutional-control-service/src/esap/universo-auditorias/evaluacion-proceso.service.ts:349-350: criticidad + exposicion - mitigantes</t>
        </is>
      </c>
      <c r="U1634" s="18" t="inlineStr"/>
      <c r="V1634" s="19" t="inlineStr">
        <is>
          <t>Aprobada</t>
        </is>
      </c>
      <c r="W1634" s="19" t="inlineStr"/>
      <c r="X1634" s="19" t="inlineStr">
        <is>
          <t>Aldair González (aprobación en bloque)</t>
        </is>
      </c>
      <c r="Y1634" s="20" t="n">
        <v>46321</v>
      </c>
      <c r="Z1634" s="19" t="inlineStr">
        <is>
          <t>Nivel 3: verificada con el código de la aplicación.</t>
        </is>
      </c>
      <c r="AA1634" s="18">
        <f>IF(OR(V1634="Aprobada"),R1634,IF(AND(OR(V1634="Aprobada con ajuste",V1634="Rechazada"),W1634&lt;&gt;""),W1634,""))</f>
        <v/>
      </c>
    </row>
    <row r="1635">
      <c r="A1635" s="18" t="inlineStr">
        <is>
          <t>C1634</t>
        </is>
      </c>
      <c r="B1635" s="18" t="inlineStr">
        <is>
          <t>Control interno</t>
        </is>
      </c>
      <c r="C1635" s="18" t="inlineStr">
        <is>
          <t>control_interno</t>
        </is>
      </c>
      <c r="D1635" s="18" t="inlineStr">
        <is>
          <t>evaluacion_proceso</t>
        </is>
      </c>
      <c r="E1635" s="18" t="n">
        <v>54</v>
      </c>
      <c r="F1635" s="18" t="inlineStr">
        <is>
          <t>score_riesgo</t>
        </is>
      </c>
      <c r="G1635" s="18" t="inlineStr">
        <is>
          <t>integer</t>
        </is>
      </c>
      <c r="H1635" s="18" t="inlineStr">
        <is>
          <t>Sí</t>
        </is>
      </c>
      <c r="I1635" s="18" t="inlineStr"/>
      <c r="J1635" s="18" t="inlineStr"/>
      <c r="K1635" s="18" t="inlineStr"/>
      <c r="L1635" s="18" t="inlineStr">
        <is>
          <t>No</t>
        </is>
      </c>
      <c r="M1635" s="18" t="inlineStr">
        <is>
          <t>No</t>
        </is>
      </c>
      <c r="N1635" s="18" t="inlineStr"/>
      <c r="O1635" s="18" t="inlineStr"/>
      <c r="P1635" s="18" t="inlineStr">
        <is>
          <t>internal-institutional-control-service/src/esap/universo-auditorias/entities/evaluacion-proceso.entity.ts:123: ═══════════════════════════════════════════════════════════════════════ RELACIÓN CON PROCESO MAESTRO ═══════════════════════════════════════════════════════════════════════ | Validación: IsNumber, IsOptional, Max(15), Min(0)</t>
        </is>
      </c>
      <c r="Q1635" s="18" t="inlineStr">
        <is>
          <t>Código fuente (verificado)</t>
        </is>
      </c>
      <c r="R1635" s="18" t="inlineStr">
        <is>
          <t>Puntaje de riesgo del proceso, de 0 a 15, calculado como criticidad + exposición − mitigantes y acotado a ese rango. Por defecto 0.</t>
        </is>
      </c>
      <c r="S1635" s="18" t="inlineStr">
        <is>
          <t>Alta</t>
        </is>
      </c>
      <c r="T1635" s="18" t="inlineStr">
        <is>
          <t>backend/internal-institutional-control-service/src/esap/universo-auditorias/evaluacion-proceso.service.ts:209-211: al crear se calcula si no viene en la solicitud | backend/internal-institutional-control-service/src/esap/universo-auditorias/evaluacion-proceso.service.ts:349-351: al actualizar siempre se recalcula | apps/mfe-control-interno/src/components/FormularioProcesoDafpVisualSimplificado.tsx:653: el formulario envía scoreRiesgo = ponderacionFinalDafp, que el backend respeta solo al crear</t>
        </is>
      </c>
      <c r="U1635" s="18" t="inlineStr"/>
      <c r="V1635" s="19" t="inlineStr">
        <is>
          <t>Aprobada</t>
        </is>
      </c>
      <c r="W1635" s="19" t="inlineStr"/>
      <c r="X1635" s="19" t="inlineStr">
        <is>
          <t>Aldair González (aprobación en bloque)</t>
        </is>
      </c>
      <c r="Y1635" s="20" t="n">
        <v>46321</v>
      </c>
      <c r="Z1635" s="19" t="inlineStr">
        <is>
          <t>Nivel 3: verificada con el código de la aplicación.</t>
        </is>
      </c>
      <c r="AA1635" s="18">
        <f>IF(OR(V1635="Aprobada"),R1635,IF(AND(OR(V1635="Aprobada con ajuste",V1635="Rechazada"),W1635&lt;&gt;""),W1635,""))</f>
        <v/>
      </c>
    </row>
    <row r="1636">
      <c r="A1636" s="18" t="inlineStr">
        <is>
          <t>C1635</t>
        </is>
      </c>
      <c r="B1636" s="18" t="inlineStr">
        <is>
          <t>Control interno</t>
        </is>
      </c>
      <c r="C1636" s="18" t="inlineStr">
        <is>
          <t>control_interno</t>
        </is>
      </c>
      <c r="D1636" s="18" t="inlineStr">
        <is>
          <t>evaluacion_proceso</t>
        </is>
      </c>
      <c r="E1636" s="18" t="n">
        <v>54</v>
      </c>
      <c r="F1636" s="18" t="inlineStr">
        <is>
          <t>dias_transcurridos</t>
        </is>
      </c>
      <c r="G1636" s="18" t="inlineStr">
        <is>
          <t>integer</t>
        </is>
      </c>
      <c r="H1636" s="18" t="inlineStr">
        <is>
          <t>Sí</t>
        </is>
      </c>
      <c r="I1636" s="18" t="inlineStr"/>
      <c r="J1636" s="18" t="inlineStr"/>
      <c r="K1636" s="18" t="inlineStr"/>
      <c r="L1636" s="18" t="inlineStr">
        <is>
          <t>No</t>
        </is>
      </c>
      <c r="M1636" s="18" t="inlineStr">
        <is>
          <t>No</t>
        </is>
      </c>
      <c r="N1636" s="18" t="inlineStr"/>
      <c r="O1636" s="18" t="inlineStr"/>
      <c r="P1636" s="18" t="inlineStr">
        <is>
          <t>internal-institutional-control-service/src/esap/universo-auditorias/entities/evaluacion-proceso.entity.ts:163: ═══════════════════════════════════════════════════════════════════════ RELACIÓN CON PROCESO MAESTRO ═══════════════════════════════════════════════════════════════════════ | Validación: IsNumber, IsOptional</t>
        </is>
      </c>
      <c r="Q1636" s="18" t="inlineStr">
        <is>
          <t>Código fuente (verificado)</t>
        </is>
      </c>
      <c r="R1636" s="18" t="inlineStr">
        <is>
          <t>Número de días transcurridos desde la última auditoría del proceso.</t>
        </is>
      </c>
      <c r="S1636" s="18" t="inlineStr">
        <is>
          <t>Media</t>
        </is>
      </c>
      <c r="T1636" s="18" t="inlineStr">
        <is>
          <t>backend/internal-institutional-control-service/src/esap/universo-auditorias/evaluacion-proceso.service.ts:232,318: se guarda tal como llega | apps/mfe-control-interno/src/components/dafp-utils.ts:65-74: calcularDiasTranscurridos = fecha_corte − fecha_ultima_auditoria en días, función que no se invoca en el formulario actual | apps/mfe-control-interno/src/components/FormularioProcesoDafpVisualSimplificado.tsx:260: conserva el valor existente</t>
        </is>
      </c>
      <c r="U1636" s="18" t="inlineStr">
        <is>
          <t>¿dias_transcurridos sigue en uso? El backend no lo calcula y el formulario actual no invoca calcularDiasTranscurridos (fecha_corte − fecha_ultima_auditoria).</t>
        </is>
      </c>
      <c r="V1636" s="19" t="inlineStr">
        <is>
          <t>Aprobada</t>
        </is>
      </c>
      <c r="W1636" s="19" t="inlineStr"/>
      <c r="X1636" s="19" t="inlineStr">
        <is>
          <t>Aldair González (validación del responsable de BD)</t>
        </is>
      </c>
      <c r="Y1636" s="20" t="n">
        <v>46321</v>
      </c>
      <c r="Z1636" s="19" t="inlineStr">
        <is>
          <t>Nivel 3: validada por decisión del responsable de la base de datos. Pregunta registrada para desarrollo: ¿dias_transcurridos sigue en uso? El backend no lo calcula y el formulario actual no invoca calcularDiasTranscurridos (fecha_corte − fecha_ultima_auditoria).</t>
        </is>
      </c>
      <c r="AA1636" s="18">
        <f>IF(OR(V1636="Aprobada"),R1636,IF(AND(OR(V1636="Aprobada con ajuste",V1636="Rechazada"),W1636&lt;&gt;""),W1636,""))</f>
        <v/>
      </c>
    </row>
    <row r="1637">
      <c r="A1637" s="18" t="inlineStr">
        <is>
          <t>C1636</t>
        </is>
      </c>
      <c r="B1637" s="18" t="inlineStr">
        <is>
          <t>Control interno</t>
        </is>
      </c>
      <c r="C1637" s="18" t="inlineStr">
        <is>
          <t>control_interno</t>
        </is>
      </c>
      <c r="D1637" s="18" t="inlineStr">
        <is>
          <t>evaluacion_proceso</t>
        </is>
      </c>
      <c r="E1637" s="18" t="n">
        <v>54</v>
      </c>
      <c r="F1637" s="18" t="inlineStr">
        <is>
          <t>plan_rotacion</t>
        </is>
      </c>
      <c r="G1637" s="18" t="inlineStr">
        <is>
          <t>character varying(20)</t>
        </is>
      </c>
      <c r="H1637" s="18" t="inlineStr">
        <is>
          <t>Sí</t>
        </is>
      </c>
      <c r="I1637" s="18" t="inlineStr"/>
      <c r="J1637" s="18" t="inlineStr"/>
      <c r="K1637" s="18" t="inlineStr"/>
      <c r="L1637" s="18" t="inlineStr">
        <is>
          <t>No</t>
        </is>
      </c>
      <c r="M1637" s="18" t="inlineStr">
        <is>
          <t>No</t>
        </is>
      </c>
      <c r="N1637" s="18" t="inlineStr"/>
      <c r="O1637" s="18" t="inlineStr"/>
      <c r="P1637" s="18" t="inlineStr">
        <is>
          <t>internal-institutional-control-service/src/esap/universo-auditorias/entities/evaluacion-proceso.entity.ts:166: ═══════════════════════════════════════════════════════════════════════ RELACIÓN CON PROCESO MAESTRO ═══════════════════════════════════════════════════════════════════════ | Validación: IsOptional, IsString</t>
        </is>
      </c>
      <c r="Q1637" s="18" t="inlineStr">
        <is>
          <t>Código fuente (verificado)</t>
        </is>
      </c>
      <c r="R1637" s="18" t="inlineStr">
        <is>
          <t>Ciclo de rotación de auditoría asignado al proceso según la ponderación DAFP; el formulario actual guarda el mismo valor de ciclo_rotacion_dafp (Cada año, Cada 2 años, Cada 3 años, Cada 4 años, No auditar o Todos los años).</t>
        </is>
      </c>
      <c r="S1637" s="18" t="inlineStr">
        <is>
          <t>Alta</t>
        </is>
      </c>
      <c r="T1637" s="18" t="inlineStr">
        <is>
          <t>apps/mfe-control-interno/src/components/FormularioProcesoDafpVisualSimplificado.tsx:638: planRotacion = cicloRotacionDafp | apps/mfe-control-interno/src/components/FormularioProcesoDafpVisualSimplificado.tsx:336-340: ciclos y días de rotación por rango de ponderación | apps/mfe-control-interno/src/components/FormularioProcesoDafpVisualSimplificado.tsx:502: «Todos los años» para procesos especiales | backend/internal-institutional-control-service/src/esap/universo-auditorias/dto/evaluacion-proceso.dto.ts:173-175: texto libre</t>
        </is>
      </c>
      <c r="U1637" s="18" t="inlineStr"/>
      <c r="V1637" s="19" t="inlineStr">
        <is>
          <t>Aprobada</t>
        </is>
      </c>
      <c r="W1637" s="19" t="inlineStr"/>
      <c r="X1637" s="19" t="inlineStr">
        <is>
          <t>Aldair González (aprobación en bloque)</t>
        </is>
      </c>
      <c r="Y1637" s="20" t="n">
        <v>46321</v>
      </c>
      <c r="Z1637" s="19" t="inlineStr">
        <is>
          <t>Nivel 3: verificada con el código de la aplicación.</t>
        </is>
      </c>
      <c r="AA1637" s="18">
        <f>IF(OR(V1637="Aprobada"),R1637,IF(AND(OR(V1637="Aprobada con ajuste",V1637="Rechazada"),W1637&lt;&gt;""),W1637,""))</f>
        <v/>
      </c>
    </row>
    <row r="1638">
      <c r="A1638" s="18" t="inlineStr">
        <is>
          <t>C1637</t>
        </is>
      </c>
      <c r="B1638" s="18" t="inlineStr">
        <is>
          <t>Control interno</t>
        </is>
      </c>
      <c r="C1638" s="18" t="inlineStr">
        <is>
          <t>control_interno</t>
        </is>
      </c>
      <c r="D1638" s="18" t="inlineStr">
        <is>
          <t>evaluacion_proceso</t>
        </is>
      </c>
      <c r="E1638" s="18" t="n">
        <v>54</v>
      </c>
      <c r="F1638" s="18" t="inlineStr">
        <is>
          <t>dias_rotacion</t>
        </is>
      </c>
      <c r="G1638" s="18" t="inlineStr">
        <is>
          <t>integer</t>
        </is>
      </c>
      <c r="H1638" s="18" t="inlineStr">
        <is>
          <t>Sí</t>
        </is>
      </c>
      <c r="I1638" s="18" t="inlineStr"/>
      <c r="J1638" s="18" t="inlineStr"/>
      <c r="K1638" s="18" t="inlineStr"/>
      <c r="L1638" s="18" t="inlineStr">
        <is>
          <t>No</t>
        </is>
      </c>
      <c r="M1638" s="18" t="inlineStr">
        <is>
          <t>No</t>
        </is>
      </c>
      <c r="N1638" s="18" t="inlineStr"/>
      <c r="O1638" s="18" t="inlineStr"/>
      <c r="P1638" s="18" t="inlineStr">
        <is>
          <t>internal-institutional-control-service/src/esap/universo-auditorias/entities/evaluacion-proceso.entity.ts:169: ═══════════════════════════════════════════════════════════════════════ RELACIÓN CON PROCESO MAESTRO ═══════════════════════════════════════════════════════════════════════ | Validación: IsNumber, IsOptional</t>
        </is>
      </c>
      <c r="Q1638" s="18" t="inlineStr">
        <is>
          <t>Código fuente (verificado)</t>
        </is>
      </c>
      <c r="R1638" s="18" t="inlineStr">
        <is>
          <t>Número de días del ciclo de rotación de auditoría del proceso, derivado del ciclo DAFP (365, 730, 1095 o 1460; 0 para No auditar). El backend usa 360 si no llega un valor.</t>
        </is>
      </c>
      <c r="S1638" s="18" t="inlineStr">
        <is>
          <t>Alta</t>
        </is>
      </c>
      <c r="T1638" s="18" t="inlineStr">
        <is>
          <t>apps/mfe-control-interno/src/components/FormularioProcesoDafpVisualSimplificado.tsx:336-340,639: días por ciclo | backend/internal-institutional-control-service/src/esap/universo-auditorias/evaluacion-proceso.service.ts:234: diasRotacion || 360 al crear | apps/mfe-control-interno/src/components/dafp-utils.ts:80-82: se incluye el proceso si dias_transcurridos supera dias_rotacion</t>
        </is>
      </c>
      <c r="U1638" s="18" t="inlineStr"/>
      <c r="V1638" s="19" t="inlineStr">
        <is>
          <t>Aprobada</t>
        </is>
      </c>
      <c r="W1638" s="19" t="inlineStr"/>
      <c r="X1638" s="19" t="inlineStr">
        <is>
          <t>Aldair González (aprobación en bloque)</t>
        </is>
      </c>
      <c r="Y1638" s="20" t="n">
        <v>46321</v>
      </c>
      <c r="Z1638" s="19" t="inlineStr">
        <is>
          <t>Nivel 3: verificada con el código de la aplicación.</t>
        </is>
      </c>
      <c r="AA1638" s="18">
        <f>IF(OR(V1638="Aprobada"),R1638,IF(AND(OR(V1638="Aprobada con ajuste",V1638="Rechazada"),W1638&lt;&gt;""),W1638,""))</f>
        <v/>
      </c>
    </row>
    <row r="1639">
      <c r="A1639" s="18" t="inlineStr">
        <is>
          <t>C1638</t>
        </is>
      </c>
      <c r="B1639" s="18" t="inlineStr">
        <is>
          <t>Control interno</t>
        </is>
      </c>
      <c r="C1639" s="18" t="inlineStr">
        <is>
          <t>control_interno</t>
        </is>
      </c>
      <c r="D1639" s="18" t="inlineStr">
        <is>
          <t>evaluacion_proceso</t>
        </is>
      </c>
      <c r="E1639" s="18" t="n">
        <v>54</v>
      </c>
      <c r="F1639" s="18" t="inlineStr">
        <is>
          <t>decision_rotacion</t>
        </is>
      </c>
      <c r="G1639" s="18" t="inlineStr">
        <is>
          <t>character varying(20)</t>
        </is>
      </c>
      <c r="H1639" s="18" t="inlineStr">
        <is>
          <t>Sí</t>
        </is>
      </c>
      <c r="I1639" s="18" t="inlineStr"/>
      <c r="J1639" s="18" t="inlineStr"/>
      <c r="K1639" s="18" t="inlineStr"/>
      <c r="L1639" s="18" t="inlineStr">
        <is>
          <t>No</t>
        </is>
      </c>
      <c r="M1639" s="18" t="inlineStr">
        <is>
          <t>No</t>
        </is>
      </c>
      <c r="N1639" s="18" t="inlineStr"/>
      <c r="O1639" s="18" t="inlineStr"/>
      <c r="P1639" s="18" t="inlineStr">
        <is>
          <t>internal-institutional-control-service/src/esap/universo-auditorias/entities/evaluacion-proceso.entity.ts:172: ═══════════════════════════════════════════════════════════════════════ RELACIÓN CON PROCESO MAESTRO ═══════════════════════════════════════════════════════════════════════ | Validación: IsOptional, IsString</t>
        </is>
      </c>
      <c r="Q1639" s="18" t="inlineStr">
        <is>
          <t>Código fuente (verificado)</t>
        </is>
      </c>
      <c r="R1639" s="18" t="inlineStr">
        <is>
          <t>Decisión de programación según la rotación: «Incluir en año 1» o «Programar según rotación». Complementa decision_final, que registra INCLUIR_PLAN_ANUAL o INCLUIR_AUDITORIA_POSTERIOR.</t>
        </is>
      </c>
      <c r="S1639" s="18" t="inlineStr">
        <is>
          <t>Alta</t>
        </is>
      </c>
      <c r="T1639" s="18" t="inlineStr">
        <is>
          <t>apps/mfe-control-interno/src/components/FormularioProcesoDafpVisualSimplificado.tsx:640: decisionRotacion según si el año 1 está priorizado | apps/mfe-control-interno/src/components/FormularioProcesoDafpVisualSimplificado.tsx:512: decisionFinal | backend/internal-institutional-control-service/src/esap/universo-auditorias/entities/evaluacion-proceso.entity.ts:172: varchar(20); «Programar según rotación» tiene 24 caracteres</t>
        </is>
      </c>
      <c r="U1639" s="18" t="inlineStr"/>
      <c r="V1639" s="19" t="inlineStr">
        <is>
          <t>Aprobada</t>
        </is>
      </c>
      <c r="W1639" s="19" t="inlineStr"/>
      <c r="X1639" s="19" t="inlineStr">
        <is>
          <t>Aldair González (aprobación en bloque)</t>
        </is>
      </c>
      <c r="Y1639" s="20" t="n">
        <v>46321</v>
      </c>
      <c r="Z1639" s="19" t="inlineStr">
        <is>
          <t>Nivel 3: verificada con el código de la aplicación.</t>
        </is>
      </c>
      <c r="AA1639" s="18">
        <f>IF(OR(V1639="Aprobada"),R1639,IF(AND(OR(V1639="Aprobada con ajuste",V1639="Rechazada"),W1639&lt;&gt;""),W1639,""))</f>
        <v/>
      </c>
    </row>
    <row r="1640">
      <c r="A1640" s="18" t="inlineStr">
        <is>
          <t>C1639</t>
        </is>
      </c>
      <c r="B1640" s="18" t="inlineStr">
        <is>
          <t>Control interno</t>
        </is>
      </c>
      <c r="C1640" s="18" t="inlineStr">
        <is>
          <t>control_interno</t>
        </is>
      </c>
      <c r="D1640" s="18" t="inlineStr">
        <is>
          <t>evaluacion_proceso</t>
        </is>
      </c>
      <c r="E1640" s="18" t="n">
        <v>54</v>
      </c>
      <c r="F1640" s="18" t="inlineStr">
        <is>
          <t>motivo_decision</t>
        </is>
      </c>
      <c r="G1640" s="18" t="inlineStr">
        <is>
          <t>text</t>
        </is>
      </c>
      <c r="H1640" s="18" t="inlineStr">
        <is>
          <t>Sí</t>
        </is>
      </c>
      <c r="I1640" s="18" t="inlineStr"/>
      <c r="J1640" s="18" t="inlineStr"/>
      <c r="K1640" s="18" t="inlineStr"/>
      <c r="L1640" s="18" t="inlineStr">
        <is>
          <t>No</t>
        </is>
      </c>
      <c r="M1640" s="18" t="inlineStr">
        <is>
          <t>No</t>
        </is>
      </c>
      <c r="N1640" s="18" t="inlineStr"/>
      <c r="O1640" s="18" t="inlineStr"/>
      <c r="P1640" s="18" t="inlineStr">
        <is>
          <t>internal-institutional-control-service/src/esap/universo-auditorias/entities/evaluacion-proceso.entity.ts:182: ═══════════════════════════════════════════════════════════════════════ RELACIÓN CON PROCESO MAESTRO ═══════════════════════════════════════════════════════════════════════ | Validación: IsOptional, IsString</t>
        </is>
      </c>
      <c r="Q1640" s="18" t="inlineStr">
        <is>
          <t>Código fuente (verificado)</t>
        </is>
      </c>
      <c r="R1640" s="18" t="inlineStr">
        <is>
          <t>Motivo de la decisión final sobre la auditoría del proceso; el formulario lo genera con la ponderación DAFP, el nivel, el ciclo y si el proceso queda en el año 1 o en años posteriores.</t>
        </is>
      </c>
      <c r="S1640" s="18" t="inlineStr">
        <is>
          <t>Alta</t>
        </is>
      </c>
      <c r="T1640" s="18" t="inlineStr">
        <is>
          <t>apps/mfe-control-interno/src/components/FormularioProcesoDafpVisualSimplificado.tsx:513-526: texto generado a partir de decisionFinal y del ciclo | backend/internal-institutional-control-service/src/esap/universo-auditorias/evaluacion-proceso.service.ts:245: se guarda tal como llega</t>
        </is>
      </c>
      <c r="U1640" s="18" t="inlineStr"/>
      <c r="V1640" s="19" t="inlineStr">
        <is>
          <t>Aprobada</t>
        </is>
      </c>
      <c r="W1640" s="19" t="inlineStr"/>
      <c r="X1640" s="19" t="inlineStr">
        <is>
          <t>Aldair González (aprobación en bloque)</t>
        </is>
      </c>
      <c r="Y1640" s="20" t="n">
        <v>46321</v>
      </c>
      <c r="Z1640" s="19" t="inlineStr">
        <is>
          <t>Nivel 3: verificada con el código de la aplicación.</t>
        </is>
      </c>
      <c r="AA1640" s="18">
        <f>IF(OR(V1640="Aprobada"),R1640,IF(AND(OR(V1640="Aprobada con ajuste",V1640="Rechazada"),W1640&lt;&gt;""),W1640,""))</f>
        <v/>
      </c>
    </row>
    <row r="1641">
      <c r="A1641" s="18" t="inlineStr">
        <is>
          <t>C1640</t>
        </is>
      </c>
      <c r="B1641" s="18" t="inlineStr">
        <is>
          <t>Control interno</t>
        </is>
      </c>
      <c r="C1641" s="18" t="inlineStr">
        <is>
          <t>control_interno</t>
        </is>
      </c>
      <c r="D1641" s="18" t="inlineStr">
        <is>
          <t>evaluacion_proceso</t>
        </is>
      </c>
      <c r="E1641" s="18" t="n">
        <v>54</v>
      </c>
      <c r="F1641" s="18" t="inlineStr">
        <is>
          <t>prioridad_regla</t>
        </is>
      </c>
      <c r="G1641" s="18" t="inlineStr">
        <is>
          <t>integer</t>
        </is>
      </c>
      <c r="H1641" s="18" t="inlineStr">
        <is>
          <t>Sí</t>
        </is>
      </c>
      <c r="I1641" s="18" t="inlineStr"/>
      <c r="J1641" s="18" t="inlineStr"/>
      <c r="K1641" s="18" t="inlineStr"/>
      <c r="L1641" s="18" t="inlineStr">
        <is>
          <t>No</t>
        </is>
      </c>
      <c r="M1641" s="18" t="inlineStr">
        <is>
          <t>No</t>
        </is>
      </c>
      <c r="N1641" s="18" t="inlineStr"/>
      <c r="O1641" s="18" t="inlineStr"/>
      <c r="P1641" s="18" t="inlineStr">
        <is>
          <t>internal-institutional-control-service/src/esap/universo-auditorias/entities/evaluacion-proceso.entity.ts:185: ═══════════════════════════════════════════════════════════════════════ RELACIÓN CON PROCESO MAESTRO ═══════════════════════════════════════════════════════════════════════ 1-5, qué regla DAFP aplicó | Validación: IsNumber, IsOptional, Max(5), Min(1)</t>
        </is>
      </c>
      <c r="Q1641" s="18" t="inlineStr">
        <is>
          <t>Código fuente</t>
        </is>
      </c>
      <c r="R1641" s="18" t="inlineStr">
        <is>
          <t>Número de la regla DAFP aplicada en la evaluación del proceso, de 1 a 5.</t>
        </is>
      </c>
      <c r="S1641" s="18" t="inlineStr">
        <is>
          <t>Alta</t>
        </is>
      </c>
      <c r="T1641" s="18" t="inlineStr">
        <is>
          <t>código: internal-institutional-control-service/src/esap/universo-auditorias/entities/evaluacion-proceso.entity.ts:185</t>
        </is>
      </c>
      <c r="U1641" s="18" t="inlineStr"/>
      <c r="V1641" s="19" t="inlineStr">
        <is>
          <t>Aprobada</t>
        </is>
      </c>
      <c r="W1641" s="19" t="inlineStr"/>
      <c r="X1641" s="19" t="inlineStr">
        <is>
          <t>Aldair González (aprobación en bloque)</t>
        </is>
      </c>
      <c r="Y1641" s="20" t="n">
        <v>46321</v>
      </c>
      <c r="Z1641" s="19" t="inlineStr">
        <is>
          <t>Nivel 1: propuesta del comentario del desarrollador o de confianza alta, o regla de fecha/responsable/motivo.</t>
        </is>
      </c>
      <c r="AA1641" s="18">
        <f>IF(OR(V1641="Aprobada"),R1641,IF(AND(OR(V1641="Aprobada con ajuste",V1641="Rechazada"),W1641&lt;&gt;""),W1641,""))</f>
        <v/>
      </c>
    </row>
    <row r="1642">
      <c r="A1642" s="18" t="inlineStr">
        <is>
          <t>C1641</t>
        </is>
      </c>
      <c r="B1642" s="18" t="inlineStr">
        <is>
          <t>Control interno</t>
        </is>
      </c>
      <c r="C1642" s="18" t="inlineStr">
        <is>
          <t>control_interno</t>
        </is>
      </c>
      <c r="D1642" s="18" t="inlineStr">
        <is>
          <t>evaluacion_proceso</t>
        </is>
      </c>
      <c r="E1642" s="18" t="n">
        <v>54</v>
      </c>
      <c r="F1642" s="18" t="inlineStr">
        <is>
          <t>activo</t>
        </is>
      </c>
      <c r="G1642" s="18" t="inlineStr">
        <is>
          <t>boolean</t>
        </is>
      </c>
      <c r="H1642" s="18" t="inlineStr">
        <is>
          <t>Sí</t>
        </is>
      </c>
      <c r="I1642" s="18" t="inlineStr"/>
      <c r="J1642" s="18" t="inlineStr"/>
      <c r="K1642" s="18" t="inlineStr"/>
      <c r="L1642" s="18" t="inlineStr">
        <is>
          <t>No</t>
        </is>
      </c>
      <c r="M1642" s="18" t="inlineStr">
        <is>
          <t>No</t>
        </is>
      </c>
      <c r="N1642" s="18" t="inlineStr"/>
      <c r="O1642" s="18" t="inlineStr">
        <is>
          <t>idx_evaluacion_proceso_activo</t>
        </is>
      </c>
      <c r="P1642" s="18" t="inlineStr">
        <is>
          <t>internal-institutional-control-service/src/esap/universo-auditorias/entities/evaluacion-proceso.entity.ts:206: ═══════════════════════════════════════════════════════════════════════ RELACIÓN CON PROCESO MAESTRO ═══════════════════════════════════════════════════════════════════════ | Validación: IsBoolean, IsOptional</t>
        </is>
      </c>
      <c r="Q1642" s="18" t="inlineStr">
        <is>
          <t>Código fuente</t>
        </is>
      </c>
      <c r="R1642" s="18" t="inlineStr">
        <is>
          <t>Indica si la evaluación del proceso está activa. Por defecto verdadero.</t>
        </is>
      </c>
      <c r="S1642" s="18" t="inlineStr">
        <is>
          <t>Alta</t>
        </is>
      </c>
      <c r="T1642" s="18" t="inlineStr">
        <is>
          <t>nombre + tipo + propuesta por regla</t>
        </is>
      </c>
      <c r="U1642" s="18" t="inlineStr"/>
      <c r="V1642" s="19" t="inlineStr">
        <is>
          <t>Aprobada</t>
        </is>
      </c>
      <c r="W1642" s="19" t="inlineStr"/>
      <c r="X1642" s="19" t="inlineStr">
        <is>
          <t>Aldair González (aprobación en bloque)</t>
        </is>
      </c>
      <c r="Y1642" s="20" t="n">
        <v>46321</v>
      </c>
      <c r="Z1642" s="19" t="inlineStr">
        <is>
          <t>Nivel 1: propuesta del comentario del desarrollador o de confianza alta, o regla de fecha/responsable/motivo.</t>
        </is>
      </c>
      <c r="AA1642" s="18">
        <f>IF(OR(V1642="Aprobada"),R1642,IF(AND(OR(V1642="Aprobada con ajuste",V1642="Rechazada"),W1642&lt;&gt;""),W1642,""))</f>
        <v/>
      </c>
    </row>
    <row r="1643">
      <c r="A1643" s="18" t="inlineStr">
        <is>
          <t>C1642</t>
        </is>
      </c>
      <c r="B1643" s="18" t="inlineStr">
        <is>
          <t>Control interno</t>
        </is>
      </c>
      <c r="C1643" s="18" t="inlineStr">
        <is>
          <t>control_interno</t>
        </is>
      </c>
      <c r="D1643" s="18" t="inlineStr">
        <is>
          <t>evidencia_accion</t>
        </is>
      </c>
      <c r="E1643" s="18" t="n">
        <v>0</v>
      </c>
      <c r="F1643" s="18" t="inlineStr">
        <is>
          <t>archivo_ref</t>
        </is>
      </c>
      <c r="G1643" s="18" t="inlineStr">
        <is>
          <t>character varying(1000)</t>
        </is>
      </c>
      <c r="H1643" s="18" t="inlineStr">
        <is>
          <t>No</t>
        </is>
      </c>
      <c r="I1643" s="18" t="inlineStr"/>
      <c r="J1643" s="18" t="inlineStr"/>
      <c r="K1643" s="18" t="inlineStr"/>
      <c r="L1643" s="18" t="inlineStr">
        <is>
          <t>No</t>
        </is>
      </c>
      <c r="M1643" s="18" t="inlineStr">
        <is>
          <t>No</t>
        </is>
      </c>
      <c r="N1643" s="18" t="inlineStr"/>
      <c r="O1643" s="18" t="inlineStr"/>
      <c r="P1643" s="18" t="inlineStr">
        <is>
          <t>internal-institutional-control-service/src/esap/planes-mejoramiento/entities/evidencia-accion.entity.ts:45: Referencia al archivo en el repositorio documental (URL o path relativo)</t>
        </is>
      </c>
      <c r="Q1643" s="18" t="inlineStr">
        <is>
          <t>Código fuente</t>
        </is>
      </c>
      <c r="R1643" s="18" t="inlineStr">
        <is>
          <t>Referencia al archivo de la evidencia en el repositorio documental (URL o ruta relativa).</t>
        </is>
      </c>
      <c r="S1643" s="18" t="inlineStr">
        <is>
          <t>Alta</t>
        </is>
      </c>
      <c r="T1643" s="18" t="inlineStr">
        <is>
          <t>código: internal-institutional-control-service/src/esap/planes-mejoramiento/entities/evidencia-accion.entity.ts:45</t>
        </is>
      </c>
      <c r="U1643" s="18" t="inlineStr"/>
      <c r="V1643" s="19" t="inlineStr">
        <is>
          <t>Aprobada</t>
        </is>
      </c>
      <c r="W1643" s="19" t="inlineStr"/>
      <c r="X1643" s="19" t="inlineStr">
        <is>
          <t>Aldair González (aprobación en bloque)</t>
        </is>
      </c>
      <c r="Y1643" s="20" t="n">
        <v>46321</v>
      </c>
      <c r="Z1643" s="19" t="inlineStr">
        <is>
          <t>Nivel 1: propuesta del comentario del desarrollador o de confianza alta, o regla de fecha/responsable/motivo.</t>
        </is>
      </c>
      <c r="AA1643" s="18">
        <f>IF(OR(V1643="Aprobada"),R1643,IF(AND(OR(V1643="Aprobada con ajuste",V1643="Rechazada"),W1643&lt;&gt;""),W1643,""))</f>
        <v/>
      </c>
    </row>
    <row r="1644">
      <c r="A1644" s="18" t="inlineStr">
        <is>
          <t>C1643</t>
        </is>
      </c>
      <c r="B1644" s="18" t="inlineStr">
        <is>
          <t>Control interno</t>
        </is>
      </c>
      <c r="C1644" s="18" t="inlineStr">
        <is>
          <t>control_interno</t>
        </is>
      </c>
      <c r="D1644" s="18" t="inlineStr">
        <is>
          <t>evidencia_accion</t>
        </is>
      </c>
      <c r="E1644" s="18" t="n">
        <v>0</v>
      </c>
      <c r="F1644" s="18" t="inlineStr">
        <is>
          <t>archivo_nombre</t>
        </is>
      </c>
      <c r="G1644" s="18" t="inlineStr">
        <is>
          <t>character varying(500)</t>
        </is>
      </c>
      <c r="H1644" s="18" t="inlineStr">
        <is>
          <t>No</t>
        </is>
      </c>
      <c r="I1644" s="18" t="inlineStr"/>
      <c r="J1644" s="18" t="inlineStr"/>
      <c r="K1644" s="18" t="inlineStr"/>
      <c r="L1644" s="18" t="inlineStr">
        <is>
          <t>No</t>
        </is>
      </c>
      <c r="M1644" s="18" t="inlineStr">
        <is>
          <t>No</t>
        </is>
      </c>
      <c r="N1644" s="18" t="inlineStr"/>
      <c r="O1644" s="18" t="inlineStr"/>
      <c r="P1644" s="18" t="inlineStr">
        <is>
          <t>internal-institutional-control-service/src/esap/planes-mejoramiento/entities/evidencia-accion.entity.ts:49: Nombre original del archivo subido | Validación: IsOptional, IsString, Length(0, 255)</t>
        </is>
      </c>
      <c r="Q1644" s="18" t="inlineStr">
        <is>
          <t>Código fuente</t>
        </is>
      </c>
      <c r="R1644" s="18" t="inlineStr">
        <is>
          <t>Nombre original del archivo cargado.</t>
        </is>
      </c>
      <c r="S1644" s="18" t="inlineStr">
        <is>
          <t>Alta</t>
        </is>
      </c>
      <c r="T1644" s="18" t="inlineStr">
        <is>
          <t>código: internal-institutional-control-service/src/esap/planes-mejoramiento/entities/evidencia-accion.entity.ts:49</t>
        </is>
      </c>
      <c r="U1644" s="18" t="inlineStr"/>
      <c r="V1644" s="19" t="inlineStr">
        <is>
          <t>Aprobada</t>
        </is>
      </c>
      <c r="W1644" s="19" t="inlineStr"/>
      <c r="X1644" s="19" t="inlineStr">
        <is>
          <t>Aldair González (aprobación en bloque)</t>
        </is>
      </c>
      <c r="Y1644" s="20" t="n">
        <v>46321</v>
      </c>
      <c r="Z1644" s="19" t="inlineStr">
        <is>
          <t>Nivel 1: propuesta del comentario del desarrollador o de confianza alta, o regla de fecha/responsable/motivo.</t>
        </is>
      </c>
      <c r="AA1644" s="18">
        <f>IF(OR(V1644="Aprobada"),R1644,IF(AND(OR(V1644="Aprobada con ajuste",V1644="Rechazada"),W1644&lt;&gt;""),W1644,""))</f>
        <v/>
      </c>
    </row>
    <row r="1645">
      <c r="A1645" s="18" t="inlineStr">
        <is>
          <t>C1644</t>
        </is>
      </c>
      <c r="B1645" s="18" t="inlineStr">
        <is>
          <t>Control interno</t>
        </is>
      </c>
      <c r="C1645" s="18" t="inlineStr">
        <is>
          <t>control_interno</t>
        </is>
      </c>
      <c r="D1645" s="18" t="inlineStr">
        <is>
          <t>evidencia_accion</t>
        </is>
      </c>
      <c r="E1645" s="18" t="n">
        <v>0</v>
      </c>
      <c r="F1645" s="18" t="inlineStr">
        <is>
          <t>archivo_tipo</t>
        </is>
      </c>
      <c r="G1645" s="18" t="inlineStr">
        <is>
          <t>character varying(100)</t>
        </is>
      </c>
      <c r="H1645" s="18" t="inlineStr">
        <is>
          <t>Sí</t>
        </is>
      </c>
      <c r="I1645" s="18" t="inlineStr"/>
      <c r="J1645" s="18" t="inlineStr"/>
      <c r="K1645" s="18" t="inlineStr"/>
      <c r="L1645" s="18" t="inlineStr">
        <is>
          <t>No</t>
        </is>
      </c>
      <c r="M1645" s="18" t="inlineStr">
        <is>
          <t>No</t>
        </is>
      </c>
      <c r="N1645" s="18" t="inlineStr"/>
      <c r="O1645" s="18" t="inlineStr"/>
      <c r="P1645" s="18" t="inlineStr">
        <is>
          <t>internal-institutional-control-service/src/esap/planes-mejoramiento/entities/evidencia-accion.entity.ts:53: MIME type del archivo</t>
        </is>
      </c>
      <c r="Q1645" s="18" t="inlineStr">
        <is>
          <t>Código fuente</t>
        </is>
      </c>
      <c r="R1645" s="18" t="inlineStr">
        <is>
          <t>Tipo MIME del archivo.</t>
        </is>
      </c>
      <c r="S1645" s="18" t="inlineStr">
        <is>
          <t>Alta</t>
        </is>
      </c>
      <c r="T1645" s="18" t="inlineStr">
        <is>
          <t>código: internal-institutional-control-service/src/esap/planes-mejoramiento/entities/evidencia-accion.entity.ts:53</t>
        </is>
      </c>
      <c r="U1645" s="18" t="inlineStr"/>
      <c r="V1645" s="19" t="inlineStr">
        <is>
          <t>Aprobada</t>
        </is>
      </c>
      <c r="W1645" s="19" t="inlineStr"/>
      <c r="X1645" s="19" t="inlineStr">
        <is>
          <t>Aldair González (aprobación en bloque)</t>
        </is>
      </c>
      <c r="Y1645" s="20" t="n">
        <v>46321</v>
      </c>
      <c r="Z1645" s="19" t="inlineStr">
        <is>
          <t>Nivel 1: propuesta del comentario del desarrollador o de confianza alta, o regla de fecha/responsable/motivo.</t>
        </is>
      </c>
      <c r="AA1645" s="18">
        <f>IF(OR(V1645="Aprobada"),R1645,IF(AND(OR(V1645="Aprobada con ajuste",V1645="Rechazada"),W1645&lt;&gt;""),W1645,""))</f>
        <v/>
      </c>
    </row>
    <row r="1646">
      <c r="A1646" s="18" t="inlineStr">
        <is>
          <t>C1645</t>
        </is>
      </c>
      <c r="B1646" s="18" t="inlineStr">
        <is>
          <t>Control interno</t>
        </is>
      </c>
      <c r="C1646" s="18" t="inlineStr">
        <is>
          <t>control_interno</t>
        </is>
      </c>
      <c r="D1646" s="18" t="inlineStr">
        <is>
          <t>evidencia_accion</t>
        </is>
      </c>
      <c r="E1646" s="18" t="n">
        <v>0</v>
      </c>
      <c r="F1646" s="18" t="inlineStr">
        <is>
          <t>archivo_tamanio</t>
        </is>
      </c>
      <c r="G1646" s="18" t="inlineStr">
        <is>
          <t>bigint</t>
        </is>
      </c>
      <c r="H1646" s="18" t="inlineStr">
        <is>
          <t>Sí</t>
        </is>
      </c>
      <c r="I1646" s="18" t="inlineStr"/>
      <c r="J1646" s="18" t="inlineStr"/>
      <c r="K1646" s="18" t="inlineStr"/>
      <c r="L1646" s="18" t="inlineStr">
        <is>
          <t>No</t>
        </is>
      </c>
      <c r="M1646" s="18" t="inlineStr">
        <is>
          <t>No</t>
        </is>
      </c>
      <c r="N1646" s="18" t="inlineStr"/>
      <c r="O1646" s="18" t="inlineStr"/>
      <c r="P1646" s="18" t="inlineStr">
        <is>
          <t>internal-institutional-control-service/src/esap/planes-mejoramiento/entities/evidencia-accion.entity.ts:57: Tamaño en bytes</t>
        </is>
      </c>
      <c r="Q1646" s="18" t="inlineStr">
        <is>
          <t>Código fuente</t>
        </is>
      </c>
      <c r="R1646" s="18" t="inlineStr">
        <is>
          <t>Tamaño del archivo en bytes.</t>
        </is>
      </c>
      <c r="S1646" s="18" t="inlineStr">
        <is>
          <t>Alta</t>
        </is>
      </c>
      <c r="T1646" s="18" t="inlineStr">
        <is>
          <t>código: internal-institutional-control-service/src/esap/planes-mejoramiento/entities/evidencia-accion.entity.ts:57</t>
        </is>
      </c>
      <c r="U1646" s="18" t="inlineStr"/>
      <c r="V1646" s="19" t="inlineStr">
        <is>
          <t>Aprobada</t>
        </is>
      </c>
      <c r="W1646" s="19" t="inlineStr"/>
      <c r="X1646" s="19" t="inlineStr">
        <is>
          <t>Aldair González (aprobación en bloque)</t>
        </is>
      </c>
      <c r="Y1646" s="20" t="n">
        <v>46321</v>
      </c>
      <c r="Z1646" s="19" t="inlineStr">
        <is>
          <t>Nivel 1: propuesta del comentario del desarrollador o de confianza alta, o regla de fecha/responsable/motivo.</t>
        </is>
      </c>
      <c r="AA1646" s="18">
        <f>IF(OR(V1646="Aprobada"),R1646,IF(AND(OR(V1646="Aprobada con ajuste",V1646="Rechazada"),W1646&lt;&gt;""),W1646,""))</f>
        <v/>
      </c>
    </row>
    <row r="1647">
      <c r="A1647" s="18" t="inlineStr">
        <is>
          <t>C1646</t>
        </is>
      </c>
      <c r="B1647" s="18" t="inlineStr">
        <is>
          <t>Control interno</t>
        </is>
      </c>
      <c r="C1647" s="18" t="inlineStr">
        <is>
          <t>control_interno</t>
        </is>
      </c>
      <c r="D1647" s="18" t="inlineStr">
        <is>
          <t>evidencia_accion</t>
        </is>
      </c>
      <c r="E1647" s="18" t="n">
        <v>0</v>
      </c>
      <c r="F1647" s="18" t="inlineStr">
        <is>
          <t>descripcion</t>
        </is>
      </c>
      <c r="G1647" s="18" t="inlineStr">
        <is>
          <t>text</t>
        </is>
      </c>
      <c r="H1647" s="18" t="inlineStr">
        <is>
          <t>Sí</t>
        </is>
      </c>
      <c r="I1647" s="18" t="inlineStr"/>
      <c r="J1647" s="18" t="inlineStr"/>
      <c r="K1647" s="18" t="inlineStr"/>
      <c r="L1647" s="18" t="inlineStr">
        <is>
          <t>No</t>
        </is>
      </c>
      <c r="M1647" s="18" t="inlineStr">
        <is>
          <t>No</t>
        </is>
      </c>
      <c r="N1647" s="18" t="inlineStr"/>
      <c r="O1647" s="18" t="inlineStr"/>
      <c r="P1647" s="18" t="inlineStr">
        <is>
          <t>internal-institutional-control-service/src/esap/planes-mejoramiento/entities/evidencia-accion.entity.ts:61: Descripción libre de la evidencia | Validación: IsNotEmpty, IsOptional, IsString</t>
        </is>
      </c>
      <c r="Q1647" s="18" t="inlineStr">
        <is>
          <t>Código fuente</t>
        </is>
      </c>
      <c r="R1647" s="18" t="inlineStr">
        <is>
          <t>Descripción libre de la evidencia.</t>
        </is>
      </c>
      <c r="S1647" s="18" t="inlineStr">
        <is>
          <t>Alta</t>
        </is>
      </c>
      <c r="T1647" s="18" t="inlineStr">
        <is>
          <t>código: internal-institutional-control-service/src/esap/planes-mejoramiento/entities/evidencia-accion.entity.ts:61</t>
        </is>
      </c>
      <c r="U1647" s="18" t="inlineStr"/>
      <c r="V1647" s="19" t="inlineStr">
        <is>
          <t>Aprobada</t>
        </is>
      </c>
      <c r="W1647" s="19" t="inlineStr"/>
      <c r="X1647" s="19" t="inlineStr">
        <is>
          <t>Aldair González (aprobación en bloque)</t>
        </is>
      </c>
      <c r="Y1647" s="20" t="n">
        <v>46321</v>
      </c>
      <c r="Z1647" s="19" t="inlineStr">
        <is>
          <t>Nivel 1: propuesta del comentario del desarrollador o de confianza alta, o regla de fecha/responsable/motivo.</t>
        </is>
      </c>
      <c r="AA1647" s="18">
        <f>IF(OR(V1647="Aprobada"),R1647,IF(AND(OR(V1647="Aprobada con ajuste",V1647="Rechazada"),W1647&lt;&gt;""),W1647,""))</f>
        <v/>
      </c>
    </row>
    <row r="1648">
      <c r="A1648" s="18" t="inlineStr">
        <is>
          <t>C1647</t>
        </is>
      </c>
      <c r="B1648" s="18" t="inlineStr">
        <is>
          <t>Control interno</t>
        </is>
      </c>
      <c r="C1648" s="18" t="inlineStr">
        <is>
          <t>control_interno</t>
        </is>
      </c>
      <c r="D1648" s="18" t="inlineStr">
        <is>
          <t>evidencia_accion</t>
        </is>
      </c>
      <c r="E1648" s="18" t="n">
        <v>0</v>
      </c>
      <c r="F1648" s="18" t="inlineStr">
        <is>
          <t>cargada_por_id</t>
        </is>
      </c>
      <c r="G1648" s="18" t="inlineStr">
        <is>
          <t>character varying(255)</t>
        </is>
      </c>
      <c r="H1648" s="18" t="inlineStr">
        <is>
          <t>No</t>
        </is>
      </c>
      <c r="I1648" s="18" t="inlineStr"/>
      <c r="J1648" s="18" t="inlineStr"/>
      <c r="K1648" s="18" t="inlineStr"/>
      <c r="L1648" s="18" t="inlineStr">
        <is>
          <t>No</t>
        </is>
      </c>
      <c r="M1648" s="18" t="inlineStr">
        <is>
          <t>No</t>
        </is>
      </c>
      <c r="N1648" s="18" t="inlineStr"/>
      <c r="O1648" s="18" t="inlineStr"/>
      <c r="P1648" s="18" t="inlineStr">
        <is>
          <t>internal-institutional-control-service/src/esap/planes-mejoramiento/entities/evidencia-accion.entity.ts:65: ID del usuario del área auditada que cargó la evidencia</t>
        </is>
      </c>
      <c r="Q1648" s="18" t="inlineStr">
        <is>
          <t>Código fuente</t>
        </is>
      </c>
      <c r="R1648" s="18" t="inlineStr">
        <is>
          <t>Identificador del usuario del área auditada que cargó la evidencia.</t>
        </is>
      </c>
      <c r="S1648" s="18" t="inlineStr">
        <is>
          <t>Alta</t>
        </is>
      </c>
      <c r="T1648" s="18" t="inlineStr">
        <is>
          <t>código: internal-institutional-control-service/src/esap/planes-mejoramiento/entities/evidencia-accion.entity.ts:65</t>
        </is>
      </c>
      <c r="U1648" s="18" t="inlineStr"/>
      <c r="V1648" s="19" t="inlineStr">
        <is>
          <t>Aprobada</t>
        </is>
      </c>
      <c r="W1648" s="19" t="inlineStr"/>
      <c r="X1648" s="19" t="inlineStr">
        <is>
          <t>Aldair González (aprobación en bloque)</t>
        </is>
      </c>
      <c r="Y1648" s="20" t="n">
        <v>46321</v>
      </c>
      <c r="Z1648" s="19" t="inlineStr">
        <is>
          <t>Nivel 1: propuesta del comentario del desarrollador o de confianza alta, o regla de fecha/responsable/motivo.</t>
        </is>
      </c>
      <c r="AA1648" s="18">
        <f>IF(OR(V1648="Aprobada"),R1648,IF(AND(OR(V1648="Aprobada con ajuste",V1648="Rechazada"),W1648&lt;&gt;""),W1648,""))</f>
        <v/>
      </c>
    </row>
    <row r="1649">
      <c r="A1649" s="18" t="inlineStr">
        <is>
          <t>C1648</t>
        </is>
      </c>
      <c r="B1649" s="18" t="inlineStr">
        <is>
          <t>Control interno</t>
        </is>
      </c>
      <c r="C1649" s="18" t="inlineStr">
        <is>
          <t>control_interno</t>
        </is>
      </c>
      <c r="D1649" s="18" t="inlineStr">
        <is>
          <t>evidencia_accion</t>
        </is>
      </c>
      <c r="E1649" s="18" t="n">
        <v>0</v>
      </c>
      <c r="F1649" s="18" t="inlineStr">
        <is>
          <t>cargada_por_nombre</t>
        </is>
      </c>
      <c r="G1649" s="18" t="inlineStr">
        <is>
          <t>character varying(500)</t>
        </is>
      </c>
      <c r="H1649" s="18" t="inlineStr">
        <is>
          <t>Sí</t>
        </is>
      </c>
      <c r="I1649" s="18" t="inlineStr"/>
      <c r="J1649" s="18" t="inlineStr"/>
      <c r="K1649" s="18" t="inlineStr"/>
      <c r="L1649" s="18" t="inlineStr">
        <is>
          <t>No</t>
        </is>
      </c>
      <c r="M1649" s="18" t="inlineStr">
        <is>
          <t>No</t>
        </is>
      </c>
      <c r="N1649" s="18" t="inlineStr"/>
      <c r="O1649" s="18" t="inlineStr"/>
      <c r="P1649" s="18" t="inlineStr">
        <is>
          <t>internal-institutional-control-service/src/esap/planes-mejoramiento/entities/evidencia-accion.entity.ts:69: Nombre del usuario que cargó (desnormalizado para trazabilidad)</t>
        </is>
      </c>
      <c r="Q1649" s="18" t="inlineStr">
        <is>
          <t>Código fuente</t>
        </is>
      </c>
      <c r="R1649" s="18" t="inlineStr">
        <is>
          <t>Nombre del usuario que cargó la evidencia, copiado para trazabilidad.</t>
        </is>
      </c>
      <c r="S1649" s="18" t="inlineStr">
        <is>
          <t>Alta</t>
        </is>
      </c>
      <c r="T1649" s="18" t="inlineStr">
        <is>
          <t>código: internal-institutional-control-service/src/esap/planes-mejoramiento/entities/evidencia-accion.entity.ts:69</t>
        </is>
      </c>
      <c r="U1649" s="18" t="inlineStr"/>
      <c r="V1649" s="19" t="inlineStr">
        <is>
          <t>Aprobada</t>
        </is>
      </c>
      <c r="W1649" s="19" t="inlineStr"/>
      <c r="X1649" s="19" t="inlineStr">
        <is>
          <t>Aldair González (aprobación en bloque)</t>
        </is>
      </c>
      <c r="Y1649" s="20" t="n">
        <v>46321</v>
      </c>
      <c r="Z1649" s="19" t="inlineStr">
        <is>
          <t>Nivel 1: propuesta del comentario del desarrollador o de confianza alta, o regla de fecha/responsable/motivo.</t>
        </is>
      </c>
      <c r="AA1649" s="18">
        <f>IF(OR(V1649="Aprobada"),R1649,IF(AND(OR(V1649="Aprobada con ajuste",V1649="Rechazada"),W1649&lt;&gt;""),W1649,""))</f>
        <v/>
      </c>
    </row>
    <row r="1650">
      <c r="A1650" s="18" t="inlineStr">
        <is>
          <t>C1649</t>
        </is>
      </c>
      <c r="B1650" s="18" t="inlineStr">
        <is>
          <t>Control interno</t>
        </is>
      </c>
      <c r="C1650" s="18" t="inlineStr">
        <is>
          <t>control_interno</t>
        </is>
      </c>
      <c r="D1650" s="18" t="inlineStr">
        <is>
          <t>evidencia_accion</t>
        </is>
      </c>
      <c r="E1650" s="18" t="n">
        <v>0</v>
      </c>
      <c r="F1650" s="18" t="inlineStr">
        <is>
          <t>cargada_at</t>
        </is>
      </c>
      <c r="G1650" s="18" t="inlineStr">
        <is>
          <t>timestamp with time zone</t>
        </is>
      </c>
      <c r="H1650" s="18" t="inlineStr">
        <is>
          <t>Sí</t>
        </is>
      </c>
      <c r="I1650" s="18" t="inlineStr"/>
      <c r="J1650" s="18" t="inlineStr"/>
      <c r="K1650" s="18" t="inlineStr"/>
      <c r="L1650" s="18" t="inlineStr">
        <is>
          <t>No</t>
        </is>
      </c>
      <c r="M1650" s="18" t="inlineStr">
        <is>
          <t>No</t>
        </is>
      </c>
      <c r="N1650" s="18" t="inlineStr"/>
      <c r="O1650" s="18" t="inlineStr"/>
      <c r="P1650" s="18" t="inlineStr">
        <is>
          <t>Mapeada en internal-institutional-control-service/src/esap/planes-mejoramiento/entities/evidencia-accion.entity.ts:72 (EvidenciaAccion.cargadaAt)</t>
        </is>
      </c>
      <c r="Q1650" s="18" t="inlineStr">
        <is>
          <t>Regla estructural</t>
        </is>
      </c>
      <c r="R1650" s="18" t="inlineStr">
        <is>
          <t>Fecha y hora de la carga.</t>
        </is>
      </c>
      <c r="S1650" s="18" t="inlineStr">
        <is>
          <t>Media</t>
        </is>
      </c>
      <c r="T1650" s="18" t="inlineStr">
        <is>
          <t>Convención de nombre de la columna.</t>
        </is>
      </c>
      <c r="U1650" s="18" t="inlineStr"/>
      <c r="V1650" s="19" t="inlineStr">
        <is>
          <t>Aprobada</t>
        </is>
      </c>
      <c r="W1650" s="19" t="inlineStr"/>
      <c r="X1650" s="19" t="inlineStr">
        <is>
          <t>Aldair González (aprobación en bloque)</t>
        </is>
      </c>
      <c r="Y1650" s="20" t="n">
        <v>46321</v>
      </c>
      <c r="Z1650" s="19" t="inlineStr">
        <is>
          <t>Nivel 1: propuesta del comentario del desarrollador o de confianza alta, o regla de fecha/responsable/motivo.</t>
        </is>
      </c>
      <c r="AA1650" s="18">
        <f>IF(OR(V1650="Aprobada"),R1650,IF(AND(OR(V1650="Aprobada con ajuste",V1650="Rechazada"),W1650&lt;&gt;""),W1650,""))</f>
        <v/>
      </c>
    </row>
    <row r="1651">
      <c r="A1651" s="18" t="inlineStr">
        <is>
          <t>C1650</t>
        </is>
      </c>
      <c r="B1651" s="18" t="inlineStr">
        <is>
          <t>Control interno</t>
        </is>
      </c>
      <c r="C1651" s="18" t="inlineStr">
        <is>
          <t>control_interno</t>
        </is>
      </c>
      <c r="D1651" s="18" t="inlineStr">
        <is>
          <t>evidencia_accion</t>
        </is>
      </c>
      <c r="E1651" s="18" t="n">
        <v>0</v>
      </c>
      <c r="F1651" s="18" t="inlineStr">
        <is>
          <t>estado_validacion</t>
        </is>
      </c>
      <c r="G1651" s="18" t="inlineStr">
        <is>
          <t>character varying(30)</t>
        </is>
      </c>
      <c r="H1651" s="18" t="inlineStr">
        <is>
          <t>Sí</t>
        </is>
      </c>
      <c r="I1651" s="18" t="inlineStr"/>
      <c r="J1651" s="18" t="inlineStr"/>
      <c r="K1651" s="18" t="inlineStr"/>
      <c r="L1651" s="18" t="inlineStr">
        <is>
          <t>No</t>
        </is>
      </c>
      <c r="M1651" s="18" t="inlineStr">
        <is>
          <t>No</t>
        </is>
      </c>
      <c r="N1651" s="18" t="inlineStr"/>
      <c r="O1651" s="18" t="inlineStr"/>
      <c r="P1651" s="18" t="inlineStr">
        <is>
          <t>internal-institutional-control-service/src/esap/planes-mejoramiento/entities/evidencia-accion.entity.ts:76: Estado de validación por parte del auditor OCI (RF-SG-02) | Validación: IsEnum(EstadoValidacion)</t>
        </is>
      </c>
      <c r="Q1651" s="18" t="inlineStr">
        <is>
          <t>Código fuente</t>
        </is>
      </c>
      <c r="R1651" s="18" t="inlineStr">
        <is>
          <t>Estado de la validación de la evidencia por el auditor de la Oficina de Control Interno; por defecto pendiente (RF-SG-02).</t>
        </is>
      </c>
      <c r="S1651" s="18" t="inlineStr">
        <is>
          <t>Alta</t>
        </is>
      </c>
      <c r="T1651" s="18" t="inlineStr">
        <is>
          <t>código: internal-institutional-control-service/src/esap/planes-mejoramiento/entities/evidencia-accion.entity.ts:76</t>
        </is>
      </c>
      <c r="U1651" s="18" t="inlineStr"/>
      <c r="V1651" s="19" t="inlineStr">
        <is>
          <t>Aprobada</t>
        </is>
      </c>
      <c r="W1651" s="19" t="inlineStr"/>
      <c r="X1651" s="19" t="inlineStr">
        <is>
          <t>Aldair González (aprobación en bloque)</t>
        </is>
      </c>
      <c r="Y1651" s="20" t="n">
        <v>46321</v>
      </c>
      <c r="Z1651" s="19" t="inlineStr">
        <is>
          <t>Nivel 1: propuesta del comentario del desarrollador o de confianza alta, o regla de fecha/responsable/motivo.</t>
        </is>
      </c>
      <c r="AA1651" s="18">
        <f>IF(OR(V1651="Aprobada"),R1651,IF(AND(OR(V1651="Aprobada con ajuste",V1651="Rechazada"),W1651&lt;&gt;""),W1651,""))</f>
        <v/>
      </c>
    </row>
    <row r="1652">
      <c r="A1652" s="18" t="inlineStr">
        <is>
          <t>C1651</t>
        </is>
      </c>
      <c r="B1652" s="18" t="inlineStr">
        <is>
          <t>Control interno</t>
        </is>
      </c>
      <c r="C1652" s="18" t="inlineStr">
        <is>
          <t>control_interno</t>
        </is>
      </c>
      <c r="D1652" s="18" t="inlineStr">
        <is>
          <t>evidencia_accion</t>
        </is>
      </c>
      <c r="E1652" s="18" t="n">
        <v>0</v>
      </c>
      <c r="F1652" s="18" t="inlineStr">
        <is>
          <t>comentarios</t>
        </is>
      </c>
      <c r="G1652" s="18" t="inlineStr">
        <is>
          <t>text</t>
        </is>
      </c>
      <c r="H1652" s="18" t="inlineStr">
        <is>
          <t>Sí</t>
        </is>
      </c>
      <c r="I1652" s="18" t="inlineStr"/>
      <c r="J1652" s="18" t="inlineStr"/>
      <c r="K1652" s="18" t="inlineStr"/>
      <c r="L1652" s="18" t="inlineStr">
        <is>
          <t>No</t>
        </is>
      </c>
      <c r="M1652" s="18" t="inlineStr">
        <is>
          <t>No</t>
        </is>
      </c>
      <c r="N1652" s="18" t="inlineStr"/>
      <c r="O1652" s="18" t="inlineStr"/>
      <c r="P1652" s="18" t="inlineStr">
        <is>
          <t>internal-institutional-control-service/src/esap/planes-mejoramiento/entities/evidencia-accion.entity.ts:85: Comentarios del auditor al calificar la evidencia | Validación: IsNotEmpty, IsOptional, IsString, MinLength(10, { message: 'Los comentarios deben tener al menos 10 caracteres' })</t>
        </is>
      </c>
      <c r="Q1652" s="18" t="inlineStr">
        <is>
          <t>Código fuente</t>
        </is>
      </c>
      <c r="R1652" s="18" t="inlineStr">
        <is>
          <t>Comentarios del auditor al calificar la evidencia; mínimo 10 caracteres.</t>
        </is>
      </c>
      <c r="S1652" s="18" t="inlineStr">
        <is>
          <t>Alta</t>
        </is>
      </c>
      <c r="T1652" s="18" t="inlineStr">
        <is>
          <t>código: internal-institutional-control-service/src/esap/planes-mejoramiento/entities/evidencia-accion.entity.ts:85</t>
        </is>
      </c>
      <c r="U1652" s="18" t="inlineStr"/>
      <c r="V1652" s="19" t="inlineStr">
        <is>
          <t>Aprobada</t>
        </is>
      </c>
      <c r="W1652" s="19" t="inlineStr"/>
      <c r="X1652" s="19" t="inlineStr">
        <is>
          <t>Aldair González (aprobación en bloque)</t>
        </is>
      </c>
      <c r="Y1652" s="20" t="n">
        <v>46321</v>
      </c>
      <c r="Z1652" s="19" t="inlineStr">
        <is>
          <t>Nivel 1: propuesta del comentario del desarrollador o de confianza alta, o regla de fecha/responsable/motivo.</t>
        </is>
      </c>
      <c r="AA1652" s="18">
        <f>IF(OR(V1652="Aprobada"),R1652,IF(AND(OR(V1652="Aprobada con ajuste",V1652="Rechazada"),W1652&lt;&gt;""),W1652,""))</f>
        <v/>
      </c>
    </row>
    <row r="1653">
      <c r="A1653" s="18" t="inlineStr">
        <is>
          <t>C1652</t>
        </is>
      </c>
      <c r="B1653" s="18" t="inlineStr">
        <is>
          <t>Control interno</t>
        </is>
      </c>
      <c r="C1653" s="18" t="inlineStr">
        <is>
          <t>control_interno</t>
        </is>
      </c>
      <c r="D1653" s="18" t="inlineStr">
        <is>
          <t>evidencia_accion</t>
        </is>
      </c>
      <c r="E1653" s="18" t="n">
        <v>0</v>
      </c>
      <c r="F1653" s="18" t="inlineStr">
        <is>
          <t>solicita_nueva_evidencia</t>
        </is>
      </c>
      <c r="G1653" s="18" t="inlineStr">
        <is>
          <t>boolean</t>
        </is>
      </c>
      <c r="H1653" s="18" t="inlineStr">
        <is>
          <t>Sí</t>
        </is>
      </c>
      <c r="I1653" s="18" t="inlineStr"/>
      <c r="J1653" s="18" t="inlineStr"/>
      <c r="K1653" s="18" t="inlineStr"/>
      <c r="L1653" s="18" t="inlineStr">
        <is>
          <t>No</t>
        </is>
      </c>
      <c r="M1653" s="18" t="inlineStr">
        <is>
          <t>No</t>
        </is>
      </c>
      <c r="N1653" s="18" t="inlineStr"/>
      <c r="O1653" s="18" t="inlineStr"/>
      <c r="P1653" s="18" t="inlineStr">
        <is>
          <t>internal-institutional-control-service/src/esap/planes-mejoramiento/entities/evidencia-accion.entity.ts:89: ¿El auditor solicita nueva evidencia o aclaraciones? (RF-SG-03)</t>
        </is>
      </c>
      <c r="Q1653" s="18" t="inlineStr">
        <is>
          <t>Código fuente</t>
        </is>
      </c>
      <c r="R1653" s="18" t="inlineStr">
        <is>
          <t>Indica si el auditor solicita nueva evidencia o aclaraciones; por defecto falso (RF-SG-03).</t>
        </is>
      </c>
      <c r="S1653" s="18" t="inlineStr">
        <is>
          <t>Alta</t>
        </is>
      </c>
      <c r="T1653" s="18" t="inlineStr">
        <is>
          <t>código: internal-institutional-control-service/src/esap/planes-mejoramiento/entities/evidencia-accion.entity.ts:89</t>
        </is>
      </c>
      <c r="U1653" s="18" t="inlineStr"/>
      <c r="V1653" s="19" t="inlineStr">
        <is>
          <t>Aprobada</t>
        </is>
      </c>
      <c r="W1653" s="19" t="inlineStr"/>
      <c r="X1653" s="19" t="inlineStr">
        <is>
          <t>Aldair González (aprobación en bloque)</t>
        </is>
      </c>
      <c r="Y1653" s="20" t="n">
        <v>46321</v>
      </c>
      <c r="Z1653" s="19" t="inlineStr">
        <is>
          <t>Nivel 1: propuesta del comentario del desarrollador o de confianza alta, o regla de fecha/responsable/motivo.</t>
        </is>
      </c>
      <c r="AA1653" s="18">
        <f>IF(OR(V1653="Aprobada"),R1653,IF(AND(OR(V1653="Aprobada con ajuste",V1653="Rechazada"),W1653&lt;&gt;""),W1653,""))</f>
        <v/>
      </c>
    </row>
    <row r="1654">
      <c r="A1654" s="18" t="inlineStr">
        <is>
          <t>C1653</t>
        </is>
      </c>
      <c r="B1654" s="18" t="inlineStr">
        <is>
          <t>Control interno</t>
        </is>
      </c>
      <c r="C1654" s="18" t="inlineStr">
        <is>
          <t>control_interno</t>
        </is>
      </c>
      <c r="D1654" s="18" t="inlineStr">
        <is>
          <t>evidencia_accion</t>
        </is>
      </c>
      <c r="E1654" s="18" t="n">
        <v>0</v>
      </c>
      <c r="F1654" s="18" t="inlineStr">
        <is>
          <t>calificada_por_id</t>
        </is>
      </c>
      <c r="G1654" s="18" t="inlineStr">
        <is>
          <t>character varying(255)</t>
        </is>
      </c>
      <c r="H1654" s="18" t="inlineStr">
        <is>
          <t>Sí</t>
        </is>
      </c>
      <c r="I1654" s="18" t="inlineStr"/>
      <c r="J1654" s="18" t="inlineStr"/>
      <c r="K1654" s="18" t="inlineStr"/>
      <c r="L1654" s="18" t="inlineStr">
        <is>
          <t>No</t>
        </is>
      </c>
      <c r="M1654" s="18" t="inlineStr">
        <is>
          <t>No</t>
        </is>
      </c>
      <c r="N1654" s="18" t="inlineStr"/>
      <c r="O1654" s="18" t="inlineStr"/>
      <c r="P1654" s="18" t="inlineStr">
        <is>
          <t>internal-institutional-control-service/src/esap/planes-mejoramiento/entities/evidencia-accion.entity.ts:93: ID del auditor que calificó</t>
        </is>
      </c>
      <c r="Q1654" s="18" t="inlineStr">
        <is>
          <t>Código fuente</t>
        </is>
      </c>
      <c r="R1654" s="18" t="inlineStr">
        <is>
          <t>Identificador del auditor que calificó la evidencia.</t>
        </is>
      </c>
      <c r="S1654" s="18" t="inlineStr">
        <is>
          <t>Alta</t>
        </is>
      </c>
      <c r="T1654" s="18" t="inlineStr">
        <is>
          <t>código: internal-institutional-control-service/src/esap/planes-mejoramiento/entities/evidencia-accion.entity.ts:93</t>
        </is>
      </c>
      <c r="U1654" s="18" t="inlineStr"/>
      <c r="V1654" s="19" t="inlineStr">
        <is>
          <t>Aprobada</t>
        </is>
      </c>
      <c r="W1654" s="19" t="inlineStr"/>
      <c r="X1654" s="19" t="inlineStr">
        <is>
          <t>Aldair González (aprobación en bloque)</t>
        </is>
      </c>
      <c r="Y1654" s="20" t="n">
        <v>46321</v>
      </c>
      <c r="Z1654" s="19" t="inlineStr">
        <is>
          <t>Nivel 1: propuesta del comentario del desarrollador o de confianza alta, o regla de fecha/responsable/motivo.</t>
        </is>
      </c>
      <c r="AA1654" s="18">
        <f>IF(OR(V1654="Aprobada"),R1654,IF(AND(OR(V1654="Aprobada con ajuste",V1654="Rechazada"),W1654&lt;&gt;""),W1654,""))</f>
        <v/>
      </c>
    </row>
    <row r="1655">
      <c r="A1655" s="18" t="inlineStr">
        <is>
          <t>C1654</t>
        </is>
      </c>
      <c r="B1655" s="18" t="inlineStr">
        <is>
          <t>Control interno</t>
        </is>
      </c>
      <c r="C1655" s="18" t="inlineStr">
        <is>
          <t>control_interno</t>
        </is>
      </c>
      <c r="D1655" s="18" t="inlineStr">
        <is>
          <t>evidencia_accion</t>
        </is>
      </c>
      <c r="E1655" s="18" t="n">
        <v>0</v>
      </c>
      <c r="F1655" s="18" t="inlineStr">
        <is>
          <t>calificada_por_nombre</t>
        </is>
      </c>
      <c r="G1655" s="18" t="inlineStr">
        <is>
          <t>character varying(500)</t>
        </is>
      </c>
      <c r="H1655" s="18" t="inlineStr">
        <is>
          <t>Sí</t>
        </is>
      </c>
      <c r="I1655" s="18" t="inlineStr"/>
      <c r="J1655" s="18" t="inlineStr"/>
      <c r="K1655" s="18" t="inlineStr"/>
      <c r="L1655" s="18" t="inlineStr">
        <is>
          <t>No</t>
        </is>
      </c>
      <c r="M1655" s="18" t="inlineStr">
        <is>
          <t>No</t>
        </is>
      </c>
      <c r="N1655" s="18" t="inlineStr"/>
      <c r="O1655" s="18" t="inlineStr"/>
      <c r="P1655" s="18" t="inlineStr">
        <is>
          <t>internal-institutional-control-service/src/esap/planes-mejoramiento/entities/evidencia-accion.entity.ts:97: Nombre del auditor que calificó (desnormalizado para trazabilidad)</t>
        </is>
      </c>
      <c r="Q1655" s="18" t="inlineStr">
        <is>
          <t>Código fuente</t>
        </is>
      </c>
      <c r="R1655" s="18" t="inlineStr">
        <is>
          <t>Nombre del auditor que calificó la evidencia, copiado para trazabilidad.</t>
        </is>
      </c>
      <c r="S1655" s="18" t="inlineStr">
        <is>
          <t>Alta</t>
        </is>
      </c>
      <c r="T1655" s="18" t="inlineStr">
        <is>
          <t>código: internal-institutional-control-service/src/esap/planes-mejoramiento/entities/evidencia-accion.entity.ts:97</t>
        </is>
      </c>
      <c r="U1655" s="18" t="inlineStr"/>
      <c r="V1655" s="19" t="inlineStr">
        <is>
          <t>Aprobada</t>
        </is>
      </c>
      <c r="W1655" s="19" t="inlineStr"/>
      <c r="X1655" s="19" t="inlineStr">
        <is>
          <t>Aldair González (aprobación en bloque)</t>
        </is>
      </c>
      <c r="Y1655" s="20" t="n">
        <v>46321</v>
      </c>
      <c r="Z1655" s="19" t="inlineStr">
        <is>
          <t>Nivel 1: propuesta del comentario del desarrollador o de confianza alta, o regla de fecha/responsable/motivo.</t>
        </is>
      </c>
      <c r="AA1655" s="18">
        <f>IF(OR(V1655="Aprobada"),R1655,IF(AND(OR(V1655="Aprobada con ajuste",V1655="Rechazada"),W1655&lt;&gt;""),W1655,""))</f>
        <v/>
      </c>
    </row>
    <row r="1656">
      <c r="A1656" s="18" t="inlineStr">
        <is>
          <t>C1655</t>
        </is>
      </c>
      <c r="B1656" s="18" t="inlineStr">
        <is>
          <t>Control interno</t>
        </is>
      </c>
      <c r="C1656" s="18" t="inlineStr">
        <is>
          <t>control_interno</t>
        </is>
      </c>
      <c r="D1656" s="18" t="inlineStr">
        <is>
          <t>evidencia_accion</t>
        </is>
      </c>
      <c r="E1656" s="18" t="n">
        <v>0</v>
      </c>
      <c r="F1656" s="18" t="inlineStr">
        <is>
          <t>calificada_at</t>
        </is>
      </c>
      <c r="G1656" s="18" t="inlineStr">
        <is>
          <t>timestamp with time zone</t>
        </is>
      </c>
      <c r="H1656" s="18" t="inlineStr">
        <is>
          <t>Sí</t>
        </is>
      </c>
      <c r="I1656" s="18" t="inlineStr"/>
      <c r="J1656" s="18" t="inlineStr"/>
      <c r="K1656" s="18" t="inlineStr"/>
      <c r="L1656" s="18" t="inlineStr">
        <is>
          <t>No</t>
        </is>
      </c>
      <c r="M1656" s="18" t="inlineStr">
        <is>
          <t>No</t>
        </is>
      </c>
      <c r="N1656" s="18" t="inlineStr"/>
      <c r="O1656" s="18" t="inlineStr"/>
      <c r="P1656" s="18" t="inlineStr">
        <is>
          <t>internal-institutional-control-service/src/esap/planes-mejoramiento/entities/evidencia-accion.entity.ts:101: Fecha/hora de calificación</t>
        </is>
      </c>
      <c r="Q1656" s="18" t="inlineStr">
        <is>
          <t>Código fuente</t>
        </is>
      </c>
      <c r="R1656" s="18" t="inlineStr">
        <is>
          <t>Fecha y hora de la calificación de la evidencia.</t>
        </is>
      </c>
      <c r="S1656" s="18" t="inlineStr">
        <is>
          <t>Alta</t>
        </is>
      </c>
      <c r="T1656" s="18" t="inlineStr">
        <is>
          <t>código: internal-institutional-control-service/src/esap/planes-mejoramiento/entities/evidencia-accion.entity.ts:101</t>
        </is>
      </c>
      <c r="U1656" s="18" t="inlineStr"/>
      <c r="V1656" s="19" t="inlineStr">
        <is>
          <t>Aprobada</t>
        </is>
      </c>
      <c r="W1656" s="19" t="inlineStr"/>
      <c r="X1656" s="19" t="inlineStr">
        <is>
          <t>Aldair González (aprobación en bloque)</t>
        </is>
      </c>
      <c r="Y1656" s="20" t="n">
        <v>46321</v>
      </c>
      <c r="Z1656" s="19" t="inlineStr">
        <is>
          <t>Nivel 1: propuesta del comentario del desarrollador o de confianza alta, o regla de fecha/responsable/motivo.</t>
        </is>
      </c>
      <c r="AA1656" s="18">
        <f>IF(OR(V1656="Aprobada"),R1656,IF(AND(OR(V1656="Aprobada con ajuste",V1656="Rechazada"),W1656&lt;&gt;""),W1656,""))</f>
        <v/>
      </c>
    </row>
    <row r="1657">
      <c r="A1657" s="18" t="inlineStr">
        <is>
          <t>C1656</t>
        </is>
      </c>
      <c r="B1657" s="18" t="inlineStr">
        <is>
          <t>Control interno</t>
        </is>
      </c>
      <c r="C1657" s="18" t="inlineStr">
        <is>
          <t>control_interno</t>
        </is>
      </c>
      <c r="D1657" s="18" t="inlineStr">
        <is>
          <t>evidencia_documento</t>
        </is>
      </c>
      <c r="E1657" s="18" t="n">
        <v>48</v>
      </c>
      <c r="F1657" s="18" t="inlineStr">
        <is>
          <t>nombre</t>
        </is>
      </c>
      <c r="G1657" s="18" t="inlineStr">
        <is>
          <t>character varying(255)</t>
        </is>
      </c>
      <c r="H1657" s="18" t="inlineStr">
        <is>
          <t>No</t>
        </is>
      </c>
      <c r="I1657" s="18" t="inlineStr"/>
      <c r="J1657" s="18" t="inlineStr"/>
      <c r="K1657" s="18" t="inlineStr"/>
      <c r="L1657" s="18" t="inlineStr">
        <is>
          <t>No</t>
        </is>
      </c>
      <c r="M1657" s="18" t="inlineStr">
        <is>
          <t>No</t>
        </is>
      </c>
      <c r="N1657" s="18" t="inlineStr"/>
      <c r="O1657" s="18" t="inlineStr"/>
      <c r="P1657" s="18" t="inlineStr">
        <is>
          <t>internal-institutional-control-service/src/esap/evidencias/entities/evidencia-documento.entity.ts:50: Metadatos | db/migrations/old/076_create_evidencias_documentos.sql:49: Metadatos del documento | Validación: IsNotEmpty, IsNotEmpty({ message: 'El nombre del documento es obligatorio' }), IsOptional, IsString, Length(1, 500), MaxLength(120)</t>
        </is>
      </c>
      <c r="Q1657" s="18" t="inlineStr">
        <is>
          <t>Código fuente</t>
        </is>
      </c>
      <c r="R1657" s="18" t="inlineStr">
        <is>
          <t>Nombre del documento de evidencia.</t>
        </is>
      </c>
      <c r="S1657" s="18" t="inlineStr">
        <is>
          <t>Alta</t>
        </is>
      </c>
      <c r="T1657" s="18" t="inlineStr">
        <is>
          <t>código: db/migrations/old/076_create_evidencias_documentos.sql:49</t>
        </is>
      </c>
      <c r="U1657" s="18" t="inlineStr"/>
      <c r="V1657" s="19" t="inlineStr">
        <is>
          <t>Aprobada</t>
        </is>
      </c>
      <c r="W1657" s="19" t="inlineStr"/>
      <c r="X1657" s="19" t="inlineStr">
        <is>
          <t>Aldair González (aprobación en bloque)</t>
        </is>
      </c>
      <c r="Y1657" s="20" t="n">
        <v>46321</v>
      </c>
      <c r="Z1657" s="19" t="inlineStr">
        <is>
          <t>Nivel 1: propuesta del comentario del desarrollador o de confianza alta, o regla de fecha/responsable/motivo.</t>
        </is>
      </c>
      <c r="AA1657" s="18">
        <f>IF(OR(V1657="Aprobada"),R1657,IF(AND(OR(V1657="Aprobada con ajuste",V1657="Rechazada"),W1657&lt;&gt;""),W1657,""))</f>
        <v/>
      </c>
    </row>
    <row r="1658">
      <c r="A1658" s="18" t="inlineStr">
        <is>
          <t>C1657</t>
        </is>
      </c>
      <c r="B1658" s="18" t="inlineStr">
        <is>
          <t>Control interno</t>
        </is>
      </c>
      <c r="C1658" s="18" t="inlineStr">
        <is>
          <t>control_interno</t>
        </is>
      </c>
      <c r="D1658" s="18" t="inlineStr">
        <is>
          <t>evidencia_documento</t>
        </is>
      </c>
      <c r="E1658" s="18" t="n">
        <v>48</v>
      </c>
      <c r="F1658" s="18" t="inlineStr">
        <is>
          <t>descripcion</t>
        </is>
      </c>
      <c r="G1658" s="18" t="inlineStr">
        <is>
          <t>text</t>
        </is>
      </c>
      <c r="H1658" s="18" t="inlineStr">
        <is>
          <t>Sí</t>
        </is>
      </c>
      <c r="I1658" s="18" t="inlineStr"/>
      <c r="J1658" s="18" t="inlineStr"/>
      <c r="K1658" s="18" t="inlineStr"/>
      <c r="L1658" s="18" t="inlineStr">
        <is>
          <t>No</t>
        </is>
      </c>
      <c r="M1658" s="18" t="inlineStr">
        <is>
          <t>No</t>
        </is>
      </c>
      <c r="N1658" s="18" t="inlineStr"/>
      <c r="O1658" s="18" t="inlineStr"/>
      <c r="P1658" s="18" t="inlineStr">
        <is>
          <t>Mapeada en internal-institutional-control-service/src/esap/evidencias/entities/evidencia-documento.entity.ts:53 (EvidenciaDocumento.descripcion) | Validación: IsNotEmpty, IsOptional, IsString</t>
        </is>
      </c>
      <c r="Q1658" s="18" t="inlineStr">
        <is>
          <t>Regla estructural (redacción revisada)</t>
        </is>
      </c>
      <c r="R1658" s="18" t="inlineStr">
        <is>
          <t>Descripción de la evidencia o documento.</t>
        </is>
      </c>
      <c r="S1658" s="18" t="inlineStr">
        <is>
          <t>Alta</t>
        </is>
      </c>
      <c r="T1658" s="18" t="inlineStr">
        <is>
          <t>Convención de nombre, redactada con el contexto de la tabla y el código.</t>
        </is>
      </c>
      <c r="U1658" s="18" t="inlineStr"/>
      <c r="V1658" s="19" t="inlineStr">
        <is>
          <t>Aprobada</t>
        </is>
      </c>
      <c r="W1658" s="19" t="inlineStr"/>
      <c r="X1658" s="19" t="inlineStr">
        <is>
          <t>Aldair González (aprobación en bloque)</t>
        </is>
      </c>
      <c r="Y1658" s="20" t="n">
        <v>46321</v>
      </c>
      <c r="Z1658" s="19" t="inlineStr">
        <is>
          <t>Nivel 2: regla estructural con redacción revisada.</t>
        </is>
      </c>
      <c r="AA1658" s="18">
        <f>IF(OR(V1658="Aprobada"),R1658,IF(AND(OR(V1658="Aprobada con ajuste",V1658="Rechazada"),W1658&lt;&gt;""),W1658,""))</f>
        <v/>
      </c>
    </row>
    <row r="1659">
      <c r="A1659" s="18" t="inlineStr">
        <is>
          <t>C1658</t>
        </is>
      </c>
      <c r="B1659" s="18" t="inlineStr">
        <is>
          <t>Control interno</t>
        </is>
      </c>
      <c r="C1659" s="18" t="inlineStr">
        <is>
          <t>control_interno</t>
        </is>
      </c>
      <c r="D1659" s="18" t="inlineStr">
        <is>
          <t>evidencia_documento</t>
        </is>
      </c>
      <c r="E1659" s="18" t="n">
        <v>48</v>
      </c>
      <c r="F1659" s="18" t="inlineStr">
        <is>
          <t>tipo_documento</t>
        </is>
      </c>
      <c r="G1659" s="18" t="inlineStr">
        <is>
          <t>control_interno.tipo_documento_evidencia</t>
        </is>
      </c>
      <c r="H1659" s="18" t="inlineStr">
        <is>
          <t>No</t>
        </is>
      </c>
      <c r="I1659" s="18" t="inlineStr">
        <is>
          <t>Enumerado</t>
        </is>
      </c>
      <c r="J1659" s="18" t="inlineStr">
        <is>
          <t>evidencia_hallazgo, evidencia_accion, evidencia_plan, documento_plan, certificado, acta, informe, otro</t>
        </is>
      </c>
      <c r="K1659" s="18" t="inlineStr"/>
      <c r="L1659" s="18" t="inlineStr">
        <is>
          <t>Sí</t>
        </is>
      </c>
      <c r="M1659" s="18" t="inlineStr">
        <is>
          <t>No</t>
        </is>
      </c>
      <c r="N1659" s="18" t="inlineStr"/>
      <c r="O1659" s="18" t="inlineStr">
        <is>
          <t>idx_evidencia_tipo</t>
        </is>
      </c>
      <c r="P1659" s="18" t="inlineStr">
        <is>
          <t>Mapeada en internal-institutional-control-service/src/esap/evidencias/entities/evidencia-documento.entity.ts:56 (EvidenciaDocumento.tipoDocumento) | Validación: IsEnum(TipoDocumento), IsEnum(TipoDocumentoEvidencia), IsNotEmpty, IsOptional</t>
        </is>
      </c>
      <c r="Q1659" s="18" t="inlineStr">
        <is>
          <t>Propuesta semántica</t>
        </is>
      </c>
      <c r="R1659" s="18" t="inlineStr">
        <is>
          <t>Tipo de documento de evidencia. Valores permitidos: evidencia_hallazgo, evidencia_accion, evidencia_plan, documento_plan, certificado, acta, informe, otro.</t>
        </is>
      </c>
      <c r="S1659" s="18" t="inlineStr">
        <is>
          <t>Alta</t>
        </is>
      </c>
      <c r="T1659" s="18" t="inlineStr">
        <is>
          <t>valores permitidos del enum tipo_documento_evidencia ~</t>
        </is>
      </c>
      <c r="U1659" s="18" t="inlineStr"/>
      <c r="V1659" s="19" t="inlineStr">
        <is>
          <t>Aprobada</t>
        </is>
      </c>
      <c r="W1659" s="19" t="inlineStr"/>
      <c r="X1659" s="19" t="inlineStr">
        <is>
          <t>Aldair González (aprobación en bloque)</t>
        </is>
      </c>
      <c r="Y1659" s="20" t="n">
        <v>46321</v>
      </c>
      <c r="Z1659" s="19" t="inlineStr">
        <is>
          <t>Nivel 1: propuesta del comentario del desarrollador o de confianza alta, o regla de fecha/responsable/motivo.</t>
        </is>
      </c>
      <c r="AA1659" s="18">
        <f>IF(OR(V1659="Aprobada"),R1659,IF(AND(OR(V1659="Aprobada con ajuste",V1659="Rechazada"),W1659&lt;&gt;""),W1659,""))</f>
        <v/>
      </c>
    </row>
    <row r="1660">
      <c r="A1660" s="18" t="inlineStr">
        <is>
          <t>C1659</t>
        </is>
      </c>
      <c r="B1660" s="18" t="inlineStr">
        <is>
          <t>Control interno</t>
        </is>
      </c>
      <c r="C1660" s="18" t="inlineStr">
        <is>
          <t>control_interno</t>
        </is>
      </c>
      <c r="D1660" s="18" t="inlineStr">
        <is>
          <t>evidencia_documento</t>
        </is>
      </c>
      <c r="E1660" s="18" t="n">
        <v>48</v>
      </c>
      <c r="F1660" s="18" t="inlineStr">
        <is>
          <t>ruta_archivo</t>
        </is>
      </c>
      <c r="G1660" s="18" t="inlineStr">
        <is>
          <t>character varying(500)</t>
        </is>
      </c>
      <c r="H1660" s="18" t="inlineStr">
        <is>
          <t>No</t>
        </is>
      </c>
      <c r="I1660" s="18" t="inlineStr"/>
      <c r="J1660" s="18" t="inlineStr"/>
      <c r="K1660" s="18" t="inlineStr"/>
      <c r="L1660" s="18" t="inlineStr">
        <is>
          <t>No</t>
        </is>
      </c>
      <c r="M1660" s="18" t="inlineStr">
        <is>
          <t>No</t>
        </is>
      </c>
      <c r="N1660" s="18" t="inlineStr"/>
      <c r="O1660" s="18" t="inlineStr"/>
      <c r="P1660" s="18" t="inlineStr">
        <is>
          <t>internal-institutional-control-service/src/esap/evidencias/entities/evidencia-documento.entity.ts:93: Archivo físico | db/migrations/old/076_create_evidencias_documentos.sql:60: Archivo físico | Validación: IsOptional, IsString</t>
        </is>
      </c>
      <c r="Q1660" s="18" t="inlineStr">
        <is>
          <t>Código fuente</t>
        </is>
      </c>
      <c r="R1660" s="18" t="inlineStr">
        <is>
          <t>Ruta del archivo físico de la evidencia.</t>
        </is>
      </c>
      <c r="S1660" s="18" t="inlineStr">
        <is>
          <t>Alta</t>
        </is>
      </c>
      <c r="T1660" s="18" t="inlineStr">
        <is>
          <t>código: db/migrations/old/076_create_evidencias_documentos.sql:60</t>
        </is>
      </c>
      <c r="U1660" s="18" t="inlineStr"/>
      <c r="V1660" s="19" t="inlineStr">
        <is>
          <t>Aprobada</t>
        </is>
      </c>
      <c r="W1660" s="19" t="inlineStr"/>
      <c r="X1660" s="19" t="inlineStr">
        <is>
          <t>Aldair González (aprobación en bloque)</t>
        </is>
      </c>
      <c r="Y1660" s="20" t="n">
        <v>46321</v>
      </c>
      <c r="Z1660" s="19" t="inlineStr">
        <is>
          <t>Nivel 1: propuesta del comentario del desarrollador o de confianza alta, o regla de fecha/responsable/motivo.</t>
        </is>
      </c>
      <c r="AA1660" s="18">
        <f>IF(OR(V1660="Aprobada"),R1660,IF(AND(OR(V1660="Aprobada con ajuste",V1660="Rechazada"),W1660&lt;&gt;""),W1660,""))</f>
        <v/>
      </c>
    </row>
    <row r="1661">
      <c r="A1661" s="18" t="inlineStr">
        <is>
          <t>C1660</t>
        </is>
      </c>
      <c r="B1661" s="18" t="inlineStr">
        <is>
          <t>Control interno</t>
        </is>
      </c>
      <c r="C1661" s="18" t="inlineStr">
        <is>
          <t>control_interno</t>
        </is>
      </c>
      <c r="D1661" s="18" t="inlineStr">
        <is>
          <t>evidencia_documento</t>
        </is>
      </c>
      <c r="E1661" s="18" t="n">
        <v>48</v>
      </c>
      <c r="F1661" s="18" t="inlineStr">
        <is>
          <t>nombre_archivo_original</t>
        </is>
      </c>
      <c r="G1661" s="18" t="inlineStr">
        <is>
          <t>character varying(255)</t>
        </is>
      </c>
      <c r="H1661" s="18" t="inlineStr">
        <is>
          <t>No</t>
        </is>
      </c>
      <c r="I1661" s="18" t="inlineStr"/>
      <c r="J1661" s="18" t="inlineStr"/>
      <c r="K1661" s="18" t="inlineStr"/>
      <c r="L1661" s="18" t="inlineStr">
        <is>
          <t>No</t>
        </is>
      </c>
      <c r="M1661" s="18" t="inlineStr">
        <is>
          <t>No</t>
        </is>
      </c>
      <c r="N1661" s="18" t="inlineStr"/>
      <c r="O1661" s="18" t="inlineStr"/>
      <c r="P1661" s="18" t="inlineStr">
        <is>
          <t>Mapeada en internal-institutional-control-service/src/esap/evidencias/entities/evidencia-documento.entity.ts:96 (EvidenciaDocumento.nombreArchivoOriginal)</t>
        </is>
      </c>
      <c r="Q1661" s="18" t="inlineStr">
        <is>
          <t>Propuesta semántica</t>
        </is>
      </c>
      <c r="R1661" s="18" t="inlineStr">
        <is>
          <t>Nombre original del archivo al momento de subirlo.</t>
        </is>
      </c>
      <c r="S1661" s="18" t="inlineStr">
        <is>
          <t>Alta</t>
        </is>
      </c>
      <c r="T1661" s="18" t="inlineStr">
        <is>
          <t>nombre + tipo ~</t>
        </is>
      </c>
      <c r="U1661" s="18" t="inlineStr"/>
      <c r="V1661" s="19" t="inlineStr">
        <is>
          <t>Aprobada</t>
        </is>
      </c>
      <c r="W1661" s="19" t="inlineStr"/>
      <c r="X1661" s="19" t="inlineStr">
        <is>
          <t>Aldair González (aprobación en bloque)</t>
        </is>
      </c>
      <c r="Y1661" s="20" t="n">
        <v>46321</v>
      </c>
      <c r="Z1661" s="19" t="inlineStr">
        <is>
          <t>Nivel 1: propuesta del comentario del desarrollador o de confianza alta, o regla de fecha/responsable/motivo.</t>
        </is>
      </c>
      <c r="AA1661" s="18">
        <f>IF(OR(V1661="Aprobada"),R1661,IF(AND(OR(V1661="Aprobada con ajuste",V1661="Rechazada"),W1661&lt;&gt;""),W1661,""))</f>
        <v/>
      </c>
    </row>
    <row r="1662">
      <c r="A1662" s="18" t="inlineStr">
        <is>
          <t>C1661</t>
        </is>
      </c>
      <c r="B1662" s="18" t="inlineStr">
        <is>
          <t>Control interno</t>
        </is>
      </c>
      <c r="C1662" s="18" t="inlineStr">
        <is>
          <t>control_interno</t>
        </is>
      </c>
      <c r="D1662" s="18" t="inlineStr">
        <is>
          <t>evidencia_documento</t>
        </is>
      </c>
      <c r="E1662" s="18" t="n">
        <v>48</v>
      </c>
      <c r="F1662" s="18" t="inlineStr">
        <is>
          <t>tipo_mime</t>
        </is>
      </c>
      <c r="G1662" s="18" t="inlineStr">
        <is>
          <t>character varying(100)</t>
        </is>
      </c>
      <c r="H1662" s="18" t="inlineStr">
        <is>
          <t>No</t>
        </is>
      </c>
      <c r="I1662" s="18" t="inlineStr"/>
      <c r="J1662" s="18" t="inlineStr"/>
      <c r="K1662" s="18" t="inlineStr"/>
      <c r="L1662" s="18" t="inlineStr">
        <is>
          <t>No</t>
        </is>
      </c>
      <c r="M1662" s="18" t="inlineStr">
        <is>
          <t>No</t>
        </is>
      </c>
      <c r="N1662" s="18" t="inlineStr"/>
      <c r="O1662" s="18" t="inlineStr"/>
      <c r="P1662" s="18" t="inlineStr">
        <is>
          <t>Mapeada en internal-institutional-control-service/src/esap/evidencias/entities/evidencia-documento.entity.ts:99 (EvidenciaDocumento.tipoMime) | Validación: IsNotEmpty, IsString</t>
        </is>
      </c>
      <c r="Q1662" s="18" t="inlineStr">
        <is>
          <t>Propuesta semántica</t>
        </is>
      </c>
      <c r="R1662" s="18" t="inlineStr">
        <is>
          <t>Tipo MIME del archivo.</t>
        </is>
      </c>
      <c r="S1662" s="18" t="inlineStr">
        <is>
          <t>Alta</t>
        </is>
      </c>
      <c r="T1662" s="18" t="inlineStr">
        <is>
          <t>nombre + tipo ~</t>
        </is>
      </c>
      <c r="U1662" s="18" t="inlineStr"/>
      <c r="V1662" s="19" t="inlineStr">
        <is>
          <t>Aprobada</t>
        </is>
      </c>
      <c r="W1662" s="19" t="inlineStr"/>
      <c r="X1662" s="19" t="inlineStr">
        <is>
          <t>Aldair González (aprobación en bloque)</t>
        </is>
      </c>
      <c r="Y1662" s="20" t="n">
        <v>46321</v>
      </c>
      <c r="Z1662" s="19" t="inlineStr">
        <is>
          <t>Nivel 1: propuesta del comentario del desarrollador o de confianza alta, o regla de fecha/responsable/motivo.</t>
        </is>
      </c>
      <c r="AA1662" s="18">
        <f>IF(OR(V1662="Aprobada"),R1662,IF(AND(OR(V1662="Aprobada con ajuste",V1662="Rechazada"),W1662&lt;&gt;""),W1662,""))</f>
        <v/>
      </c>
    </row>
    <row r="1663">
      <c r="A1663" s="18" t="inlineStr">
        <is>
          <t>C1662</t>
        </is>
      </c>
      <c r="B1663" s="18" t="inlineStr">
        <is>
          <t>Control interno</t>
        </is>
      </c>
      <c r="C1663" s="18" t="inlineStr">
        <is>
          <t>control_interno</t>
        </is>
      </c>
      <c r="D1663" s="18" t="inlineStr">
        <is>
          <t>evidencia_documento</t>
        </is>
      </c>
      <c r="E1663" s="18" t="n">
        <v>48</v>
      </c>
      <c r="F1663" s="18" t="inlineStr">
        <is>
          <t>tamanio_bytes</t>
        </is>
      </c>
      <c r="G1663" s="18" t="inlineStr">
        <is>
          <t>bigint</t>
        </is>
      </c>
      <c r="H1663" s="18" t="inlineStr">
        <is>
          <t>No</t>
        </is>
      </c>
      <c r="I1663" s="18" t="inlineStr"/>
      <c r="J1663" s="18" t="inlineStr"/>
      <c r="K1663" s="18" t="inlineStr"/>
      <c r="L1663" s="18" t="inlineStr">
        <is>
          <t>No</t>
        </is>
      </c>
      <c r="M1663" s="18" t="inlineStr">
        <is>
          <t>No</t>
        </is>
      </c>
      <c r="N1663" s="18" t="inlineStr"/>
      <c r="O1663" s="18" t="inlineStr"/>
      <c r="P1663" s="18" t="inlineStr">
        <is>
          <t>Mapeada en internal-institutional-control-service/src/esap/evidencias/entities/evidencia-documento.entity.ts:102 (EvidenciaDocumento.tamanioBytes) | Validación: IsNumber, Min(0)</t>
        </is>
      </c>
      <c r="Q1663" s="18" t="inlineStr">
        <is>
          <t>Propuesta semántica</t>
        </is>
      </c>
      <c r="R1663" s="18" t="inlineStr">
        <is>
          <t>Tamaño del archivo, en bytes.</t>
        </is>
      </c>
      <c r="S1663" s="18" t="inlineStr">
        <is>
          <t>Alta</t>
        </is>
      </c>
      <c r="T1663" s="18" t="inlineStr">
        <is>
          <t>nombre + tipo + validación Min(0) ~</t>
        </is>
      </c>
      <c r="U1663" s="18" t="inlineStr"/>
      <c r="V1663" s="19" t="inlineStr">
        <is>
          <t>Aprobada</t>
        </is>
      </c>
      <c r="W1663" s="19" t="inlineStr"/>
      <c r="X1663" s="19" t="inlineStr">
        <is>
          <t>Aldair González (aprobación en bloque)</t>
        </is>
      </c>
      <c r="Y1663" s="20" t="n">
        <v>46321</v>
      </c>
      <c r="Z1663" s="19" t="inlineStr">
        <is>
          <t>Nivel 1: propuesta del comentario del desarrollador o de confianza alta, o regla de fecha/responsable/motivo.</t>
        </is>
      </c>
      <c r="AA1663" s="18">
        <f>IF(OR(V1663="Aprobada"),R1663,IF(AND(OR(V1663="Aprobada con ajuste",V1663="Rechazada"),W1663&lt;&gt;""),W1663,""))</f>
        <v/>
      </c>
    </row>
    <row r="1664">
      <c r="A1664" s="18" t="inlineStr">
        <is>
          <t>C1663</t>
        </is>
      </c>
      <c r="B1664" s="18" t="inlineStr">
        <is>
          <t>Control interno</t>
        </is>
      </c>
      <c r="C1664" s="18" t="inlineStr">
        <is>
          <t>control_interno</t>
        </is>
      </c>
      <c r="D1664" s="18" t="inlineStr">
        <is>
          <t>evidencia_documento</t>
        </is>
      </c>
      <c r="E1664" s="18" t="n">
        <v>48</v>
      </c>
      <c r="F1664" s="18" t="inlineStr">
        <is>
          <t>version</t>
        </is>
      </c>
      <c r="G1664" s="18" t="inlineStr">
        <is>
          <t>integer</t>
        </is>
      </c>
      <c r="H1664" s="18" t="inlineStr">
        <is>
          <t>Sí</t>
        </is>
      </c>
      <c r="I1664" s="18" t="inlineStr"/>
      <c r="J1664" s="18" t="inlineStr"/>
      <c r="K1664" s="18" t="inlineStr"/>
      <c r="L1664" s="18" t="inlineStr">
        <is>
          <t>No</t>
        </is>
      </c>
      <c r="M1664" s="18" t="inlineStr">
        <is>
          <t>No</t>
        </is>
      </c>
      <c r="N1664" s="18" t="inlineStr"/>
      <c r="O1664" s="18" t="inlineStr"/>
      <c r="P1664" s="18" t="inlineStr">
        <is>
          <t>internal-institutional-control-service/src/esap/evidencias/entities/evidencia-documento.entity.ts:109: Versionado | db/migrations/old/076_create_evidencias_documentos.sql:67: Versionado | Validación: IsOptional, IsString</t>
        </is>
      </c>
      <c r="Q1664" s="18" t="inlineStr">
        <is>
          <t>Código fuente</t>
        </is>
      </c>
      <c r="R1664" s="18" t="inlineStr">
        <is>
          <t>Número de versión del documento; por defecto 1.</t>
        </is>
      </c>
      <c r="S1664" s="18" t="inlineStr">
        <is>
          <t>Alta</t>
        </is>
      </c>
      <c r="T1664" s="18" t="inlineStr">
        <is>
          <t>código: db/migrations/old/076_create_evidencias_documentos.sql:67</t>
        </is>
      </c>
      <c r="U1664" s="18" t="inlineStr"/>
      <c r="V1664" s="19" t="inlineStr">
        <is>
          <t>Aprobada</t>
        </is>
      </c>
      <c r="W1664" s="19" t="inlineStr"/>
      <c r="X1664" s="19" t="inlineStr">
        <is>
          <t>Aldair González (aprobación en bloque)</t>
        </is>
      </c>
      <c r="Y1664" s="20" t="n">
        <v>46321</v>
      </c>
      <c r="Z1664" s="19" t="inlineStr">
        <is>
          <t>Nivel 1: propuesta del comentario del desarrollador o de confianza alta, o regla de fecha/responsable/motivo.</t>
        </is>
      </c>
      <c r="AA1664" s="18">
        <f>IF(OR(V1664="Aprobada"),R1664,IF(AND(OR(V1664="Aprobada con ajuste",V1664="Rechazada"),W1664&lt;&gt;""),W1664,""))</f>
        <v/>
      </c>
    </row>
    <row r="1665">
      <c r="A1665" s="18" t="inlineStr">
        <is>
          <t>C1664</t>
        </is>
      </c>
      <c r="B1665" s="18" t="inlineStr">
        <is>
          <t>Control interno</t>
        </is>
      </c>
      <c r="C1665" s="18" t="inlineStr">
        <is>
          <t>control_interno</t>
        </is>
      </c>
      <c r="D1665" s="18" t="inlineStr">
        <is>
          <t>evidencia_documento</t>
        </is>
      </c>
      <c r="E1665" s="18" t="n">
        <v>48</v>
      </c>
      <c r="F1665" s="18" t="inlineStr">
        <is>
          <t>es_version_actual</t>
        </is>
      </c>
      <c r="G1665" s="18" t="inlineStr">
        <is>
          <t>boolean</t>
        </is>
      </c>
      <c r="H1665" s="18" t="inlineStr">
        <is>
          <t>Sí</t>
        </is>
      </c>
      <c r="I1665" s="18" t="inlineStr"/>
      <c r="J1665" s="18" t="inlineStr"/>
      <c r="K1665" s="18" t="inlineStr"/>
      <c r="L1665" s="18" t="inlineStr">
        <is>
          <t>No</t>
        </is>
      </c>
      <c r="M1665" s="18" t="inlineStr">
        <is>
          <t>No</t>
        </is>
      </c>
      <c r="N1665" s="18" t="inlineStr"/>
      <c r="O1665" s="18" t="inlineStr"/>
      <c r="P1665" s="18" t="inlineStr">
        <is>
          <t>Mapeada en internal-institutional-control-service/src/esap/evidencias/entities/evidencia-documento.entity.ts:119 (EvidenciaDocumento.esVersionActual)</t>
        </is>
      </c>
      <c r="Q1665" s="18" t="inlineStr">
        <is>
          <t>Regla estructural (redacción revisada)</t>
        </is>
      </c>
      <c r="R1665" s="18" t="inlineStr">
        <is>
          <t>Indica si el registro corresponde a la versión vigente del documento.</t>
        </is>
      </c>
      <c r="S1665" s="18" t="inlineStr">
        <is>
          <t>Alta</t>
        </is>
      </c>
      <c r="T1665" s="18" t="inlineStr">
        <is>
          <t>Convención de nombre, redactada con el contexto de la tabla y el código.</t>
        </is>
      </c>
      <c r="U1665" s="18" t="inlineStr"/>
      <c r="V1665" s="19" t="inlineStr">
        <is>
          <t>Aprobada</t>
        </is>
      </c>
      <c r="W1665" s="19" t="inlineStr"/>
      <c r="X1665" s="19" t="inlineStr">
        <is>
          <t>Aldair González (aprobación en bloque)</t>
        </is>
      </c>
      <c r="Y1665" s="20" t="n">
        <v>46321</v>
      </c>
      <c r="Z1665" s="19" t="inlineStr">
        <is>
          <t>Nivel 2: regla estructural con redacción revisada.</t>
        </is>
      </c>
      <c r="AA1665" s="18">
        <f>IF(OR(V1665="Aprobada"),R1665,IF(AND(OR(V1665="Aprobada con ajuste",V1665="Rechazada"),W1665&lt;&gt;""),W1665,""))</f>
        <v/>
      </c>
    </row>
    <row r="1666">
      <c r="A1666" s="18" t="inlineStr">
        <is>
          <t>C1665</t>
        </is>
      </c>
      <c r="B1666" s="18" t="inlineStr">
        <is>
          <t>Control interno</t>
        </is>
      </c>
      <c r="C1666" s="18" t="inlineStr">
        <is>
          <t>control_interno</t>
        </is>
      </c>
      <c r="D1666" s="18" t="inlineStr">
        <is>
          <t>evidencia_documento</t>
        </is>
      </c>
      <c r="E1666" s="18" t="n">
        <v>48</v>
      </c>
      <c r="F1666" s="18" t="inlineStr">
        <is>
          <t>validado_por</t>
        </is>
      </c>
      <c r="G1666" s="18" t="inlineStr">
        <is>
          <t>character varying(255)</t>
        </is>
      </c>
      <c r="H1666" s="18" t="inlineStr">
        <is>
          <t>Sí</t>
        </is>
      </c>
      <c r="I1666" s="18" t="inlineStr"/>
      <c r="J1666" s="18" t="inlineStr"/>
      <c r="K1666" s="18" t="inlineStr"/>
      <c r="L1666" s="18" t="inlineStr">
        <is>
          <t>No</t>
        </is>
      </c>
      <c r="M1666" s="18" t="inlineStr">
        <is>
          <t>No</t>
        </is>
      </c>
      <c r="N1666" s="18" t="inlineStr"/>
      <c r="O1666" s="18" t="inlineStr"/>
      <c r="P1666" s="18" t="inlineStr">
        <is>
          <t>Mapeada en internal-institutional-control-service/src/esap/evidencias/entities/evidencia-documento.entity.ts:131 (EvidenciaDocumento.validadoPor)</t>
        </is>
      </c>
      <c r="Q1666" s="18" t="inlineStr">
        <is>
          <t>Regla estructural</t>
        </is>
      </c>
      <c r="R1666" s="18" t="inlineStr">
        <is>
          <t>Usuario que realizó la validación.</t>
        </is>
      </c>
      <c r="S1666" s="18" t="inlineStr">
        <is>
          <t>Media</t>
        </is>
      </c>
      <c r="T1666" s="18" t="inlineStr">
        <is>
          <t>Convención de nombre de la columna.</t>
        </is>
      </c>
      <c r="U1666" s="18" t="inlineStr"/>
      <c r="V1666" s="19" t="inlineStr">
        <is>
          <t>Aprobada</t>
        </is>
      </c>
      <c r="W1666" s="19" t="inlineStr"/>
      <c r="X1666" s="19" t="inlineStr">
        <is>
          <t>Aldair González (aprobación en bloque)</t>
        </is>
      </c>
      <c r="Y1666" s="20" t="n">
        <v>46321</v>
      </c>
      <c r="Z1666" s="19" t="inlineStr">
        <is>
          <t>Nivel 1: propuesta del comentario del desarrollador o de confianza alta, o regla de fecha/responsable/motivo.</t>
        </is>
      </c>
      <c r="AA1666" s="18">
        <f>IF(OR(V1666="Aprobada"),R1666,IF(AND(OR(V1666="Aprobada con ajuste",V1666="Rechazada"),W1666&lt;&gt;""),W1666,""))</f>
        <v/>
      </c>
    </row>
    <row r="1667">
      <c r="A1667" s="18" t="inlineStr">
        <is>
          <t>C1666</t>
        </is>
      </c>
      <c r="B1667" s="18" t="inlineStr">
        <is>
          <t>Control interno</t>
        </is>
      </c>
      <c r="C1667" s="18" t="inlineStr">
        <is>
          <t>control_interno</t>
        </is>
      </c>
      <c r="D1667" s="18" t="inlineStr">
        <is>
          <t>evidencia_documento</t>
        </is>
      </c>
      <c r="E1667" s="18" t="n">
        <v>48</v>
      </c>
      <c r="F1667" s="18" t="inlineStr">
        <is>
          <t>fecha_validacion</t>
        </is>
      </c>
      <c r="G1667" s="18" t="inlineStr">
        <is>
          <t>timestamp without time zone</t>
        </is>
      </c>
      <c r="H1667" s="18" t="inlineStr">
        <is>
          <t>Sí</t>
        </is>
      </c>
      <c r="I1667" s="18" t="inlineStr"/>
      <c r="J1667" s="18" t="inlineStr"/>
      <c r="K1667" s="18" t="inlineStr"/>
      <c r="L1667" s="18" t="inlineStr">
        <is>
          <t>No</t>
        </is>
      </c>
      <c r="M1667" s="18" t="inlineStr">
        <is>
          <t>No</t>
        </is>
      </c>
      <c r="N1667" s="18" t="inlineStr"/>
      <c r="O1667" s="18" t="inlineStr"/>
      <c r="P1667" s="18" t="inlineStr">
        <is>
          <t>Mapeada en internal-institutional-control-service/src/esap/evidencias/entities/evidencia-documento.entity.ts:134 (EvidenciaDocumento.fechaValidacion)</t>
        </is>
      </c>
      <c r="Q1667" s="18" t="inlineStr">
        <is>
          <t>Regla estructural (redacción revisada)</t>
        </is>
      </c>
      <c r="R1667" s="18" t="inlineStr">
        <is>
          <t>Fecha y hora en que se validó la evidencia.</t>
        </is>
      </c>
      <c r="S1667" s="18" t="inlineStr">
        <is>
          <t>Alta</t>
        </is>
      </c>
      <c r="T1667" s="18" t="inlineStr">
        <is>
          <t>Convención de nombre, redactada con el contexto de la tabla y el código.</t>
        </is>
      </c>
      <c r="U1667" s="18" t="inlineStr"/>
      <c r="V1667" s="19" t="inlineStr">
        <is>
          <t>Aprobada</t>
        </is>
      </c>
      <c r="W1667" s="19" t="inlineStr"/>
      <c r="X1667" s="19" t="inlineStr">
        <is>
          <t>Aldair González (aprobación en bloque)</t>
        </is>
      </c>
      <c r="Y1667" s="20" t="n">
        <v>46321</v>
      </c>
      <c r="Z1667" s="19" t="inlineStr">
        <is>
          <t>Nivel 2: regla estructural con redacción revisada.</t>
        </is>
      </c>
      <c r="AA1667" s="18">
        <f>IF(OR(V1667="Aprobada"),R1667,IF(AND(OR(V1667="Aprobada con ajuste",V1667="Rechazada"),W1667&lt;&gt;""),W1667,""))</f>
        <v/>
      </c>
    </row>
    <row r="1668">
      <c r="A1668" s="18" t="inlineStr">
        <is>
          <t>C1667</t>
        </is>
      </c>
      <c r="B1668" s="18" t="inlineStr">
        <is>
          <t>Control interno</t>
        </is>
      </c>
      <c r="C1668" s="18" t="inlineStr">
        <is>
          <t>control_interno</t>
        </is>
      </c>
      <c r="D1668" s="18" t="inlineStr">
        <is>
          <t>evidencia_documento</t>
        </is>
      </c>
      <c r="E1668" s="18" t="n">
        <v>48</v>
      </c>
      <c r="F1668" s="18" t="inlineStr">
        <is>
          <t>observaciones_validacion</t>
        </is>
      </c>
      <c r="G1668" s="18" t="inlineStr">
        <is>
          <t>text</t>
        </is>
      </c>
      <c r="H1668" s="18" t="inlineStr">
        <is>
          <t>Sí</t>
        </is>
      </c>
      <c r="I1668" s="18" t="inlineStr"/>
      <c r="J1668" s="18" t="inlineStr"/>
      <c r="K1668" s="18" t="inlineStr"/>
      <c r="L1668" s="18" t="inlineStr">
        <is>
          <t>No</t>
        </is>
      </c>
      <c r="M1668" s="18" t="inlineStr">
        <is>
          <t>No</t>
        </is>
      </c>
      <c r="N1668" s="18" t="inlineStr"/>
      <c r="O1668" s="18" t="inlineStr"/>
      <c r="P1668" s="18" t="inlineStr">
        <is>
          <t>Mapeada en internal-institutional-control-service/src/esap/evidencias/entities/evidencia-documento.entity.ts:137 (EvidenciaDocumento.observacionesValidacion) | Validación: IsOptional, IsString</t>
        </is>
      </c>
      <c r="Q1668" s="18" t="inlineStr">
        <is>
          <t>Propuesta semántica</t>
        </is>
      </c>
      <c r="R1668" s="18" t="inlineStr">
        <is>
          <t>Observaciones registradas al validar la evidencia.</t>
        </is>
      </c>
      <c r="S1668" s="18" t="inlineStr">
        <is>
          <t>Alta</t>
        </is>
      </c>
      <c r="T1668" s="18" t="inlineStr">
        <is>
          <t>nombre + columnas vecinas (estado_validacion, validado_por) ~</t>
        </is>
      </c>
      <c r="U1668" s="18" t="inlineStr"/>
      <c r="V1668" s="19" t="inlineStr">
        <is>
          <t>Aprobada</t>
        </is>
      </c>
      <c r="W1668" s="19" t="inlineStr"/>
      <c r="X1668" s="19" t="inlineStr">
        <is>
          <t>Aldair González (aprobación en bloque)</t>
        </is>
      </c>
      <c r="Y1668" s="20" t="n">
        <v>46321</v>
      </c>
      <c r="Z1668" s="19" t="inlineStr">
        <is>
          <t>Nivel 1: propuesta del comentario del desarrollador o de confianza alta, o regla de fecha/responsable/motivo.</t>
        </is>
      </c>
      <c r="AA1668" s="18">
        <f>IF(OR(V1668="Aprobada"),R1668,IF(AND(OR(V1668="Aprobada con ajuste",V1668="Rechazada"),W1668&lt;&gt;""),W1668,""))</f>
        <v/>
      </c>
    </row>
    <row r="1669">
      <c r="A1669" s="18" t="inlineStr">
        <is>
          <t>C1668</t>
        </is>
      </c>
      <c r="B1669" s="18" t="inlineStr">
        <is>
          <t>Control interno</t>
        </is>
      </c>
      <c r="C1669" s="18" t="inlineStr">
        <is>
          <t>control_interno</t>
        </is>
      </c>
      <c r="D1669" s="18" t="inlineStr">
        <is>
          <t>evidencia_documento</t>
        </is>
      </c>
      <c r="E1669" s="18" t="n">
        <v>48</v>
      </c>
      <c r="F1669" s="18" t="inlineStr">
        <is>
          <t>subido_por</t>
        </is>
      </c>
      <c r="G1669" s="18" t="inlineStr">
        <is>
          <t>character varying(255)</t>
        </is>
      </c>
      <c r="H1669" s="18" t="inlineStr">
        <is>
          <t>No</t>
        </is>
      </c>
      <c r="I1669" s="18" t="inlineStr"/>
      <c r="J1669" s="18" t="inlineStr"/>
      <c r="K1669" s="18" t="inlineStr"/>
      <c r="L1669" s="18" t="inlineStr">
        <is>
          <t>No</t>
        </is>
      </c>
      <c r="M1669" s="18" t="inlineStr">
        <is>
          <t>No</t>
        </is>
      </c>
      <c r="N1669" s="18" t="inlineStr"/>
      <c r="O1669" s="18" t="inlineStr"/>
      <c r="P1669" s="18" t="inlineStr">
        <is>
          <t>internal-institutional-control-service/src/esap/evidencias/entities/evidencia-documento.entity.ts:141: Metadatos | db/migrations/old/076_create_evidencias_documentos.sql:78: Metadatos adicionales | Validación: IsNotEmpty, IsString</t>
        </is>
      </c>
      <c r="Q1669" s="18" t="inlineStr">
        <is>
          <t>Código fuente</t>
        </is>
      </c>
      <c r="R1669" s="18" t="inlineStr">
        <is>
          <t>Nombre del usuario que cargó el documento.</t>
        </is>
      </c>
      <c r="S1669" s="18" t="inlineStr">
        <is>
          <t>Alta</t>
        </is>
      </c>
      <c r="T1669" s="18" t="inlineStr">
        <is>
          <t>nombre + tipo + columnas vecinas (subido_por_id guarda el identificador)</t>
        </is>
      </c>
      <c r="U1669" s="18" t="inlineStr"/>
      <c r="V1669" s="19" t="inlineStr">
        <is>
          <t>Aprobada</t>
        </is>
      </c>
      <c r="W1669" s="19" t="inlineStr"/>
      <c r="X1669" s="19" t="inlineStr">
        <is>
          <t>Aldair González (aprobación en bloque)</t>
        </is>
      </c>
      <c r="Y1669" s="20" t="n">
        <v>46321</v>
      </c>
      <c r="Z1669" s="19" t="inlineStr">
        <is>
          <t>Nivel 1: propuesta del comentario del desarrollador o de confianza alta, o regla de fecha/responsable/motivo.</t>
        </is>
      </c>
      <c r="AA1669" s="18">
        <f>IF(OR(V1669="Aprobada"),R1669,IF(AND(OR(V1669="Aprobada con ajuste",V1669="Rechazada"),W1669&lt;&gt;""),W1669,""))</f>
        <v/>
      </c>
    </row>
    <row r="1670">
      <c r="A1670" s="18" t="inlineStr">
        <is>
          <t>C1669</t>
        </is>
      </c>
      <c r="B1670" s="18" t="inlineStr">
        <is>
          <t>Control interno</t>
        </is>
      </c>
      <c r="C1670" s="18" t="inlineStr">
        <is>
          <t>control_interno</t>
        </is>
      </c>
      <c r="D1670" s="18" t="inlineStr">
        <is>
          <t>evidencia_documento</t>
        </is>
      </c>
      <c r="E1670" s="18" t="n">
        <v>48</v>
      </c>
      <c r="F1670" s="18" t="inlineStr">
        <is>
          <t>subido_por_id</t>
        </is>
      </c>
      <c r="G1670" s="18" t="inlineStr">
        <is>
          <t>bigint</t>
        </is>
      </c>
      <c r="H1670" s="18" t="inlineStr">
        <is>
          <t>Sí</t>
        </is>
      </c>
      <c r="I1670" s="18" t="inlineStr"/>
      <c r="J1670" s="18" t="inlineStr"/>
      <c r="K1670" s="18" t="inlineStr"/>
      <c r="L1670" s="18" t="inlineStr">
        <is>
          <t>No</t>
        </is>
      </c>
      <c r="M1670" s="18" t="inlineStr">
        <is>
          <t>No</t>
        </is>
      </c>
      <c r="N1670" s="18" t="inlineStr"/>
      <c r="O1670" s="18" t="inlineStr">
        <is>
          <t>idx_evidencia_subido_por</t>
        </is>
      </c>
      <c r="P1670" s="18" t="inlineStr">
        <is>
          <t>db/migrations/old/076_create_evidencias_documentos.sql:79: FK a auth.personas (opcional)</t>
        </is>
      </c>
      <c r="Q1670" s="18" t="inlineStr">
        <is>
          <t>Código fuente</t>
        </is>
      </c>
      <c r="R1670" s="18" t="inlineStr">
        <is>
          <t>Identificador de la persona que cargó el documento; referencia opcional a auth.personas.</t>
        </is>
      </c>
      <c r="S1670" s="18" t="inlineStr">
        <is>
          <t>Alta</t>
        </is>
      </c>
      <c r="T1670" s="18" t="inlineStr">
        <is>
          <t>código: db/migrations/old/076_create_evidencias_documentos.sql:79</t>
        </is>
      </c>
      <c r="U1670" s="18" t="inlineStr"/>
      <c r="V1670" s="19" t="inlineStr">
        <is>
          <t>Aprobada</t>
        </is>
      </c>
      <c r="W1670" s="19" t="inlineStr"/>
      <c r="X1670" s="19" t="inlineStr">
        <is>
          <t>Aldair González (aprobación en bloque)</t>
        </is>
      </c>
      <c r="Y1670" s="20" t="n">
        <v>46321</v>
      </c>
      <c r="Z1670" s="19" t="inlineStr">
        <is>
          <t>Nivel 1: propuesta del comentario del desarrollador o de confianza alta, o regla de fecha/responsable/motivo.</t>
        </is>
      </c>
      <c r="AA1670" s="18">
        <f>IF(OR(V1670="Aprobada"),R1670,IF(AND(OR(V1670="Aprobada con ajuste",V1670="Rechazada"),W1670&lt;&gt;""),W1670,""))</f>
        <v/>
      </c>
    </row>
    <row r="1671">
      <c r="A1671" s="18" t="inlineStr">
        <is>
          <t>C1670</t>
        </is>
      </c>
      <c r="B1671" s="18" t="inlineStr">
        <is>
          <t>Control interno</t>
        </is>
      </c>
      <c r="C1671" s="18" t="inlineStr">
        <is>
          <t>control_interno</t>
        </is>
      </c>
      <c r="D1671" s="18" t="inlineStr">
        <is>
          <t>evidencia_documento</t>
        </is>
      </c>
      <c r="E1671" s="18" t="n">
        <v>48</v>
      </c>
      <c r="F1671" s="18" t="inlineStr">
        <is>
          <t>fecha_subida</t>
        </is>
      </c>
      <c r="G1671" s="18" t="inlineStr">
        <is>
          <t>timestamp without time zone</t>
        </is>
      </c>
      <c r="H1671" s="18" t="inlineStr">
        <is>
          <t>Sí</t>
        </is>
      </c>
      <c r="I1671" s="18" t="inlineStr"/>
      <c r="J1671" s="18" t="inlineStr"/>
      <c r="K1671" s="18" t="inlineStr"/>
      <c r="L1671" s="18" t="inlineStr">
        <is>
          <t>No</t>
        </is>
      </c>
      <c r="M1671" s="18" t="inlineStr">
        <is>
          <t>No</t>
        </is>
      </c>
      <c r="N1671" s="18" t="inlineStr"/>
      <c r="O1671" s="18" t="inlineStr">
        <is>
          <t>idx_evidencia_fecha_subida</t>
        </is>
      </c>
      <c r="P1671" s="18" t="inlineStr">
        <is>
          <t>Mapeada en internal-institutional-control-service/src/esap/evidencias/entities/evidencia-documento.entity.ts:147 (EvidenciaDocumento.fechaSubida)</t>
        </is>
      </c>
      <c r="Q1671" s="18" t="inlineStr">
        <is>
          <t>Regla estructural (redacción revisada)</t>
        </is>
      </c>
      <c r="R1671" s="18" t="inlineStr">
        <is>
          <t>Fecha y hora en que se cargó la evidencia.</t>
        </is>
      </c>
      <c r="S1671" s="18" t="inlineStr">
        <is>
          <t>Alta</t>
        </is>
      </c>
      <c r="T1671" s="18" t="inlineStr">
        <is>
          <t>Convención de nombre, redactada con el contexto de la tabla y el código.</t>
        </is>
      </c>
      <c r="U1671" s="18" t="inlineStr"/>
      <c r="V1671" s="19" t="inlineStr">
        <is>
          <t>Aprobada</t>
        </is>
      </c>
      <c r="W1671" s="19" t="inlineStr"/>
      <c r="X1671" s="19" t="inlineStr">
        <is>
          <t>Aldair González (aprobación en bloque)</t>
        </is>
      </c>
      <c r="Y1671" s="20" t="n">
        <v>46321</v>
      </c>
      <c r="Z1671" s="19" t="inlineStr">
        <is>
          <t>Nivel 2: regla estructural con redacción revisada.</t>
        </is>
      </c>
      <c r="AA1671" s="18">
        <f>IF(OR(V1671="Aprobada"),R1671,IF(AND(OR(V1671="Aprobada con ajuste",V1671="Rechazada"),W1671&lt;&gt;""),W1671,""))</f>
        <v/>
      </c>
    </row>
    <row r="1672">
      <c r="A1672" s="18" t="inlineStr">
        <is>
          <t>C1671</t>
        </is>
      </c>
      <c r="B1672" s="18" t="inlineStr">
        <is>
          <t>Control interno</t>
        </is>
      </c>
      <c r="C1672" s="18" t="inlineStr">
        <is>
          <t>control_interno</t>
        </is>
      </c>
      <c r="D1672" s="18" t="inlineStr">
        <is>
          <t>evidencia_documento</t>
        </is>
      </c>
      <c r="E1672" s="18" t="n">
        <v>48</v>
      </c>
      <c r="F1672" s="18" t="inlineStr">
        <is>
          <t>ruta_servidor_g</t>
        </is>
      </c>
      <c r="G1672" s="18" t="inlineStr">
        <is>
          <t>character varying(500)</t>
        </is>
      </c>
      <c r="H1672" s="18" t="inlineStr">
        <is>
          <t>Sí</t>
        </is>
      </c>
      <c r="I1672" s="18" t="inlineStr"/>
      <c r="J1672" s="18" t="inlineStr"/>
      <c r="K1672" s="18" t="inlineStr"/>
      <c r="L1672" s="18" t="inlineStr">
        <is>
          <t>No</t>
        </is>
      </c>
      <c r="M1672" s="18" t="inlineStr">
        <is>
          <t>No</t>
        </is>
      </c>
      <c r="N1672" s="18" t="inlineStr"/>
      <c r="O1672" s="18" t="inlineStr"/>
      <c r="P1672" s="18" t="inlineStr">
        <is>
          <t>internal-institutional-control-service/src/esap/evidencias/entities/evidencia-documento.entity.ts:151: Sincronización | db/migrations/old/076_create_evidencias_documentos.sql:83: Sincronización con servidor G:</t>
        </is>
      </c>
      <c r="Q1672" s="18" t="inlineStr">
        <is>
          <t>Código fuente</t>
        </is>
      </c>
      <c r="R1672" s="18" t="inlineStr">
        <is>
          <t>Ruta del documento en el servidor G: con el que se sincroniza.</t>
        </is>
      </c>
      <c r="S1672" s="18" t="inlineStr">
        <is>
          <t>Alta</t>
        </is>
      </c>
      <c r="T1672" s="18" t="inlineStr">
        <is>
          <t>código: db/migrations/old/076_create_evidencias_documentos.sql:83</t>
        </is>
      </c>
      <c r="U1672" s="18" t="inlineStr"/>
      <c r="V1672" s="19" t="inlineStr">
        <is>
          <t>Aprobada</t>
        </is>
      </c>
      <c r="W1672" s="19" t="inlineStr"/>
      <c r="X1672" s="19" t="inlineStr">
        <is>
          <t>Aldair González (aprobación en bloque)</t>
        </is>
      </c>
      <c r="Y1672" s="20" t="n">
        <v>46321</v>
      </c>
      <c r="Z1672" s="19" t="inlineStr">
        <is>
          <t>Nivel 1: propuesta del comentario del desarrollador o de confianza alta, o regla de fecha/responsable/motivo.</t>
        </is>
      </c>
      <c r="AA1672" s="18">
        <f>IF(OR(V1672="Aprobada"),R1672,IF(AND(OR(V1672="Aprobada con ajuste",V1672="Rechazada"),W1672&lt;&gt;""),W1672,""))</f>
        <v/>
      </c>
    </row>
    <row r="1673">
      <c r="A1673" s="18" t="inlineStr">
        <is>
          <t>C1672</t>
        </is>
      </c>
      <c r="B1673" s="18" t="inlineStr">
        <is>
          <t>Control interno</t>
        </is>
      </c>
      <c r="C1673" s="18" t="inlineStr">
        <is>
          <t>control_interno</t>
        </is>
      </c>
      <c r="D1673" s="18" t="inlineStr">
        <is>
          <t>evidencia_documento</t>
        </is>
      </c>
      <c r="E1673" s="18" t="n">
        <v>48</v>
      </c>
      <c r="F1673" s="18" t="inlineStr">
        <is>
          <t>sincronizado_servidor_g</t>
        </is>
      </c>
      <c r="G1673" s="18" t="inlineStr">
        <is>
          <t>boolean</t>
        </is>
      </c>
      <c r="H1673" s="18" t="inlineStr">
        <is>
          <t>Sí</t>
        </is>
      </c>
      <c r="I1673" s="18" t="inlineStr"/>
      <c r="J1673" s="18" t="inlineStr"/>
      <c r="K1673" s="18" t="inlineStr"/>
      <c r="L1673" s="18" t="inlineStr">
        <is>
          <t>No</t>
        </is>
      </c>
      <c r="M1673" s="18" t="inlineStr">
        <is>
          <t>No</t>
        </is>
      </c>
      <c r="N1673" s="18" t="inlineStr"/>
      <c r="O1673" s="18" t="inlineStr"/>
      <c r="P1673" s="18" t="inlineStr">
        <is>
          <t>Mapeada en internal-institutional-control-service/src/esap/evidencias/entities/evidencia-documento.entity.ts:154 (EvidenciaDocumento.sincronizadoServidorG)</t>
        </is>
      </c>
      <c r="Q1673" s="18" t="inlineStr">
        <is>
          <t>Regla estructural (redacción revisada)</t>
        </is>
      </c>
      <c r="R1673" s="18" t="inlineStr">
        <is>
          <t>Indica si la evidencia está sincronizada con el servidor G.</t>
        </is>
      </c>
      <c r="S1673" s="18" t="inlineStr">
        <is>
          <t>Alta</t>
        </is>
      </c>
      <c r="T1673" s="18" t="inlineStr">
        <is>
          <t>Convención de nombre, redactada con el contexto de la tabla y el código.</t>
        </is>
      </c>
      <c r="U1673" s="18" t="inlineStr"/>
      <c r="V1673" s="19" t="inlineStr">
        <is>
          <t>Aprobada</t>
        </is>
      </c>
      <c r="W1673" s="19" t="inlineStr"/>
      <c r="X1673" s="19" t="inlineStr">
        <is>
          <t>Aldair González (aprobación en bloque)</t>
        </is>
      </c>
      <c r="Y1673" s="20" t="n">
        <v>46321</v>
      </c>
      <c r="Z1673" s="19" t="inlineStr">
        <is>
          <t>Nivel 2: regla estructural con redacción revisada.</t>
        </is>
      </c>
      <c r="AA1673" s="18">
        <f>IF(OR(V1673="Aprobada"),R1673,IF(AND(OR(V1673="Aprobada con ajuste",V1673="Rechazada"),W1673&lt;&gt;""),W1673,""))</f>
        <v/>
      </c>
    </row>
    <row r="1674">
      <c r="A1674" s="18" t="inlineStr">
        <is>
          <t>C1673</t>
        </is>
      </c>
      <c r="B1674" s="18" t="inlineStr">
        <is>
          <t>Control interno</t>
        </is>
      </c>
      <c r="C1674" s="18" t="inlineStr">
        <is>
          <t>control_interno</t>
        </is>
      </c>
      <c r="D1674" s="18" t="inlineStr">
        <is>
          <t>evidencia_documento</t>
        </is>
      </c>
      <c r="E1674" s="18" t="n">
        <v>48</v>
      </c>
      <c r="F1674" s="18" t="inlineStr">
        <is>
          <t>fecha_sincronizacion</t>
        </is>
      </c>
      <c r="G1674" s="18" t="inlineStr">
        <is>
          <t>timestamp without time zone</t>
        </is>
      </c>
      <c r="H1674" s="18" t="inlineStr">
        <is>
          <t>Sí</t>
        </is>
      </c>
      <c r="I1674" s="18" t="inlineStr"/>
      <c r="J1674" s="18" t="inlineStr"/>
      <c r="K1674" s="18" t="inlineStr"/>
      <c r="L1674" s="18" t="inlineStr">
        <is>
          <t>No</t>
        </is>
      </c>
      <c r="M1674" s="18" t="inlineStr">
        <is>
          <t>No</t>
        </is>
      </c>
      <c r="N1674" s="18" t="inlineStr"/>
      <c r="O1674" s="18" t="inlineStr"/>
      <c r="P1674" s="18" t="inlineStr">
        <is>
          <t>Mapeada en internal-institutional-control-service/src/esap/evidencias/entities/evidencia-documento.entity.ts:157 (EvidenciaDocumento.fechaSincronizacion)</t>
        </is>
      </c>
      <c r="Q1674" s="18" t="inlineStr">
        <is>
          <t>Regla estructural (redacción revisada)</t>
        </is>
      </c>
      <c r="R1674" s="18" t="inlineStr">
        <is>
          <t>Fecha y hora de la sincronización de la evidencia con el servidor G.</t>
        </is>
      </c>
      <c r="S1674" s="18" t="inlineStr">
        <is>
          <t>Alta</t>
        </is>
      </c>
      <c r="T1674" s="18" t="inlineStr">
        <is>
          <t>Convención de nombre, redactada con el contexto de la tabla y el código.</t>
        </is>
      </c>
      <c r="U1674" s="18" t="inlineStr"/>
      <c r="V1674" s="19" t="inlineStr">
        <is>
          <t>Aprobada</t>
        </is>
      </c>
      <c r="W1674" s="19" t="inlineStr"/>
      <c r="X1674" s="19" t="inlineStr">
        <is>
          <t>Aldair González (aprobación en bloque)</t>
        </is>
      </c>
      <c r="Y1674" s="20" t="n">
        <v>46321</v>
      </c>
      <c r="Z1674" s="19" t="inlineStr">
        <is>
          <t>Nivel 2: regla estructural con redacción revisada.</t>
        </is>
      </c>
      <c r="AA1674" s="18">
        <f>IF(OR(V1674="Aprobada"),R1674,IF(AND(OR(V1674="Aprobada con ajuste",V1674="Rechazada"),W1674&lt;&gt;""),W1674,""))</f>
        <v/>
      </c>
    </row>
    <row r="1675">
      <c r="A1675" s="18" t="inlineStr">
        <is>
          <t>C1674</t>
        </is>
      </c>
      <c r="B1675" s="18" t="inlineStr">
        <is>
          <t>Control interno</t>
        </is>
      </c>
      <c r="C1675" s="18" t="inlineStr">
        <is>
          <t>control_interno</t>
        </is>
      </c>
      <c r="D1675" s="18" t="inlineStr">
        <is>
          <t>hallazgo</t>
        </is>
      </c>
      <c r="E1675" s="18" t="n">
        <v>34</v>
      </c>
      <c r="F1675" s="18" t="inlineStr">
        <is>
          <t>codigo</t>
        </is>
      </c>
      <c r="G1675" s="18" t="inlineStr">
        <is>
          <t>character varying(255)</t>
        </is>
      </c>
      <c r="H1675" s="18" t="inlineStr">
        <is>
          <t>No</t>
        </is>
      </c>
      <c r="I1675" s="18" t="inlineStr">
        <is>
          <t>Única</t>
        </is>
      </c>
      <c r="J1675" s="18" t="inlineStr"/>
      <c r="K1675" s="18" t="inlineStr"/>
      <c r="L1675" s="18" t="inlineStr">
        <is>
          <t>No</t>
        </is>
      </c>
      <c r="M1675" s="18" t="inlineStr">
        <is>
          <t>No</t>
        </is>
      </c>
      <c r="N1675" s="18" t="inlineStr"/>
      <c r="O1675" s="18" t="inlineStr">
        <is>
          <t>hallazgo_codigo_key</t>
        </is>
      </c>
      <c r="P1675" s="18" t="inlineStr">
        <is>
          <t>Mapeada en internal-institutional-control-service/src/esap/hallazgos/entities/hallazgo.entity.ts:37 (Hallazgo.codigo) | Validación: IsNotEmpty, IsOptional, IsString, Length(1, 50), MaxLength(80)</t>
        </is>
      </c>
      <c r="Q1675" s="18" t="inlineStr">
        <is>
          <t>Regla estructural (redacción revisada)</t>
        </is>
      </c>
      <c r="R1675" s="18" t="inlineStr">
        <is>
          <t>Código del hallazgo. Único en la tabla.</t>
        </is>
      </c>
      <c r="S1675" s="18" t="inlineStr">
        <is>
          <t>Alta</t>
        </is>
      </c>
      <c r="T1675" s="18" t="inlineStr">
        <is>
          <t>Convención de nombre, redactada con el contexto de la tabla y el código.</t>
        </is>
      </c>
      <c r="U1675" s="18" t="inlineStr"/>
      <c r="V1675" s="19" t="inlineStr">
        <is>
          <t>Aprobada</t>
        </is>
      </c>
      <c r="W1675" s="19" t="inlineStr"/>
      <c r="X1675" s="19" t="inlineStr">
        <is>
          <t>Aldair González (aprobación en bloque)</t>
        </is>
      </c>
      <c r="Y1675" s="20" t="n">
        <v>46321</v>
      </c>
      <c r="Z1675" s="19" t="inlineStr">
        <is>
          <t>Nivel 2: regla estructural con redacción revisada.</t>
        </is>
      </c>
      <c r="AA1675" s="18">
        <f>IF(OR(V1675="Aprobada"),R1675,IF(AND(OR(V1675="Aprobada con ajuste",V1675="Rechazada"),W1675&lt;&gt;""),W1675,""))</f>
        <v/>
      </c>
    </row>
    <row r="1676">
      <c r="A1676" s="18" t="inlineStr">
        <is>
          <t>C1675</t>
        </is>
      </c>
      <c r="B1676" s="18" t="inlineStr">
        <is>
          <t>Control interno</t>
        </is>
      </c>
      <c r="C1676" s="18" t="inlineStr">
        <is>
          <t>control_interno</t>
        </is>
      </c>
      <c r="D1676" s="18" t="inlineStr">
        <is>
          <t>hallazgo</t>
        </is>
      </c>
      <c r="E1676" s="18" t="n">
        <v>34</v>
      </c>
      <c r="F1676" s="18" t="inlineStr">
        <is>
          <t>categoria</t>
        </is>
      </c>
      <c r="G1676" s="18" t="inlineStr">
        <is>
          <t>character varying(50)</t>
        </is>
      </c>
      <c r="H1676" s="18" t="inlineStr">
        <is>
          <t>No</t>
        </is>
      </c>
      <c r="I1676" s="18" t="inlineStr">
        <is>
          <t>CHECK</t>
        </is>
      </c>
      <c r="J1676" s="18" t="inlineStr">
        <is>
          <t>borrador, controversia, critico, grave, leve, moderado</t>
        </is>
      </c>
      <c r="K1676" s="18" t="inlineStr"/>
      <c r="L1676" s="18" t="inlineStr">
        <is>
          <t>Sí</t>
        </is>
      </c>
      <c r="M1676" s="18" t="inlineStr">
        <is>
          <t>No</t>
        </is>
      </c>
      <c r="N1676" s="18" t="inlineStr"/>
      <c r="O1676" s="18" t="inlineStr">
        <is>
          <t>idx_hallazgo_categoria</t>
        </is>
      </c>
      <c r="P1676" s="18" t="inlineStr">
        <is>
          <t>Mapeada en internal-institutional-control-service/src/esap/hallazgos/entities/hallazgo.entity.ts:43 (Hallazgo.categoria) | Validación: IsEnum(CategoriaNota), IsEnum(HallazgoCategoria), IsEnum(['financiero', 'administrativo', 'contractual', 'talento-humano', 'transparencia', 'control']), IsNotEmpty, IsOptional, IsString</t>
        </is>
      </c>
      <c r="Q1676" s="18" t="inlineStr">
        <is>
          <t>Código fuente (verificado)</t>
        </is>
      </c>
      <c r="R1676" s="18" t="inlineStr">
        <is>
          <t>Categoría del hallazgo: leve, moderado, grave, critico, borrador (por clasificar) o controversia (conservado para registros antiguos); borrador por defecto.</t>
        </is>
      </c>
      <c r="S1676" s="18" t="inlineStr">
        <is>
          <t>Alta</t>
        </is>
      </c>
      <c r="T1676" s="18" t="inlineStr">
        <is>
          <t>backend/internal-institutional-control-service/src/esap/hallazgos/entities/hallazgo.entity.ts:12-19: enum HallazgoCategoria | backend/internal-institutional-control-service/src/esap/hallazgos/hallazgos.service.ts:375: borrador si no se envía | la lista financiero…control corresponde a informe_ley.categoria (informes-ley/dto/create-informe-ley.dto.ts:32)</t>
        </is>
      </c>
      <c r="U1676" s="18" t="inlineStr"/>
      <c r="V1676" s="19" t="inlineStr">
        <is>
          <t>Aprobada</t>
        </is>
      </c>
      <c r="W1676" s="19" t="inlineStr"/>
      <c r="X1676" s="19" t="inlineStr">
        <is>
          <t>Aldair González (aprobación en bloque)</t>
        </is>
      </c>
      <c r="Y1676" s="20" t="n">
        <v>46321</v>
      </c>
      <c r="Z1676" s="19" t="inlineStr">
        <is>
          <t>Nivel 3: verificada con el código de la aplicación.</t>
        </is>
      </c>
      <c r="AA1676" s="18">
        <f>IF(OR(V1676="Aprobada"),R1676,IF(AND(OR(V1676="Aprobada con ajuste",V1676="Rechazada"),W1676&lt;&gt;""),W1676,""))</f>
        <v/>
      </c>
    </row>
    <row r="1677">
      <c r="A1677" s="18" t="inlineStr">
        <is>
          <t>C1676</t>
        </is>
      </c>
      <c r="B1677" s="18" t="inlineStr">
        <is>
          <t>Control interno</t>
        </is>
      </c>
      <c r="C1677" s="18" t="inlineStr">
        <is>
          <t>control_interno</t>
        </is>
      </c>
      <c r="D1677" s="18" t="inlineStr">
        <is>
          <t>hallazgo</t>
        </is>
      </c>
      <c r="E1677" s="18" t="n">
        <v>34</v>
      </c>
      <c r="F1677" s="18" t="inlineStr">
        <is>
          <t>estado</t>
        </is>
      </c>
      <c r="G1677" s="18" t="inlineStr">
        <is>
          <t>character varying(255)</t>
        </is>
      </c>
      <c r="H1677" s="18" t="inlineStr">
        <is>
          <t>No</t>
        </is>
      </c>
      <c r="I1677" s="18" t="inlineStr"/>
      <c r="J1677" s="18" t="inlineStr"/>
      <c r="K1677" s="18" t="inlineStr"/>
      <c r="L1677" s="18" t="inlineStr">
        <is>
          <t>No</t>
        </is>
      </c>
      <c r="M1677" s="18" t="inlineStr">
        <is>
          <t>No</t>
        </is>
      </c>
      <c r="N1677" s="18" t="inlineStr"/>
      <c r="O1677" s="18" t="inlineStr">
        <is>
          <t>idx_hallazgo_estado</t>
        </is>
      </c>
      <c r="P1677" s="18" t="inlineStr">
        <is>
          <t>Mapeada en internal-institutional-control-service/src/esap/hallazgos/entities/hallazgo.entity.ts:46 (Hallazgo.estado) | Validación: IsEnum(AccionCorrectivaEstado), IsEnum(EstadoEtapa), IsEnum(EstadoPlanIndividual), IsEnum(EstadoTarea), IsEnum(HallazgoEstado), IsEnum(PlanMejoramientoEstado)</t>
        </is>
      </c>
      <c r="Q1677" s="18" t="inlineStr">
        <is>
          <t>Regla estructural (redacción revisada)</t>
        </is>
      </c>
      <c r="R1677" s="18" t="inlineStr">
        <is>
          <t>Estado del hallazgo.</t>
        </is>
      </c>
      <c r="S1677" s="18" t="inlineStr">
        <is>
          <t>Alta</t>
        </is>
      </c>
      <c r="T1677" s="18" t="inlineStr">
        <is>
          <t>Convención de nombre, redactada con el contexto de la tabla y el código.</t>
        </is>
      </c>
      <c r="U1677" s="18" t="inlineStr"/>
      <c r="V1677" s="19" t="inlineStr">
        <is>
          <t>Aprobada</t>
        </is>
      </c>
      <c r="W1677" s="19" t="inlineStr"/>
      <c r="X1677" s="19" t="inlineStr">
        <is>
          <t>Aldair González (aprobación en bloque)</t>
        </is>
      </c>
      <c r="Y1677" s="20" t="n">
        <v>46321</v>
      </c>
      <c r="Z1677" s="19" t="inlineStr">
        <is>
          <t>Nivel 2: regla estructural con redacción revisada.</t>
        </is>
      </c>
      <c r="AA1677" s="18">
        <f>IF(OR(V1677="Aprobada"),R1677,IF(AND(OR(V1677="Aprobada con ajuste",V1677="Rechazada"),W1677&lt;&gt;""),W1677,""))</f>
        <v/>
      </c>
    </row>
    <row r="1678">
      <c r="A1678" s="18" t="inlineStr">
        <is>
          <t>C1677</t>
        </is>
      </c>
      <c r="B1678" s="18" t="inlineStr">
        <is>
          <t>Control interno</t>
        </is>
      </c>
      <c r="C1678" s="18" t="inlineStr">
        <is>
          <t>control_interno</t>
        </is>
      </c>
      <c r="D1678" s="18" t="inlineStr">
        <is>
          <t>hallazgo</t>
        </is>
      </c>
      <c r="E1678" s="18" t="n">
        <v>34</v>
      </c>
      <c r="F1678" s="18" t="inlineStr">
        <is>
          <t>area</t>
        </is>
      </c>
      <c r="G1678" s="18" t="inlineStr">
        <is>
          <t>character varying(255)</t>
        </is>
      </c>
      <c r="H1678" s="18" t="inlineStr">
        <is>
          <t>No</t>
        </is>
      </c>
      <c r="I1678" s="18" t="inlineStr"/>
      <c r="J1678" s="18" t="inlineStr"/>
      <c r="K1678" s="18" t="inlineStr"/>
      <c r="L1678" s="18" t="inlineStr">
        <is>
          <t>No</t>
        </is>
      </c>
      <c r="M1678" s="18" t="inlineStr">
        <is>
          <t>No</t>
        </is>
      </c>
      <c r="N1678" s="18" t="inlineStr"/>
      <c r="O1678" s="18" t="inlineStr"/>
      <c r="P1678" s="18" t="inlineStr">
        <is>
          <t>Mapeada en internal-institutional-control-service/src/esap/hallazgos/entities/hallazgo.entity.ts:49 (Hallazgo.area) | Validación: IsNotEmpty, IsOptional, IsString, Length(1, 255), MaxLength(255)</t>
        </is>
      </c>
      <c r="Q1678" s="18" t="inlineStr">
        <is>
          <t>Propuesta semántica</t>
        </is>
      </c>
      <c r="R1678" s="18" t="inlineStr">
        <is>
          <t>Área o dependencia en la que se identificó el hallazgo.</t>
        </is>
      </c>
      <c r="S1678" s="18" t="inlineStr">
        <is>
          <t>Alta</t>
        </is>
      </c>
      <c r="T1678" s="18" t="inlineStr">
        <is>
          <t>nombre + tipo ~</t>
        </is>
      </c>
      <c r="U1678" s="18" t="inlineStr"/>
      <c r="V1678" s="19" t="inlineStr">
        <is>
          <t>Aprobada</t>
        </is>
      </c>
      <c r="W1678" s="19" t="inlineStr"/>
      <c r="X1678" s="19" t="inlineStr">
        <is>
          <t>Aldair González (aprobación en bloque)</t>
        </is>
      </c>
      <c r="Y1678" s="20" t="n">
        <v>46321</v>
      </c>
      <c r="Z1678" s="19" t="inlineStr">
        <is>
          <t>Nivel 1: propuesta del comentario del desarrollador o de confianza alta, o regla de fecha/responsable/motivo.</t>
        </is>
      </c>
      <c r="AA1678" s="18">
        <f>IF(OR(V1678="Aprobada"),R1678,IF(AND(OR(V1678="Aprobada con ajuste",V1678="Rechazada"),W1678&lt;&gt;""),W1678,""))</f>
        <v/>
      </c>
    </row>
    <row r="1679">
      <c r="A1679" s="18" t="inlineStr">
        <is>
          <t>C1678</t>
        </is>
      </c>
      <c r="B1679" s="18" t="inlineStr">
        <is>
          <t>Control interno</t>
        </is>
      </c>
      <c r="C1679" s="18" t="inlineStr">
        <is>
          <t>control_interno</t>
        </is>
      </c>
      <c r="D1679" s="18" t="inlineStr">
        <is>
          <t>hallazgo</t>
        </is>
      </c>
      <c r="E1679" s="18" t="n">
        <v>34</v>
      </c>
      <c r="F1679" s="18" t="inlineStr">
        <is>
          <t>auditoria</t>
        </is>
      </c>
      <c r="G1679" s="18" t="inlineStr">
        <is>
          <t>character varying(255)</t>
        </is>
      </c>
      <c r="H1679" s="18" t="inlineStr">
        <is>
          <t>No</t>
        </is>
      </c>
      <c r="I1679" s="18" t="inlineStr"/>
      <c r="J1679" s="18" t="inlineStr"/>
      <c r="K1679" s="18" t="inlineStr"/>
      <c r="L1679" s="18" t="inlineStr">
        <is>
          <t>No</t>
        </is>
      </c>
      <c r="M1679" s="18" t="inlineStr">
        <is>
          <t>No</t>
        </is>
      </c>
      <c r="N1679" s="18" t="inlineStr"/>
      <c r="O1679" s="18" t="inlineStr"/>
      <c r="P1679" s="18" t="inlineStr">
        <is>
          <t>Mapeada en internal-institutional-control-service/src/esap/hallazgos/entities/hallazgo.entity.ts:52 (Hallazgo.auditoria) | Validación: IsNotEmpty, IsOptional, IsString, MaxLength(255)</t>
        </is>
      </c>
      <c r="Q1679" s="18" t="inlineStr">
        <is>
          <t>Código fuente (verificado)</t>
        </is>
      </c>
      <c r="R1679" s="18" t="inlineStr">
        <is>
          <t>Código de la auditoría en la que se identificó el hallazgo; se resuelve contra la auditoría y se sincroniza con auditoria_id.</t>
        </is>
      </c>
      <c r="S1679" s="18" t="inlineStr">
        <is>
          <t>Alta</t>
        </is>
      </c>
      <c r="T1679" s="18" t="inlineStr">
        <is>
          <t>backend/internal-institutional-control-service/src/esap/hallazgos/hallazgos.service.ts:363-367: busca la auditoría por codigo = auditoria | backend/internal-institutional-control-service/src/esap/hallazgos/hallazgos.service.ts:429,438,481: guarda auditoria.codigo al actualizar</t>
        </is>
      </c>
      <c r="U1679" s="18" t="inlineStr"/>
      <c r="V1679" s="19" t="inlineStr">
        <is>
          <t>Aprobada</t>
        </is>
      </c>
      <c r="W1679" s="19" t="inlineStr"/>
      <c r="X1679" s="19" t="inlineStr">
        <is>
          <t>Aldair González (aprobación en bloque)</t>
        </is>
      </c>
      <c r="Y1679" s="20" t="n">
        <v>46321</v>
      </c>
      <c r="Z1679" s="19" t="inlineStr">
        <is>
          <t>Nivel 3: verificada con el código de la aplicación.</t>
        </is>
      </c>
      <c r="AA1679" s="18">
        <f>IF(OR(V1679="Aprobada"),R1679,IF(AND(OR(V1679="Aprobada con ajuste",V1679="Rechazada"),W1679&lt;&gt;""),W1679,""))</f>
        <v/>
      </c>
    </row>
    <row r="1680">
      <c r="A1680" s="18" t="inlineStr">
        <is>
          <t>C1679</t>
        </is>
      </c>
      <c r="B1680" s="18" t="inlineStr">
        <is>
          <t>Control interno</t>
        </is>
      </c>
      <c r="C1680" s="18" t="inlineStr">
        <is>
          <t>control_interno</t>
        </is>
      </c>
      <c r="D1680" s="18" t="inlineStr">
        <is>
          <t>hallazgo</t>
        </is>
      </c>
      <c r="E1680" s="18" t="n">
        <v>34</v>
      </c>
      <c r="F1680" s="18" t="inlineStr">
        <is>
          <t>descripcion</t>
        </is>
      </c>
      <c r="G1680" s="18" t="inlineStr">
        <is>
          <t>text</t>
        </is>
      </c>
      <c r="H1680" s="18" t="inlineStr">
        <is>
          <t>No</t>
        </is>
      </c>
      <c r="I1680" s="18" t="inlineStr"/>
      <c r="J1680" s="18" t="inlineStr"/>
      <c r="K1680" s="18" t="inlineStr"/>
      <c r="L1680" s="18" t="inlineStr">
        <is>
          <t>No</t>
        </is>
      </c>
      <c r="M1680" s="18" t="inlineStr">
        <is>
          <t>No</t>
        </is>
      </c>
      <c r="N1680" s="18" t="inlineStr"/>
      <c r="O1680" s="18" t="inlineStr"/>
      <c r="P1680" s="18" t="inlineStr">
        <is>
          <t>Mapeada en internal-institutional-control-service/src/esap/hallazgos/entities/hallazgo.entity.ts:62 (Hallazgo.descripcion) | Validación: IsNotEmpty, IsOptional, IsString</t>
        </is>
      </c>
      <c r="Q1680" s="18" t="inlineStr">
        <is>
          <t>Regla estructural (redacción revisada)</t>
        </is>
      </c>
      <c r="R1680" s="18" t="inlineStr">
        <is>
          <t>Descripción del hallazgo.</t>
        </is>
      </c>
      <c r="S1680" s="18" t="inlineStr">
        <is>
          <t>Alta</t>
        </is>
      </c>
      <c r="T1680" s="18" t="inlineStr">
        <is>
          <t>Convención de nombre, redactada con el contexto de la tabla y el código.</t>
        </is>
      </c>
      <c r="U1680" s="18" t="inlineStr"/>
      <c r="V1680" s="19" t="inlineStr">
        <is>
          <t>Aprobada</t>
        </is>
      </c>
      <c r="W1680" s="19" t="inlineStr"/>
      <c r="X1680" s="19" t="inlineStr">
        <is>
          <t>Aldair González (aprobación en bloque)</t>
        </is>
      </c>
      <c r="Y1680" s="20" t="n">
        <v>46321</v>
      </c>
      <c r="Z1680" s="19" t="inlineStr">
        <is>
          <t>Nivel 2: regla estructural con redacción revisada.</t>
        </is>
      </c>
      <c r="AA1680" s="18">
        <f>IF(OR(V1680="Aprobada"),R1680,IF(AND(OR(V1680="Aprobada con ajuste",V1680="Rechazada"),W1680&lt;&gt;""),W1680,""))</f>
        <v/>
      </c>
    </row>
    <row r="1681">
      <c r="A1681" s="18" t="inlineStr">
        <is>
          <t>C1680</t>
        </is>
      </c>
      <c r="B1681" s="18" t="inlineStr">
        <is>
          <t>Control interno</t>
        </is>
      </c>
      <c r="C1681" s="18" t="inlineStr">
        <is>
          <t>control_interno</t>
        </is>
      </c>
      <c r="D1681" s="18" t="inlineStr">
        <is>
          <t>hallazgo</t>
        </is>
      </c>
      <c r="E1681" s="18" t="n">
        <v>34</v>
      </c>
      <c r="F1681" s="18" t="inlineStr">
        <is>
          <t>criterio_incumplido</t>
        </is>
      </c>
      <c r="G1681" s="18" t="inlineStr">
        <is>
          <t>text</t>
        </is>
      </c>
      <c r="H1681" s="18" t="inlineStr">
        <is>
          <t>No</t>
        </is>
      </c>
      <c r="I1681" s="18" t="inlineStr"/>
      <c r="J1681" s="18" t="inlineStr"/>
      <c r="K1681" s="18" t="inlineStr"/>
      <c r="L1681" s="18" t="inlineStr">
        <is>
          <t>No</t>
        </is>
      </c>
      <c r="M1681" s="18" t="inlineStr">
        <is>
          <t>No</t>
        </is>
      </c>
      <c r="N1681" s="18" t="inlineStr"/>
      <c r="O1681" s="18" t="inlineStr"/>
      <c r="P1681" s="18" t="inlineStr">
        <is>
          <t>Mapeada en internal-institutional-control-service/src/esap/hallazgos/entities/hallazgo.entity.ts:65 (Hallazgo.criterioIncumplido) | Validación: IsNotEmpty, IsOptional, IsString</t>
        </is>
      </c>
      <c r="Q1681" s="18" t="inlineStr">
        <is>
          <t>Propuesta semántica</t>
        </is>
      </c>
      <c r="R1681" s="18" t="inlineStr">
        <is>
          <t>Criterio (norma, política o estándar) que se incumple en el hallazgo.</t>
        </is>
      </c>
      <c r="S1681" s="18" t="inlineStr">
        <is>
          <t>Alta</t>
        </is>
      </c>
      <c r="T1681" s="18" t="inlineStr">
        <is>
          <t>nombre + tipo ~</t>
        </is>
      </c>
      <c r="U1681" s="18" t="inlineStr"/>
      <c r="V1681" s="19" t="inlineStr">
        <is>
          <t>Aprobada</t>
        </is>
      </c>
      <c r="W1681" s="19" t="inlineStr"/>
      <c r="X1681" s="19" t="inlineStr">
        <is>
          <t>Aldair González (aprobación en bloque)</t>
        </is>
      </c>
      <c r="Y1681" s="20" t="n">
        <v>46321</v>
      </c>
      <c r="Z1681" s="19" t="inlineStr">
        <is>
          <t>Nivel 1: propuesta del comentario del desarrollador o de confianza alta, o regla de fecha/responsable/motivo.</t>
        </is>
      </c>
      <c r="AA1681" s="18">
        <f>IF(OR(V1681="Aprobada"),R1681,IF(AND(OR(V1681="Aprobada con ajuste",V1681="Rechazada"),W1681&lt;&gt;""),W1681,""))</f>
        <v/>
      </c>
    </row>
    <row r="1682">
      <c r="A1682" s="18" t="inlineStr">
        <is>
          <t>C1681</t>
        </is>
      </c>
      <c r="B1682" s="18" t="inlineStr">
        <is>
          <t>Control interno</t>
        </is>
      </c>
      <c r="C1682" s="18" t="inlineStr">
        <is>
          <t>control_interno</t>
        </is>
      </c>
      <c r="D1682" s="18" t="inlineStr">
        <is>
          <t>hallazgo</t>
        </is>
      </c>
      <c r="E1682" s="18" t="n">
        <v>34</v>
      </c>
      <c r="F1682" s="18" t="inlineStr">
        <is>
          <t>normativa_relacionada</t>
        </is>
      </c>
      <c r="G1682" s="18" t="inlineStr">
        <is>
          <t>jsonb</t>
        </is>
      </c>
      <c r="H1682" s="18" t="inlineStr">
        <is>
          <t>No</t>
        </is>
      </c>
      <c r="I1682" s="18" t="inlineStr"/>
      <c r="J1682" s="18" t="inlineStr"/>
      <c r="K1682" s="18" t="inlineStr"/>
      <c r="L1682" s="18" t="inlineStr">
        <is>
          <t>No</t>
        </is>
      </c>
      <c r="M1682" s="18" t="inlineStr">
        <is>
          <t>No</t>
        </is>
      </c>
      <c r="N1682" s="18" t="inlineStr"/>
      <c r="O1682" s="18" t="inlineStr"/>
      <c r="P1682" s="18" t="inlineStr">
        <is>
          <t>Mapeada en internal-institutional-control-service/src/esap/hallazgos/entities/hallazgo.entity.ts:74 (Hallazgo.normativaRelacionada) | Validación: IsArray, IsOptional</t>
        </is>
      </c>
      <c r="Q1682" s="18" t="inlineStr">
        <is>
          <t>Propuesta semántica</t>
        </is>
      </c>
      <c r="R1682" s="18" t="inlineStr">
        <is>
          <t>Normas relacionadas con el hallazgo, en formato JSON (arreglo).</t>
        </is>
      </c>
      <c r="S1682" s="18" t="inlineStr">
        <is>
          <t>Alta</t>
        </is>
      </c>
      <c r="T1682" s="18" t="inlineStr">
        <is>
          <t>nombre + validación IsArray ~</t>
        </is>
      </c>
      <c r="U1682" s="18" t="inlineStr"/>
      <c r="V1682" s="19" t="inlineStr">
        <is>
          <t>Aprobada</t>
        </is>
      </c>
      <c r="W1682" s="19" t="inlineStr"/>
      <c r="X1682" s="19" t="inlineStr">
        <is>
          <t>Aldair González (aprobación en bloque)</t>
        </is>
      </c>
      <c r="Y1682" s="20" t="n">
        <v>46321</v>
      </c>
      <c r="Z1682" s="19" t="inlineStr">
        <is>
          <t>Nivel 1: propuesta del comentario del desarrollador o de confianza alta, o regla de fecha/responsable/motivo.</t>
        </is>
      </c>
      <c r="AA1682" s="18">
        <f>IF(OR(V1682="Aprobada"),R1682,IF(AND(OR(V1682="Aprobada con ajuste",V1682="Rechazada"),W1682&lt;&gt;""),W1682,""))</f>
        <v/>
      </c>
    </row>
    <row r="1683">
      <c r="A1683" s="18" t="inlineStr">
        <is>
          <t>C1682</t>
        </is>
      </c>
      <c r="B1683" s="18" t="inlineStr">
        <is>
          <t>Control interno</t>
        </is>
      </c>
      <c r="C1683" s="18" t="inlineStr">
        <is>
          <t>control_interno</t>
        </is>
      </c>
      <c r="D1683" s="18" t="inlineStr">
        <is>
          <t>hallazgo</t>
        </is>
      </c>
      <c r="E1683" s="18" t="n">
        <v>34</v>
      </c>
      <c r="F1683" s="18" t="inlineStr">
        <is>
          <t>evidencias</t>
        </is>
      </c>
      <c r="G1683" s="18" t="inlineStr">
        <is>
          <t>jsonb</t>
        </is>
      </c>
      <c r="H1683" s="18" t="inlineStr">
        <is>
          <t>No</t>
        </is>
      </c>
      <c r="I1683" s="18" t="inlineStr"/>
      <c r="J1683" s="18" t="inlineStr"/>
      <c r="K1683" s="18" t="inlineStr"/>
      <c r="L1683" s="18" t="inlineStr">
        <is>
          <t>No</t>
        </is>
      </c>
      <c r="M1683" s="18" t="inlineStr">
        <is>
          <t>No</t>
        </is>
      </c>
      <c r="N1683" s="18" t="inlineStr"/>
      <c r="O1683" s="18" t="inlineStr"/>
      <c r="P1683" s="18" t="inlineStr">
        <is>
          <t>Mapeada en internal-institutional-control-service/src/esap/hallazgos/entities/hallazgo.entity.ts:81 (Hallazgo.evidencias) | Validación: IsArray, IsOptional, IsString({ each: true })</t>
        </is>
      </c>
      <c r="Q1683" s="18" t="inlineStr">
        <is>
          <t>Código fuente (verificado)</t>
        </is>
      </c>
      <c r="R1683" s="18" t="inlineStr">
        <is>
          <t>Evidencias del hallazgo, como arreglo JSON de objetos con nombre, tipo, fecha y URL opcional. Por defecto arreglo vacío.</t>
        </is>
      </c>
      <c r="S1683" s="18" t="inlineStr">
        <is>
          <t>Alta</t>
        </is>
      </c>
      <c r="T1683" s="18" t="inlineStr">
        <is>
          <t>backend/internal-institutional-control-service/src/esap/hallazgos/entities/hallazgo.entity.ts:81-90: Array&lt;{nombre, tipo, fecha, url?}&gt; con default [] | backend/internal-institutional-control-service/src/esap/hallazgos/dto/create-hallazgo.dto.ts:14-28: EvidenciaDto</t>
        </is>
      </c>
      <c r="U1683" s="18" t="inlineStr"/>
      <c r="V1683" s="19" t="inlineStr">
        <is>
          <t>Aprobada</t>
        </is>
      </c>
      <c r="W1683" s="19" t="inlineStr"/>
      <c r="X1683" s="19" t="inlineStr">
        <is>
          <t>Aldair González (aprobación en bloque)</t>
        </is>
      </c>
      <c r="Y1683" s="20" t="n">
        <v>46321</v>
      </c>
      <c r="Z1683" s="19" t="inlineStr">
        <is>
          <t>Nivel 3: verificada con el código de la aplicación.</t>
        </is>
      </c>
      <c r="AA1683" s="18">
        <f>IF(OR(V1683="Aprobada"),R1683,IF(AND(OR(V1683="Aprobada con ajuste",V1683="Rechazada"),W1683&lt;&gt;""),W1683,""))</f>
        <v/>
      </c>
    </row>
    <row r="1684">
      <c r="A1684" s="18" t="inlineStr">
        <is>
          <t>C1683</t>
        </is>
      </c>
      <c r="B1684" s="18" t="inlineStr">
        <is>
          <t>Control interno</t>
        </is>
      </c>
      <c r="C1684" s="18" t="inlineStr">
        <is>
          <t>control_interno</t>
        </is>
      </c>
      <c r="D1684" s="18" t="inlineStr">
        <is>
          <t>hallazgo</t>
        </is>
      </c>
      <c r="E1684" s="18" t="n">
        <v>34</v>
      </c>
      <c r="F1684" s="18" t="inlineStr">
        <is>
          <t>recomendaciones</t>
        </is>
      </c>
      <c r="G1684" s="18" t="inlineStr">
        <is>
          <t>jsonb</t>
        </is>
      </c>
      <c r="H1684" s="18" t="inlineStr">
        <is>
          <t>No</t>
        </is>
      </c>
      <c r="I1684" s="18" t="inlineStr"/>
      <c r="J1684" s="18" t="inlineStr"/>
      <c r="K1684" s="18" t="inlineStr"/>
      <c r="L1684" s="18" t="inlineStr">
        <is>
          <t>No</t>
        </is>
      </c>
      <c r="M1684" s="18" t="inlineStr">
        <is>
          <t>No</t>
        </is>
      </c>
      <c r="N1684" s="18" t="inlineStr"/>
      <c r="O1684" s="18" t="inlineStr"/>
      <c r="P1684" s="18" t="inlineStr">
        <is>
          <t>Mapeada en internal-institutional-control-service/src/esap/hallazgos/entities/hallazgo.entity.ts:92 (Hallazgo.recomendaciones) | Validación: IsArray, IsOptional</t>
        </is>
      </c>
      <c r="Q1684" s="18" t="inlineStr">
        <is>
          <t>Propuesta semántica</t>
        </is>
      </c>
      <c r="R1684" s="18" t="inlineStr">
        <is>
          <t>Recomendaciones del auditor sobre el hallazgo, en formato JSON (arreglo).</t>
        </is>
      </c>
      <c r="S1684" s="18" t="inlineStr">
        <is>
          <t>Alta</t>
        </is>
      </c>
      <c r="T1684" s="18" t="inlineStr">
        <is>
          <t>nombre + validación IsArray ~</t>
        </is>
      </c>
      <c r="U1684" s="18" t="inlineStr"/>
      <c r="V1684" s="19" t="inlineStr">
        <is>
          <t>Aprobada</t>
        </is>
      </c>
      <c r="W1684" s="19" t="inlineStr"/>
      <c r="X1684" s="19" t="inlineStr">
        <is>
          <t>Aldair González (aprobación en bloque)</t>
        </is>
      </c>
      <c r="Y1684" s="20" t="n">
        <v>46321</v>
      </c>
      <c r="Z1684" s="19" t="inlineStr">
        <is>
          <t>Nivel 1: propuesta del comentario del desarrollador o de confianza alta, o regla de fecha/responsable/motivo.</t>
        </is>
      </c>
      <c r="AA1684" s="18">
        <f>IF(OR(V1684="Aprobada"),R1684,IF(AND(OR(V1684="Aprobada con ajuste",V1684="Rechazada"),W1684&lt;&gt;""),W1684,""))</f>
        <v/>
      </c>
    </row>
    <row r="1685">
      <c r="A1685" s="18" t="inlineStr">
        <is>
          <t>C1684</t>
        </is>
      </c>
      <c r="B1685" s="18" t="inlineStr">
        <is>
          <t>Control interno</t>
        </is>
      </c>
      <c r="C1685" s="18" t="inlineStr">
        <is>
          <t>control_interno</t>
        </is>
      </c>
      <c r="D1685" s="18" t="inlineStr">
        <is>
          <t>hallazgo</t>
        </is>
      </c>
      <c r="E1685" s="18" t="n">
        <v>34</v>
      </c>
      <c r="F1685" s="18" t="inlineStr">
        <is>
          <t>fecha_deteccion</t>
        </is>
      </c>
      <c r="G1685" s="18" t="inlineStr">
        <is>
          <t>date</t>
        </is>
      </c>
      <c r="H1685" s="18" t="inlineStr">
        <is>
          <t>No</t>
        </is>
      </c>
      <c r="I1685" s="18" t="inlineStr"/>
      <c r="J1685" s="18" t="inlineStr"/>
      <c r="K1685" s="18" t="inlineStr"/>
      <c r="L1685" s="18" t="inlineStr">
        <is>
          <t>No</t>
        </is>
      </c>
      <c r="M1685" s="18" t="inlineStr">
        <is>
          <t>No</t>
        </is>
      </c>
      <c r="N1685" s="18" t="inlineStr"/>
      <c r="O1685" s="18" t="inlineStr"/>
      <c r="P1685" s="18" t="inlineStr">
        <is>
          <t>Mapeada en internal-institutional-control-service/src/esap/hallazgos/entities/hallazgo.entity.ts:98 (Hallazgo.fechaDeteccion) | Validación: IsDateString, IsOptional</t>
        </is>
      </c>
      <c r="Q1685" s="18" t="inlineStr">
        <is>
          <t>Regla estructural (redacción revisada)</t>
        </is>
      </c>
      <c r="R1685" s="18" t="inlineStr">
        <is>
          <t>Fecha en que se detectó el hallazgo.</t>
        </is>
      </c>
      <c r="S1685" s="18" t="inlineStr">
        <is>
          <t>Alta</t>
        </is>
      </c>
      <c r="T1685" s="18" t="inlineStr">
        <is>
          <t>Convención de nombre, redactada con el contexto de la tabla y el código.</t>
        </is>
      </c>
      <c r="U1685" s="18" t="inlineStr"/>
      <c r="V1685" s="19" t="inlineStr">
        <is>
          <t>Aprobada</t>
        </is>
      </c>
      <c r="W1685" s="19" t="inlineStr"/>
      <c r="X1685" s="19" t="inlineStr">
        <is>
          <t>Aldair González (aprobación en bloque)</t>
        </is>
      </c>
      <c r="Y1685" s="20" t="n">
        <v>46321</v>
      </c>
      <c r="Z1685" s="19" t="inlineStr">
        <is>
          <t>Nivel 2: regla estructural con redacción revisada.</t>
        </is>
      </c>
      <c r="AA1685" s="18">
        <f>IF(OR(V1685="Aprobada"),R1685,IF(AND(OR(V1685="Aprobada con ajuste",V1685="Rechazada"),W1685&lt;&gt;""),W1685,""))</f>
        <v/>
      </c>
    </row>
    <row r="1686">
      <c r="A1686" s="18" t="inlineStr">
        <is>
          <t>C1685</t>
        </is>
      </c>
      <c r="B1686" s="18" t="inlineStr">
        <is>
          <t>Control interno</t>
        </is>
      </c>
      <c r="C1686" s="18" t="inlineStr">
        <is>
          <t>control_interno</t>
        </is>
      </c>
      <c r="D1686" s="18" t="inlineStr">
        <is>
          <t>hallazgo</t>
        </is>
      </c>
      <c r="E1686" s="18" t="n">
        <v>34</v>
      </c>
      <c r="F1686" s="18" t="inlineStr">
        <is>
          <t>fecha_notificacion</t>
        </is>
      </c>
      <c r="G1686" s="18" t="inlineStr">
        <is>
          <t>date</t>
        </is>
      </c>
      <c r="H1686" s="18" t="inlineStr">
        <is>
          <t>Sí</t>
        </is>
      </c>
      <c r="I1686" s="18" t="inlineStr"/>
      <c r="J1686" s="18" t="inlineStr"/>
      <c r="K1686" s="18" t="inlineStr"/>
      <c r="L1686" s="18" t="inlineStr">
        <is>
          <t>No</t>
        </is>
      </c>
      <c r="M1686" s="18" t="inlineStr">
        <is>
          <t>No</t>
        </is>
      </c>
      <c r="N1686" s="18" t="inlineStr"/>
      <c r="O1686" s="18" t="inlineStr"/>
      <c r="P1686" s="18" t="inlineStr">
        <is>
          <t>Mapeada en internal-institutional-control-service/src/esap/hallazgos/entities/hallazgo.entity.ts:101 (Hallazgo.fechaNotificacion) | Validación: IsDateString, IsOptional</t>
        </is>
      </c>
      <c r="Q1686" s="18" t="inlineStr">
        <is>
          <t>Regla estructural (redacción revisada)</t>
        </is>
      </c>
      <c r="R1686" s="18" t="inlineStr">
        <is>
          <t>Fecha en que se notificó el hallazgo.</t>
        </is>
      </c>
      <c r="S1686" s="18" t="inlineStr">
        <is>
          <t>Alta</t>
        </is>
      </c>
      <c r="T1686" s="18" t="inlineStr">
        <is>
          <t>Convención de nombre, redactada con el contexto de la tabla y el código.</t>
        </is>
      </c>
      <c r="U1686" s="18" t="inlineStr"/>
      <c r="V1686" s="19" t="inlineStr">
        <is>
          <t>Aprobada</t>
        </is>
      </c>
      <c r="W1686" s="19" t="inlineStr"/>
      <c r="X1686" s="19" t="inlineStr">
        <is>
          <t>Aldair González (aprobación en bloque)</t>
        </is>
      </c>
      <c r="Y1686" s="20" t="n">
        <v>46321</v>
      </c>
      <c r="Z1686" s="19" t="inlineStr">
        <is>
          <t>Nivel 2: regla estructural con redacción revisada.</t>
        </is>
      </c>
      <c r="AA1686" s="18">
        <f>IF(OR(V1686="Aprobada"),R1686,IF(AND(OR(V1686="Aprobada con ajuste",V1686="Rechazada"),W1686&lt;&gt;""),W1686,""))</f>
        <v/>
      </c>
    </row>
    <row r="1687">
      <c r="A1687" s="18" t="inlineStr">
        <is>
          <t>C1686</t>
        </is>
      </c>
      <c r="B1687" s="18" t="inlineStr">
        <is>
          <t>Control interno</t>
        </is>
      </c>
      <c r="C1687" s="18" t="inlineStr">
        <is>
          <t>control_interno</t>
        </is>
      </c>
      <c r="D1687" s="18" t="inlineStr">
        <is>
          <t>hallazgo</t>
        </is>
      </c>
      <c r="E1687" s="18" t="n">
        <v>34</v>
      </c>
      <c r="F1687" s="18" t="inlineStr">
        <is>
          <t>responsable</t>
        </is>
      </c>
      <c r="G1687" s="18" t="inlineStr">
        <is>
          <t>character varying(255)</t>
        </is>
      </c>
      <c r="H1687" s="18" t="inlineStr">
        <is>
          <t>Sí</t>
        </is>
      </c>
      <c r="I1687" s="18" t="inlineStr"/>
      <c r="J1687" s="18" t="inlineStr"/>
      <c r="K1687" s="18" t="inlineStr"/>
      <c r="L1687" s="18" t="inlineStr">
        <is>
          <t>No</t>
        </is>
      </c>
      <c r="M1687" s="18" t="inlineStr">
        <is>
          <t>No</t>
        </is>
      </c>
      <c r="N1687" s="18" t="inlineStr"/>
      <c r="O1687" s="18" t="inlineStr"/>
      <c r="P1687" s="18" t="inlineStr">
        <is>
          <t>Mapeada en internal-institutional-control-service/src/esap/hallazgos/entities/hallazgo.entity.ts:104 (Hallazgo.responsable) | Validación: IsNotEmpty, IsOptional, IsString, Length(1, 255)</t>
        </is>
      </c>
      <c r="Q1687" s="18" t="inlineStr">
        <is>
          <t>Código fuente (verificado)</t>
        </is>
      </c>
      <c r="R1687" s="18" t="inlineStr">
        <is>
          <t>Responsable de atender el hallazgo.</t>
        </is>
      </c>
      <c r="S1687" s="18" t="inlineStr">
        <is>
          <t>Media</t>
        </is>
      </c>
      <c r="T1687" s="18" t="inlineStr">
        <is>
          <t>backend/internal-institutional-control-service/src/esap/hallazgos/dto/create-hallazgo.dto.ts:99-101: IsString opcional | backend/internal-institutional-control-service/src/esap/hallazgos/hallazgos.service.ts:475: se guarda tal como llega</t>
        </is>
      </c>
      <c r="U1687" s="18" t="inlineStr">
        <is>
          <t>¿responsable guarda el nombre, el correo o el identificador del usuario? El backend lo recibe como texto libre.</t>
        </is>
      </c>
      <c r="V1687" s="19" t="inlineStr">
        <is>
          <t>Aprobada</t>
        </is>
      </c>
      <c r="W1687" s="19" t="inlineStr"/>
      <c r="X1687" s="19" t="inlineStr">
        <is>
          <t>Aldair González (validación del responsable de BD)</t>
        </is>
      </c>
      <c r="Y1687" s="20" t="n">
        <v>46321</v>
      </c>
      <c r="Z1687" s="19" t="inlineStr">
        <is>
          <t>Nivel 3: validada por decisión del responsable de la base de datos. Pregunta registrada para desarrollo: ¿responsable guarda el nombre, el correo o el identificador del usuario? El backend lo recibe como texto libre.</t>
        </is>
      </c>
      <c r="AA1687" s="18">
        <f>IF(OR(V1687="Aprobada"),R1687,IF(AND(OR(V1687="Aprobada con ajuste",V1687="Rechazada"),W1687&lt;&gt;""),W1687,""))</f>
        <v/>
      </c>
    </row>
    <row r="1688">
      <c r="A1688" s="18" t="inlineStr">
        <is>
          <t>C1687</t>
        </is>
      </c>
      <c r="B1688" s="18" t="inlineStr">
        <is>
          <t>Control interno</t>
        </is>
      </c>
      <c r="C1688" s="18" t="inlineStr">
        <is>
          <t>control_interno</t>
        </is>
      </c>
      <c r="D1688" s="18" t="inlineStr">
        <is>
          <t>hallazgo</t>
        </is>
      </c>
      <c r="E1688" s="18" t="n">
        <v>34</v>
      </c>
      <c r="F1688" s="18" t="inlineStr">
        <is>
          <t>fecha_limite_correccion</t>
        </is>
      </c>
      <c r="G1688" s="18" t="inlineStr">
        <is>
          <t>date</t>
        </is>
      </c>
      <c r="H1688" s="18" t="inlineStr">
        <is>
          <t>Sí</t>
        </is>
      </c>
      <c r="I1688" s="18" t="inlineStr"/>
      <c r="J1688" s="18" t="inlineStr"/>
      <c r="K1688" s="18" t="inlineStr"/>
      <c r="L1688" s="18" t="inlineStr">
        <is>
          <t>No</t>
        </is>
      </c>
      <c r="M1688" s="18" t="inlineStr">
        <is>
          <t>No</t>
        </is>
      </c>
      <c r="N1688" s="18" t="inlineStr"/>
      <c r="O1688" s="18" t="inlineStr"/>
      <c r="P1688" s="18" t="inlineStr">
        <is>
          <t>Mapeada en internal-institutional-control-service/src/esap/hallazgos/entities/hallazgo.entity.ts:107 (Hallazgo.fechaLimiteCorreccion) | Validación: IsDateString, IsOptional</t>
        </is>
      </c>
      <c r="Q1688" s="18" t="inlineStr">
        <is>
          <t>Regla estructural (redacción revisada)</t>
        </is>
      </c>
      <c r="R1688" s="18" t="inlineStr">
        <is>
          <t>Fecha límite para corregir el hallazgo.</t>
        </is>
      </c>
      <c r="S1688" s="18" t="inlineStr">
        <is>
          <t>Alta</t>
        </is>
      </c>
      <c r="T1688" s="18" t="inlineStr">
        <is>
          <t>Convención de nombre, redactada con el contexto de la tabla y el código.</t>
        </is>
      </c>
      <c r="U1688" s="18" t="inlineStr"/>
      <c r="V1688" s="19" t="inlineStr">
        <is>
          <t>Aprobada</t>
        </is>
      </c>
      <c r="W1688" s="19" t="inlineStr"/>
      <c r="X1688" s="19" t="inlineStr">
        <is>
          <t>Aldair González (aprobación en bloque)</t>
        </is>
      </c>
      <c r="Y1688" s="20" t="n">
        <v>46321</v>
      </c>
      <c r="Z1688" s="19" t="inlineStr">
        <is>
          <t>Nivel 2: regla estructural con redacción revisada.</t>
        </is>
      </c>
      <c r="AA1688" s="18">
        <f>IF(OR(V1688="Aprobada"),R1688,IF(AND(OR(V1688="Aprobada con ajuste",V1688="Rechazada"),W1688&lt;&gt;""),W1688,""))</f>
        <v/>
      </c>
    </row>
    <row r="1689">
      <c r="A1689" s="18" t="inlineStr">
        <is>
          <t>C1688</t>
        </is>
      </c>
      <c r="B1689" s="18" t="inlineStr">
        <is>
          <t>Control interno</t>
        </is>
      </c>
      <c r="C1689" s="18" t="inlineStr">
        <is>
          <t>control_interno</t>
        </is>
      </c>
      <c r="D1689" s="18" t="inlineStr">
        <is>
          <t>hallazgo</t>
        </is>
      </c>
      <c r="E1689" s="18" t="n">
        <v>34</v>
      </c>
      <c r="F1689" s="18" t="inlineStr">
        <is>
          <t>observaciones_controversia</t>
        </is>
      </c>
      <c r="G1689" s="18" t="inlineStr">
        <is>
          <t>text</t>
        </is>
      </c>
      <c r="H1689" s="18" t="inlineStr">
        <is>
          <t>Sí</t>
        </is>
      </c>
      <c r="I1689" s="18" t="inlineStr"/>
      <c r="J1689" s="18" t="inlineStr"/>
      <c r="K1689" s="18" t="inlineStr"/>
      <c r="L1689" s="18" t="inlineStr">
        <is>
          <t>No</t>
        </is>
      </c>
      <c r="M1689" s="18" t="inlineStr">
        <is>
          <t>No</t>
        </is>
      </c>
      <c r="N1689" s="18" t="inlineStr"/>
      <c r="O1689" s="18" t="inlineStr"/>
      <c r="P1689" s="18" t="inlineStr">
        <is>
          <t>Mapeada en internal-institutional-control-service/src/esap/hallazgos/entities/hallazgo.entity.ts:110 (Hallazgo.observacionesControversia) | Validación: IsOptional, IsString</t>
        </is>
      </c>
      <c r="Q1689" s="18" t="inlineStr">
        <is>
          <t>Propuesta semántica</t>
        </is>
      </c>
      <c r="R1689" s="18" t="inlineStr">
        <is>
          <t>Observaciones sobre la controversia presentada frente al hallazgo.</t>
        </is>
      </c>
      <c r="S1689" s="18" t="inlineStr">
        <is>
          <t>Alta</t>
        </is>
      </c>
      <c r="T1689" s="18" t="inlineStr">
        <is>
          <t>nombre + columnas vecinas (argumentos_controversia, controversia_turno) ~</t>
        </is>
      </c>
      <c r="U1689" s="18" t="inlineStr"/>
      <c r="V1689" s="19" t="inlineStr">
        <is>
          <t>Aprobada</t>
        </is>
      </c>
      <c r="W1689" s="19" t="inlineStr"/>
      <c r="X1689" s="19" t="inlineStr">
        <is>
          <t>Aldair González (aprobación en bloque)</t>
        </is>
      </c>
      <c r="Y1689" s="20" t="n">
        <v>46321</v>
      </c>
      <c r="Z1689" s="19" t="inlineStr">
        <is>
          <t>Nivel 1: propuesta del comentario del desarrollador o de confianza alta, o regla de fecha/responsable/motivo.</t>
        </is>
      </c>
      <c r="AA1689" s="18">
        <f>IF(OR(V1689="Aprobada"),R1689,IF(AND(OR(V1689="Aprobada con ajuste",V1689="Rechazada"),W1689&lt;&gt;""),W1689,""))</f>
        <v/>
      </c>
    </row>
    <row r="1690">
      <c r="A1690" s="18" t="inlineStr">
        <is>
          <t>C1689</t>
        </is>
      </c>
      <c r="B1690" s="18" t="inlineStr">
        <is>
          <t>Control interno</t>
        </is>
      </c>
      <c r="C1690" s="18" t="inlineStr">
        <is>
          <t>control_interno</t>
        </is>
      </c>
      <c r="D1690" s="18" t="inlineStr">
        <is>
          <t>hallazgo</t>
        </is>
      </c>
      <c r="E1690" s="18" t="n">
        <v>34</v>
      </c>
      <c r="F1690" s="18" t="inlineStr">
        <is>
          <t>titulo</t>
        </is>
      </c>
      <c r="G1690" s="18" t="inlineStr">
        <is>
          <t>character varying(500)</t>
        </is>
      </c>
      <c r="H1690" s="18" t="inlineStr">
        <is>
          <t>Sí</t>
        </is>
      </c>
      <c r="I1690" s="18" t="inlineStr"/>
      <c r="J1690" s="18" t="inlineStr"/>
      <c r="K1690" s="18" t="inlineStr"/>
      <c r="L1690" s="18" t="inlineStr">
        <is>
          <t>No</t>
        </is>
      </c>
      <c r="M1690" s="18" t="inlineStr">
        <is>
          <t>No</t>
        </is>
      </c>
      <c r="N1690" s="18" t="inlineStr"/>
      <c r="O1690" s="18" t="inlineStr"/>
      <c r="P1690" s="18" t="inlineStr">
        <is>
          <t>Mapeada en internal-institutional-control-service/src/esap/hallazgos/entities/hallazgo.entity.ts:40 (Hallazgo.titulo) | Validación: IsNotEmpty, IsOptional, IsString, MaxLength(255), MaxLength(500)</t>
        </is>
      </c>
      <c r="Q1690" s="18" t="inlineStr">
        <is>
          <t>Propuesta semántica</t>
        </is>
      </c>
      <c r="R1690" s="18" t="inlineStr">
        <is>
          <t>Título del hallazgo.</t>
        </is>
      </c>
      <c r="S1690" s="18" t="inlineStr">
        <is>
          <t>Alta</t>
        </is>
      </c>
      <c r="T1690" s="18" t="inlineStr">
        <is>
          <t>nombre + tipo ~</t>
        </is>
      </c>
      <c r="U1690" s="18" t="inlineStr"/>
      <c r="V1690" s="19" t="inlineStr">
        <is>
          <t>Aprobada</t>
        </is>
      </c>
      <c r="W1690" s="19" t="inlineStr"/>
      <c r="X1690" s="19" t="inlineStr">
        <is>
          <t>Aldair González (aprobación en bloque)</t>
        </is>
      </c>
      <c r="Y1690" s="20" t="n">
        <v>46321</v>
      </c>
      <c r="Z1690" s="19" t="inlineStr">
        <is>
          <t>Nivel 1: propuesta del comentario del desarrollador o de confianza alta, o regla de fecha/responsable/motivo.</t>
        </is>
      </c>
      <c r="AA1690" s="18">
        <f>IF(OR(V1690="Aprobada"),R1690,IF(AND(OR(V1690="Aprobada con ajuste",V1690="Rechazada"),W1690&lt;&gt;""),W1690,""))</f>
        <v/>
      </c>
    </row>
    <row r="1691">
      <c r="A1691" s="18" t="inlineStr">
        <is>
          <t>C1690</t>
        </is>
      </c>
      <c r="B1691" s="18" t="inlineStr">
        <is>
          <t>Control interno</t>
        </is>
      </c>
      <c r="C1691" s="18" t="inlineStr">
        <is>
          <t>control_interno</t>
        </is>
      </c>
      <c r="D1691" s="18" t="inlineStr">
        <is>
          <t>hallazgo</t>
        </is>
      </c>
      <c r="E1691" s="18" t="n">
        <v>34</v>
      </c>
      <c r="F1691" s="18" t="inlineStr">
        <is>
          <t>gravedad</t>
        </is>
      </c>
      <c r="G1691" s="18" t="inlineStr">
        <is>
          <t>character varying(20)</t>
        </is>
      </c>
      <c r="H1691" s="18" t="inlineStr">
        <is>
          <t>Sí</t>
        </is>
      </c>
      <c r="I1691" s="18" t="inlineStr">
        <is>
          <t>CHECK</t>
        </is>
      </c>
      <c r="J1691" s="18" t="inlineStr">
        <is>
          <t>Alta, Baja, Crítica, Media</t>
        </is>
      </c>
      <c r="K1691" s="18" t="inlineStr"/>
      <c r="L1691" s="18" t="inlineStr">
        <is>
          <t>Sí</t>
        </is>
      </c>
      <c r="M1691" s="18" t="inlineStr">
        <is>
          <t>No</t>
        </is>
      </c>
      <c r="N1691" s="18" t="inlineStr"/>
      <c r="O1691" s="18" t="inlineStr">
        <is>
          <t>idx_hallazgo_gravedad</t>
        </is>
      </c>
      <c r="P1691" s="18" t="inlineStr"/>
      <c r="Q1691" s="18" t="inlineStr">
        <is>
          <t>Propuesta semántica</t>
        </is>
      </c>
      <c r="R1691" s="18" t="inlineStr">
        <is>
          <t>Gravedad del hallazgo. Valores permitidos: Baja, Media, Alta, Crítica.</t>
        </is>
      </c>
      <c r="S1691" s="18" t="inlineStr">
        <is>
          <t>Alta</t>
        </is>
      </c>
      <c r="T1691" s="18" t="inlineStr">
        <is>
          <t>valores permitidos del CHECK ~</t>
        </is>
      </c>
      <c r="U1691" s="18" t="inlineStr"/>
      <c r="V1691" s="19" t="inlineStr">
        <is>
          <t>Aprobada</t>
        </is>
      </c>
      <c r="W1691" s="19" t="inlineStr"/>
      <c r="X1691" s="19" t="inlineStr">
        <is>
          <t>Aldair González (aprobación en bloque)</t>
        </is>
      </c>
      <c r="Y1691" s="20" t="n">
        <v>46321</v>
      </c>
      <c r="Z1691" s="19" t="inlineStr">
        <is>
          <t>Nivel 1: propuesta del comentario del desarrollador o de confianza alta, o regla de fecha/responsable/motivo.</t>
        </is>
      </c>
      <c r="AA1691" s="18">
        <f>IF(OR(V1691="Aprobada"),R1691,IF(AND(OR(V1691="Aprobada con ajuste",V1691="Rechazada"),W1691&lt;&gt;""),W1691,""))</f>
        <v/>
      </c>
    </row>
    <row r="1692">
      <c r="A1692" s="18" t="inlineStr">
        <is>
          <t>C1691</t>
        </is>
      </c>
      <c r="B1692" s="18" t="inlineStr">
        <is>
          <t>Control interno</t>
        </is>
      </c>
      <c r="C1692" s="18" t="inlineStr">
        <is>
          <t>control_interno</t>
        </is>
      </c>
      <c r="D1692" s="18" t="inlineStr">
        <is>
          <t>hallazgo</t>
        </is>
      </c>
      <c r="E1692" s="18" t="n">
        <v>34</v>
      </c>
      <c r="F1692" s="18" t="inlineStr">
        <is>
          <t>fecha_compromiso</t>
        </is>
      </c>
      <c r="G1692" s="18" t="inlineStr">
        <is>
          <t>date</t>
        </is>
      </c>
      <c r="H1692" s="18" t="inlineStr">
        <is>
          <t>Sí</t>
        </is>
      </c>
      <c r="I1692" s="18" t="inlineStr"/>
      <c r="J1692" s="18" t="inlineStr"/>
      <c r="K1692" s="18" t="inlineStr"/>
      <c r="L1692" s="18" t="inlineStr">
        <is>
          <t>No</t>
        </is>
      </c>
      <c r="M1692" s="18" t="inlineStr">
        <is>
          <t>No</t>
        </is>
      </c>
      <c r="N1692" s="18" t="inlineStr"/>
      <c r="O1692" s="18" t="inlineStr"/>
      <c r="P1692" s="18" t="inlineStr"/>
      <c r="Q1692" s="18" t="inlineStr">
        <is>
          <t>Regla estructural (redacción revisada)</t>
        </is>
      </c>
      <c r="R1692" s="18" t="inlineStr">
        <is>
          <t>Fecha de compromiso para la atención del hallazgo.</t>
        </is>
      </c>
      <c r="S1692" s="18" t="inlineStr">
        <is>
          <t>Alta</t>
        </is>
      </c>
      <c r="T1692" s="18" t="inlineStr">
        <is>
          <t>Convención de nombre, redactada con el contexto de la tabla y el código.</t>
        </is>
      </c>
      <c r="U1692" s="18" t="inlineStr"/>
      <c r="V1692" s="19" t="inlineStr">
        <is>
          <t>Aprobada</t>
        </is>
      </c>
      <c r="W1692" s="19" t="inlineStr"/>
      <c r="X1692" s="19" t="inlineStr">
        <is>
          <t>Aldair González (aprobación en bloque)</t>
        </is>
      </c>
      <c r="Y1692" s="20" t="n">
        <v>46321</v>
      </c>
      <c r="Z1692" s="19" t="inlineStr">
        <is>
          <t>Nivel 2: regla estructural con redacción revisada.</t>
        </is>
      </c>
      <c r="AA1692" s="18">
        <f>IF(OR(V1692="Aprobada"),R1692,IF(AND(OR(V1692="Aprobada con ajuste",V1692="Rechazada"),W1692&lt;&gt;""),W1692,""))</f>
        <v/>
      </c>
    </row>
    <row r="1693">
      <c r="A1693" s="18" t="inlineStr">
        <is>
          <t>C1692</t>
        </is>
      </c>
      <c r="B1693" s="18" t="inlineStr">
        <is>
          <t>Control interno</t>
        </is>
      </c>
      <c r="C1693" s="18" t="inlineStr">
        <is>
          <t>control_interno</t>
        </is>
      </c>
      <c r="D1693" s="18" t="inlineStr">
        <is>
          <t>hallazgo</t>
        </is>
      </c>
      <c r="E1693" s="18" t="n">
        <v>34</v>
      </c>
      <c r="F1693" s="18" t="inlineStr">
        <is>
          <t>progreso_cumplimiento</t>
        </is>
      </c>
      <c r="G1693" s="18" t="inlineStr">
        <is>
          <t>integer</t>
        </is>
      </c>
      <c r="H1693" s="18" t="inlineStr">
        <is>
          <t>Sí</t>
        </is>
      </c>
      <c r="I1693" s="18" t="inlineStr">
        <is>
          <t>CHECK</t>
        </is>
      </c>
      <c r="J1693" s="18" t="inlineStr"/>
      <c r="K1693" s="18" t="inlineStr"/>
      <c r="L1693" s="18" t="inlineStr">
        <is>
          <t>No</t>
        </is>
      </c>
      <c r="M1693" s="18" t="inlineStr">
        <is>
          <t>No</t>
        </is>
      </c>
      <c r="N1693" s="18" t="inlineStr"/>
      <c r="O1693" s="18" t="inlineStr"/>
      <c r="P1693" s="18" t="inlineStr"/>
      <c r="Q1693" s="18" t="inlineStr">
        <is>
          <t>Código fuente (verificado)</t>
        </is>
      </c>
      <c r="R1693" s="18" t="inlineStr">
        <is>
          <t>Porcentaje de cumplimiento de las acciones asociadas al hallazgo, de 0 a 100; 0 por defecto.</t>
        </is>
      </c>
      <c r="S1693" s="18" t="inlineStr">
        <is>
          <t>Media</t>
        </is>
      </c>
      <c r="T1693" s="18" t="inlineStr">
        <is>
          <t>db/init/005_control_interno_ddl_20260129_215540.sql:1884,1889: DEFAULT 0 y CHECK entre 0 y 100; la entidad Hallazgo no mapea la columna</t>
        </is>
      </c>
      <c r="U1693" s="18" t="inlineStr">
        <is>
          <t>¿Cómo se calcula progreso_cumplimiento y quién lo actualiza? La entidad Hallazgo no la mapea.</t>
        </is>
      </c>
      <c r="V1693" s="19" t="inlineStr">
        <is>
          <t>Aprobada</t>
        </is>
      </c>
      <c r="W1693" s="19" t="inlineStr"/>
      <c r="X1693" s="19" t="inlineStr">
        <is>
          <t>Aldair González (validación del responsable de BD)</t>
        </is>
      </c>
      <c r="Y1693" s="20" t="n">
        <v>46321</v>
      </c>
      <c r="Z1693" s="19" t="inlineStr">
        <is>
          <t>Nivel 3: validada por decisión del responsable de la base de datos. Pregunta registrada para desarrollo: ¿Cómo se calcula progreso_cumplimiento y quién lo actualiza? La entidad Hallazgo no la mapea.</t>
        </is>
      </c>
      <c r="AA1693" s="18">
        <f>IF(OR(V1693="Aprobada"),R1693,IF(AND(OR(V1693="Aprobada con ajuste",V1693="Rechazada"),W1693&lt;&gt;""),W1693,""))</f>
        <v/>
      </c>
    </row>
    <row r="1694">
      <c r="A1694" s="18" t="inlineStr">
        <is>
          <t>C1693</t>
        </is>
      </c>
      <c r="B1694" s="18" t="inlineStr">
        <is>
          <t>Control interno</t>
        </is>
      </c>
      <c r="C1694" s="18" t="inlineStr">
        <is>
          <t>control_interno</t>
        </is>
      </c>
      <c r="D1694" s="18" t="inlineStr">
        <is>
          <t>hallazgo</t>
        </is>
      </c>
      <c r="E1694" s="18" t="n">
        <v>34</v>
      </c>
      <c r="F1694" s="18" t="inlineStr">
        <is>
          <t>controversia_turno</t>
        </is>
      </c>
      <c r="G1694" s="18" t="inlineStr">
        <is>
          <t>character varying(50)</t>
        </is>
      </c>
      <c r="H1694" s="18" t="inlineStr">
        <is>
          <t>Sí</t>
        </is>
      </c>
      <c r="I1694" s="18" t="inlineStr"/>
      <c r="J1694" s="18" t="inlineStr"/>
      <c r="K1694" s="18" t="inlineStr"/>
      <c r="L1694" s="18" t="inlineStr">
        <is>
          <t>No</t>
        </is>
      </c>
      <c r="M1694" s="18" t="inlineStr">
        <is>
          <t>No</t>
        </is>
      </c>
      <c r="N1694" s="18" t="inlineStr"/>
      <c r="O1694" s="18" t="inlineStr"/>
      <c r="P1694" s="18" t="inlineStr">
        <is>
          <t>internal-institutional-control-service/src/esap/hallazgos/entities/hallazgo.entity.ts:126: Turno de respuesta de la controversia: auditor | auditado</t>
        </is>
      </c>
      <c r="Q1694" s="18" t="inlineStr">
        <is>
          <t>Código fuente</t>
        </is>
      </c>
      <c r="R1694" s="18" t="inlineStr">
        <is>
          <t>Turno de respuesta en la controversia del hallazgo. Valores previstos: auditor, auditado.</t>
        </is>
      </c>
      <c r="S1694" s="18" t="inlineStr">
        <is>
          <t>Alta</t>
        </is>
      </c>
      <c r="T1694" s="18" t="inlineStr">
        <is>
          <t>código: internal-institutional-control-service/src/esap/hallazgos/entities/hallazgo.entity.ts:126</t>
        </is>
      </c>
      <c r="U1694" s="18" t="inlineStr"/>
      <c r="V1694" s="19" t="inlineStr">
        <is>
          <t>Aprobada</t>
        </is>
      </c>
      <c r="W1694" s="19" t="inlineStr"/>
      <c r="X1694" s="19" t="inlineStr">
        <is>
          <t>Aldair González (aprobación en bloque)</t>
        </is>
      </c>
      <c r="Y1694" s="20" t="n">
        <v>46321</v>
      </c>
      <c r="Z1694" s="19" t="inlineStr">
        <is>
          <t>Nivel 1: propuesta del comentario del desarrollador o de confianza alta, o regla de fecha/responsable/motivo.</t>
        </is>
      </c>
      <c r="AA1694" s="18">
        <f>IF(OR(V1694="Aprobada"),R1694,IF(AND(OR(V1694="Aprobada con ajuste",V1694="Rechazada"),W1694&lt;&gt;""),W1694,""))</f>
        <v/>
      </c>
    </row>
    <row r="1695">
      <c r="A1695" s="18" t="inlineStr">
        <is>
          <t>C1694</t>
        </is>
      </c>
      <c r="B1695" s="18" t="inlineStr">
        <is>
          <t>Control interno</t>
        </is>
      </c>
      <c r="C1695" s="18" t="inlineStr">
        <is>
          <t>control_interno</t>
        </is>
      </c>
      <c r="D1695" s="18" t="inlineStr">
        <is>
          <t>historial_auditoria</t>
        </is>
      </c>
      <c r="E1695" s="18" t="n">
        <v>480</v>
      </c>
      <c r="F1695" s="18" t="inlineStr">
        <is>
          <t>tipo_evento</t>
        </is>
      </c>
      <c r="G1695" s="18" t="inlineStr">
        <is>
          <t>character varying(50)</t>
        </is>
      </c>
      <c r="H1695" s="18" t="inlineStr">
        <is>
          <t>No</t>
        </is>
      </c>
      <c r="I1695" s="18" t="inlineStr">
        <is>
          <t>CHECK</t>
        </is>
      </c>
      <c r="J1695" s="18" t="inlineStr">
        <is>
          <t>actualizacion, ampliacion_plazo, aprobacion, archivo, asignacion, cambio_estado, creacion, documento, eliminacion, finalizacion, hallazgo, nota</t>
        </is>
      </c>
      <c r="K1695" s="18" t="inlineStr"/>
      <c r="L1695" s="18" t="inlineStr">
        <is>
          <t>Sí</t>
        </is>
      </c>
      <c r="M1695" s="18" t="inlineStr">
        <is>
          <t>Sí</t>
        </is>
      </c>
      <c r="N1695" s="18" t="inlineStr">
        <is>
          <t>Función control_interno.fn_registrar_cambio_estado_auditoria — control_interno.fn_registrar_cambio_estado_auditoria: tipo_evento,</t>
        </is>
      </c>
      <c r="O1695" s="18" t="inlineStr">
        <is>
          <t>idx_historial_tipo</t>
        </is>
      </c>
      <c r="P1695" s="18" t="inlineStr">
        <is>
          <t>Mapeada en internal-institutional-control-service/src/esap/auditorias/entities/historial-auditoria.entity.ts:43 (HistorialAuditoria.tipoEvento)</t>
        </is>
      </c>
      <c r="Q1695" s="18" t="inlineStr">
        <is>
          <t>Propuesta semántica</t>
        </is>
      </c>
      <c r="R1695" s="18" t="inlineStr">
        <is>
          <t>Tipo de evento registrado en el historial de la auditoría. Valores permitidos: creacion, actualizacion, cambio_estado, asignacion, aprobacion, ampliacion_plazo, documento, hallazgo, nota, archivo, finalizacion, eliminacion.</t>
        </is>
      </c>
      <c r="S1695" s="18" t="inlineStr">
        <is>
          <t>Alta</t>
        </is>
      </c>
      <c r="T1695" s="18" t="inlineStr">
        <is>
          <t>valores permitidos del CHECK + uso en la función fn_registrar_cambio_estado_auditoria ~</t>
        </is>
      </c>
      <c r="U1695" s="18" t="inlineStr"/>
      <c r="V1695" s="19" t="inlineStr">
        <is>
          <t>Aprobada</t>
        </is>
      </c>
      <c r="W1695" s="19" t="inlineStr"/>
      <c r="X1695" s="19" t="inlineStr">
        <is>
          <t>Aldair González (aprobación en bloque)</t>
        </is>
      </c>
      <c r="Y1695" s="20" t="n">
        <v>46321</v>
      </c>
      <c r="Z1695" s="19" t="inlineStr">
        <is>
          <t>Nivel 1: propuesta del comentario del desarrollador o de confianza alta, o regla de fecha/responsable/motivo.</t>
        </is>
      </c>
      <c r="AA1695" s="18">
        <f>IF(OR(V1695="Aprobada"),R1695,IF(AND(OR(V1695="Aprobada con ajuste",V1695="Rechazada"),W1695&lt;&gt;""),W1695,""))</f>
        <v/>
      </c>
    </row>
    <row r="1696">
      <c r="A1696" s="18" t="inlineStr">
        <is>
          <t>C1695</t>
        </is>
      </c>
      <c r="B1696" s="18" t="inlineStr">
        <is>
          <t>Control interno</t>
        </is>
      </c>
      <c r="C1696" s="18" t="inlineStr">
        <is>
          <t>control_interno</t>
        </is>
      </c>
      <c r="D1696" s="18" t="inlineStr">
        <is>
          <t>historial_auditoria</t>
        </is>
      </c>
      <c r="E1696" s="18" t="n">
        <v>480</v>
      </c>
      <c r="F1696" s="18" t="inlineStr">
        <is>
          <t>fecha</t>
        </is>
      </c>
      <c r="G1696" s="18" t="inlineStr">
        <is>
          <t>date</t>
        </is>
      </c>
      <c r="H1696" s="18" t="inlineStr">
        <is>
          <t>No</t>
        </is>
      </c>
      <c r="I1696" s="18" t="inlineStr"/>
      <c r="J1696" s="18" t="inlineStr"/>
      <c r="K1696" s="18" t="inlineStr"/>
      <c r="L1696" s="18" t="inlineStr">
        <is>
          <t>No</t>
        </is>
      </c>
      <c r="M1696" s="18" t="inlineStr">
        <is>
          <t>Sí</t>
        </is>
      </c>
      <c r="N1696" s="18" t="inlineStr">
        <is>
          <t>Función control_interno.fn_registrar_cambio_estado_auditoria — control_interno.fn_registrar_cambio_estado_auditoria: fecha,</t>
        </is>
      </c>
      <c r="O1696" s="18" t="inlineStr">
        <is>
          <t>idx_historial_fecha</t>
        </is>
      </c>
      <c r="P1696" s="18" t="inlineStr">
        <is>
          <t>Mapeada en internal-institutional-control-service/src/esap/auditorias/entities/historial-auditoria.entity.ts:51 (HistorialAuditoria.fecha) | Validación: IsDateString, IsString</t>
        </is>
      </c>
      <c r="Q1696" s="18" t="inlineStr">
        <is>
          <t>Propuesta semántica</t>
        </is>
      </c>
      <c r="R1696" s="18" t="inlineStr">
        <is>
          <t>Fecha del evento.</t>
        </is>
      </c>
      <c r="S1696" s="18" t="inlineStr">
        <is>
          <t>Alta</t>
        </is>
      </c>
      <c r="T1696" s="18" t="inlineStr">
        <is>
          <t>nombre + tipo + uso en la función fn_registrar_cambio_estado_auditoria ~</t>
        </is>
      </c>
      <c r="U1696" s="18" t="inlineStr"/>
      <c r="V1696" s="19" t="inlineStr">
        <is>
          <t>Aprobada</t>
        </is>
      </c>
      <c r="W1696" s="19" t="inlineStr"/>
      <c r="X1696" s="19" t="inlineStr">
        <is>
          <t>Aldair González (aprobación en bloque)</t>
        </is>
      </c>
      <c r="Y1696" s="20" t="n">
        <v>46321</v>
      </c>
      <c r="Z1696" s="19" t="inlineStr">
        <is>
          <t>Nivel 1: propuesta del comentario del desarrollador o de confianza alta, o regla de fecha/responsable/motivo.</t>
        </is>
      </c>
      <c r="AA1696" s="18">
        <f>IF(OR(V1696="Aprobada"),R1696,IF(AND(OR(V1696="Aprobada con ajuste",V1696="Rechazada"),W1696&lt;&gt;""),W1696,""))</f>
        <v/>
      </c>
    </row>
    <row r="1697">
      <c r="A1697" s="18" t="inlineStr">
        <is>
          <t>C1696</t>
        </is>
      </c>
      <c r="B1697" s="18" t="inlineStr">
        <is>
          <t>Control interno</t>
        </is>
      </c>
      <c r="C1697" s="18" t="inlineStr">
        <is>
          <t>control_interno</t>
        </is>
      </c>
      <c r="D1697" s="18" t="inlineStr">
        <is>
          <t>historial_auditoria</t>
        </is>
      </c>
      <c r="E1697" s="18" t="n">
        <v>480</v>
      </c>
      <c r="F1697" s="18" t="inlineStr">
        <is>
          <t>hora</t>
        </is>
      </c>
      <c r="G1697" s="18" t="inlineStr">
        <is>
          <t>time without time zone</t>
        </is>
      </c>
      <c r="H1697" s="18" t="inlineStr">
        <is>
          <t>No</t>
        </is>
      </c>
      <c r="I1697" s="18" t="inlineStr"/>
      <c r="J1697" s="18" t="inlineStr"/>
      <c r="K1697" s="18" t="inlineStr"/>
      <c r="L1697" s="18" t="inlineStr">
        <is>
          <t>No</t>
        </is>
      </c>
      <c r="M1697" s="18" t="inlineStr">
        <is>
          <t>Sí</t>
        </is>
      </c>
      <c r="N1697" s="18" t="inlineStr">
        <is>
          <t>Función control_interno.fn_registrar_cambio_estado_auditoria — control_interno.fn_registrar_cambio_estado_auditoria: hora,</t>
        </is>
      </c>
      <c r="O1697" s="18" t="inlineStr">
        <is>
          <t>idx_historial_fecha</t>
        </is>
      </c>
      <c r="P1697" s="18" t="inlineStr">
        <is>
          <t>Mapeada en internal-institutional-control-service/src/esap/auditorias/entities/historial-auditoria.entity.ts:54 (HistorialAuditoria.hora) | Validación: IsString</t>
        </is>
      </c>
      <c r="Q1697" s="18" t="inlineStr">
        <is>
          <t>Propuesta semántica</t>
        </is>
      </c>
      <c r="R1697" s="18" t="inlineStr">
        <is>
          <t>Hora del evento.</t>
        </is>
      </c>
      <c r="S1697" s="18" t="inlineStr">
        <is>
          <t>Alta</t>
        </is>
      </c>
      <c r="T1697" s="18" t="inlineStr">
        <is>
          <t>nombre + tipo + uso en la función fn_registrar_cambio_estado_auditoria ~</t>
        </is>
      </c>
      <c r="U1697" s="18" t="inlineStr"/>
      <c r="V1697" s="19" t="inlineStr">
        <is>
          <t>Aprobada</t>
        </is>
      </c>
      <c r="W1697" s="19" t="inlineStr"/>
      <c r="X1697" s="19" t="inlineStr">
        <is>
          <t>Aldair González (aprobación en bloque)</t>
        </is>
      </c>
      <c r="Y1697" s="20" t="n">
        <v>46321</v>
      </c>
      <c r="Z1697" s="19" t="inlineStr">
        <is>
          <t>Nivel 1: propuesta del comentario del desarrollador o de confianza alta, o regla de fecha/responsable/motivo.</t>
        </is>
      </c>
      <c r="AA1697" s="18">
        <f>IF(OR(V1697="Aprobada"),R1697,IF(AND(OR(V1697="Aprobada con ajuste",V1697="Rechazada"),W1697&lt;&gt;""),W1697,""))</f>
        <v/>
      </c>
    </row>
    <row r="1698">
      <c r="A1698" s="18" t="inlineStr">
        <is>
          <t>C1697</t>
        </is>
      </c>
      <c r="B1698" s="18" t="inlineStr">
        <is>
          <t>Control interno</t>
        </is>
      </c>
      <c r="C1698" s="18" t="inlineStr">
        <is>
          <t>control_interno</t>
        </is>
      </c>
      <c r="D1698" s="18" t="inlineStr">
        <is>
          <t>historial_auditoria</t>
        </is>
      </c>
      <c r="E1698" s="18" t="n">
        <v>480</v>
      </c>
      <c r="F1698" s="18" t="inlineStr">
        <is>
          <t>accion</t>
        </is>
      </c>
      <c r="G1698" s="18" t="inlineStr">
        <is>
          <t>character varying(255)</t>
        </is>
      </c>
      <c r="H1698" s="18" t="inlineStr">
        <is>
          <t>No</t>
        </is>
      </c>
      <c r="I1698" s="18" t="inlineStr"/>
      <c r="J1698" s="18" t="inlineStr"/>
      <c r="K1698" s="18" t="inlineStr"/>
      <c r="L1698" s="18" t="inlineStr">
        <is>
          <t>No</t>
        </is>
      </c>
      <c r="M1698" s="18" t="inlineStr">
        <is>
          <t>Sí</t>
        </is>
      </c>
      <c r="N1698" s="18" t="inlineStr">
        <is>
          <t>Función control_interno.fn_registrar_cambio_estado_auditoria — control_interno.fn_registrar_cambio_estado_auditoria: accion,</t>
        </is>
      </c>
      <c r="O1698" s="18" t="inlineStr"/>
      <c r="P1698" s="18" t="inlineStr">
        <is>
          <t>Mapeada en internal-institutional-control-service/src/esap/auditorias/entities/historial-auditoria.entity.ts:66 (HistorialAuditoria.accion)</t>
        </is>
      </c>
      <c r="Q1698" s="18" t="inlineStr">
        <is>
          <t>Código fuente (verificado)</t>
        </is>
      </c>
      <c r="R1698" s="18" t="inlineStr">
        <is>
          <t>Texto corto que describe la acción registrada en el historial de la auditoría (por ejemplo, «Auditoría creada», «Cambio de estado», «Evidencia cargada»); lo fija el backend o la función fn_registrar_cambio_estado_auditoria («Cambio de estado automático»). No es una lista cerrada en la base; la clasificación cerrada está en tipo_evento.</t>
        </is>
      </c>
      <c r="S1698" s="18" t="inlineStr">
        <is>
          <t>Alta</t>
        </is>
      </c>
      <c r="T1698" s="18" t="inlineStr">
        <is>
          <t>backend/internal-institutional-control-service/src/esap/auditorias/auditorias.service.ts:1730,2230,2393,2550,3707,3748,4070: valores asignados por el servicio | backend/internal-institutional-control-service/src/esap/evidencias/evidencias.service.ts:176: «Evidencia cargada» | db/init/005_control_interno_ddl_20260129_215540.sql:331: valor del trigger | db/init/005_control_interno_ddl_20260129_215540.sql:1921: CHECK solo sobre tipo_evento</t>
        </is>
      </c>
      <c r="U1698" s="18" t="inlineStr"/>
      <c r="V1698" s="19" t="inlineStr">
        <is>
          <t>Aprobada</t>
        </is>
      </c>
      <c r="W1698" s="19" t="inlineStr"/>
      <c r="X1698" s="19" t="inlineStr">
        <is>
          <t>Aldair González (aprobación en bloque)</t>
        </is>
      </c>
      <c r="Y1698" s="20" t="n">
        <v>46321</v>
      </c>
      <c r="Z1698" s="19" t="inlineStr">
        <is>
          <t>Nivel 3: verificada con el código de la aplicación.</t>
        </is>
      </c>
      <c r="AA1698" s="18">
        <f>IF(OR(V1698="Aprobada"),R1698,IF(AND(OR(V1698="Aprobada con ajuste",V1698="Rechazada"),W1698&lt;&gt;""),W1698,""))</f>
        <v/>
      </c>
    </row>
    <row r="1699">
      <c r="A1699" s="18" t="inlineStr">
        <is>
          <t>C1698</t>
        </is>
      </c>
      <c r="B1699" s="18" t="inlineStr">
        <is>
          <t>Control interno</t>
        </is>
      </c>
      <c r="C1699" s="18" t="inlineStr">
        <is>
          <t>control_interno</t>
        </is>
      </c>
      <c r="D1699" s="18" t="inlineStr">
        <is>
          <t>historial_auditoria</t>
        </is>
      </c>
      <c r="E1699" s="18" t="n">
        <v>480</v>
      </c>
      <c r="F1699" s="18" t="inlineStr">
        <is>
          <t>descripcion</t>
        </is>
      </c>
      <c r="G1699" s="18" t="inlineStr">
        <is>
          <t>text</t>
        </is>
      </c>
      <c r="H1699" s="18" t="inlineStr">
        <is>
          <t>Sí</t>
        </is>
      </c>
      <c r="I1699" s="18" t="inlineStr"/>
      <c r="J1699" s="18" t="inlineStr"/>
      <c r="K1699" s="18" t="inlineStr"/>
      <c r="L1699" s="18" t="inlineStr">
        <is>
          <t>No</t>
        </is>
      </c>
      <c r="M1699" s="18" t="inlineStr">
        <is>
          <t>Sí</t>
        </is>
      </c>
      <c r="N1699" s="18" t="inlineStr">
        <is>
          <t>Función control_interno.fn_registrar_cambio_estado_auditoria — control_interno.fn_registrar_cambio_estado_auditoria: descripcion,</t>
        </is>
      </c>
      <c r="O1699" s="18" t="inlineStr"/>
      <c r="P1699" s="18" t="inlineStr">
        <is>
          <t>Mapeada en internal-institutional-control-service/src/esap/auditorias/entities/historial-auditoria.entity.ts:69 (HistorialAuditoria.descripcion) | Validación: IsNotEmpty, IsOptional, IsString</t>
        </is>
      </c>
      <c r="Q1699" s="18" t="inlineStr">
        <is>
          <t>Regla estructural (redacción revisada)</t>
        </is>
      </c>
      <c r="R1699" s="18" t="inlineStr">
        <is>
          <t>Descripción del cambio o evento registrado en la auditoría.</t>
        </is>
      </c>
      <c r="S1699" s="18" t="inlineStr">
        <is>
          <t>Alta</t>
        </is>
      </c>
      <c r="T1699" s="18" t="inlineStr">
        <is>
          <t>Convención de nombre, redactada con el contexto de la tabla y el código.</t>
        </is>
      </c>
      <c r="U1699" s="18" t="inlineStr"/>
      <c r="V1699" s="19" t="inlineStr">
        <is>
          <t>Aprobada</t>
        </is>
      </c>
      <c r="W1699" s="19" t="inlineStr"/>
      <c r="X1699" s="19" t="inlineStr">
        <is>
          <t>Aldair González (aprobación en bloque)</t>
        </is>
      </c>
      <c r="Y1699" s="20" t="n">
        <v>46321</v>
      </c>
      <c r="Z1699" s="19" t="inlineStr">
        <is>
          <t>Nivel 2: regla estructural con redacción revisada.</t>
        </is>
      </c>
      <c r="AA1699" s="18">
        <f>IF(OR(V1699="Aprobada"),R1699,IF(AND(OR(V1699="Aprobada con ajuste",V1699="Rechazada"),W1699&lt;&gt;""),W1699,""))</f>
        <v/>
      </c>
    </row>
    <row r="1700">
      <c r="A1700" s="18" t="inlineStr">
        <is>
          <t>C1699</t>
        </is>
      </c>
      <c r="B1700" s="18" t="inlineStr">
        <is>
          <t>Control interno</t>
        </is>
      </c>
      <c r="C1700" s="18" t="inlineStr">
        <is>
          <t>control_interno</t>
        </is>
      </c>
      <c r="D1700" s="18" t="inlineStr">
        <is>
          <t>historial_auditoria</t>
        </is>
      </c>
      <c r="E1700" s="18" t="n">
        <v>480</v>
      </c>
      <c r="F1700" s="18" t="inlineStr">
        <is>
          <t>observaciones</t>
        </is>
      </c>
      <c r="G1700" s="18" t="inlineStr">
        <is>
          <t>text</t>
        </is>
      </c>
      <c r="H1700" s="18" t="inlineStr">
        <is>
          <t>Sí</t>
        </is>
      </c>
      <c r="I1700" s="18" t="inlineStr"/>
      <c r="J1700" s="18" t="inlineStr"/>
      <c r="K1700" s="18" t="inlineStr"/>
      <c r="L1700" s="18" t="inlineStr">
        <is>
          <t>No</t>
        </is>
      </c>
      <c r="M1700" s="18" t="inlineStr">
        <is>
          <t>No</t>
        </is>
      </c>
      <c r="N1700" s="18" t="inlineStr"/>
      <c r="O1700" s="18" t="inlineStr"/>
      <c r="P1700" s="18" t="inlineStr">
        <is>
          <t>Mapeada en internal-institutional-control-service/src/esap/auditorias/entities/historial-auditoria.entity.ts:72 (HistorialAuditoria.observaciones) | Validación: IsOptional, IsString</t>
        </is>
      </c>
      <c r="Q1700" s="18" t="inlineStr">
        <is>
          <t>Regla estructural (redacción revisada)</t>
        </is>
      </c>
      <c r="R1700" s="18" t="inlineStr">
        <is>
          <t>Observaciones sobre el cambio o evento.</t>
        </is>
      </c>
      <c r="S1700" s="18" t="inlineStr">
        <is>
          <t>Alta</t>
        </is>
      </c>
      <c r="T1700" s="18" t="inlineStr">
        <is>
          <t>Convención de nombre, redactada con el contexto de la tabla y el código.</t>
        </is>
      </c>
      <c r="U1700" s="18" t="inlineStr"/>
      <c r="V1700" s="19" t="inlineStr">
        <is>
          <t>Aprobada</t>
        </is>
      </c>
      <c r="W1700" s="19" t="inlineStr"/>
      <c r="X1700" s="19" t="inlineStr">
        <is>
          <t>Aldair González (aprobación en bloque)</t>
        </is>
      </c>
      <c r="Y1700" s="20" t="n">
        <v>46321</v>
      </c>
      <c r="Z1700" s="19" t="inlineStr">
        <is>
          <t>Nivel 2: regla estructural con redacción revisada.</t>
        </is>
      </c>
      <c r="AA1700" s="18">
        <f>IF(OR(V1700="Aprobada"),R1700,IF(AND(OR(V1700="Aprobada con ajuste",V1700="Rechazada"),W1700&lt;&gt;""),W1700,""))</f>
        <v/>
      </c>
    </row>
    <row r="1701">
      <c r="A1701" s="18" t="inlineStr">
        <is>
          <t>C1700</t>
        </is>
      </c>
      <c r="B1701" s="18" t="inlineStr">
        <is>
          <t>Control interno</t>
        </is>
      </c>
      <c r="C1701" s="18" t="inlineStr">
        <is>
          <t>control_interno</t>
        </is>
      </c>
      <c r="D1701" s="18" t="inlineStr">
        <is>
          <t>historial_auditoria</t>
        </is>
      </c>
      <c r="E1701" s="18" t="n">
        <v>480</v>
      </c>
      <c r="F1701" s="18" t="inlineStr">
        <is>
          <t>documento_adjunto</t>
        </is>
      </c>
      <c r="G1701" s="18" t="inlineStr">
        <is>
          <t>character varying(500)</t>
        </is>
      </c>
      <c r="H1701" s="18" t="inlineStr">
        <is>
          <t>Sí</t>
        </is>
      </c>
      <c r="I1701" s="18" t="inlineStr"/>
      <c r="J1701" s="18" t="inlineStr"/>
      <c r="K1701" s="18" t="inlineStr"/>
      <c r="L1701" s="18" t="inlineStr">
        <is>
          <t>No</t>
        </is>
      </c>
      <c r="M1701" s="18" t="inlineStr">
        <is>
          <t>No</t>
        </is>
      </c>
      <c r="N1701" s="18" t="inlineStr"/>
      <c r="O1701" s="18" t="inlineStr"/>
      <c r="P1701" s="18" t="inlineStr">
        <is>
          <t>Mapeada en internal-institutional-control-service/src/esap/auditorias/entities/historial-auditoria.entity.ts:75 (HistorialAuditoria.documentoAdjunto)</t>
        </is>
      </c>
      <c r="Q1701" s="18" t="inlineStr">
        <is>
          <t>Código fuente (verificado)</t>
        </is>
      </c>
      <c r="R1701" s="18" t="inlineStr">
        <is>
          <t>Documento adjunto al evento del historial de la auditoría.</t>
        </is>
      </c>
      <c r="S1701" s="18" t="inlineStr">
        <is>
          <t>Media</t>
        </is>
      </c>
      <c r="T1701" s="18" t="inlineStr">
        <is>
          <t>backend/internal-institutional-control-service/src/esap/auditorias/entities/historial-auditoria.entity.ts:75: varchar(500) | backend/internal-institutional-control-service/src/esap/auditorias/auditorias.service.ts:4352: solo se lee; ningún servicio la escribe</t>
        </is>
      </c>
      <c r="U1701" s="18" t="inlineStr">
        <is>
          <t>¿documento_adjunto guarda una ruta, una URL o un identificador de documento? El backend no escribe esta columna.</t>
        </is>
      </c>
      <c r="V1701" s="19" t="inlineStr">
        <is>
          <t>Aprobada</t>
        </is>
      </c>
      <c r="W1701" s="19" t="inlineStr"/>
      <c r="X1701" s="19" t="inlineStr">
        <is>
          <t>Aldair González (validación del responsable de BD)</t>
        </is>
      </c>
      <c r="Y1701" s="20" t="n">
        <v>46321</v>
      </c>
      <c r="Z1701" s="19" t="inlineStr">
        <is>
          <t>Nivel 3: validada por decisión del responsable de la base de datos. Pregunta registrada para desarrollo: ¿documento_adjunto guarda una ruta, una URL o un identificador de documento? El backend no escribe esta columna.</t>
        </is>
      </c>
      <c r="AA1701" s="18">
        <f>IF(OR(V1701="Aprobada"),R1701,IF(AND(OR(V1701="Aprobada con ajuste",V1701="Rechazada"),W1701&lt;&gt;""),W1701,""))</f>
        <v/>
      </c>
    </row>
    <row r="1702">
      <c r="A1702" s="18" t="inlineStr">
        <is>
          <t>C1701</t>
        </is>
      </c>
      <c r="B1702" s="18" t="inlineStr">
        <is>
          <t>Control interno</t>
        </is>
      </c>
      <c r="C1702" s="18" t="inlineStr">
        <is>
          <t>control_interno</t>
        </is>
      </c>
      <c r="D1702" s="18" t="inlineStr">
        <is>
          <t>historial_auditoria</t>
        </is>
      </c>
      <c r="E1702" s="18" t="n">
        <v>480</v>
      </c>
      <c r="F1702" s="18" t="inlineStr">
        <is>
          <t>ip_address</t>
        </is>
      </c>
      <c r="G1702" s="18" t="inlineStr">
        <is>
          <t>character varying(45)</t>
        </is>
      </c>
      <c r="H1702" s="18" t="inlineStr">
        <is>
          <t>Sí</t>
        </is>
      </c>
      <c r="I1702" s="18" t="inlineStr"/>
      <c r="J1702" s="18" t="inlineStr"/>
      <c r="K1702" s="18" t="inlineStr"/>
      <c r="L1702" s="18" t="inlineStr">
        <is>
          <t>No</t>
        </is>
      </c>
      <c r="M1702" s="18" t="inlineStr">
        <is>
          <t>No</t>
        </is>
      </c>
      <c r="N1702" s="18" t="inlineStr"/>
      <c r="O1702" s="18" t="inlineStr"/>
      <c r="P1702" s="18" t="inlineStr">
        <is>
          <t>Mapeada en internal-institutional-control-service/src/esap/auditorias/entities/historial-auditoria.entity.ts:78 (HistorialAuditoria.ipAddress)</t>
        </is>
      </c>
      <c r="Q1702" s="18" t="inlineStr">
        <is>
          <t>Propuesta semántica</t>
        </is>
      </c>
      <c r="R1702" s="18" t="inlineStr">
        <is>
          <t>Dirección IP desde la que se originó el evento.</t>
        </is>
      </c>
      <c r="S1702" s="18" t="inlineStr">
        <is>
          <t>Alta</t>
        </is>
      </c>
      <c r="T1702" s="18" t="inlineStr">
        <is>
          <t>nombre + tipo + columnas vecinas (user_agent) ~</t>
        </is>
      </c>
      <c r="U1702" s="18" t="inlineStr"/>
      <c r="V1702" s="19" t="inlineStr">
        <is>
          <t>Aprobada</t>
        </is>
      </c>
      <c r="W1702" s="19" t="inlineStr"/>
      <c r="X1702" s="19" t="inlineStr">
        <is>
          <t>Aldair González (aprobación en bloque)</t>
        </is>
      </c>
      <c r="Y1702" s="20" t="n">
        <v>46321</v>
      </c>
      <c r="Z1702" s="19" t="inlineStr">
        <is>
          <t>Nivel 1: propuesta del comentario del desarrollador o de confianza alta, o regla de fecha/responsable/motivo.</t>
        </is>
      </c>
      <c r="AA1702" s="18">
        <f>IF(OR(V1702="Aprobada"),R1702,IF(AND(OR(V1702="Aprobada con ajuste",V1702="Rechazada"),W1702&lt;&gt;""),W1702,""))</f>
        <v/>
      </c>
    </row>
    <row r="1703">
      <c r="A1703" s="18" t="inlineStr">
        <is>
          <t>C1702</t>
        </is>
      </c>
      <c r="B1703" s="18" t="inlineStr">
        <is>
          <t>Control interno</t>
        </is>
      </c>
      <c r="C1703" s="18" t="inlineStr">
        <is>
          <t>control_interno</t>
        </is>
      </c>
      <c r="D1703" s="18" t="inlineStr">
        <is>
          <t>historial_auditoria</t>
        </is>
      </c>
      <c r="E1703" s="18" t="n">
        <v>480</v>
      </c>
      <c r="F1703" s="18" t="inlineStr">
        <is>
          <t>user_agent</t>
        </is>
      </c>
      <c r="G1703" s="18" t="inlineStr">
        <is>
          <t>text</t>
        </is>
      </c>
      <c r="H1703" s="18" t="inlineStr">
        <is>
          <t>Sí</t>
        </is>
      </c>
      <c r="I1703" s="18" t="inlineStr"/>
      <c r="J1703" s="18" t="inlineStr"/>
      <c r="K1703" s="18" t="inlineStr"/>
      <c r="L1703" s="18" t="inlineStr">
        <is>
          <t>No</t>
        </is>
      </c>
      <c r="M1703" s="18" t="inlineStr">
        <is>
          <t>No</t>
        </is>
      </c>
      <c r="N1703" s="18" t="inlineStr"/>
      <c r="O1703" s="18" t="inlineStr"/>
      <c r="P1703" s="18" t="inlineStr">
        <is>
          <t>Mapeada en internal-institutional-control-service/src/esap/auditorias/entities/historial-auditoria.entity.ts:81 (HistorialAuditoria.userAgent)</t>
        </is>
      </c>
      <c r="Q1703" s="18" t="inlineStr">
        <is>
          <t>Regla estructural (redacción revisada)</t>
        </is>
      </c>
      <c r="R1703" s="18" t="inlineStr">
        <is>
          <t>Agente de usuario (navegador) desde el que se realizó la acción.</t>
        </is>
      </c>
      <c r="S1703" s="18" t="inlineStr">
        <is>
          <t>Alta</t>
        </is>
      </c>
      <c r="T1703" s="18" t="inlineStr">
        <is>
          <t>Convención de nombre, redactada con el contexto de la tabla y el código.</t>
        </is>
      </c>
      <c r="U1703" s="18" t="inlineStr"/>
      <c r="V1703" s="19" t="inlineStr">
        <is>
          <t>Aprobada</t>
        </is>
      </c>
      <c r="W1703" s="19" t="inlineStr"/>
      <c r="X1703" s="19" t="inlineStr">
        <is>
          <t>Aldair González (aprobación en bloque)</t>
        </is>
      </c>
      <c r="Y1703" s="20" t="n">
        <v>46321</v>
      </c>
      <c r="Z1703" s="19" t="inlineStr">
        <is>
          <t>Nivel 2: regla estructural con redacción revisada.</t>
        </is>
      </c>
      <c r="AA1703" s="18">
        <f>IF(OR(V1703="Aprobada"),R1703,IF(AND(OR(V1703="Aprobada con ajuste",V1703="Rechazada"),W1703&lt;&gt;""),W1703,""))</f>
        <v/>
      </c>
    </row>
    <row r="1704">
      <c r="A1704" s="18" t="inlineStr">
        <is>
          <t>C1703</t>
        </is>
      </c>
      <c r="B1704" s="18" t="inlineStr">
        <is>
          <t>Control interno</t>
        </is>
      </c>
      <c r="C1704" s="18" t="inlineStr">
        <is>
          <t>control_interno</t>
        </is>
      </c>
      <c r="D1704" s="18" t="inlineStr">
        <is>
          <t>historial_auditoria</t>
        </is>
      </c>
      <c r="E1704" s="18" t="n">
        <v>480</v>
      </c>
      <c r="F1704" s="18" t="inlineStr">
        <is>
          <t>estado_anterior</t>
        </is>
      </c>
      <c r="G1704" s="18" t="inlineStr">
        <is>
          <t>character varying(50)</t>
        </is>
      </c>
      <c r="H1704" s="18" t="inlineStr">
        <is>
          <t>Sí</t>
        </is>
      </c>
      <c r="I1704" s="18" t="inlineStr"/>
      <c r="J1704" s="18" t="inlineStr"/>
      <c r="K1704" s="18" t="inlineStr"/>
      <c r="L1704" s="18" t="inlineStr">
        <is>
          <t>No</t>
        </is>
      </c>
      <c r="M1704" s="18" t="inlineStr">
        <is>
          <t>Sí</t>
        </is>
      </c>
      <c r="N1704" s="18" t="inlineStr">
        <is>
          <t>Función control_interno.fn_registrar_cambio_estado_auditoria — control_interno.fn_registrar_cambio_estado_auditoria: -- Manejar NULL: si estado_anterior es NULL, mostrar "Planeación" (estado inicial por defecto)</t>
        </is>
      </c>
      <c r="O1704" s="18" t="inlineStr"/>
      <c r="P1704" s="18" t="inlineStr">
        <is>
          <t>Mapeada en internal-institutional-control-service/src/esap/auditorias/entities/historial-auditoria.entity.ts:94 (HistorialAuditoria.estadoAnterior)</t>
        </is>
      </c>
      <c r="Q1704" s="18" t="inlineStr">
        <is>
          <t>Propuesta semántica</t>
        </is>
      </c>
      <c r="R1704" s="18" t="inlineStr">
        <is>
          <t>Estado de la auditoría antes del cambio; si es nulo se muestra Planeación, el estado inicial.</t>
        </is>
      </c>
      <c r="S1704" s="18" t="inlineStr">
        <is>
          <t>Alta</t>
        </is>
      </c>
      <c r="T1704" s="18" t="inlineStr">
        <is>
          <t>uso en la función fn_registrar_cambio_estado_auditoria ~</t>
        </is>
      </c>
      <c r="U1704" s="18" t="inlineStr"/>
      <c r="V1704" s="19" t="inlineStr">
        <is>
          <t>Aprobada</t>
        </is>
      </c>
      <c r="W1704" s="19" t="inlineStr"/>
      <c r="X1704" s="19" t="inlineStr">
        <is>
          <t>Aldair González (aprobación en bloque)</t>
        </is>
      </c>
      <c r="Y1704" s="20" t="n">
        <v>46321</v>
      </c>
      <c r="Z1704" s="19" t="inlineStr">
        <is>
          <t>Nivel 1: propuesta del comentario del desarrollador o de confianza alta, o regla de fecha/responsable/motivo.</t>
        </is>
      </c>
      <c r="AA1704" s="18">
        <f>IF(OR(V1704="Aprobada"),R1704,IF(AND(OR(V1704="Aprobada con ajuste",V1704="Rechazada"),W1704&lt;&gt;""),W1704,""))</f>
        <v/>
      </c>
    </row>
    <row r="1705">
      <c r="A1705" s="18" t="inlineStr">
        <is>
          <t>C1704</t>
        </is>
      </c>
      <c r="B1705" s="18" t="inlineStr">
        <is>
          <t>Control interno</t>
        </is>
      </c>
      <c r="C1705" s="18" t="inlineStr">
        <is>
          <t>control_interno</t>
        </is>
      </c>
      <c r="D1705" s="18" t="inlineStr">
        <is>
          <t>historial_auditoria</t>
        </is>
      </c>
      <c r="E1705" s="18" t="n">
        <v>480</v>
      </c>
      <c r="F1705" s="18" t="inlineStr">
        <is>
          <t>estado_nuevo</t>
        </is>
      </c>
      <c r="G1705" s="18" t="inlineStr">
        <is>
          <t>character varying(50)</t>
        </is>
      </c>
      <c r="H1705" s="18" t="inlineStr">
        <is>
          <t>Sí</t>
        </is>
      </c>
      <c r="I1705" s="18" t="inlineStr"/>
      <c r="J1705" s="18" t="inlineStr"/>
      <c r="K1705" s="18" t="inlineStr"/>
      <c r="L1705" s="18" t="inlineStr">
        <is>
          <t>No</t>
        </is>
      </c>
      <c r="M1705" s="18" t="inlineStr">
        <is>
          <t>Sí</t>
        </is>
      </c>
      <c r="N1705" s="18" t="inlineStr">
        <is>
          <t>Función control_interno.fn_registrar_cambio_estado_auditoria — control_interno.fn_registrar_cambio_estado_auditoria: estado_nuevo,</t>
        </is>
      </c>
      <c r="O1705" s="18" t="inlineStr"/>
      <c r="P1705" s="18" t="inlineStr">
        <is>
          <t>Mapeada en internal-institutional-control-service/src/esap/auditorias/entities/historial-auditoria.entity.ts:97 (HistorialAuditoria.estadoNuevo)</t>
        </is>
      </c>
      <c r="Q1705" s="18" t="inlineStr">
        <is>
          <t>Propuesta semántica</t>
        </is>
      </c>
      <c r="R1705" s="18" t="inlineStr">
        <is>
          <t>Estado de la auditoría después del cambio.</t>
        </is>
      </c>
      <c r="S1705" s="18" t="inlineStr">
        <is>
          <t>Alta</t>
        </is>
      </c>
      <c r="T1705" s="18" t="inlineStr">
        <is>
          <t>uso en la función fn_registrar_cambio_estado_auditoria ~</t>
        </is>
      </c>
      <c r="U1705" s="18" t="inlineStr"/>
      <c r="V1705" s="19" t="inlineStr">
        <is>
          <t>Aprobada</t>
        </is>
      </c>
      <c r="W1705" s="19" t="inlineStr"/>
      <c r="X1705" s="19" t="inlineStr">
        <is>
          <t>Aldair González (aprobación en bloque)</t>
        </is>
      </c>
      <c r="Y1705" s="20" t="n">
        <v>46321</v>
      </c>
      <c r="Z1705" s="19" t="inlineStr">
        <is>
          <t>Nivel 1: propuesta del comentario del desarrollador o de confianza alta, o regla de fecha/responsable/motivo.</t>
        </is>
      </c>
      <c r="AA1705" s="18">
        <f>IF(OR(V1705="Aprobada"),R1705,IF(AND(OR(V1705="Aprobada con ajuste",V1705="Rechazada"),W1705&lt;&gt;""),W1705,""))</f>
        <v/>
      </c>
    </row>
    <row r="1706">
      <c r="A1706" s="18" t="inlineStr">
        <is>
          <t>C1705</t>
        </is>
      </c>
      <c r="B1706" s="18" t="inlineStr">
        <is>
          <t>Control interno</t>
        </is>
      </c>
      <c r="C1706" s="18" t="inlineStr">
        <is>
          <t>control_interno</t>
        </is>
      </c>
      <c r="D1706" s="18" t="inlineStr">
        <is>
          <t>historial_auditoria</t>
        </is>
      </c>
      <c r="E1706" s="18" t="n">
        <v>480</v>
      </c>
      <c r="F1706" s="18" t="inlineStr">
        <is>
          <t>usuario_id</t>
        </is>
      </c>
      <c r="G1706" s="18" t="inlineStr">
        <is>
          <t>uuid</t>
        </is>
      </c>
      <c r="H1706" s="18" t="inlineStr">
        <is>
          <t>Sí</t>
        </is>
      </c>
      <c r="I1706" s="18" t="inlineStr"/>
      <c r="J1706" s="18" t="inlineStr"/>
      <c r="K1706" s="18" t="inlineStr"/>
      <c r="L1706" s="18" t="inlineStr">
        <is>
          <t>No</t>
        </is>
      </c>
      <c r="M1706" s="18" t="inlineStr">
        <is>
          <t>Sí</t>
        </is>
      </c>
      <c r="N1706" s="18" t="inlineStr">
        <is>
          <t>Función control_interno.fn_registrar_cambio_estado_auditoria — control_interno.fn_registrar_cambio_estado_auditoria: usuario_id,</t>
        </is>
      </c>
      <c r="O1706" s="18" t="inlineStr"/>
      <c r="P1706" s="18" t="inlineStr">
        <is>
          <t>internal-institutional-control-service/src/esap/auditorias/entities/historial-auditoria.entity.ts:57: FK a auth.user.id_user (UUID) - puede ser null | db/migrations/old/036_add_auditorias_kanban_completo.sql:635: FK a auth.personas | db/migrations/old/072_setup_auditoria_complete.sql:661: ID del usuario que realizó la acción (FK a auth.personas.id_tercero) | db/init/005_control_interno_ddl_20260129_215540.sql:1936: ID del usuario que realizó la acción (FK a auth.personas.id_tercero) | Validación: IsNotEmpty, IsOptional, IsString, IsUUID</t>
        </is>
      </c>
      <c r="Q1706" s="18" t="inlineStr">
        <is>
          <t>Código fuente (verificado)</t>
        </is>
      </c>
      <c r="R1706" s="18" t="inlineStr">
        <is>
          <t>Identificador de la persona (auth.personas.id_person) que realizó la acción; el backend lo obtiene a partir del auth."user".id_user del token. Puede ser nulo.</t>
        </is>
      </c>
      <c r="S1706" s="18" t="inlineStr">
        <is>
          <t>Alta</t>
        </is>
      </c>
      <c r="T1706" s="18" t="inlineStr">
        <is>
          <t>backend/internal-institutional-control-service/src/esap/auditorias/auditorias.service.ts:2226-2229: «historial_auditoria.usuario_id apunta a auth.personas»; se traduce con resolverPersonaDeUsuario | backend/internal-institutional-control-service/src/esap/auditorias/auditorias.service.ts:103-117: devuelve auth.personas.id_person, directo o vía auth."user".id_person | db/migrations/165_fix_trigger_uuid_usuario_hotfix.sql:93,98: columna uuid y nula | el comentario de la entidad (historial-auditoria.entity.ts:57) cita auth.user.id_user</t>
        </is>
      </c>
      <c r="U1706" s="18" t="inlineStr"/>
      <c r="V1706" s="19" t="inlineStr">
        <is>
          <t>Aprobada</t>
        </is>
      </c>
      <c r="W1706" s="19" t="inlineStr"/>
      <c r="X1706" s="19" t="inlineStr">
        <is>
          <t>Aldair González (aprobación en bloque)</t>
        </is>
      </c>
      <c r="Y1706" s="20" t="n">
        <v>46321</v>
      </c>
      <c r="Z1706" s="19" t="inlineStr">
        <is>
          <t>Nivel 3: verificada con el código de la aplicación.</t>
        </is>
      </c>
      <c r="AA1706" s="18">
        <f>IF(OR(V1706="Aprobada"),R1706,IF(AND(OR(V1706="Aprobada con ajuste",V1706="Rechazada"),W1706&lt;&gt;""),W1706,""))</f>
        <v/>
      </c>
    </row>
    <row r="1707">
      <c r="A1707" s="18" t="inlineStr">
        <is>
          <t>C1706</t>
        </is>
      </c>
      <c r="B1707" s="18" t="inlineStr">
        <is>
          <t>Control interno</t>
        </is>
      </c>
      <c r="C1707" s="18" t="inlineStr">
        <is>
          <t>control_interno</t>
        </is>
      </c>
      <c r="D1707" s="18" t="inlineStr">
        <is>
          <t>historial_generacion_informe</t>
        </is>
      </c>
      <c r="E1707" s="18" t="n">
        <v>0</v>
      </c>
      <c r="F1707" s="18" t="inlineStr">
        <is>
          <t>accion</t>
        </is>
      </c>
      <c r="G1707" s="18" t="inlineStr">
        <is>
          <t>character varying(100)</t>
        </is>
      </c>
      <c r="H1707" s="18" t="inlineStr">
        <is>
          <t>No</t>
        </is>
      </c>
      <c r="I1707" s="18" t="inlineStr"/>
      <c r="J1707" s="18" t="inlineStr"/>
      <c r="K1707" s="18" t="inlineStr"/>
      <c r="L1707" s="18" t="inlineStr">
        <is>
          <t>No</t>
        </is>
      </c>
      <c r="M1707" s="18" t="inlineStr">
        <is>
          <t>No</t>
        </is>
      </c>
      <c r="N1707" s="18" t="inlineStr"/>
      <c r="O1707" s="18" t="inlineStr">
        <is>
          <t>idx_historial_accion</t>
        </is>
      </c>
      <c r="P1707" s="18" t="inlineStr">
        <is>
          <t>internal-institutional-control-service/src/esap/informes-ley/entities/historial-generacion-informe.entity.ts:27: 'generado', 'actualizado', 'enviado_aprobacion', 'aprobado', 'rechazado' | db/migrations/old/080_create_informes_ley_plantillas_workflow.sql:118: 'generado', 'actualizado', 'enviado_aprobacion', 'aprobado', 'rechazado'</t>
        </is>
      </c>
      <c r="Q1707" s="18" t="inlineStr">
        <is>
          <t>Código fuente</t>
        </is>
      </c>
      <c r="R1707" s="18" t="inlineStr">
        <is>
          <t>Acción registrada en el historial de generación y aprobación del informe. Valores esperados: generado, actualizado, enviado_aprobacion, aprobado, rechazado.</t>
        </is>
      </c>
      <c r="S1707" s="18" t="inlineStr">
        <is>
          <t>Alta</t>
        </is>
      </c>
      <c r="T1707" s="18" t="inlineStr">
        <is>
          <t>código: internal-institutional-control-service/src/esap/informes-ley/entities/historial-generacion-informe.entity.ts:27</t>
        </is>
      </c>
      <c r="U1707" s="18" t="inlineStr"/>
      <c r="V1707" s="19" t="inlineStr">
        <is>
          <t>Aprobada</t>
        </is>
      </c>
      <c r="W1707" s="19" t="inlineStr"/>
      <c r="X1707" s="19" t="inlineStr">
        <is>
          <t>Aldair González (aprobación en bloque)</t>
        </is>
      </c>
      <c r="Y1707" s="20" t="n">
        <v>46321</v>
      </c>
      <c r="Z1707" s="19" t="inlineStr">
        <is>
          <t>Nivel 1: propuesta del comentario del desarrollador o de confianza alta, o regla de fecha/responsable/motivo.</t>
        </is>
      </c>
      <c r="AA1707" s="18">
        <f>IF(OR(V1707="Aprobada"),R1707,IF(AND(OR(V1707="Aprobada con ajuste",V1707="Rechazada"),W1707&lt;&gt;""),W1707,""))</f>
        <v/>
      </c>
    </row>
    <row r="1708">
      <c r="A1708" s="18" t="inlineStr">
        <is>
          <t>C1707</t>
        </is>
      </c>
      <c r="B1708" s="18" t="inlineStr">
        <is>
          <t>Control interno</t>
        </is>
      </c>
      <c r="C1708" s="18" t="inlineStr">
        <is>
          <t>control_interno</t>
        </is>
      </c>
      <c r="D1708" s="18" t="inlineStr">
        <is>
          <t>historial_generacion_informe</t>
        </is>
      </c>
      <c r="E1708" s="18" t="n">
        <v>0</v>
      </c>
      <c r="F1708" s="18" t="inlineStr">
        <is>
          <t>usuario_id</t>
        </is>
      </c>
      <c r="G1708" s="18" t="inlineStr">
        <is>
          <t>character varying(255)</t>
        </is>
      </c>
      <c r="H1708" s="18" t="inlineStr">
        <is>
          <t>Sí</t>
        </is>
      </c>
      <c r="I1708" s="18" t="inlineStr"/>
      <c r="J1708" s="18" t="inlineStr"/>
      <c r="K1708" s="18" t="inlineStr"/>
      <c r="L1708" s="18" t="inlineStr">
        <is>
          <t>No</t>
        </is>
      </c>
      <c r="M1708" s="18" t="inlineStr">
        <is>
          <t>No</t>
        </is>
      </c>
      <c r="N1708" s="18" t="inlineStr"/>
      <c r="O1708" s="18" t="inlineStr"/>
      <c r="P1708" s="18" t="inlineStr">
        <is>
          <t>Mapeada en internal-institutional-control-service/src/esap/informes-ley/entities/historial-generacion-informe.entity.ts:30 (HistorialGeneracionInforme.usuarioId) | Validación: IsNotEmpty, IsOptional, IsString, IsUUID</t>
        </is>
      </c>
      <c r="Q1708" s="18" t="inlineStr">
        <is>
          <t>Código fuente (verificado)</t>
        </is>
      </c>
      <c r="R1708" s="18" t="inlineStr">
        <is>
          <t>Identificador del usuario que realizó la acción sobre la entrega del informe.</t>
        </is>
      </c>
      <c r="S1708" s="18" t="inlineStr">
        <is>
          <t>Media</t>
        </is>
      </c>
      <c r="T1708" s="18" t="inlineStr">
        <is>
          <t>backend/internal-institutional-control-service/src/esap/informes-ley/informes-ley.controller.ts:243,286,311,336,424: usuarioId = req.user?.id || req.user?.sub (o «system») | backend/internal-institutional-control-service/src/auth/strategies/jwt.strategy.ts:45-50: req.user solo trae userId (sub del token = auth."user".id_user según backend/auth-service/src/auth/auth.service.ts:403), sin id ni sub | backend/internal-institutional-control-service/src/esap/informes-ley/services/workflow-aprobacion.service.ts:151-155: se guarda tal cual</t>
        </is>
      </c>
      <c r="U1708" s="18" t="inlineStr">
        <is>
          <t>¿Debe guardar auth."user".id_user? El controlador lee req.user.id o req.user.sub, que la estrategia JWT no entrega, por lo que el valor queda vacío o «system».</t>
        </is>
      </c>
      <c r="V1708" s="19" t="inlineStr">
        <is>
          <t>Aprobada</t>
        </is>
      </c>
      <c r="W1708" s="19" t="inlineStr"/>
      <c r="X1708" s="19" t="inlineStr">
        <is>
          <t>Aldair González (validación del responsable de BD)</t>
        </is>
      </c>
      <c r="Y1708" s="20" t="n">
        <v>46321</v>
      </c>
      <c r="Z1708" s="19" t="inlineStr">
        <is>
          <t>Nivel 3: validada por decisión del responsable de la base de datos. Pregunta registrada para desarrollo: ¿Debe guardar auth."user".id_user? El controlador lee req.user.id o req.user.sub, que la estrategia JWT no entrega, por lo que el valor queda vacío o «system».</t>
        </is>
      </c>
      <c r="AA1708" s="18">
        <f>IF(OR(V1708="Aprobada"),R1708,IF(AND(OR(V1708="Aprobada con ajuste",V1708="Rechazada"),W1708&lt;&gt;""),W1708,""))</f>
        <v/>
      </c>
    </row>
    <row r="1709">
      <c r="A1709" s="18" t="inlineStr">
        <is>
          <t>C1708</t>
        </is>
      </c>
      <c r="B1709" s="18" t="inlineStr">
        <is>
          <t>Control interno</t>
        </is>
      </c>
      <c r="C1709" s="18" t="inlineStr">
        <is>
          <t>control_interno</t>
        </is>
      </c>
      <c r="D1709" s="18" t="inlineStr">
        <is>
          <t>historial_generacion_informe</t>
        </is>
      </c>
      <c r="E1709" s="18" t="n">
        <v>0</v>
      </c>
      <c r="F1709" s="18" t="inlineStr">
        <is>
          <t>usuario_nombre</t>
        </is>
      </c>
      <c r="G1709" s="18" t="inlineStr">
        <is>
          <t>character varying(255)</t>
        </is>
      </c>
      <c r="H1709" s="18" t="inlineStr">
        <is>
          <t>Sí</t>
        </is>
      </c>
      <c r="I1709" s="18" t="inlineStr"/>
      <c r="J1709" s="18" t="inlineStr"/>
      <c r="K1709" s="18" t="inlineStr"/>
      <c r="L1709" s="18" t="inlineStr">
        <is>
          <t>No</t>
        </is>
      </c>
      <c r="M1709" s="18" t="inlineStr">
        <is>
          <t>No</t>
        </is>
      </c>
      <c r="N1709" s="18" t="inlineStr"/>
      <c r="O1709" s="18" t="inlineStr"/>
      <c r="P1709" s="18" t="inlineStr">
        <is>
          <t>Mapeada en internal-institutional-control-service/src/esap/informes-ley/entities/historial-generacion-informe.entity.ts:33 (HistorialGeneracionInforme.usuarioNombre) | Validación: IsOptional, IsString</t>
        </is>
      </c>
      <c r="Q1709" s="18" t="inlineStr">
        <is>
          <t>Propuesta semántica</t>
        </is>
      </c>
      <c r="R1709" s="18" t="inlineStr">
        <is>
          <t>Nombre del usuario que realizó la acción sobre el informe.</t>
        </is>
      </c>
      <c r="S1709" s="18" t="inlineStr">
        <is>
          <t>Alta</t>
        </is>
      </c>
      <c r="T1709" s="18" t="inlineStr">
        <is>
          <t>nombre + columnas vecinas (usuario_id) ~</t>
        </is>
      </c>
      <c r="U1709" s="18" t="inlineStr"/>
      <c r="V1709" s="19" t="inlineStr">
        <is>
          <t>Aprobada</t>
        </is>
      </c>
      <c r="W1709" s="19" t="inlineStr"/>
      <c r="X1709" s="19" t="inlineStr">
        <is>
          <t>Aldair González (aprobación en bloque)</t>
        </is>
      </c>
      <c r="Y1709" s="20" t="n">
        <v>46321</v>
      </c>
      <c r="Z1709" s="19" t="inlineStr">
        <is>
          <t>Nivel 1: propuesta del comentario del desarrollador o de confianza alta, o regla de fecha/responsable/motivo.</t>
        </is>
      </c>
      <c r="AA1709" s="18">
        <f>IF(OR(V1709="Aprobada"),R1709,IF(AND(OR(V1709="Aprobada con ajuste",V1709="Rechazada"),W1709&lt;&gt;""),W1709,""))</f>
        <v/>
      </c>
    </row>
    <row r="1710">
      <c r="A1710" s="18" t="inlineStr">
        <is>
          <t>C1709</t>
        </is>
      </c>
      <c r="B1710" s="18" t="inlineStr">
        <is>
          <t>Control interno</t>
        </is>
      </c>
      <c r="C1710" s="18" t="inlineStr">
        <is>
          <t>control_interno</t>
        </is>
      </c>
      <c r="D1710" s="18" t="inlineStr">
        <is>
          <t>historial_generacion_informe</t>
        </is>
      </c>
      <c r="E1710" s="18" t="n">
        <v>0</v>
      </c>
      <c r="F1710" s="18" t="inlineStr">
        <is>
          <t>observaciones</t>
        </is>
      </c>
      <c r="G1710" s="18" t="inlineStr">
        <is>
          <t>text</t>
        </is>
      </c>
      <c r="H1710" s="18" t="inlineStr">
        <is>
          <t>Sí</t>
        </is>
      </c>
      <c r="I1710" s="18" t="inlineStr"/>
      <c r="J1710" s="18" t="inlineStr"/>
      <c r="K1710" s="18" t="inlineStr"/>
      <c r="L1710" s="18" t="inlineStr">
        <is>
          <t>No</t>
        </is>
      </c>
      <c r="M1710" s="18" t="inlineStr">
        <is>
          <t>No</t>
        </is>
      </c>
      <c r="N1710" s="18" t="inlineStr"/>
      <c r="O1710" s="18" t="inlineStr"/>
      <c r="P1710" s="18" t="inlineStr">
        <is>
          <t>Mapeada en internal-institutional-control-service/src/esap/informes-ley/entities/historial-generacion-informe.entity.ts:36 (HistorialGeneracionInforme.observaciones) | Validación: IsOptional, IsString</t>
        </is>
      </c>
      <c r="Q1710" s="18" t="inlineStr">
        <is>
          <t>Regla estructural (redacción revisada)</t>
        </is>
      </c>
      <c r="R1710" s="18" t="inlineStr">
        <is>
          <t>Observaciones sobre la generación o aprobación del informe.</t>
        </is>
      </c>
      <c r="S1710" s="18" t="inlineStr">
        <is>
          <t>Alta</t>
        </is>
      </c>
      <c r="T1710" s="18" t="inlineStr">
        <is>
          <t>Convención de nombre, redactada con el contexto de la tabla y el código.</t>
        </is>
      </c>
      <c r="U1710" s="18" t="inlineStr"/>
      <c r="V1710" s="19" t="inlineStr">
        <is>
          <t>Aprobada</t>
        </is>
      </c>
      <c r="W1710" s="19" t="inlineStr"/>
      <c r="X1710" s="19" t="inlineStr">
        <is>
          <t>Aldair González (aprobación en bloque)</t>
        </is>
      </c>
      <c r="Y1710" s="20" t="n">
        <v>46321</v>
      </c>
      <c r="Z1710" s="19" t="inlineStr">
        <is>
          <t>Nivel 2: regla estructural con redacción revisada.</t>
        </is>
      </c>
      <c r="AA1710" s="18">
        <f>IF(OR(V1710="Aprobada"),R1710,IF(AND(OR(V1710="Aprobada con ajuste",V1710="Rechazada"),W1710&lt;&gt;""),W1710,""))</f>
        <v/>
      </c>
    </row>
    <row r="1711">
      <c r="A1711" s="18" t="inlineStr">
        <is>
          <t>C1710</t>
        </is>
      </c>
      <c r="B1711" s="18" t="inlineStr">
        <is>
          <t>Control interno</t>
        </is>
      </c>
      <c r="C1711" s="18" t="inlineStr">
        <is>
          <t>control_interno</t>
        </is>
      </c>
      <c r="D1711" s="18" t="inlineStr">
        <is>
          <t>historial_generacion_informe</t>
        </is>
      </c>
      <c r="E1711" s="18" t="n">
        <v>0</v>
      </c>
      <c r="F1711" s="18" t="inlineStr">
        <is>
          <t>datos_anteriores</t>
        </is>
      </c>
      <c r="G1711" s="18" t="inlineStr">
        <is>
          <t>jsonb</t>
        </is>
      </c>
      <c r="H1711" s="18" t="inlineStr">
        <is>
          <t>Sí</t>
        </is>
      </c>
      <c r="I1711" s="18" t="inlineStr"/>
      <c r="J1711" s="18" t="inlineStr"/>
      <c r="K1711" s="18" t="inlineStr"/>
      <c r="L1711" s="18" t="inlineStr">
        <is>
          <t>No</t>
        </is>
      </c>
      <c r="M1711" s="18" t="inlineStr">
        <is>
          <t>No</t>
        </is>
      </c>
      <c r="N1711" s="18" t="inlineStr"/>
      <c r="O1711" s="18" t="inlineStr"/>
      <c r="P1711" s="18" t="inlineStr">
        <is>
          <t>Mapeada en internal-institutional-control-service/src/esap/informes-ley/entities/historial-generacion-informe.entity.ts:39 (HistorialGeneracionInforme.datosAnteriores)</t>
        </is>
      </c>
      <c r="Q1711" s="18" t="inlineStr">
        <is>
          <t>Propuesta semántica</t>
        </is>
      </c>
      <c r="R1711" s="18" t="inlineStr">
        <is>
          <t>Datos del informe antes de la acción, en formato JSON.</t>
        </is>
      </c>
      <c r="S1711" s="18" t="inlineStr">
        <is>
          <t>Alta</t>
        </is>
      </c>
      <c r="T1711" s="18" t="inlineStr">
        <is>
          <t>nombre + tipo jsonb + columnas vecinas (datos_nuevos) ~</t>
        </is>
      </c>
      <c r="U1711" s="18" t="inlineStr"/>
      <c r="V1711" s="19" t="inlineStr">
        <is>
          <t>Aprobada</t>
        </is>
      </c>
      <c r="W1711" s="19" t="inlineStr"/>
      <c r="X1711" s="19" t="inlineStr">
        <is>
          <t>Aldair González (aprobación en bloque)</t>
        </is>
      </c>
      <c r="Y1711" s="20" t="n">
        <v>46321</v>
      </c>
      <c r="Z1711" s="19" t="inlineStr">
        <is>
          <t>Nivel 1: propuesta del comentario del desarrollador o de confianza alta, o regla de fecha/responsable/motivo.</t>
        </is>
      </c>
      <c r="AA1711" s="18">
        <f>IF(OR(V1711="Aprobada"),R1711,IF(AND(OR(V1711="Aprobada con ajuste",V1711="Rechazada"),W1711&lt;&gt;""),W1711,""))</f>
        <v/>
      </c>
    </row>
    <row r="1712">
      <c r="A1712" s="18" t="inlineStr">
        <is>
          <t>C1711</t>
        </is>
      </c>
      <c r="B1712" s="18" t="inlineStr">
        <is>
          <t>Control interno</t>
        </is>
      </c>
      <c r="C1712" s="18" t="inlineStr">
        <is>
          <t>control_interno</t>
        </is>
      </c>
      <c r="D1712" s="18" t="inlineStr">
        <is>
          <t>historial_generacion_informe</t>
        </is>
      </c>
      <c r="E1712" s="18" t="n">
        <v>0</v>
      </c>
      <c r="F1712" s="18" t="inlineStr">
        <is>
          <t>datos_nuevos</t>
        </is>
      </c>
      <c r="G1712" s="18" t="inlineStr">
        <is>
          <t>jsonb</t>
        </is>
      </c>
      <c r="H1712" s="18" t="inlineStr">
        <is>
          <t>Sí</t>
        </is>
      </c>
      <c r="I1712" s="18" t="inlineStr"/>
      <c r="J1712" s="18" t="inlineStr"/>
      <c r="K1712" s="18" t="inlineStr"/>
      <c r="L1712" s="18" t="inlineStr">
        <is>
          <t>No</t>
        </is>
      </c>
      <c r="M1712" s="18" t="inlineStr">
        <is>
          <t>No</t>
        </is>
      </c>
      <c r="N1712" s="18" t="inlineStr"/>
      <c r="O1712" s="18" t="inlineStr"/>
      <c r="P1712" s="18" t="inlineStr">
        <is>
          <t>Mapeada en internal-institutional-control-service/src/esap/informes-ley/entities/historial-generacion-informe.entity.ts:42 (HistorialGeneracionInforme.datosNuevos)</t>
        </is>
      </c>
      <c r="Q1712" s="18" t="inlineStr">
        <is>
          <t>Propuesta semántica</t>
        </is>
      </c>
      <c r="R1712" s="18" t="inlineStr">
        <is>
          <t>Datos del informe después de la acción, en formato JSON.</t>
        </is>
      </c>
      <c r="S1712" s="18" t="inlineStr">
        <is>
          <t>Alta</t>
        </is>
      </c>
      <c r="T1712" s="18" t="inlineStr">
        <is>
          <t>nombre + tipo jsonb + columnas vecinas ~</t>
        </is>
      </c>
      <c r="U1712" s="18" t="inlineStr"/>
      <c r="V1712" s="19" t="inlineStr">
        <is>
          <t>Aprobada</t>
        </is>
      </c>
      <c r="W1712" s="19" t="inlineStr"/>
      <c r="X1712" s="19" t="inlineStr">
        <is>
          <t>Aldair González (aprobación en bloque)</t>
        </is>
      </c>
      <c r="Y1712" s="20" t="n">
        <v>46321</v>
      </c>
      <c r="Z1712" s="19" t="inlineStr">
        <is>
          <t>Nivel 1: propuesta del comentario del desarrollador o de confianza alta, o regla de fecha/responsable/motivo.</t>
        </is>
      </c>
      <c r="AA1712" s="18">
        <f>IF(OR(V1712="Aprobada"),R1712,IF(AND(OR(V1712="Aprobada con ajuste",V1712="Rechazada"),W1712&lt;&gt;""),W1712,""))</f>
        <v/>
      </c>
    </row>
    <row r="1713">
      <c r="A1713" s="18" t="inlineStr">
        <is>
          <t>C1712</t>
        </is>
      </c>
      <c r="B1713" s="18" t="inlineStr">
        <is>
          <t>Control interno</t>
        </is>
      </c>
      <c r="C1713" s="18" t="inlineStr">
        <is>
          <t>control_interno</t>
        </is>
      </c>
      <c r="D1713" s="18" t="inlineStr">
        <is>
          <t>historial_generacion_informe</t>
        </is>
      </c>
      <c r="E1713" s="18" t="n">
        <v>0</v>
      </c>
      <c r="F1713" s="18" t="inlineStr">
        <is>
          <t>ip_origen</t>
        </is>
      </c>
      <c r="G1713" s="18" t="inlineStr">
        <is>
          <t>character varying(50)</t>
        </is>
      </c>
      <c r="H1713" s="18" t="inlineStr">
        <is>
          <t>Sí</t>
        </is>
      </c>
      <c r="I1713" s="18" t="inlineStr"/>
      <c r="J1713" s="18" t="inlineStr"/>
      <c r="K1713" s="18" t="inlineStr"/>
      <c r="L1713" s="18" t="inlineStr">
        <is>
          <t>No</t>
        </is>
      </c>
      <c r="M1713" s="18" t="inlineStr">
        <is>
          <t>No</t>
        </is>
      </c>
      <c r="N1713" s="18" t="inlineStr"/>
      <c r="O1713" s="18" t="inlineStr"/>
      <c r="P1713" s="18" t="inlineStr">
        <is>
          <t>Mapeada en internal-institutional-control-service/src/esap/informes-ley/entities/historial-generacion-informe.entity.ts:45 (HistorialGeneracionInforme.ipOrigen)</t>
        </is>
      </c>
      <c r="Q1713" s="18" t="inlineStr">
        <is>
          <t>Propuesta semántica</t>
        </is>
      </c>
      <c r="R1713" s="18" t="inlineStr">
        <is>
          <t>Dirección IP desde la que se realizó la acción.</t>
        </is>
      </c>
      <c r="S1713" s="18" t="inlineStr">
        <is>
          <t>Alta</t>
        </is>
      </c>
      <c r="T1713" s="18" t="inlineStr">
        <is>
          <t>nombre + tipo + columnas vecinas (user_agent) ~</t>
        </is>
      </c>
      <c r="U1713" s="18" t="inlineStr"/>
      <c r="V1713" s="19" t="inlineStr">
        <is>
          <t>Aprobada</t>
        </is>
      </c>
      <c r="W1713" s="19" t="inlineStr"/>
      <c r="X1713" s="19" t="inlineStr">
        <is>
          <t>Aldair González (aprobación en bloque)</t>
        </is>
      </c>
      <c r="Y1713" s="20" t="n">
        <v>46321</v>
      </c>
      <c r="Z1713" s="19" t="inlineStr">
        <is>
          <t>Nivel 1: propuesta del comentario del desarrollador o de confianza alta, o regla de fecha/responsable/motivo.</t>
        </is>
      </c>
      <c r="AA1713" s="18">
        <f>IF(OR(V1713="Aprobada"),R1713,IF(AND(OR(V1713="Aprobada con ajuste",V1713="Rechazada"),W1713&lt;&gt;""),W1713,""))</f>
        <v/>
      </c>
    </row>
    <row r="1714">
      <c r="A1714" s="18" t="inlineStr">
        <is>
          <t>C1713</t>
        </is>
      </c>
      <c r="B1714" s="18" t="inlineStr">
        <is>
          <t>Control interno</t>
        </is>
      </c>
      <c r="C1714" s="18" t="inlineStr">
        <is>
          <t>control_interno</t>
        </is>
      </c>
      <c r="D1714" s="18" t="inlineStr">
        <is>
          <t>historial_generacion_informe</t>
        </is>
      </c>
      <c r="E1714" s="18" t="n">
        <v>0</v>
      </c>
      <c r="F1714" s="18" t="inlineStr">
        <is>
          <t>user_agent</t>
        </is>
      </c>
      <c r="G1714" s="18" t="inlineStr">
        <is>
          <t>text</t>
        </is>
      </c>
      <c r="H1714" s="18" t="inlineStr">
        <is>
          <t>Sí</t>
        </is>
      </c>
      <c r="I1714" s="18" t="inlineStr"/>
      <c r="J1714" s="18" t="inlineStr"/>
      <c r="K1714" s="18" t="inlineStr"/>
      <c r="L1714" s="18" t="inlineStr">
        <is>
          <t>No</t>
        </is>
      </c>
      <c r="M1714" s="18" t="inlineStr">
        <is>
          <t>No</t>
        </is>
      </c>
      <c r="N1714" s="18" t="inlineStr"/>
      <c r="O1714" s="18" t="inlineStr"/>
      <c r="P1714" s="18" t="inlineStr">
        <is>
          <t>Mapeada en internal-institutional-control-service/src/esap/informes-ley/entities/historial-generacion-informe.entity.ts:48 (HistorialGeneracionInforme.userAgent)</t>
        </is>
      </c>
      <c r="Q1714" s="18" t="inlineStr">
        <is>
          <t>Regla estructural (redacción revisada)</t>
        </is>
      </c>
      <c r="R1714" s="18" t="inlineStr">
        <is>
          <t>Agente de usuario (navegador) desde el que se realizó la acción.</t>
        </is>
      </c>
      <c r="S1714" s="18" t="inlineStr">
        <is>
          <t>Alta</t>
        </is>
      </c>
      <c r="T1714" s="18" t="inlineStr">
        <is>
          <t>Convención de nombre, redactada con el contexto de la tabla y el código.</t>
        </is>
      </c>
      <c r="U1714" s="18" t="inlineStr"/>
      <c r="V1714" s="19" t="inlineStr">
        <is>
          <t>Aprobada</t>
        </is>
      </c>
      <c r="W1714" s="19" t="inlineStr"/>
      <c r="X1714" s="19" t="inlineStr">
        <is>
          <t>Aldair González (aprobación en bloque)</t>
        </is>
      </c>
      <c r="Y1714" s="20" t="n">
        <v>46321</v>
      </c>
      <c r="Z1714" s="19" t="inlineStr">
        <is>
          <t>Nivel 2: regla estructural con redacción revisada.</t>
        </is>
      </c>
      <c r="AA1714" s="18">
        <f>IF(OR(V1714="Aprobada"),R1714,IF(AND(OR(V1714="Aprobada con ajuste",V1714="Rechazada"),W1714&lt;&gt;""),W1714,""))</f>
        <v/>
      </c>
    </row>
    <row r="1715">
      <c r="A1715" s="18" t="inlineStr">
        <is>
          <t>C1714</t>
        </is>
      </c>
      <c r="B1715" s="18" t="inlineStr">
        <is>
          <t>Control interno</t>
        </is>
      </c>
      <c r="C1715" s="18" t="inlineStr">
        <is>
          <t>control_interno</t>
        </is>
      </c>
      <c r="D1715" s="18" t="inlineStr">
        <is>
          <t>historial_plan_anual</t>
        </is>
      </c>
      <c r="E1715" s="18" t="n">
        <v>29731</v>
      </c>
      <c r="F1715" s="18" t="inlineStr">
        <is>
          <t>fecha</t>
        </is>
      </c>
      <c r="G1715" s="18" t="inlineStr">
        <is>
          <t>date</t>
        </is>
      </c>
      <c r="H1715" s="18" t="inlineStr">
        <is>
          <t>No</t>
        </is>
      </c>
      <c r="I1715" s="18" t="inlineStr"/>
      <c r="J1715" s="18" t="inlineStr"/>
      <c r="K1715" s="18" t="inlineStr"/>
      <c r="L1715" s="18" t="inlineStr">
        <is>
          <t>No</t>
        </is>
      </c>
      <c r="M1715" s="18" t="inlineStr">
        <is>
          <t>Sí</t>
        </is>
      </c>
      <c r="N1715" s="18" t="inlineStr">
        <is>
          <t>Función control_interno.fn_registrar_cambio_estado_plan_anual — control_interno.fn_registrar_cambio_estado_plan_anual: fecha,</t>
        </is>
      </c>
      <c r="O1715" s="18" t="inlineStr">
        <is>
          <t>idx_historial_plan_anual_fecha</t>
        </is>
      </c>
      <c r="P1715" s="18" t="inlineStr">
        <is>
          <t>Mapeada en internal-institutional-control-service/src/esap/plan-anual-5-roles/entities/historial-plan-anual.entity.ts:46 (HistorialPlanAnual.fecha) | Validación: IsDateString, IsString</t>
        </is>
      </c>
      <c r="Q1715" s="18" t="inlineStr">
        <is>
          <t>Propuesta semántica</t>
        </is>
      </c>
      <c r="R1715" s="18" t="inlineStr">
        <is>
          <t>Fecha del evento registrado en el historial del plan anual.</t>
        </is>
      </c>
      <c r="S1715" s="18" t="inlineStr">
        <is>
          <t>Alta</t>
        </is>
      </c>
      <c r="T1715" s="18" t="inlineStr">
        <is>
          <t>nombre + tipo + uso en la función fn_registrar_cambio_estado_plan_anual ~</t>
        </is>
      </c>
      <c r="U1715" s="18" t="inlineStr"/>
      <c r="V1715" s="19" t="inlineStr">
        <is>
          <t>Aprobada</t>
        </is>
      </c>
      <c r="W1715" s="19" t="inlineStr"/>
      <c r="X1715" s="19" t="inlineStr">
        <is>
          <t>Aldair González (aprobación en bloque)</t>
        </is>
      </c>
      <c r="Y1715" s="20" t="n">
        <v>46321</v>
      </c>
      <c r="Z1715" s="19" t="inlineStr">
        <is>
          <t>Nivel 1: propuesta del comentario del desarrollador o de confianza alta, o regla de fecha/responsable/motivo.</t>
        </is>
      </c>
      <c r="AA1715" s="18">
        <f>IF(OR(V1715="Aprobada"),R1715,IF(AND(OR(V1715="Aprobada con ajuste",V1715="Rechazada"),W1715&lt;&gt;""),W1715,""))</f>
        <v/>
      </c>
    </row>
    <row r="1716">
      <c r="A1716" s="18" t="inlineStr">
        <is>
          <t>C1715</t>
        </is>
      </c>
      <c r="B1716" s="18" t="inlineStr">
        <is>
          <t>Control interno</t>
        </is>
      </c>
      <c r="C1716" s="18" t="inlineStr">
        <is>
          <t>control_interno</t>
        </is>
      </c>
      <c r="D1716" s="18" t="inlineStr">
        <is>
          <t>historial_plan_anual</t>
        </is>
      </c>
      <c r="E1716" s="18" t="n">
        <v>29731</v>
      </c>
      <c r="F1716" s="18" t="inlineStr">
        <is>
          <t>hora</t>
        </is>
      </c>
      <c r="G1716" s="18" t="inlineStr">
        <is>
          <t>time without time zone</t>
        </is>
      </c>
      <c r="H1716" s="18" t="inlineStr">
        <is>
          <t>No</t>
        </is>
      </c>
      <c r="I1716" s="18" t="inlineStr"/>
      <c r="J1716" s="18" t="inlineStr"/>
      <c r="K1716" s="18" t="inlineStr"/>
      <c r="L1716" s="18" t="inlineStr">
        <is>
          <t>No</t>
        </is>
      </c>
      <c r="M1716" s="18" t="inlineStr">
        <is>
          <t>Sí</t>
        </is>
      </c>
      <c r="N1716" s="18" t="inlineStr">
        <is>
          <t>Función control_interno.fn_registrar_cambio_estado_plan_anual — control_interno.fn_registrar_cambio_estado_plan_anual: hora,</t>
        </is>
      </c>
      <c r="O1716" s="18" t="inlineStr">
        <is>
          <t>idx_historial_plan_anual_fecha</t>
        </is>
      </c>
      <c r="P1716" s="18" t="inlineStr">
        <is>
          <t>Mapeada en internal-institutional-control-service/src/esap/plan-anual-5-roles/entities/historial-plan-anual.entity.ts:49 (HistorialPlanAnual.hora) | Validación: IsString</t>
        </is>
      </c>
      <c r="Q1716" s="18" t="inlineStr">
        <is>
          <t>Propuesta semántica</t>
        </is>
      </c>
      <c r="R1716" s="18" t="inlineStr">
        <is>
          <t>Hora del evento registrado en el historial del plan anual.</t>
        </is>
      </c>
      <c r="S1716" s="18" t="inlineStr">
        <is>
          <t>Alta</t>
        </is>
      </c>
      <c r="T1716" s="18" t="inlineStr">
        <is>
          <t>nombre + tipo + uso en la función fn_registrar_cambio_estado_plan_anual ~</t>
        </is>
      </c>
      <c r="U1716" s="18" t="inlineStr"/>
      <c r="V1716" s="19" t="inlineStr">
        <is>
          <t>Aprobada</t>
        </is>
      </c>
      <c r="W1716" s="19" t="inlineStr"/>
      <c r="X1716" s="19" t="inlineStr">
        <is>
          <t>Aldair González (aprobación en bloque)</t>
        </is>
      </c>
      <c r="Y1716" s="20" t="n">
        <v>46321</v>
      </c>
      <c r="Z1716" s="19" t="inlineStr">
        <is>
          <t>Nivel 1: propuesta del comentario del desarrollador o de confianza alta, o regla de fecha/responsable/motivo.</t>
        </is>
      </c>
      <c r="AA1716" s="18">
        <f>IF(OR(V1716="Aprobada"),R1716,IF(AND(OR(V1716="Aprobada con ajuste",V1716="Rechazada"),W1716&lt;&gt;""),W1716,""))</f>
        <v/>
      </c>
    </row>
    <row r="1717">
      <c r="A1717" s="18" t="inlineStr">
        <is>
          <t>C1716</t>
        </is>
      </c>
      <c r="B1717" s="18" t="inlineStr">
        <is>
          <t>Control interno</t>
        </is>
      </c>
      <c r="C1717" s="18" t="inlineStr">
        <is>
          <t>control_interno</t>
        </is>
      </c>
      <c r="D1717" s="18" t="inlineStr">
        <is>
          <t>historial_plan_anual</t>
        </is>
      </c>
      <c r="E1717" s="18" t="n">
        <v>29731</v>
      </c>
      <c r="F1717" s="18" t="inlineStr">
        <is>
          <t>accion</t>
        </is>
      </c>
      <c r="G1717" s="18" t="inlineStr">
        <is>
          <t>character varying(255)</t>
        </is>
      </c>
      <c r="H1717" s="18" t="inlineStr">
        <is>
          <t>No</t>
        </is>
      </c>
      <c r="I1717" s="18" t="inlineStr"/>
      <c r="J1717" s="18" t="inlineStr"/>
      <c r="K1717" s="18" t="inlineStr"/>
      <c r="L1717" s="18" t="inlineStr">
        <is>
          <t>No</t>
        </is>
      </c>
      <c r="M1717" s="18" t="inlineStr">
        <is>
          <t>Sí</t>
        </is>
      </c>
      <c r="N1717" s="18" t="inlineStr">
        <is>
          <t>Función control_interno.fn_registrar_cambio_estado_plan_anual — control_interno.fn_registrar_cambio_estado_plan_anual: accion,</t>
        </is>
      </c>
      <c r="O1717" s="18" t="inlineStr"/>
      <c r="P1717" s="18" t="inlineStr">
        <is>
          <t>Mapeada en internal-institutional-control-service/src/esap/plan-anual-5-roles/entities/historial-plan-anual.entity.ts:55 (HistorialPlanAnual.accion)</t>
        </is>
      </c>
      <c r="Q1717" s="18" t="inlineStr">
        <is>
          <t>Código fuente (verificado)</t>
        </is>
      </c>
      <c r="R1717" s="18" t="inlineStr">
        <is>
          <t>Texto corto que describe la acción registrada en el historial del Plan Anual 5 Roles (por ejemplo, «Creación de Plan Anual», «Actividad creada», «Actualización responsable de rol»); lo fija el backend o la función fn_registrar_cambio_estado_plan_anual («Cambio de estado automático»). No es una lista cerrada; la clasificación cerrada está en tipo_evento.</t>
        </is>
      </c>
      <c r="S1717" s="18" t="inlineStr">
        <is>
          <t>Alta</t>
        </is>
      </c>
      <c r="T1717" s="18" t="inlineStr">
        <is>
          <t>backend/internal-institutional-control-service/src/esap/plan-anual-5-roles/plan-anual-5-roles.service.ts:300-304,635-639,1123-1127,1352-1371: valores asignados por el servicio | db/init/005_control_interno_ddl_20260129_215540.sql:385: valor del trigger | db/init/005_control_interno_ddl_20260129_215540.sql:1992: CHECK solo sobre tipo_evento</t>
        </is>
      </c>
      <c r="U1717" s="18" t="inlineStr"/>
      <c r="V1717" s="19" t="inlineStr">
        <is>
          <t>Aprobada</t>
        </is>
      </c>
      <c r="W1717" s="19" t="inlineStr"/>
      <c r="X1717" s="19" t="inlineStr">
        <is>
          <t>Aldair González (aprobación en bloque)</t>
        </is>
      </c>
      <c r="Y1717" s="20" t="n">
        <v>46321</v>
      </c>
      <c r="Z1717" s="19" t="inlineStr">
        <is>
          <t>Nivel 3: verificada con el código de la aplicación.</t>
        </is>
      </c>
      <c r="AA1717" s="18">
        <f>IF(OR(V1717="Aprobada"),R1717,IF(AND(OR(V1717="Aprobada con ajuste",V1717="Rechazada"),W1717&lt;&gt;""),W1717,""))</f>
        <v/>
      </c>
    </row>
    <row r="1718">
      <c r="A1718" s="18" t="inlineStr">
        <is>
          <t>C1717</t>
        </is>
      </c>
      <c r="B1718" s="18" t="inlineStr">
        <is>
          <t>Control interno</t>
        </is>
      </c>
      <c r="C1718" s="18" t="inlineStr">
        <is>
          <t>control_interno</t>
        </is>
      </c>
      <c r="D1718" s="18" t="inlineStr">
        <is>
          <t>historial_plan_anual</t>
        </is>
      </c>
      <c r="E1718" s="18" t="n">
        <v>29731</v>
      </c>
      <c r="F1718" s="18" t="inlineStr">
        <is>
          <t>descripcion</t>
        </is>
      </c>
      <c r="G1718" s="18" t="inlineStr">
        <is>
          <t>text</t>
        </is>
      </c>
      <c r="H1718" s="18" t="inlineStr">
        <is>
          <t>Sí</t>
        </is>
      </c>
      <c r="I1718" s="18" t="inlineStr"/>
      <c r="J1718" s="18" t="inlineStr"/>
      <c r="K1718" s="18" t="inlineStr"/>
      <c r="L1718" s="18" t="inlineStr">
        <is>
          <t>No</t>
        </is>
      </c>
      <c r="M1718" s="18" t="inlineStr">
        <is>
          <t>Sí</t>
        </is>
      </c>
      <c r="N1718" s="18" t="inlineStr">
        <is>
          <t>Función control_interno.fn_registrar_cambio_estado_plan_anual — control_interno.fn_registrar_cambio_estado_plan_anual: descripcion,</t>
        </is>
      </c>
      <c r="O1718" s="18" t="inlineStr"/>
      <c r="P1718" s="18" t="inlineStr">
        <is>
          <t>Mapeada en internal-institutional-control-service/src/esap/plan-anual-5-roles/entities/historial-plan-anual.entity.ts:58 (HistorialPlanAnual.descripcion) | Validación: IsNotEmpty, IsOptional, IsString</t>
        </is>
      </c>
      <c r="Q1718" s="18" t="inlineStr">
        <is>
          <t>Regla estructural (redacción revisada)</t>
        </is>
      </c>
      <c r="R1718" s="18" t="inlineStr">
        <is>
          <t>Descripción del cambio registrado en el plan anual.</t>
        </is>
      </c>
      <c r="S1718" s="18" t="inlineStr">
        <is>
          <t>Alta</t>
        </is>
      </c>
      <c r="T1718" s="18" t="inlineStr">
        <is>
          <t>Convención de nombre, redactada con el contexto de la tabla y el código.</t>
        </is>
      </c>
      <c r="U1718" s="18" t="inlineStr"/>
      <c r="V1718" s="19" t="inlineStr">
        <is>
          <t>Aprobada</t>
        </is>
      </c>
      <c r="W1718" s="19" t="inlineStr"/>
      <c r="X1718" s="19" t="inlineStr">
        <is>
          <t>Aldair González (aprobación en bloque)</t>
        </is>
      </c>
      <c r="Y1718" s="20" t="n">
        <v>46321</v>
      </c>
      <c r="Z1718" s="19" t="inlineStr">
        <is>
          <t>Nivel 2: regla estructural con redacción revisada.</t>
        </is>
      </c>
      <c r="AA1718" s="18">
        <f>IF(OR(V1718="Aprobada"),R1718,IF(AND(OR(V1718="Aprobada con ajuste",V1718="Rechazada"),W1718&lt;&gt;""),W1718,""))</f>
        <v/>
      </c>
    </row>
    <row r="1719">
      <c r="A1719" s="18" t="inlineStr">
        <is>
          <t>C1718</t>
        </is>
      </c>
      <c r="B1719" s="18" t="inlineStr">
        <is>
          <t>Control interno</t>
        </is>
      </c>
      <c r="C1719" s="18" t="inlineStr">
        <is>
          <t>control_interno</t>
        </is>
      </c>
      <c r="D1719" s="18" t="inlineStr">
        <is>
          <t>historial_plan_anual</t>
        </is>
      </c>
      <c r="E1719" s="18" t="n">
        <v>29731</v>
      </c>
      <c r="F1719" s="18" t="inlineStr">
        <is>
          <t>observaciones</t>
        </is>
      </c>
      <c r="G1719" s="18" t="inlineStr">
        <is>
          <t>text</t>
        </is>
      </c>
      <c r="H1719" s="18" t="inlineStr">
        <is>
          <t>Sí</t>
        </is>
      </c>
      <c r="I1719" s="18" t="inlineStr"/>
      <c r="J1719" s="18" t="inlineStr"/>
      <c r="K1719" s="18" t="inlineStr"/>
      <c r="L1719" s="18" t="inlineStr">
        <is>
          <t>No</t>
        </is>
      </c>
      <c r="M1719" s="18" t="inlineStr">
        <is>
          <t>No</t>
        </is>
      </c>
      <c r="N1719" s="18" t="inlineStr"/>
      <c r="O1719" s="18" t="inlineStr"/>
      <c r="P1719" s="18" t="inlineStr">
        <is>
          <t>Mapeada en internal-institutional-control-service/src/esap/plan-anual-5-roles/entities/historial-plan-anual.entity.ts:61 (HistorialPlanAnual.observaciones) | Validación: IsOptional, IsString</t>
        </is>
      </c>
      <c r="Q1719" s="18" t="inlineStr">
        <is>
          <t>Regla estructural (redacción revisada)</t>
        </is>
      </c>
      <c r="R1719" s="18" t="inlineStr">
        <is>
          <t>Observaciones sobre el cambio en el plan anual.</t>
        </is>
      </c>
      <c r="S1719" s="18" t="inlineStr">
        <is>
          <t>Alta</t>
        </is>
      </c>
      <c r="T1719" s="18" t="inlineStr">
        <is>
          <t>Convención de nombre, redactada con el contexto de la tabla y el código.</t>
        </is>
      </c>
      <c r="U1719" s="18" t="inlineStr"/>
      <c r="V1719" s="19" t="inlineStr">
        <is>
          <t>Aprobada</t>
        </is>
      </c>
      <c r="W1719" s="19" t="inlineStr"/>
      <c r="X1719" s="19" t="inlineStr">
        <is>
          <t>Aldair González (aprobación en bloque)</t>
        </is>
      </c>
      <c r="Y1719" s="20" t="n">
        <v>46321</v>
      </c>
      <c r="Z1719" s="19" t="inlineStr">
        <is>
          <t>Nivel 2: regla estructural con redacción revisada.</t>
        </is>
      </c>
      <c r="AA1719" s="18">
        <f>IF(OR(V1719="Aprobada"),R1719,IF(AND(OR(V1719="Aprobada con ajuste",V1719="Rechazada"),W1719&lt;&gt;""),W1719,""))</f>
        <v/>
      </c>
    </row>
    <row r="1720">
      <c r="A1720" s="18" t="inlineStr">
        <is>
          <t>C1719</t>
        </is>
      </c>
      <c r="B1720" s="18" t="inlineStr">
        <is>
          <t>Control interno</t>
        </is>
      </c>
      <c r="C1720" s="18" t="inlineStr">
        <is>
          <t>control_interno</t>
        </is>
      </c>
      <c r="D1720" s="18" t="inlineStr">
        <is>
          <t>historial_plan_anual</t>
        </is>
      </c>
      <c r="E1720" s="18" t="n">
        <v>29731</v>
      </c>
      <c r="F1720" s="18" t="inlineStr">
        <is>
          <t>estado_anterior</t>
        </is>
      </c>
      <c r="G1720" s="18" t="inlineStr">
        <is>
          <t>character varying(50)</t>
        </is>
      </c>
      <c r="H1720" s="18" t="inlineStr">
        <is>
          <t>Sí</t>
        </is>
      </c>
      <c r="I1720" s="18" t="inlineStr"/>
      <c r="J1720" s="18" t="inlineStr"/>
      <c r="K1720" s="18" t="inlineStr"/>
      <c r="L1720" s="18" t="inlineStr">
        <is>
          <t>No</t>
        </is>
      </c>
      <c r="M1720" s="18" t="inlineStr">
        <is>
          <t>Sí</t>
        </is>
      </c>
      <c r="N1720" s="18" t="inlineStr">
        <is>
          <t>Función control_interno.fn_registrar_cambio_estado_plan_anual — control_interno.fn_registrar_cambio_estado_plan_anual: estado_anterior,</t>
        </is>
      </c>
      <c r="O1720" s="18" t="inlineStr"/>
      <c r="P1720" s="18" t="inlineStr">
        <is>
          <t>Mapeada en internal-institutional-control-service/src/esap/plan-anual-5-roles/entities/historial-plan-anual.entity.ts:80 (HistorialPlanAnual.estadoAnterior)</t>
        </is>
      </c>
      <c r="Q1720" s="18" t="inlineStr">
        <is>
          <t>Propuesta semántica</t>
        </is>
      </c>
      <c r="R1720" s="18" t="inlineStr">
        <is>
          <t>Estado del plan anual antes del cambio.</t>
        </is>
      </c>
      <c r="S1720" s="18" t="inlineStr">
        <is>
          <t>Alta</t>
        </is>
      </c>
      <c r="T1720" s="18" t="inlineStr">
        <is>
          <t>uso en la función fn_registrar_cambio_estado_plan_anual ~</t>
        </is>
      </c>
      <c r="U1720" s="18" t="inlineStr"/>
      <c r="V1720" s="19" t="inlineStr">
        <is>
          <t>Aprobada</t>
        </is>
      </c>
      <c r="W1720" s="19" t="inlineStr"/>
      <c r="X1720" s="19" t="inlineStr">
        <is>
          <t>Aldair González (aprobación en bloque)</t>
        </is>
      </c>
      <c r="Y1720" s="20" t="n">
        <v>46321</v>
      </c>
      <c r="Z1720" s="19" t="inlineStr">
        <is>
          <t>Nivel 1: propuesta del comentario del desarrollador o de confianza alta, o regla de fecha/responsable/motivo.</t>
        </is>
      </c>
      <c r="AA1720" s="18">
        <f>IF(OR(V1720="Aprobada"),R1720,IF(AND(OR(V1720="Aprobada con ajuste",V1720="Rechazada"),W1720&lt;&gt;""),W1720,""))</f>
        <v/>
      </c>
    </row>
    <row r="1721">
      <c r="A1721" s="18" t="inlineStr">
        <is>
          <t>C1720</t>
        </is>
      </c>
      <c r="B1721" s="18" t="inlineStr">
        <is>
          <t>Control interno</t>
        </is>
      </c>
      <c r="C1721" s="18" t="inlineStr">
        <is>
          <t>control_interno</t>
        </is>
      </c>
      <c r="D1721" s="18" t="inlineStr">
        <is>
          <t>historial_plan_anual</t>
        </is>
      </c>
      <c r="E1721" s="18" t="n">
        <v>29731</v>
      </c>
      <c r="F1721" s="18" t="inlineStr">
        <is>
          <t>estado_nuevo</t>
        </is>
      </c>
      <c r="G1721" s="18" t="inlineStr">
        <is>
          <t>character varying(50)</t>
        </is>
      </c>
      <c r="H1721" s="18" t="inlineStr">
        <is>
          <t>Sí</t>
        </is>
      </c>
      <c r="I1721" s="18" t="inlineStr"/>
      <c r="J1721" s="18" t="inlineStr"/>
      <c r="K1721" s="18" t="inlineStr"/>
      <c r="L1721" s="18" t="inlineStr">
        <is>
          <t>No</t>
        </is>
      </c>
      <c r="M1721" s="18" t="inlineStr">
        <is>
          <t>Sí</t>
        </is>
      </c>
      <c r="N1721" s="18" t="inlineStr">
        <is>
          <t>Función control_interno.fn_registrar_cambio_estado_plan_anual — control_interno.fn_registrar_cambio_estado_plan_anual: estado_nuevo,</t>
        </is>
      </c>
      <c r="O1721" s="18" t="inlineStr"/>
      <c r="P1721" s="18" t="inlineStr">
        <is>
          <t>Mapeada en internal-institutional-control-service/src/esap/plan-anual-5-roles/entities/historial-plan-anual.entity.ts:83 (HistorialPlanAnual.estadoNuevo)</t>
        </is>
      </c>
      <c r="Q1721" s="18" t="inlineStr">
        <is>
          <t>Propuesta semántica</t>
        </is>
      </c>
      <c r="R1721" s="18" t="inlineStr">
        <is>
          <t>Estado del plan anual después del cambio.</t>
        </is>
      </c>
      <c r="S1721" s="18" t="inlineStr">
        <is>
          <t>Alta</t>
        </is>
      </c>
      <c r="T1721" s="18" t="inlineStr">
        <is>
          <t>uso en la función fn_registrar_cambio_estado_plan_anual ~</t>
        </is>
      </c>
      <c r="U1721" s="18" t="inlineStr"/>
      <c r="V1721" s="19" t="inlineStr">
        <is>
          <t>Aprobada</t>
        </is>
      </c>
      <c r="W1721" s="19" t="inlineStr"/>
      <c r="X1721" s="19" t="inlineStr">
        <is>
          <t>Aldair González (aprobación en bloque)</t>
        </is>
      </c>
      <c r="Y1721" s="20" t="n">
        <v>46321</v>
      </c>
      <c r="Z1721" s="19" t="inlineStr">
        <is>
          <t>Nivel 1: propuesta del comentario del desarrollador o de confianza alta, o regla de fecha/responsable/motivo.</t>
        </is>
      </c>
      <c r="AA1721" s="18">
        <f>IF(OR(V1721="Aprobada"),R1721,IF(AND(OR(V1721="Aprobada con ajuste",V1721="Rechazada"),W1721&lt;&gt;""),W1721,""))</f>
        <v/>
      </c>
    </row>
    <row r="1722">
      <c r="A1722" s="18" t="inlineStr">
        <is>
          <t>C1721</t>
        </is>
      </c>
      <c r="B1722" s="18" t="inlineStr">
        <is>
          <t>Control interno</t>
        </is>
      </c>
      <c r="C1722" s="18" t="inlineStr">
        <is>
          <t>control_interno</t>
        </is>
      </c>
      <c r="D1722" s="18" t="inlineStr">
        <is>
          <t>informe_ley</t>
        </is>
      </c>
      <c r="E1722" s="18" t="n">
        <v>16</v>
      </c>
      <c r="F1722" s="18" t="inlineStr">
        <is>
          <t>codigo</t>
        </is>
      </c>
      <c r="G1722" s="18" t="inlineStr">
        <is>
          <t>character varying(255)</t>
        </is>
      </c>
      <c r="H1722" s="18" t="inlineStr">
        <is>
          <t>No</t>
        </is>
      </c>
      <c r="I1722" s="18" t="inlineStr">
        <is>
          <t>Única</t>
        </is>
      </c>
      <c r="J1722" s="18" t="inlineStr"/>
      <c r="K1722" s="18" t="inlineStr"/>
      <c r="L1722" s="18" t="inlineStr">
        <is>
          <t>No</t>
        </is>
      </c>
      <c r="M1722" s="18" t="inlineStr">
        <is>
          <t>No</t>
        </is>
      </c>
      <c r="N1722" s="18" t="inlineStr"/>
      <c r="O1722" s="18" t="inlineStr">
        <is>
          <t>idx_informe_ley_codigo, informe_ley_codigo_key</t>
        </is>
      </c>
      <c r="P1722" s="18" t="inlineStr">
        <is>
          <t>internal-institutional-control-service/src/esap/informes-ley/entities/informe-ley.entity.ts:21: INF-CHIP, INF-SECOP, etc. | Validación: IsNotEmpty, IsOptional, IsString, Length(1, 50), MaxLength(80)</t>
        </is>
      </c>
      <c r="Q1722" s="18" t="inlineStr">
        <is>
          <t>Código fuente</t>
        </is>
      </c>
      <c r="R1722" s="18" t="inlineStr">
        <is>
          <t>Código único del informe de ley, por ejemplo INF-CHIP o INF-SECOP.</t>
        </is>
      </c>
      <c r="S1722" s="18" t="inlineStr">
        <is>
          <t>Alta</t>
        </is>
      </c>
      <c r="T1722" s="18" t="inlineStr">
        <is>
          <t>código: internal-institutional-control-service/src/esap/informes-ley/entities/informe-ley.entity.ts:21</t>
        </is>
      </c>
      <c r="U1722" s="18" t="inlineStr"/>
      <c r="V1722" s="19" t="inlineStr">
        <is>
          <t>Aprobada</t>
        </is>
      </c>
      <c r="W1722" s="19" t="inlineStr"/>
      <c r="X1722" s="19" t="inlineStr">
        <is>
          <t>Aldair González (aprobación en bloque)</t>
        </is>
      </c>
      <c r="Y1722" s="20" t="n">
        <v>46321</v>
      </c>
      <c r="Z1722" s="19" t="inlineStr">
        <is>
          <t>Nivel 1: propuesta del comentario del desarrollador o de confianza alta, o regla de fecha/responsable/motivo.</t>
        </is>
      </c>
      <c r="AA1722" s="18">
        <f>IF(OR(V1722="Aprobada"),R1722,IF(AND(OR(V1722="Aprobada con ajuste",V1722="Rechazada"),W1722&lt;&gt;""),W1722,""))</f>
        <v/>
      </c>
    </row>
    <row r="1723">
      <c r="A1723" s="18" t="inlineStr">
        <is>
          <t>C1722</t>
        </is>
      </c>
      <c r="B1723" s="18" t="inlineStr">
        <is>
          <t>Control interno</t>
        </is>
      </c>
      <c r="C1723" s="18" t="inlineStr">
        <is>
          <t>control_interno</t>
        </is>
      </c>
      <c r="D1723" s="18" t="inlineStr">
        <is>
          <t>informe_ley</t>
        </is>
      </c>
      <c r="E1723" s="18" t="n">
        <v>16</v>
      </c>
      <c r="F1723" s="18" t="inlineStr">
        <is>
          <t>nombre</t>
        </is>
      </c>
      <c r="G1723" s="18" t="inlineStr">
        <is>
          <t>character varying(255)</t>
        </is>
      </c>
      <c r="H1723" s="18" t="inlineStr">
        <is>
          <t>No</t>
        </is>
      </c>
      <c r="I1723" s="18" t="inlineStr"/>
      <c r="J1723" s="18" t="inlineStr"/>
      <c r="K1723" s="18" t="inlineStr"/>
      <c r="L1723" s="18" t="inlineStr">
        <is>
          <t>No</t>
        </is>
      </c>
      <c r="M1723" s="18" t="inlineStr">
        <is>
          <t>No</t>
        </is>
      </c>
      <c r="N1723" s="18" t="inlineStr"/>
      <c r="O1723" s="18" t="inlineStr"/>
      <c r="P1723" s="18" t="inlineStr">
        <is>
          <t>Mapeada en internal-institutional-control-service/src/esap/informes-ley/entities/informe-ley.entity.ts:27 (InformeLey.nombre) | Validación: IsNotEmpty, IsNotEmpty({ message: 'El nombre del documento es obligatorio' }), IsOptional, IsString, Length(1, 500), MaxLength(120)</t>
        </is>
      </c>
      <c r="Q1723" s="18" t="inlineStr">
        <is>
          <t>Regla estructural (redacción revisada)</t>
        </is>
      </c>
      <c r="R1723" s="18" t="inlineStr">
        <is>
          <t>Nombre del informe de ley.</t>
        </is>
      </c>
      <c r="S1723" s="18" t="inlineStr">
        <is>
          <t>Alta</t>
        </is>
      </c>
      <c r="T1723" s="18" t="inlineStr">
        <is>
          <t>Convención de nombre, redactada con el contexto de la tabla y el código.</t>
        </is>
      </c>
      <c r="U1723" s="18" t="inlineStr"/>
      <c r="V1723" s="19" t="inlineStr">
        <is>
          <t>Aprobada</t>
        </is>
      </c>
      <c r="W1723" s="19" t="inlineStr"/>
      <c r="X1723" s="19" t="inlineStr">
        <is>
          <t>Aldair González (aprobación en bloque)</t>
        </is>
      </c>
      <c r="Y1723" s="20" t="n">
        <v>46321</v>
      </c>
      <c r="Z1723" s="19" t="inlineStr">
        <is>
          <t>Nivel 2: regla estructural con redacción revisada.</t>
        </is>
      </c>
      <c r="AA1723" s="18">
        <f>IF(OR(V1723="Aprobada"),R1723,IF(AND(OR(V1723="Aprobada con ajuste",V1723="Rechazada"),W1723&lt;&gt;""),W1723,""))</f>
        <v/>
      </c>
    </row>
    <row r="1724">
      <c r="A1724" s="18" t="inlineStr">
        <is>
          <t>C1723</t>
        </is>
      </c>
      <c r="B1724" s="18" t="inlineStr">
        <is>
          <t>Control interno</t>
        </is>
      </c>
      <c r="C1724" s="18" t="inlineStr">
        <is>
          <t>control_interno</t>
        </is>
      </c>
      <c r="D1724" s="18" t="inlineStr">
        <is>
          <t>informe_ley</t>
        </is>
      </c>
      <c r="E1724" s="18" t="n">
        <v>16</v>
      </c>
      <c r="F1724" s="18" t="inlineStr">
        <is>
          <t>descripcion</t>
        </is>
      </c>
      <c r="G1724" s="18" t="inlineStr">
        <is>
          <t>text</t>
        </is>
      </c>
      <c r="H1724" s="18" t="inlineStr">
        <is>
          <t>No</t>
        </is>
      </c>
      <c r="I1724" s="18" t="inlineStr"/>
      <c r="J1724" s="18" t="inlineStr"/>
      <c r="K1724" s="18" t="inlineStr"/>
      <c r="L1724" s="18" t="inlineStr">
        <is>
          <t>No</t>
        </is>
      </c>
      <c r="M1724" s="18" t="inlineStr">
        <is>
          <t>No</t>
        </is>
      </c>
      <c r="N1724" s="18" t="inlineStr"/>
      <c r="O1724" s="18" t="inlineStr"/>
      <c r="P1724" s="18" t="inlineStr">
        <is>
          <t>Mapeada en internal-institutional-control-service/src/esap/informes-ley/entities/informe-ley.entity.ts:30 (InformeLey.descripcion) | Validación: IsNotEmpty, IsOptional, IsString</t>
        </is>
      </c>
      <c r="Q1724" s="18" t="inlineStr">
        <is>
          <t>Regla estructural (redacción revisada)</t>
        </is>
      </c>
      <c r="R1724" s="18" t="inlineStr">
        <is>
          <t>Descripción del informe de ley.</t>
        </is>
      </c>
      <c r="S1724" s="18" t="inlineStr">
        <is>
          <t>Alta</t>
        </is>
      </c>
      <c r="T1724" s="18" t="inlineStr">
        <is>
          <t>Convención de nombre, redactada con el contexto de la tabla y el código.</t>
        </is>
      </c>
      <c r="U1724" s="18" t="inlineStr"/>
      <c r="V1724" s="19" t="inlineStr">
        <is>
          <t>Aprobada</t>
        </is>
      </c>
      <c r="W1724" s="19" t="inlineStr"/>
      <c r="X1724" s="19" t="inlineStr">
        <is>
          <t>Aldair González (aprobación en bloque)</t>
        </is>
      </c>
      <c r="Y1724" s="20" t="n">
        <v>46321</v>
      </c>
      <c r="Z1724" s="19" t="inlineStr">
        <is>
          <t>Nivel 2: regla estructural con redacción revisada.</t>
        </is>
      </c>
      <c r="AA1724" s="18">
        <f>IF(OR(V1724="Aprobada"),R1724,IF(AND(OR(V1724="Aprobada con ajuste",V1724="Rechazada"),W1724&lt;&gt;""),W1724,""))</f>
        <v/>
      </c>
    </row>
    <row r="1725">
      <c r="A1725" s="18" t="inlineStr">
        <is>
          <t>C1724</t>
        </is>
      </c>
      <c r="B1725" s="18" t="inlineStr">
        <is>
          <t>Control interno</t>
        </is>
      </c>
      <c r="C1725" s="18" t="inlineStr">
        <is>
          <t>control_interno</t>
        </is>
      </c>
      <c r="D1725" s="18" t="inlineStr">
        <is>
          <t>informe_ley</t>
        </is>
      </c>
      <c r="E1725" s="18" t="n">
        <v>16</v>
      </c>
      <c r="F1725" s="18" t="inlineStr">
        <is>
          <t>tipo</t>
        </is>
      </c>
      <c r="G1725" s="18" t="inlineStr">
        <is>
          <t>character varying(50)</t>
        </is>
      </c>
      <c r="H1725" s="18" t="inlineStr">
        <is>
          <t>Sí</t>
        </is>
      </c>
      <c r="I1725" s="18" t="inlineStr">
        <is>
          <t>CHECK</t>
        </is>
      </c>
      <c r="J1725" s="18" t="inlineStr">
        <is>
          <t>interno, ley, normativo</t>
        </is>
      </c>
      <c r="K1725" s="18" t="inlineStr"/>
      <c r="L1725" s="18" t="inlineStr">
        <is>
          <t>Sí</t>
        </is>
      </c>
      <c r="M1725" s="18" t="inlineStr">
        <is>
          <t>No</t>
        </is>
      </c>
      <c r="N1725" s="18" t="inlineStr"/>
      <c r="O1725" s="18" t="inlineStr"/>
      <c r="P1725" s="18" t="inlineStr">
        <is>
          <t>Mapeada en internal-institutional-control-service/src/esap/informes-ley/entities/informe-ley.entity.ts:50 (InformeLey.tipo) | Validación: IsEnum(AccionCorrectivaTipo), IsEnum(TipoAuditoriaProgramada), IsEnum(TipoEventoTimeline), IsEnum(TipoTablero), IsEnum(['cumplimiento', 'eficiencia', 'eficacia', 'economia']), IsEnum(['plan-auditoria', 'plan-mejora', 'informe', 'documento'])</t>
        </is>
      </c>
      <c r="Q1725" s="18" t="inlineStr">
        <is>
          <t>Regla estructural (redacción revisada)</t>
        </is>
      </c>
      <c r="R1725" s="18" t="inlineStr">
        <is>
          <t>Tipo de informe (interno, ley o normativo).</t>
        </is>
      </c>
      <c r="S1725" s="18" t="inlineStr">
        <is>
          <t>Alta</t>
        </is>
      </c>
      <c r="T1725" s="18" t="inlineStr">
        <is>
          <t>Convención de nombre, redactada con el contexto de la tabla y el código.</t>
        </is>
      </c>
      <c r="U1725" s="18" t="inlineStr"/>
      <c r="V1725" s="19" t="inlineStr">
        <is>
          <t>Aprobada</t>
        </is>
      </c>
      <c r="W1725" s="19" t="inlineStr"/>
      <c r="X1725" s="19" t="inlineStr">
        <is>
          <t>Aldair González (aprobación en bloque)</t>
        </is>
      </c>
      <c r="Y1725" s="20" t="n">
        <v>46321</v>
      </c>
      <c r="Z1725" s="19" t="inlineStr">
        <is>
          <t>Nivel 2: regla estructural con redacción revisada.</t>
        </is>
      </c>
      <c r="AA1725" s="18">
        <f>IF(OR(V1725="Aprobada"),R1725,IF(AND(OR(V1725="Aprobada con ajuste",V1725="Rechazada"),W1725&lt;&gt;""),W1725,""))</f>
        <v/>
      </c>
    </row>
    <row r="1726">
      <c r="A1726" s="18" t="inlineStr">
        <is>
          <t>C1725</t>
        </is>
      </c>
      <c r="B1726" s="18" t="inlineStr">
        <is>
          <t>Control interno</t>
        </is>
      </c>
      <c r="C1726" s="18" t="inlineStr">
        <is>
          <t>control_interno</t>
        </is>
      </c>
      <c r="D1726" s="18" t="inlineStr">
        <is>
          <t>informe_ley</t>
        </is>
      </c>
      <c r="E1726" s="18" t="n">
        <v>16</v>
      </c>
      <c r="F1726" s="18" t="inlineStr">
        <is>
          <t>periodicidad</t>
        </is>
      </c>
      <c r="G1726" s="18" t="inlineStr">
        <is>
          <t>character varying(50)</t>
        </is>
      </c>
      <c r="H1726" s="18" t="inlineStr">
        <is>
          <t>No</t>
        </is>
      </c>
      <c r="I1726" s="18" t="inlineStr">
        <is>
          <t>CHECK</t>
        </is>
      </c>
      <c r="J1726" s="18" t="inlineStr">
        <is>
          <t>anual, mensual, semestral, trimestral</t>
        </is>
      </c>
      <c r="K1726" s="18" t="inlineStr"/>
      <c r="L1726" s="18" t="inlineStr">
        <is>
          <t>Sí</t>
        </is>
      </c>
      <c r="M1726" s="18" t="inlineStr">
        <is>
          <t>No</t>
        </is>
      </c>
      <c r="N1726" s="18" t="inlineStr"/>
      <c r="O1726" s="18" t="inlineStr"/>
      <c r="P1726" s="18" t="inlineStr">
        <is>
          <t>Mapeada en internal-institutional-control-service/src/esap/informes-ley/entities/informe-ley.entity.ts:43 (InformeLey.periodicidad) | Validación: IsEnum(['mensual', 'bimestral', 'trimestral', 'cuatrimestral', 'semestral', 'anual']), IsNotEmpty, IsOptional</t>
        </is>
      </c>
      <c r="Q1726" s="18" t="inlineStr">
        <is>
          <t>Código fuente (verificado)</t>
        </is>
      </c>
      <c r="R1726" s="18" t="inlineStr">
        <is>
          <t>Periodicidad de presentación del informe de ley. Valores permitidos en la base: mensual, trimestral, semestral, anual.</t>
        </is>
      </c>
      <c r="S1726" s="18" t="inlineStr">
        <is>
          <t>Media</t>
        </is>
      </c>
      <c r="T1726" s="18" t="inlineStr">
        <is>
          <t>db/init/005_control_interno_ddl_20260129_215540.sql:2078: CHECK mensual, trimestral, semestral, anual | backend/internal-institutional-control-service/src/esap/informes-ley/entities/informe-ley.entity.ts:47: tipo con bimestral y cuatrimestral | backend/internal-institutional-control-service/src/esap/informes-ley/informes-ley.service.ts:419: el servicio recorre también bimestral y cuatrimestral</t>
        </is>
      </c>
      <c r="U1726" s="18" t="inlineStr">
        <is>
          <t>El código admite bimestral y cuatrimestral, pero el CHECK de la base no; ¿se agregan al CHECK o se retiran del código?</t>
        </is>
      </c>
      <c r="V1726" s="19" t="inlineStr">
        <is>
          <t>Aprobada</t>
        </is>
      </c>
      <c r="W1726" s="19" t="inlineStr"/>
      <c r="X1726" s="19" t="inlineStr">
        <is>
          <t>Aldair González (validación del responsable de BD)</t>
        </is>
      </c>
      <c r="Y1726" s="20" t="n">
        <v>46321</v>
      </c>
      <c r="Z1726" s="19" t="inlineStr">
        <is>
          <t>Nivel 3: validada por decisión del responsable de la base de datos. Pregunta registrada para desarrollo: El código admite bimestral y cuatrimestral, pero el CHECK de la base no; ¿se agregan al CHECK o se retiran del código?</t>
        </is>
      </c>
      <c r="AA1726" s="18">
        <f>IF(OR(V1726="Aprobada"),R1726,IF(AND(OR(V1726="Aprobada con ajuste",V1726="Rechazada"),W1726&lt;&gt;""),W1726,""))</f>
        <v/>
      </c>
    </row>
    <row r="1727">
      <c r="A1727" s="18" t="inlineStr">
        <is>
          <t>C1726</t>
        </is>
      </c>
      <c r="B1727" s="18" t="inlineStr">
        <is>
          <t>Control interno</t>
        </is>
      </c>
      <c r="C1727" s="18" t="inlineStr">
        <is>
          <t>control_interno</t>
        </is>
      </c>
      <c r="D1727" s="18" t="inlineStr">
        <is>
          <t>informe_ley</t>
        </is>
      </c>
      <c r="E1727" s="18" t="n">
        <v>16</v>
      </c>
      <c r="F1727" s="18" t="inlineStr">
        <is>
          <t>fecha_vencimiento</t>
        </is>
      </c>
      <c r="G1727" s="18" t="inlineStr">
        <is>
          <t>date</t>
        </is>
      </c>
      <c r="H1727" s="18" t="inlineStr">
        <is>
          <t>Sí</t>
        </is>
      </c>
      <c r="I1727" s="18" t="inlineStr"/>
      <c r="J1727" s="18" t="inlineStr"/>
      <c r="K1727" s="18" t="inlineStr"/>
      <c r="L1727" s="18" t="inlineStr">
        <is>
          <t>No</t>
        </is>
      </c>
      <c r="M1727" s="18" t="inlineStr">
        <is>
          <t>No</t>
        </is>
      </c>
      <c r="N1727" s="18" t="inlineStr"/>
      <c r="O1727" s="18" t="inlineStr">
        <is>
          <t>idx_informe_ley_vencimiento</t>
        </is>
      </c>
      <c r="P1727" s="18" t="inlineStr">
        <is>
          <t>internal-institutional-control-service/src/esap/informes-ley/entities/informe-ley.entity.ts:86: Campos adicionales del schema original (opcionales) | Validación: IsDateString, IsNotEmpty, IsOptional</t>
        </is>
      </c>
      <c r="Q1727" s="18" t="inlineStr">
        <is>
          <t>Código fuente</t>
        </is>
      </c>
      <c r="R1727" s="18" t="inlineStr">
        <is>
          <t>Fecha de vencimiento del informe de ley.</t>
        </is>
      </c>
      <c r="S1727" s="18" t="inlineStr">
        <is>
          <t>Alta</t>
        </is>
      </c>
      <c r="T1727" s="18" t="inlineStr">
        <is>
          <t>nombre + tipo + columnas vecinas</t>
        </is>
      </c>
      <c r="U1727" s="18" t="inlineStr"/>
      <c r="V1727" s="19" t="inlineStr">
        <is>
          <t>Aprobada</t>
        </is>
      </c>
      <c r="W1727" s="19" t="inlineStr"/>
      <c r="X1727" s="19" t="inlineStr">
        <is>
          <t>Aldair González (aprobación en bloque)</t>
        </is>
      </c>
      <c r="Y1727" s="20" t="n">
        <v>46321</v>
      </c>
      <c r="Z1727" s="19" t="inlineStr">
        <is>
          <t>Nivel 1: propuesta del comentario del desarrollador o de confianza alta, o regla de fecha/responsable/motivo.</t>
        </is>
      </c>
      <c r="AA1727" s="18">
        <f>IF(OR(V1727="Aprobada"),R1727,IF(AND(OR(V1727="Aprobada con ajuste",V1727="Rechazada"),W1727&lt;&gt;""),W1727,""))</f>
        <v/>
      </c>
    </row>
    <row r="1728">
      <c r="A1728" s="18" t="inlineStr">
        <is>
          <t>C1727</t>
        </is>
      </c>
      <c r="B1728" s="18" t="inlineStr">
        <is>
          <t>Control interno</t>
        </is>
      </c>
      <c r="C1728" s="18" t="inlineStr">
        <is>
          <t>control_interno</t>
        </is>
      </c>
      <c r="D1728" s="18" t="inlineStr">
        <is>
          <t>informe_ley</t>
        </is>
      </c>
      <c r="E1728" s="18" t="n">
        <v>16</v>
      </c>
      <c r="F1728" s="18" t="inlineStr">
        <is>
          <t>estado</t>
        </is>
      </c>
      <c r="G1728" s="18" t="inlineStr">
        <is>
          <t>character varying(50)</t>
        </is>
      </c>
      <c r="H1728" s="18" t="inlineStr">
        <is>
          <t>Sí</t>
        </is>
      </c>
      <c r="I1728" s="18" t="inlineStr">
        <is>
          <t>CHECK</t>
        </is>
      </c>
      <c r="J1728" s="18" t="inlineStr">
        <is>
          <t>aprobado, en_proceso, en_revision, pendiente, presentado, vencido</t>
        </is>
      </c>
      <c r="K1728" s="18" t="inlineStr"/>
      <c r="L1728" s="18" t="inlineStr">
        <is>
          <t>Sí</t>
        </is>
      </c>
      <c r="M1728" s="18" t="inlineStr">
        <is>
          <t>No</t>
        </is>
      </c>
      <c r="N1728" s="18" t="inlineStr"/>
      <c r="O1728" s="18" t="inlineStr">
        <is>
          <t>idx_informe_ley_estado</t>
        </is>
      </c>
      <c r="P1728" s="18" t="inlineStr">
        <is>
          <t>Mapeada en internal-institutional-control-service/src/esap/informes-ley/entities/informe-ley.entity.ts:89 (InformeLey.estado) | Validación: IsEnum(AccionCorrectivaEstado), IsEnum(EstadoEtapa), IsEnum(EstadoPlanIndividual), IsEnum(EstadoTarea), IsEnum(HallazgoEstado), IsEnum(PlanMejoramientoEstado)</t>
        </is>
      </c>
      <c r="Q1728" s="18" t="inlineStr">
        <is>
          <t>Regla estructural (redacción revisada)</t>
        </is>
      </c>
      <c r="R1728" s="18" t="inlineStr">
        <is>
          <t>Estado del informe de ley (pendiente, en proceso, en revisión, aprobado, presentado o vencido).</t>
        </is>
      </c>
      <c r="S1728" s="18" t="inlineStr">
        <is>
          <t>Alta</t>
        </is>
      </c>
      <c r="T1728" s="18" t="inlineStr">
        <is>
          <t>Convención de nombre, redactada con el contexto de la tabla y el código.</t>
        </is>
      </c>
      <c r="U1728" s="18" t="inlineStr"/>
      <c r="V1728" s="19" t="inlineStr">
        <is>
          <t>Aprobada</t>
        </is>
      </c>
      <c r="W1728" s="19" t="inlineStr"/>
      <c r="X1728" s="19" t="inlineStr">
        <is>
          <t>Aldair González (aprobación en bloque)</t>
        </is>
      </c>
      <c r="Y1728" s="20" t="n">
        <v>46321</v>
      </c>
      <c r="Z1728" s="19" t="inlineStr">
        <is>
          <t>Nivel 2: regla estructural con redacción revisada.</t>
        </is>
      </c>
      <c r="AA1728" s="18">
        <f>IF(OR(V1728="Aprobada"),R1728,IF(AND(OR(V1728="Aprobada con ajuste",V1728="Rechazada"),W1728&lt;&gt;""),W1728,""))</f>
        <v/>
      </c>
    </row>
    <row r="1729">
      <c r="A1729" s="18" t="inlineStr">
        <is>
          <t>C1728</t>
        </is>
      </c>
      <c r="B1729" s="18" t="inlineStr">
        <is>
          <t>Control interno</t>
        </is>
      </c>
      <c r="C1729" s="18" t="inlineStr">
        <is>
          <t>control_interno</t>
        </is>
      </c>
      <c r="D1729" s="18" t="inlineStr">
        <is>
          <t>informe_ley</t>
        </is>
      </c>
      <c r="E1729" s="18" t="n">
        <v>16</v>
      </c>
      <c r="F1729" s="18" t="inlineStr">
        <is>
          <t>dias_restantes</t>
        </is>
      </c>
      <c r="G1729" s="18" t="inlineStr">
        <is>
          <t>integer</t>
        </is>
      </c>
      <c r="H1729" s="18" t="inlineStr">
        <is>
          <t>Sí</t>
        </is>
      </c>
      <c r="I1729" s="18" t="inlineStr"/>
      <c r="J1729" s="18" t="inlineStr"/>
      <c r="K1729" s="18" t="inlineStr"/>
      <c r="L1729" s="18" t="inlineStr">
        <is>
          <t>No</t>
        </is>
      </c>
      <c r="M1729" s="18" t="inlineStr">
        <is>
          <t>No</t>
        </is>
      </c>
      <c r="N1729" s="18" t="inlineStr"/>
      <c r="O1729" s="18" t="inlineStr"/>
      <c r="P1729" s="18" t="inlineStr">
        <is>
          <t>Mapeada en internal-institutional-control-service/src/esap/informes-ley/entities/informe-ley.entity.ts:92 (InformeLey.diasRestantes) | Validación: IsInt, IsOptional</t>
        </is>
      </c>
      <c r="Q1729" s="18" t="inlineStr">
        <is>
          <t>Código fuente (verificado)</t>
        </is>
      </c>
      <c r="R1729" s="18" t="inlineStr">
        <is>
          <t>Días que faltan para el vencimiento del informe.</t>
        </is>
      </c>
      <c r="S1729" s="18" t="inlineStr">
        <is>
          <t>Media</t>
        </is>
      </c>
      <c r="T1729" s="18" t="inlineStr">
        <is>
          <t>backend/internal-institutional-control-service/src/esap/informes-ley/entities/informe-ley.entity.ts:92: columna mapeada | ningún servicio del backend la calcula ni la escribe; db/init/005_control_interno_ddl_20260129_215540.sql:2051: entero sin valor por defecto</t>
        </is>
      </c>
      <c r="U1729" s="18" t="inlineStr">
        <is>
          <t>¿dias_restantes se calcula (con qué proceso) o se diligencia? El backend no la escribe.</t>
        </is>
      </c>
      <c r="V1729" s="19" t="inlineStr">
        <is>
          <t>Aprobada</t>
        </is>
      </c>
      <c r="W1729" s="19" t="inlineStr"/>
      <c r="X1729" s="19" t="inlineStr">
        <is>
          <t>Aldair González (validación del responsable de BD)</t>
        </is>
      </c>
      <c r="Y1729" s="20" t="n">
        <v>46321</v>
      </c>
      <c r="Z1729" s="19" t="inlineStr">
        <is>
          <t>Nivel 3: validada por decisión del responsable de la base de datos. Pregunta registrada para desarrollo: ¿dias_restantes se calcula (con qué proceso) o se diligencia? El backend no la escribe.</t>
        </is>
      </c>
      <c r="AA1729" s="18">
        <f>IF(OR(V1729="Aprobada"),R1729,IF(AND(OR(V1729="Aprobada con ajuste",V1729="Rechazada"),W1729&lt;&gt;""),W1729,""))</f>
        <v/>
      </c>
    </row>
    <row r="1730">
      <c r="A1730" s="18" t="inlineStr">
        <is>
          <t>C1729</t>
        </is>
      </c>
      <c r="B1730" s="18" t="inlineStr">
        <is>
          <t>Control interno</t>
        </is>
      </c>
      <c r="C1730" s="18" t="inlineStr">
        <is>
          <t>control_interno</t>
        </is>
      </c>
      <c r="D1730" s="18" t="inlineStr">
        <is>
          <t>informe_ley</t>
        </is>
      </c>
      <c r="E1730" s="18" t="n">
        <v>16</v>
      </c>
      <c r="F1730" s="18" t="inlineStr">
        <is>
          <t>alerta</t>
        </is>
      </c>
      <c r="G1730" s="18" t="inlineStr">
        <is>
          <t>character varying(50)</t>
        </is>
      </c>
      <c r="H1730" s="18" t="inlineStr">
        <is>
          <t>Sí</t>
        </is>
      </c>
      <c r="I1730" s="18" t="inlineStr">
        <is>
          <t>CHECK</t>
        </is>
      </c>
      <c r="J1730" s="18" t="inlineStr">
        <is>
          <t>amarillo, naranja, rojo, verde</t>
        </is>
      </c>
      <c r="K1730" s="18" t="inlineStr"/>
      <c r="L1730" s="18" t="inlineStr">
        <is>
          <t>Sí</t>
        </is>
      </c>
      <c r="M1730" s="18" t="inlineStr">
        <is>
          <t>No</t>
        </is>
      </c>
      <c r="N1730" s="18" t="inlineStr"/>
      <c r="O1730" s="18" t="inlineStr"/>
      <c r="P1730" s="18" t="inlineStr">
        <is>
          <t>Mapeada en internal-institutional-control-service/src/esap/informes-ley/entities/informe-ley.entity.ts:95 (InformeLey.alerta)</t>
        </is>
      </c>
      <c r="Q1730" s="18" t="inlineStr">
        <is>
          <t>Código fuente (verificado)</t>
        </is>
      </c>
      <c r="R1730" s="18" t="inlineStr">
        <is>
          <t>Color de alerta según la cercanía del vencimiento. Valores permitidos: verde, amarillo, naranja, rojo.</t>
        </is>
      </c>
      <c r="S1730" s="18" t="inlineStr">
        <is>
          <t>Media</t>
        </is>
      </c>
      <c r="T1730" s="18" t="inlineStr">
        <is>
          <t>db/init/005_control_interno_ddl_20260129_215540.sql:2074: CHECK verde, amarillo, naranja, rojo | backend/internal-institutional-control-service/src/esap/informes-ley/entities/informe-ley.entity.ts:95: columna mapeada; ningún servicio del backend la calcula</t>
        </is>
      </c>
      <c r="U1730" s="18" t="inlineStr">
        <is>
          <t>¿Con qué umbrales de días se asigna cada color y qué proceso actualiza alerta? El backend no la escribe.</t>
        </is>
      </c>
      <c r="V1730" s="19" t="inlineStr">
        <is>
          <t>Aprobada</t>
        </is>
      </c>
      <c r="W1730" s="19" t="inlineStr"/>
      <c r="X1730" s="19" t="inlineStr">
        <is>
          <t>Aldair González (validación del responsable de BD)</t>
        </is>
      </c>
      <c r="Y1730" s="20" t="n">
        <v>46321</v>
      </c>
      <c r="Z1730" s="19" t="inlineStr">
        <is>
          <t>Nivel 3: validada por decisión del responsable de la base de datos. Pregunta registrada para desarrollo: ¿Con qué umbrales de días se asigna cada color y qué proceso actualiza alerta? El backend no la escribe.</t>
        </is>
      </c>
      <c r="AA1730" s="18">
        <f>IF(OR(V1730="Aprobada"),R1730,IF(AND(OR(V1730="Aprobada con ajuste",V1730="Rechazada"),W1730&lt;&gt;""),W1730,""))</f>
        <v/>
      </c>
    </row>
    <row r="1731">
      <c r="A1731" s="18" t="inlineStr">
        <is>
          <t>C1730</t>
        </is>
      </c>
      <c r="B1731" s="18" t="inlineStr">
        <is>
          <t>Control interno</t>
        </is>
      </c>
      <c r="C1731" s="18" t="inlineStr">
        <is>
          <t>control_interno</t>
        </is>
      </c>
      <c r="D1731" s="18" t="inlineStr">
        <is>
          <t>informe_ley</t>
        </is>
      </c>
      <c r="E1731" s="18" t="n">
        <v>16</v>
      </c>
      <c r="F1731" s="18" t="inlineStr">
        <is>
          <t>area</t>
        </is>
      </c>
      <c r="G1731" s="18" t="inlineStr">
        <is>
          <t>character varying(255)</t>
        </is>
      </c>
      <c r="H1731" s="18" t="inlineStr">
        <is>
          <t>No</t>
        </is>
      </c>
      <c r="I1731" s="18" t="inlineStr"/>
      <c r="J1731" s="18" t="inlineStr"/>
      <c r="K1731" s="18" t="inlineStr"/>
      <c r="L1731" s="18" t="inlineStr">
        <is>
          <t>No</t>
        </is>
      </c>
      <c r="M1731" s="18" t="inlineStr">
        <is>
          <t>No</t>
        </is>
      </c>
      <c r="N1731" s="18" t="inlineStr"/>
      <c r="O1731" s="18" t="inlineStr"/>
      <c r="P1731" s="18" t="inlineStr">
        <is>
          <t>Mapeada en internal-institutional-control-service/src/esap/informes-ley/entities/informe-ley.entity.ts:62 (InformeLey.area) | Validación: IsNotEmpty, IsOptional, IsString, Length(1, 255), MaxLength(255)</t>
        </is>
      </c>
      <c r="Q1731" s="18" t="inlineStr">
        <is>
          <t>Código fuente (verificado)</t>
        </is>
      </c>
      <c r="R1731" s="18" t="inlineStr">
        <is>
          <t>Área a la que corresponde el informe de ley. Obligatoria.</t>
        </is>
      </c>
      <c r="S1731" s="18" t="inlineStr">
        <is>
          <t>Media</t>
        </is>
      </c>
      <c r="T1731" s="18" t="inlineStr">
        <is>
          <t>backend/internal-institutional-control-service/src/esap/informes-ley/informes-ley.service.ts:83-84: area se recibe en la creación y area_responsable toma su valor si no se envía</t>
        </is>
      </c>
      <c r="U1731" s="18" t="inlineStr">
        <is>
          <t>¿En qué se diferencian area y area_responsable? Al crear, area_responsable copia area cuando no se envía.</t>
        </is>
      </c>
      <c r="V1731" s="19" t="inlineStr">
        <is>
          <t>Aprobada</t>
        </is>
      </c>
      <c r="W1731" s="19" t="inlineStr"/>
      <c r="X1731" s="19" t="inlineStr">
        <is>
          <t>Aldair González (validación del responsable de BD)</t>
        </is>
      </c>
      <c r="Y1731" s="20" t="n">
        <v>46321</v>
      </c>
      <c r="Z1731" s="19" t="inlineStr">
        <is>
          <t>Nivel 3: validada por decisión del responsable de la base de datos. Pregunta registrada para desarrollo: ¿En qué se diferencian area y area_responsable? Al crear, area_responsable copia area cuando no se envía.</t>
        </is>
      </c>
      <c r="AA1731" s="18">
        <f>IF(OR(V1731="Aprobada"),R1731,IF(AND(OR(V1731="Aprobada con ajuste",V1731="Rechazada"),W1731&lt;&gt;""),W1731,""))</f>
        <v/>
      </c>
    </row>
    <row r="1732">
      <c r="A1732" s="18" t="inlineStr">
        <is>
          <t>C1731</t>
        </is>
      </c>
      <c r="B1732" s="18" t="inlineStr">
        <is>
          <t>Control interno</t>
        </is>
      </c>
      <c r="C1732" s="18" t="inlineStr">
        <is>
          <t>control_interno</t>
        </is>
      </c>
      <c r="D1732" s="18" t="inlineStr">
        <is>
          <t>informe_ley</t>
        </is>
      </c>
      <c r="E1732" s="18" t="n">
        <v>16</v>
      </c>
      <c r="F1732" s="18" t="inlineStr">
        <is>
          <t>responsable</t>
        </is>
      </c>
      <c r="G1732" s="18" t="inlineStr">
        <is>
          <t>character varying(255)</t>
        </is>
      </c>
      <c r="H1732" s="18" t="inlineStr">
        <is>
          <t>No</t>
        </is>
      </c>
      <c r="I1732" s="18" t="inlineStr"/>
      <c r="J1732" s="18" t="inlineStr"/>
      <c r="K1732" s="18" t="inlineStr"/>
      <c r="L1732" s="18" t="inlineStr">
        <is>
          <t>No</t>
        </is>
      </c>
      <c r="M1732" s="18" t="inlineStr">
        <is>
          <t>No</t>
        </is>
      </c>
      <c r="N1732" s="18" t="inlineStr"/>
      <c r="O1732" s="18" t="inlineStr"/>
      <c r="P1732" s="18" t="inlineStr">
        <is>
          <t>Mapeada en internal-institutional-control-service/src/esap/informes-ley/entities/informe-ley.entity.ts:59 (InformeLey.responsable) | Validación: IsNotEmpty, IsOptional, IsString, Length(1, 255)</t>
        </is>
      </c>
      <c r="Q1732" s="18" t="inlineStr">
        <is>
          <t>Código fuente (verificado)</t>
        </is>
      </c>
      <c r="R1732" s="18" t="inlineStr">
        <is>
          <t>Nombre del responsable de elaborar el informe de ley; texto libre, obligatorio.</t>
        </is>
      </c>
      <c r="S1732" s="18" t="inlineStr">
        <is>
          <t>Alta</t>
        </is>
      </c>
      <c r="T1732" s="18" t="inlineStr">
        <is>
          <t>backend/internal-institutional-control-service/src/esap/informes-ley/services/informe-generator.service.ts:109: responsable: informe.responsable || usuarioNombre || «Sistema», mismo campo que el nombre del usuario | backend/internal-institutional-control-service/src/esap/informes-ley/services/datos-automaticos.service.ts:43: se usa como dato del informe | backend/internal-institutional-control-service/src/esap/informes-ley/dto/create-informe-ley.dto.ts:54: texto de 1 a 255 caracteres</t>
        </is>
      </c>
      <c r="U1732" s="18" t="inlineStr"/>
      <c r="V1732" s="19" t="inlineStr">
        <is>
          <t>Aprobada</t>
        </is>
      </c>
      <c r="W1732" s="19" t="inlineStr"/>
      <c r="X1732" s="19" t="inlineStr">
        <is>
          <t>Aldair González (aprobación en bloque)</t>
        </is>
      </c>
      <c r="Y1732" s="20" t="n">
        <v>46321</v>
      </c>
      <c r="Z1732" s="19" t="inlineStr">
        <is>
          <t>Nivel 3: verificada con el código de la aplicación.</t>
        </is>
      </c>
      <c r="AA1732" s="18">
        <f>IF(OR(V1732="Aprobada"),R1732,IF(AND(OR(V1732="Aprobada con ajuste",V1732="Rechazada"),W1732&lt;&gt;""),W1732,""))</f>
        <v/>
      </c>
    </row>
    <row r="1733">
      <c r="A1733" s="18" t="inlineStr">
        <is>
          <t>C1732</t>
        </is>
      </c>
      <c r="B1733" s="18" t="inlineStr">
        <is>
          <t>Control interno</t>
        </is>
      </c>
      <c r="C1733" s="18" t="inlineStr">
        <is>
          <t>control_interno</t>
        </is>
      </c>
      <c r="D1733" s="18" t="inlineStr">
        <is>
          <t>informe_ley</t>
        </is>
      </c>
      <c r="E1733" s="18" t="n">
        <v>16</v>
      </c>
      <c r="F1733" s="18" t="inlineStr">
        <is>
          <t>normativa</t>
        </is>
      </c>
      <c r="G1733" s="18" t="inlineStr">
        <is>
          <t>text</t>
        </is>
      </c>
      <c r="H1733" s="18" t="inlineStr">
        <is>
          <t>Sí</t>
        </is>
      </c>
      <c r="I1733" s="18" t="inlineStr"/>
      <c r="J1733" s="18" t="inlineStr"/>
      <c r="K1733" s="18" t="inlineStr"/>
      <c r="L1733" s="18" t="inlineStr">
        <is>
          <t>No</t>
        </is>
      </c>
      <c r="M1733" s="18" t="inlineStr">
        <is>
          <t>No</t>
        </is>
      </c>
      <c r="N1733" s="18" t="inlineStr"/>
      <c r="O1733" s="18" t="inlineStr"/>
      <c r="P1733" s="18" t="inlineStr">
        <is>
          <t>Mapeada en internal-institutional-control-service/src/esap/informes-ley/entities/informe-ley.entity.ts:33 (InformeLey.normativa) | Validación: IsNotEmpty, IsOptional, IsString</t>
        </is>
      </c>
      <c r="Q1733" s="18" t="inlineStr">
        <is>
          <t>Propuesta semántica</t>
        </is>
      </c>
      <c r="R1733" s="18" t="inlineStr">
        <is>
          <t>Norma que establece la obligación de presentar el informe.</t>
        </is>
      </c>
      <c r="S1733" s="18" t="inlineStr">
        <is>
          <t>Alta</t>
        </is>
      </c>
      <c r="T1733" s="18" t="inlineStr">
        <is>
          <t>nombre + descripción de la tabla ~</t>
        </is>
      </c>
      <c r="U1733" s="18" t="inlineStr"/>
      <c r="V1733" s="19" t="inlineStr">
        <is>
          <t>Aprobada</t>
        </is>
      </c>
      <c r="W1733" s="19" t="inlineStr"/>
      <c r="X1733" s="19" t="inlineStr">
        <is>
          <t>Aldair González (aprobación en bloque)</t>
        </is>
      </c>
      <c r="Y1733" s="20" t="n">
        <v>46321</v>
      </c>
      <c r="Z1733" s="19" t="inlineStr">
        <is>
          <t>Nivel 1: propuesta del comentario del desarrollador o de confianza alta, o regla de fecha/responsable/motivo.</t>
        </is>
      </c>
      <c r="AA1733" s="18">
        <f>IF(OR(V1733="Aprobada"),R1733,IF(AND(OR(V1733="Aprobada con ajuste",V1733="Rechazada"),W1733&lt;&gt;""),W1733,""))</f>
        <v/>
      </c>
    </row>
    <row r="1734">
      <c r="A1734" s="18" t="inlineStr">
        <is>
          <t>C1733</t>
        </is>
      </c>
      <c r="B1734" s="18" t="inlineStr">
        <is>
          <t>Control interno</t>
        </is>
      </c>
      <c r="C1734" s="18" t="inlineStr">
        <is>
          <t>control_interno</t>
        </is>
      </c>
      <c r="D1734" s="18" t="inlineStr">
        <is>
          <t>informe_ley</t>
        </is>
      </c>
      <c r="E1734" s="18" t="n">
        <v>16</v>
      </c>
      <c r="F1734" s="18" t="inlineStr">
        <is>
          <t>acciones_sugeridas</t>
        </is>
      </c>
      <c r="G1734" s="18" t="inlineStr">
        <is>
          <t>jsonb</t>
        </is>
      </c>
      <c r="H1734" s="18" t="inlineStr">
        <is>
          <t>Sí</t>
        </is>
      </c>
      <c r="I1734" s="18" t="inlineStr"/>
      <c r="J1734" s="18" t="inlineStr"/>
      <c r="K1734" s="18" t="inlineStr"/>
      <c r="L1734" s="18" t="inlineStr">
        <is>
          <t>No</t>
        </is>
      </c>
      <c r="M1734" s="18" t="inlineStr">
        <is>
          <t>No</t>
        </is>
      </c>
      <c r="N1734" s="18" t="inlineStr"/>
      <c r="O1734" s="18" t="inlineStr"/>
      <c r="P1734" s="18" t="inlineStr">
        <is>
          <t>Mapeada en internal-institutional-control-service/src/esap/informes-ley/entities/informe-ley.entity.ts:98 (InformeLey.accionesSugeridas)</t>
        </is>
      </c>
      <c r="Q1734" s="18" t="inlineStr">
        <is>
          <t>Código fuente (verificado)</t>
        </is>
      </c>
      <c r="R1734" s="18" t="inlineStr">
        <is>
          <t>Acciones sugeridas para preparar el informe, en formato JSON.</t>
        </is>
      </c>
      <c r="S1734" s="18" t="inlineStr">
        <is>
          <t>Media</t>
        </is>
      </c>
      <c r="T1734" s="18" t="inlineStr">
        <is>
          <t>backend/internal-institutional-control-service/src/esap/informes-ley/entities/informe-ley.entity.ts:98: jsonb tipado como arreglo; ningún servicio del backend la escribe ni la lee</t>
        </is>
      </c>
      <c r="U1734" s="18" t="inlineStr">
        <is>
          <t>¿Qué contiene acciones_sugeridas y quién lo diligencia? El backend no la usa.</t>
        </is>
      </c>
      <c r="V1734" s="19" t="inlineStr">
        <is>
          <t>Aprobada</t>
        </is>
      </c>
      <c r="W1734" s="19" t="inlineStr"/>
      <c r="X1734" s="19" t="inlineStr">
        <is>
          <t>Aldair González (validación del responsable de BD)</t>
        </is>
      </c>
      <c r="Y1734" s="20" t="n">
        <v>46321</v>
      </c>
      <c r="Z1734" s="19" t="inlineStr">
        <is>
          <t>Nivel 3: validada por decisión del responsable de la base de datos. Pregunta registrada para desarrollo: ¿Qué contiene acciones_sugeridas y quién lo diligencia? El backend no la usa.</t>
        </is>
      </c>
      <c r="AA1734" s="18">
        <f>IF(OR(V1734="Aprobada"),R1734,IF(AND(OR(V1734="Aprobada con ajuste",V1734="Rechazada"),W1734&lt;&gt;""),W1734,""))</f>
        <v/>
      </c>
    </row>
    <row r="1735">
      <c r="A1735" s="18" t="inlineStr">
        <is>
          <t>C1734</t>
        </is>
      </c>
      <c r="B1735" s="18" t="inlineStr">
        <is>
          <t>Control interno</t>
        </is>
      </c>
      <c r="C1735" s="18" t="inlineStr">
        <is>
          <t>control_interno</t>
        </is>
      </c>
      <c r="D1735" s="18" t="inlineStr">
        <is>
          <t>informe_ley</t>
        </is>
      </c>
      <c r="E1735" s="18" t="n">
        <v>16</v>
      </c>
      <c r="F1735" s="18" t="inlineStr">
        <is>
          <t>historial</t>
        </is>
      </c>
      <c r="G1735" s="18" t="inlineStr">
        <is>
          <t>jsonb</t>
        </is>
      </c>
      <c r="H1735" s="18" t="inlineStr">
        <is>
          <t>Sí</t>
        </is>
      </c>
      <c r="I1735" s="18" t="inlineStr"/>
      <c r="J1735" s="18" t="inlineStr"/>
      <c r="K1735" s="18" t="inlineStr"/>
      <c r="L1735" s="18" t="inlineStr">
        <is>
          <t>No</t>
        </is>
      </c>
      <c r="M1735" s="18" t="inlineStr">
        <is>
          <t>No</t>
        </is>
      </c>
      <c r="N1735" s="18" t="inlineStr"/>
      <c r="O1735" s="18" t="inlineStr"/>
      <c r="P1735" s="18" t="inlineStr">
        <is>
          <t>Mapeada en internal-institutional-control-service/src/esap/informes-ley/entities/informe-ley.entity.ts:101 (InformeLey.historial)</t>
        </is>
      </c>
      <c r="Q1735" s="18" t="inlineStr">
        <is>
          <t>Código fuente (verificado)</t>
        </is>
      </c>
      <c r="R1735" s="18" t="inlineStr">
        <is>
          <t>Historial del informe, en formato JSON.</t>
        </is>
      </c>
      <c r="S1735" s="18" t="inlineStr">
        <is>
          <t>Media</t>
        </is>
      </c>
      <c r="T1735" s="18" t="inlineStr">
        <is>
          <t>backend/internal-institutional-control-service/src/esap/informes-ley/entities/informe-ley.entity.ts:101: jsonb tipado como arreglo; ningún servicio del backend la escribe | backend/internal-institutional-control-service/src/esap/informes-ley/services/informe-generator.service.ts:393-408: el historial de las entregas se registra en historial_generacion_informe</t>
        </is>
      </c>
      <c r="U1735" s="18" t="inlineStr">
        <is>
          <t>¿historial sigue en uso? El backend registra el historial en control_interno.historial_generacion_informe y no escribe esta columna.</t>
        </is>
      </c>
      <c r="V1735" s="19" t="inlineStr">
        <is>
          <t>Aprobada</t>
        </is>
      </c>
      <c r="W1735" s="19" t="inlineStr"/>
      <c r="X1735" s="19" t="inlineStr">
        <is>
          <t>Aldair González (validación del responsable de BD)</t>
        </is>
      </c>
      <c r="Y1735" s="20" t="n">
        <v>46321</v>
      </c>
      <c r="Z1735" s="19" t="inlineStr">
        <is>
          <t>Nivel 3: validada por decisión del responsable de la base de datos. Pregunta registrada para desarrollo: ¿historial sigue en uso? El backend registra el historial en control_interno.historial_generacion_informe y no escribe esta columna.</t>
        </is>
      </c>
      <c r="AA1735" s="18">
        <f>IF(OR(V1735="Aprobada"),R1735,IF(AND(OR(V1735="Aprobada con ajuste",V1735="Rechazada"),W1735&lt;&gt;""),W1735,""))</f>
        <v/>
      </c>
    </row>
    <row r="1736">
      <c r="A1736" s="18" t="inlineStr">
        <is>
          <t>C1735</t>
        </is>
      </c>
      <c r="B1736" s="18" t="inlineStr">
        <is>
          <t>Control interno</t>
        </is>
      </c>
      <c r="C1736" s="18" t="inlineStr">
        <is>
          <t>control_interno</t>
        </is>
      </c>
      <c r="D1736" s="18" t="inlineStr">
        <is>
          <t>informe_ley</t>
        </is>
      </c>
      <c r="E1736" s="18" t="n">
        <v>16</v>
      </c>
      <c r="F1736" s="18" t="inlineStr">
        <is>
          <t>proximo_recordatorio</t>
        </is>
      </c>
      <c r="G1736" s="18" t="inlineStr">
        <is>
          <t>timestamp without time zone</t>
        </is>
      </c>
      <c r="H1736" s="18" t="inlineStr">
        <is>
          <t>Sí</t>
        </is>
      </c>
      <c r="I1736" s="18" t="inlineStr"/>
      <c r="J1736" s="18" t="inlineStr"/>
      <c r="K1736" s="18" t="inlineStr"/>
      <c r="L1736" s="18" t="inlineStr">
        <is>
          <t>No</t>
        </is>
      </c>
      <c r="M1736" s="18" t="inlineStr">
        <is>
          <t>No</t>
        </is>
      </c>
      <c r="N1736" s="18" t="inlineStr"/>
      <c r="O1736" s="18" t="inlineStr"/>
      <c r="P1736" s="18" t="inlineStr">
        <is>
          <t>Mapeada en internal-institutional-control-service/src/esap/informes-ley/entities/informe-ley.entity.ts:104 (InformeLey.proximoRecordatorio)</t>
        </is>
      </c>
      <c r="Q1736" s="18" t="inlineStr">
        <is>
          <t>Propuesta semántica</t>
        </is>
      </c>
      <c r="R1736" s="18" t="inlineStr">
        <is>
          <t>Fecha y hora del próximo recordatorio programado del informe.</t>
        </is>
      </c>
      <c r="S1736" s="18" t="inlineStr">
        <is>
          <t>Alta</t>
        </is>
      </c>
      <c r="T1736" s="18" t="inlineStr">
        <is>
          <t>nombre + tipo + columnas vecinas (recordatorios_enviados) ~</t>
        </is>
      </c>
      <c r="U1736" s="18" t="inlineStr"/>
      <c r="V1736" s="19" t="inlineStr">
        <is>
          <t>Aprobada</t>
        </is>
      </c>
      <c r="W1736" s="19" t="inlineStr"/>
      <c r="X1736" s="19" t="inlineStr">
        <is>
          <t>Aldair González (aprobación en bloque)</t>
        </is>
      </c>
      <c r="Y1736" s="20" t="n">
        <v>46321</v>
      </c>
      <c r="Z1736" s="19" t="inlineStr">
        <is>
          <t>Nivel 1: propuesta del comentario del desarrollador o de confianza alta, o regla de fecha/responsable/motivo.</t>
        </is>
      </c>
      <c r="AA1736" s="18">
        <f>IF(OR(V1736="Aprobada"),R1736,IF(AND(OR(V1736="Aprobada con ajuste",V1736="Rechazada"),W1736&lt;&gt;""),W1736,""))</f>
        <v/>
      </c>
    </row>
    <row r="1737">
      <c r="A1737" s="18" t="inlineStr">
        <is>
          <t>C1736</t>
        </is>
      </c>
      <c r="B1737" s="18" t="inlineStr">
        <is>
          <t>Control interno</t>
        </is>
      </c>
      <c r="C1737" s="18" t="inlineStr">
        <is>
          <t>control_interno</t>
        </is>
      </c>
      <c r="D1737" s="18" t="inlineStr">
        <is>
          <t>informe_ley</t>
        </is>
      </c>
      <c r="E1737" s="18" t="n">
        <v>16</v>
      </c>
      <c r="F1737" s="18" t="inlineStr">
        <is>
          <t>recordatorios_enviados</t>
        </is>
      </c>
      <c r="G1737" s="18" t="inlineStr">
        <is>
          <t>integer</t>
        </is>
      </c>
      <c r="H1737" s="18" t="inlineStr">
        <is>
          <t>Sí</t>
        </is>
      </c>
      <c r="I1737" s="18" t="inlineStr"/>
      <c r="J1737" s="18" t="inlineStr"/>
      <c r="K1737" s="18" t="inlineStr"/>
      <c r="L1737" s="18" t="inlineStr">
        <is>
          <t>No</t>
        </is>
      </c>
      <c r="M1737" s="18" t="inlineStr">
        <is>
          <t>No</t>
        </is>
      </c>
      <c r="N1737" s="18" t="inlineStr"/>
      <c r="O1737" s="18" t="inlineStr"/>
      <c r="P1737" s="18" t="inlineStr">
        <is>
          <t>Mapeada en internal-institutional-control-service/src/esap/informes-ley/entities/informe-ley.entity.ts:107 (InformeLey.recordatoriosEnviados)</t>
        </is>
      </c>
      <c r="Q1737" s="18" t="inlineStr">
        <is>
          <t>Propuesta semántica</t>
        </is>
      </c>
      <c r="R1737" s="18" t="inlineStr">
        <is>
          <t>Número de recordatorios enviados del informe.</t>
        </is>
      </c>
      <c r="S1737" s="18" t="inlineStr">
        <is>
          <t>Alta</t>
        </is>
      </c>
      <c r="T1737" s="18" t="inlineStr">
        <is>
          <t>nombre + tipo + defecto 0 ~</t>
        </is>
      </c>
      <c r="U1737" s="18" t="inlineStr"/>
      <c r="V1737" s="19" t="inlineStr">
        <is>
          <t>Aprobada</t>
        </is>
      </c>
      <c r="W1737" s="19" t="inlineStr"/>
      <c r="X1737" s="19" t="inlineStr">
        <is>
          <t>Aldair González (aprobación en bloque)</t>
        </is>
      </c>
      <c r="Y1737" s="20" t="n">
        <v>46321</v>
      </c>
      <c r="Z1737" s="19" t="inlineStr">
        <is>
          <t>Nivel 1: propuesta del comentario del desarrollador o de confianza alta, o regla de fecha/responsable/motivo.</t>
        </is>
      </c>
      <c r="AA1737" s="18">
        <f>IF(OR(V1737="Aprobada"),R1737,IF(AND(OR(V1737="Aprobada con ajuste",V1737="Rechazada"),W1737&lt;&gt;""),W1737,""))</f>
        <v/>
      </c>
    </row>
    <row r="1738">
      <c r="A1738" s="18" t="inlineStr">
        <is>
          <t>C1737</t>
        </is>
      </c>
      <c r="B1738" s="18" t="inlineStr">
        <is>
          <t>Control interno</t>
        </is>
      </c>
      <c r="C1738" s="18" t="inlineStr">
        <is>
          <t>control_interno</t>
        </is>
      </c>
      <c r="D1738" s="18" t="inlineStr">
        <is>
          <t>informe_ley</t>
        </is>
      </c>
      <c r="E1738" s="18" t="n">
        <v>16</v>
      </c>
      <c r="F1738" s="18" t="inlineStr">
        <is>
          <t>formato_template</t>
        </is>
      </c>
      <c r="G1738" s="18" t="inlineStr">
        <is>
          <t>character varying(255)</t>
        </is>
      </c>
      <c r="H1738" s="18" t="inlineStr">
        <is>
          <t>Sí</t>
        </is>
      </c>
      <c r="I1738" s="18" t="inlineStr"/>
      <c r="J1738" s="18" t="inlineStr"/>
      <c r="K1738" s="18" t="inlineStr"/>
      <c r="L1738" s="18" t="inlineStr">
        <is>
          <t>No</t>
        </is>
      </c>
      <c r="M1738" s="18" t="inlineStr">
        <is>
          <t>No</t>
        </is>
      </c>
      <c r="N1738" s="18" t="inlineStr"/>
      <c r="O1738" s="18" t="inlineStr"/>
      <c r="P1738" s="18" t="inlineStr">
        <is>
          <t>Mapeada en internal-institutional-control-service/src/esap/informes-ley/entities/informe-ley.entity.ts:110 (InformeLey.formatoTemplate)</t>
        </is>
      </c>
      <c r="Q1738" s="18" t="inlineStr">
        <is>
          <t>Código fuente (verificado)</t>
        </is>
      </c>
      <c r="R1738" s="18" t="inlineStr">
        <is>
          <t>Código de la plantilla del informe que se usa cuando url_plantilla está vacía.</t>
        </is>
      </c>
      <c r="S1738" s="18" t="inlineStr">
        <is>
          <t>Alta</t>
        </is>
      </c>
      <c r="T1738" s="18" t="inlineStr">
        <is>
          <t>backend/internal-institutional-control-service/src/esap/informes-ley/services/informe-generator.service.ts:225-226: codigoPlantilla = informe.urlPlantilla || informe.formatoTemplate, que se busca con plantillasService.findByCodigo</t>
        </is>
      </c>
      <c r="U1738" s="18" t="inlineStr"/>
      <c r="V1738" s="19" t="inlineStr">
        <is>
          <t>Aprobada</t>
        </is>
      </c>
      <c r="W1738" s="19" t="inlineStr"/>
      <c r="X1738" s="19" t="inlineStr">
        <is>
          <t>Aldair González (aprobación en bloque)</t>
        </is>
      </c>
      <c r="Y1738" s="20" t="n">
        <v>46321</v>
      </c>
      <c r="Z1738" s="19" t="inlineStr">
        <is>
          <t>Nivel 3: verificada con el código de la aplicación.</t>
        </is>
      </c>
      <c r="AA1738" s="18">
        <f>IF(OR(V1738="Aprobada"),R1738,IF(AND(OR(V1738="Aprobada con ajuste",V1738="Rechazada"),W1738&lt;&gt;""),W1738,""))</f>
        <v/>
      </c>
    </row>
    <row r="1739">
      <c r="A1739" s="18" t="inlineStr">
        <is>
          <t>C1738</t>
        </is>
      </c>
      <c r="B1739" s="18" t="inlineStr">
        <is>
          <t>Control interno</t>
        </is>
      </c>
      <c r="C1739" s="18" t="inlineStr">
        <is>
          <t>control_interno</t>
        </is>
      </c>
      <c r="D1739" s="18" t="inlineStr">
        <is>
          <t>informe_ley</t>
        </is>
      </c>
      <c r="E1739" s="18" t="n">
        <v>16</v>
      </c>
      <c r="F1739" s="18" t="inlineStr">
        <is>
          <t>datos_integrados</t>
        </is>
      </c>
      <c r="G1739" s="18" t="inlineStr">
        <is>
          <t>jsonb</t>
        </is>
      </c>
      <c r="H1739" s="18" t="inlineStr">
        <is>
          <t>Sí</t>
        </is>
      </c>
      <c r="I1739" s="18" t="inlineStr"/>
      <c r="J1739" s="18" t="inlineStr"/>
      <c r="K1739" s="18" t="inlineStr"/>
      <c r="L1739" s="18" t="inlineStr">
        <is>
          <t>No</t>
        </is>
      </c>
      <c r="M1739" s="18" t="inlineStr">
        <is>
          <t>No</t>
        </is>
      </c>
      <c r="N1739" s="18" t="inlineStr"/>
      <c r="O1739" s="18" t="inlineStr"/>
      <c r="P1739" s="18" t="inlineStr">
        <is>
          <t>Mapeada en internal-institutional-control-service/src/esap/informes-ley/entities/informe-ley.entity.ts:113 (InformeLey.datosIntegrados)</t>
        </is>
      </c>
      <c r="Q1739" s="18" t="inlineStr">
        <is>
          <t>Código fuente (verificado)</t>
        </is>
      </c>
      <c r="R1739" s="18" t="inlineStr">
        <is>
          <t>Datos integrados de otros módulos para generar el informe, en formato JSON.</t>
        </is>
      </c>
      <c r="S1739" s="18" t="inlineStr">
        <is>
          <t>Media</t>
        </is>
      </c>
      <c r="T1739" s="18" t="inlineStr">
        <is>
          <t>backend/internal-institutional-control-service/src/esap/informes-ley/entities/informe-ley.entity.ts:113: jsonb; ningún servicio del backend la escribe ni la lee</t>
        </is>
      </c>
      <c r="U1739" s="18" t="inlineStr">
        <is>
          <t>¿Qué datos se integran en datos_integrados y desde qué fuentes? El backend no la usa.</t>
        </is>
      </c>
      <c r="V1739" s="19" t="inlineStr">
        <is>
          <t>Aprobada</t>
        </is>
      </c>
      <c r="W1739" s="19" t="inlineStr"/>
      <c r="X1739" s="19" t="inlineStr">
        <is>
          <t>Aldair González (validación del responsable de BD)</t>
        </is>
      </c>
      <c r="Y1739" s="20" t="n">
        <v>46321</v>
      </c>
      <c r="Z1739" s="19" t="inlineStr">
        <is>
          <t>Nivel 3: validada por decisión del responsable de la base de datos. Pregunta registrada para desarrollo: ¿Qué datos se integran en datos_integrados y desde qué fuentes? El backend no la usa.</t>
        </is>
      </c>
      <c r="AA1739" s="18">
        <f>IF(OR(V1739="Aprobada"),R1739,IF(AND(OR(V1739="Aprobada con ajuste",V1739="Rechazada"),W1739&lt;&gt;""),W1739,""))</f>
        <v/>
      </c>
    </row>
    <row r="1740">
      <c r="A1740" s="18" t="inlineStr">
        <is>
          <t>C1739</t>
        </is>
      </c>
      <c r="B1740" s="18" t="inlineStr">
        <is>
          <t>Control interno</t>
        </is>
      </c>
      <c r="C1740" s="18" t="inlineStr">
        <is>
          <t>control_interno</t>
        </is>
      </c>
      <c r="D1740" s="18" t="inlineStr">
        <is>
          <t>informe_ley</t>
        </is>
      </c>
      <c r="E1740" s="18" t="n">
        <v>16</v>
      </c>
      <c r="F1740" s="18" t="inlineStr">
        <is>
          <t>codigo_corto</t>
        </is>
      </c>
      <c r="G1740" s="18" t="inlineStr">
        <is>
          <t>character varying(50)</t>
        </is>
      </c>
      <c r="H1740" s="18" t="inlineStr">
        <is>
          <t>Sí</t>
        </is>
      </c>
      <c r="I1740" s="18" t="inlineStr">
        <is>
          <t>Única</t>
        </is>
      </c>
      <c r="J1740" s="18" t="inlineStr"/>
      <c r="K1740" s="18" t="inlineStr"/>
      <c r="L1740" s="18" t="inlineStr">
        <is>
          <t>No</t>
        </is>
      </c>
      <c r="M1740" s="18" t="inlineStr">
        <is>
          <t>No</t>
        </is>
      </c>
      <c r="N1740" s="18" t="inlineStr"/>
      <c r="O1740" s="18" t="inlineStr">
        <is>
          <t>informe_ley_codigo_corto_key</t>
        </is>
      </c>
      <c r="P1740" s="18" t="inlineStr">
        <is>
          <t>Mapeada en internal-institutional-control-service/src/esap/informes-ley/entities/informe-ley.entity.ts:24 (InformeLey.codigoCorto)</t>
        </is>
      </c>
      <c r="Q1740" s="18" t="inlineStr">
        <is>
          <t>Código fuente (verificado)</t>
        </is>
      </c>
      <c r="R1740" s="18" t="inlineStr">
        <is>
          <t>Código corto del informe de ley. Único en la tabla.</t>
        </is>
      </c>
      <c r="S1740" s="18" t="inlineStr">
        <is>
          <t>Media</t>
        </is>
      </c>
      <c r="T1740" s="18" t="inlineStr">
        <is>
          <t>db/init/005_control_interno_ddl_20260129_215540.sql:3673: UNIQUE (codigo_corto) | backend/internal-institutional-control-service/src/esap/informes-ley/entities/informe-ley.entity.ts:23-24: columna mapeada; ningún servicio la usa | backend/internal-institutional-control-service/src/esap/informes-ley/entities/informe-ley.entity.ts:21: codigo sigue el patrón INF-CHIP, INF-SECOP</t>
        </is>
      </c>
      <c r="U1740" s="18" t="inlineStr">
        <is>
          <t>¿Qué formato tiene codigo_corto y para qué se usa frente a codigo? El backend no la usa.</t>
        </is>
      </c>
      <c r="V1740" s="19" t="inlineStr">
        <is>
          <t>Aprobada</t>
        </is>
      </c>
      <c r="W1740" s="19" t="inlineStr"/>
      <c r="X1740" s="19" t="inlineStr">
        <is>
          <t>Aldair González (validación del responsable de BD)</t>
        </is>
      </c>
      <c r="Y1740" s="20" t="n">
        <v>46321</v>
      </c>
      <c r="Z1740" s="19" t="inlineStr">
        <is>
          <t>Nivel 3: validada por decisión del responsable de la base de datos. Pregunta registrada para desarrollo: ¿Qué formato tiene codigo_corto y para qué se usa frente a codigo? El backend no la usa.</t>
        </is>
      </c>
      <c r="AA1740" s="18">
        <f>IF(OR(V1740="Aprobada"),R1740,IF(AND(OR(V1740="Aprobada con ajuste",V1740="Rechazada"),W1740&lt;&gt;""),W1740,""))</f>
        <v/>
      </c>
    </row>
    <row r="1741">
      <c r="A1741" s="18" t="inlineStr">
        <is>
          <t>C1740</t>
        </is>
      </c>
      <c r="B1741" s="18" t="inlineStr">
        <is>
          <t>Control interno</t>
        </is>
      </c>
      <c r="C1741" s="18" t="inlineStr">
        <is>
          <t>control_interno</t>
        </is>
      </c>
      <c r="D1741" s="18" t="inlineStr">
        <is>
          <t>informe_ley</t>
        </is>
      </c>
      <c r="E1741" s="18" t="n">
        <v>16</v>
      </c>
      <c r="F1741" s="18" t="inlineStr">
        <is>
          <t>categoria</t>
        </is>
      </c>
      <c r="G1741" s="18" t="inlineStr">
        <is>
          <t>character varying(100)</t>
        </is>
      </c>
      <c r="H1741" s="18" t="inlineStr">
        <is>
          <t>Sí</t>
        </is>
      </c>
      <c r="I1741" s="18" t="inlineStr">
        <is>
          <t>CHECK</t>
        </is>
      </c>
      <c r="J1741" s="18" t="inlineStr">
        <is>
          <t>administrativo, contractual, control, financiero, talento-humano, transparencia</t>
        </is>
      </c>
      <c r="K1741" s="18" t="inlineStr"/>
      <c r="L1741" s="18" t="inlineStr">
        <is>
          <t>Sí</t>
        </is>
      </c>
      <c r="M1741" s="18" t="inlineStr">
        <is>
          <t>No</t>
        </is>
      </c>
      <c r="N1741" s="18" t="inlineStr"/>
      <c r="O1741" s="18" t="inlineStr"/>
      <c r="P1741" s="18" t="inlineStr">
        <is>
          <t>Mapeada en internal-institutional-control-service/src/esap/informes-ley/entities/informe-ley.entity.ts:36 (InformeLey.categoria) | Validación: IsEnum(CategoriaNota), IsEnum(HallazgoCategoria), IsEnum(['financiero', 'administrativo', 'contractual', 'talento-humano', 'transparencia', 'control']), IsNotEmpty, IsOptional, IsString</t>
        </is>
      </c>
      <c r="Q1741" s="18" t="inlineStr">
        <is>
          <t>Propuesta semántica</t>
        </is>
      </c>
      <c r="R1741" s="18" t="inlineStr">
        <is>
          <t>Categoría del informe de ley. Valores permitidos: financiero, administrativo, contractual, talento-humano, transparencia, control.</t>
        </is>
      </c>
      <c r="S1741" s="18" t="inlineStr">
        <is>
          <t>Alta</t>
        </is>
      </c>
      <c r="T1741" s="18" t="inlineStr">
        <is>
          <t>valores permitidos del CHECK ~</t>
        </is>
      </c>
      <c r="U1741" s="18" t="inlineStr"/>
      <c r="V1741" s="19" t="inlineStr">
        <is>
          <t>Aprobada</t>
        </is>
      </c>
      <c r="W1741" s="19" t="inlineStr"/>
      <c r="X1741" s="19" t="inlineStr">
        <is>
          <t>Aldair González (aprobación en bloque)</t>
        </is>
      </c>
      <c r="Y1741" s="20" t="n">
        <v>46321</v>
      </c>
      <c r="Z1741" s="19" t="inlineStr">
        <is>
          <t>Nivel 1: propuesta del comentario del desarrollador o de confianza alta, o regla de fecha/responsable/motivo.</t>
        </is>
      </c>
      <c r="AA1741" s="18">
        <f>IF(OR(V1741="Aprobada"),R1741,IF(AND(OR(V1741="Aprobada con ajuste",V1741="Rechazada"),W1741&lt;&gt;""),W1741,""))</f>
        <v/>
      </c>
    </row>
    <row r="1742">
      <c r="A1742" s="18" t="inlineStr">
        <is>
          <t>C1741</t>
        </is>
      </c>
      <c r="B1742" s="18" t="inlineStr">
        <is>
          <t>Control interno</t>
        </is>
      </c>
      <c r="C1742" s="18" t="inlineStr">
        <is>
          <t>control_interno</t>
        </is>
      </c>
      <c r="D1742" s="18" t="inlineStr">
        <is>
          <t>informe_ley</t>
        </is>
      </c>
      <c r="E1742" s="18" t="n">
        <v>16</v>
      </c>
      <c r="F1742" s="18" t="inlineStr">
        <is>
          <t>dia_presentacion</t>
        </is>
      </c>
      <c r="G1742" s="18" t="inlineStr">
        <is>
          <t>integer</t>
        </is>
      </c>
      <c r="H1742" s="18" t="inlineStr">
        <is>
          <t>Sí</t>
        </is>
      </c>
      <c r="I1742" s="18" t="inlineStr">
        <is>
          <t>CHECK</t>
        </is>
      </c>
      <c r="J1742" s="18" t="inlineStr"/>
      <c r="K1742" s="18" t="inlineStr"/>
      <c r="L1742" s="18" t="inlineStr">
        <is>
          <t>No</t>
        </is>
      </c>
      <c r="M1742" s="18" t="inlineStr">
        <is>
          <t>No</t>
        </is>
      </c>
      <c r="N1742" s="18" t="inlineStr"/>
      <c r="O1742" s="18" t="inlineStr"/>
      <c r="P1742" s="18" t="inlineStr">
        <is>
          <t>internal-institutional-control-service/src/esap/informes-ley/entities/informe-ley.entity.ts:53: Día del mes/periodo para presentar | Validación: IsInt, IsNotEmpty, IsOptional, Max(31), Min(1)</t>
        </is>
      </c>
      <c r="Q1742" s="18" t="inlineStr">
        <is>
          <t>Código fuente</t>
        </is>
      </c>
      <c r="R1742" s="18" t="inlineStr">
        <is>
          <t>Día del mes o del periodo en que se presenta el informe, de 1 a 31.</t>
        </is>
      </c>
      <c r="S1742" s="18" t="inlineStr">
        <is>
          <t>Alta</t>
        </is>
      </c>
      <c r="T1742" s="18" t="inlineStr">
        <is>
          <t>código: internal-institutional-control-service/src/esap/informes-ley/entities/informe-ley.entity.ts:53</t>
        </is>
      </c>
      <c r="U1742" s="18" t="inlineStr"/>
      <c r="V1742" s="19" t="inlineStr">
        <is>
          <t>Aprobada</t>
        </is>
      </c>
      <c r="W1742" s="19" t="inlineStr"/>
      <c r="X1742" s="19" t="inlineStr">
        <is>
          <t>Aldair González (aprobación en bloque)</t>
        </is>
      </c>
      <c r="Y1742" s="20" t="n">
        <v>46321</v>
      </c>
      <c r="Z1742" s="19" t="inlineStr">
        <is>
          <t>Nivel 1: propuesta del comentario del desarrollador o de confianza alta, o regla de fecha/responsable/motivo.</t>
        </is>
      </c>
      <c r="AA1742" s="18">
        <f>IF(OR(V1742="Aprobada"),R1742,IF(AND(OR(V1742="Aprobada con ajuste",V1742="Rechazada"),W1742&lt;&gt;""),W1742,""))</f>
        <v/>
      </c>
    </row>
    <row r="1743">
      <c r="A1743" s="18" t="inlineStr">
        <is>
          <t>C1742</t>
        </is>
      </c>
      <c r="B1743" s="18" t="inlineStr">
        <is>
          <t>Control interno</t>
        </is>
      </c>
      <c r="C1743" s="18" t="inlineStr">
        <is>
          <t>control_interno</t>
        </is>
      </c>
      <c r="D1743" s="18" t="inlineStr">
        <is>
          <t>informe_ley</t>
        </is>
      </c>
      <c r="E1743" s="18" t="n">
        <v>16</v>
      </c>
      <c r="F1743" s="18" t="inlineStr">
        <is>
          <t>entidad_destino</t>
        </is>
      </c>
      <c r="G1743" s="18" t="inlineStr">
        <is>
          <t>character varying(500)</t>
        </is>
      </c>
      <c r="H1743" s="18" t="inlineStr">
        <is>
          <t>Sí</t>
        </is>
      </c>
      <c r="I1743" s="18" t="inlineStr"/>
      <c r="J1743" s="18" t="inlineStr"/>
      <c r="K1743" s="18" t="inlineStr"/>
      <c r="L1743" s="18" t="inlineStr">
        <is>
          <t>No</t>
        </is>
      </c>
      <c r="M1743" s="18" t="inlineStr">
        <is>
          <t>No</t>
        </is>
      </c>
      <c r="N1743" s="18" t="inlineStr"/>
      <c r="O1743" s="18" t="inlineStr"/>
      <c r="P1743" s="18" t="inlineStr">
        <is>
          <t>Mapeada en internal-institutional-control-service/src/esap/informes-ley/entities/informe-ley.entity.ts:56 (InformeLey.entidadDestino) | Validación: IsOptional, IsString, Length(1, 500)</t>
        </is>
      </c>
      <c r="Q1743" s="18" t="inlineStr">
        <is>
          <t>Propuesta semántica</t>
        </is>
      </c>
      <c r="R1743" s="18" t="inlineStr">
        <is>
          <t>Entidad a la que se presenta el informe de ley.</t>
        </is>
      </c>
      <c r="S1743" s="18" t="inlineStr">
        <is>
          <t>Alta</t>
        </is>
      </c>
      <c r="T1743" s="18" t="inlineStr">
        <is>
          <t>nombre + tipo</t>
        </is>
      </c>
      <c r="U1743" s="18" t="inlineStr"/>
      <c r="V1743" s="19" t="inlineStr">
        <is>
          <t>Aprobada</t>
        </is>
      </c>
      <c r="W1743" s="19" t="inlineStr"/>
      <c r="X1743" s="19" t="inlineStr">
        <is>
          <t>Aldair González (aprobación en bloque)</t>
        </is>
      </c>
      <c r="Y1743" s="20" t="n">
        <v>46321</v>
      </c>
      <c r="Z1743" s="19" t="inlineStr">
        <is>
          <t>Nivel 1: propuesta del comentario del desarrollador o de confianza alta, o regla de fecha/responsable/motivo.</t>
        </is>
      </c>
      <c r="AA1743" s="18">
        <f>IF(OR(V1743="Aprobada"),R1743,IF(AND(OR(V1743="Aprobada con ajuste",V1743="Rechazada"),W1743&lt;&gt;""),W1743,""))</f>
        <v/>
      </c>
    </row>
    <row r="1744">
      <c r="A1744" s="18" t="inlineStr">
        <is>
          <t>C1743</t>
        </is>
      </c>
      <c r="B1744" s="18" t="inlineStr">
        <is>
          <t>Control interno</t>
        </is>
      </c>
      <c r="C1744" s="18" t="inlineStr">
        <is>
          <t>control_interno</t>
        </is>
      </c>
      <c r="D1744" s="18" t="inlineStr">
        <is>
          <t>informe_ley</t>
        </is>
      </c>
      <c r="E1744" s="18" t="n">
        <v>16</v>
      </c>
      <c r="F1744" s="18" t="inlineStr">
        <is>
          <t>area_responsable</t>
        </is>
      </c>
      <c r="G1744" s="18" t="inlineStr">
        <is>
          <t>character varying(255)</t>
        </is>
      </c>
      <c r="H1744" s="18" t="inlineStr">
        <is>
          <t>Sí</t>
        </is>
      </c>
      <c r="I1744" s="18" t="inlineStr"/>
      <c r="J1744" s="18" t="inlineStr"/>
      <c r="K1744" s="18" t="inlineStr"/>
      <c r="L1744" s="18" t="inlineStr">
        <is>
          <t>No</t>
        </is>
      </c>
      <c r="M1744" s="18" t="inlineStr">
        <is>
          <t>No</t>
        </is>
      </c>
      <c r="N1744" s="18" t="inlineStr"/>
      <c r="O1744" s="18" t="inlineStr"/>
      <c r="P1744" s="18" t="inlineStr">
        <is>
          <t>Mapeada en internal-institutional-control-service/src/esap/informes-ley/entities/informe-ley.entity.ts:65 (InformeLey.areaResponsable) | Validación: IsNotEmpty, IsOptional, IsString, Length(1, 255), MaxLength(255)</t>
        </is>
      </c>
      <c r="Q1744" s="18" t="inlineStr">
        <is>
          <t>Código fuente (verificado)</t>
        </is>
      </c>
      <c r="R1744" s="18" t="inlineStr">
        <is>
          <t>Área responsable de elaborar y presentar el informe; si no se envía, toma el valor de area.</t>
        </is>
      </c>
      <c r="S1744" s="18" t="inlineStr">
        <is>
          <t>Media</t>
        </is>
      </c>
      <c r="T1744" s="18" t="inlineStr">
        <is>
          <t>backend/internal-institutional-control-service/src/esap/informes-ley/informes-ley.service.ts:84: areaResponsable || area | backend/internal-institutional-control-service/src/esap/informes-ley/services/informe-generator.service.ts:420-426: se busca como nombre de persona en auth.personas para notificar</t>
        </is>
      </c>
      <c r="U1744" s="18" t="inlineStr">
        <is>
          <t>¿area_responsable guarda un área o el nombre de una persona? El generador lo busca como nombre en auth.personas.</t>
        </is>
      </c>
      <c r="V1744" s="19" t="inlineStr">
        <is>
          <t>Aprobada</t>
        </is>
      </c>
      <c r="W1744" s="19" t="inlineStr"/>
      <c r="X1744" s="19" t="inlineStr">
        <is>
          <t>Aldair González (validación del responsable de BD)</t>
        </is>
      </c>
      <c r="Y1744" s="20" t="n">
        <v>46321</v>
      </c>
      <c r="Z1744" s="19" t="inlineStr">
        <is>
          <t>Nivel 3: validada por decisión del responsable de la base de datos. Pregunta registrada para desarrollo: ¿area_responsable guarda un área o el nombre de una persona? El generador lo busca como nombre en auth.personas.</t>
        </is>
      </c>
      <c r="AA1744" s="18">
        <f>IF(OR(V1744="Aprobada"),R1744,IF(AND(OR(V1744="Aprobada con ajuste",V1744="Rechazada"),W1744&lt;&gt;""),W1744,""))</f>
        <v/>
      </c>
    </row>
    <row r="1745">
      <c r="A1745" s="18" t="inlineStr">
        <is>
          <t>C1744</t>
        </is>
      </c>
      <c r="B1745" s="18" t="inlineStr">
        <is>
          <t>Control interno</t>
        </is>
      </c>
      <c r="C1745" s="18" t="inlineStr">
        <is>
          <t>control_interno</t>
        </is>
      </c>
      <c r="D1745" s="18" t="inlineStr">
        <is>
          <t>informe_ley</t>
        </is>
      </c>
      <c r="E1745" s="18" t="n">
        <v>16</v>
      </c>
      <c r="F1745" s="18" t="inlineStr">
        <is>
          <t>tiene_plantilla</t>
        </is>
      </c>
      <c r="G1745" s="18" t="inlineStr">
        <is>
          <t>boolean</t>
        </is>
      </c>
      <c r="H1745" s="18" t="inlineStr">
        <is>
          <t>Sí</t>
        </is>
      </c>
      <c r="I1745" s="18" t="inlineStr"/>
      <c r="J1745" s="18" t="inlineStr"/>
      <c r="K1745" s="18" t="inlineStr"/>
      <c r="L1745" s="18" t="inlineStr">
        <is>
          <t>No</t>
        </is>
      </c>
      <c r="M1745" s="18" t="inlineStr">
        <is>
          <t>No</t>
        </is>
      </c>
      <c r="N1745" s="18" t="inlineStr"/>
      <c r="O1745" s="18" t="inlineStr"/>
      <c r="P1745" s="18" t="inlineStr">
        <is>
          <t>internal-institutional-control-service/src/esap/informes-ley/entities/informe-ley.entity.ts:69: Plantilla | Validación: IsBoolean, IsOptional</t>
        </is>
      </c>
      <c r="Q1745" s="18" t="inlineStr">
        <is>
          <t>Código fuente</t>
        </is>
      </c>
      <c r="R1745" s="18" t="inlineStr">
        <is>
          <t>Indica si el informe tiene plantilla; por defecto falso.</t>
        </is>
      </c>
      <c r="S1745" s="18" t="inlineStr">
        <is>
          <t>Alta</t>
        </is>
      </c>
      <c r="T1745" s="18" t="inlineStr">
        <is>
          <t>código: internal-institutional-control-service/src/esap/informes-ley/entities/informe-ley.entity.ts:69</t>
        </is>
      </c>
      <c r="U1745" s="18" t="inlineStr"/>
      <c r="V1745" s="19" t="inlineStr">
        <is>
          <t>Aprobada</t>
        </is>
      </c>
      <c r="W1745" s="19" t="inlineStr"/>
      <c r="X1745" s="19" t="inlineStr">
        <is>
          <t>Aldair González (aprobación en bloque)</t>
        </is>
      </c>
      <c r="Y1745" s="20" t="n">
        <v>46321</v>
      </c>
      <c r="Z1745" s="19" t="inlineStr">
        <is>
          <t>Nivel 1: propuesta del comentario del desarrollador o de confianza alta, o regla de fecha/responsable/motivo.</t>
        </is>
      </c>
      <c r="AA1745" s="18">
        <f>IF(OR(V1745="Aprobada"),R1745,IF(AND(OR(V1745="Aprobada con ajuste",V1745="Rechazada"),W1745&lt;&gt;""),W1745,""))</f>
        <v/>
      </c>
    </row>
    <row r="1746">
      <c r="A1746" s="18" t="inlineStr">
        <is>
          <t>C1745</t>
        </is>
      </c>
      <c r="B1746" s="18" t="inlineStr">
        <is>
          <t>Control interno</t>
        </is>
      </c>
      <c r="C1746" s="18" t="inlineStr">
        <is>
          <t>control_interno</t>
        </is>
      </c>
      <c r="D1746" s="18" t="inlineStr">
        <is>
          <t>informe_ley</t>
        </is>
      </c>
      <c r="E1746" s="18" t="n">
        <v>16</v>
      </c>
      <c r="F1746" s="18" t="inlineStr">
        <is>
          <t>url_plantilla</t>
        </is>
      </c>
      <c r="G1746" s="18" t="inlineStr">
        <is>
          <t>character varying(500)</t>
        </is>
      </c>
      <c r="H1746" s="18" t="inlineStr">
        <is>
          <t>Sí</t>
        </is>
      </c>
      <c r="I1746" s="18" t="inlineStr"/>
      <c r="J1746" s="18" t="inlineStr"/>
      <c r="K1746" s="18" t="inlineStr"/>
      <c r="L1746" s="18" t="inlineStr">
        <is>
          <t>No</t>
        </is>
      </c>
      <c r="M1746" s="18" t="inlineStr">
        <is>
          <t>No</t>
        </is>
      </c>
      <c r="N1746" s="18" t="inlineStr"/>
      <c r="O1746" s="18" t="inlineStr"/>
      <c r="P1746" s="18" t="inlineStr">
        <is>
          <t>Mapeada en internal-institutional-control-service/src/esap/informes-ley/entities/informe-ley.entity.ts:72 (InformeLey.urlPlantilla) | Validación: IsOptional, IsString, Length(0, 500)</t>
        </is>
      </c>
      <c r="Q1746" s="18" t="inlineStr">
        <is>
          <t>Propuesta semántica</t>
        </is>
      </c>
      <c r="R1746" s="18" t="inlineStr">
        <is>
          <t>URL de la plantilla del informe.</t>
        </is>
      </c>
      <c r="S1746" s="18" t="inlineStr">
        <is>
          <t>Alta</t>
        </is>
      </c>
      <c r="T1746" s="18" t="inlineStr">
        <is>
          <t>nombre + columnas vecinas (tiene_plantilla) ~</t>
        </is>
      </c>
      <c r="U1746" s="18" t="inlineStr"/>
      <c r="V1746" s="19" t="inlineStr">
        <is>
          <t>Aprobada</t>
        </is>
      </c>
      <c r="W1746" s="19" t="inlineStr"/>
      <c r="X1746" s="19" t="inlineStr">
        <is>
          <t>Aldair González (aprobación en bloque)</t>
        </is>
      </c>
      <c r="Y1746" s="20" t="n">
        <v>46321</v>
      </c>
      <c r="Z1746" s="19" t="inlineStr">
        <is>
          <t>Nivel 1: propuesta del comentario del desarrollador o de confianza alta, o regla de fecha/responsable/motivo.</t>
        </is>
      </c>
      <c r="AA1746" s="18">
        <f>IF(OR(V1746="Aprobada"),R1746,IF(AND(OR(V1746="Aprobada con ajuste",V1746="Rechazada"),W1746&lt;&gt;""),W1746,""))</f>
        <v/>
      </c>
    </row>
    <row r="1747">
      <c r="A1747" s="18" t="inlineStr">
        <is>
          <t>C1746</t>
        </is>
      </c>
      <c r="B1747" s="18" t="inlineStr">
        <is>
          <t>Control interno</t>
        </is>
      </c>
      <c r="C1747" s="18" t="inlineStr">
        <is>
          <t>control_interno</t>
        </is>
      </c>
      <c r="D1747" s="18" t="inlineStr">
        <is>
          <t>informe_ley</t>
        </is>
      </c>
      <c r="E1747" s="18" t="n">
        <v>16</v>
      </c>
      <c r="F1747" s="18" t="inlineStr">
        <is>
          <t>requiere_aprobacion</t>
        </is>
      </c>
      <c r="G1747" s="18" t="inlineStr">
        <is>
          <t>boolean</t>
        </is>
      </c>
      <c r="H1747" s="18" t="inlineStr">
        <is>
          <t>Sí</t>
        </is>
      </c>
      <c r="I1747" s="18" t="inlineStr"/>
      <c r="J1747" s="18" t="inlineStr"/>
      <c r="K1747" s="18" t="inlineStr"/>
      <c r="L1747" s="18" t="inlineStr">
        <is>
          <t>No</t>
        </is>
      </c>
      <c r="M1747" s="18" t="inlineStr">
        <is>
          <t>No</t>
        </is>
      </c>
      <c r="N1747" s="18" t="inlineStr"/>
      <c r="O1747" s="18" t="inlineStr"/>
      <c r="P1747" s="18" t="inlineStr">
        <is>
          <t>internal-institutional-control-service/src/esap/informes-ley/entities/informe-ley.entity.ts:76: Configuración | Validación: IsBoolean, IsOptional</t>
        </is>
      </c>
      <c r="Q1747" s="18" t="inlineStr">
        <is>
          <t>Código fuente</t>
        </is>
      </c>
      <c r="R1747" s="18" t="inlineStr">
        <is>
          <t>Indica si el informe requiere aprobación; por defecto verdadero.</t>
        </is>
      </c>
      <c r="S1747" s="18" t="inlineStr">
        <is>
          <t>Alta</t>
        </is>
      </c>
      <c r="T1747" s="18" t="inlineStr">
        <is>
          <t>nombre + tipo + columnas vecinas</t>
        </is>
      </c>
      <c r="U1747" s="18" t="inlineStr"/>
      <c r="V1747" s="19" t="inlineStr">
        <is>
          <t>Aprobada</t>
        </is>
      </c>
      <c r="W1747" s="19" t="inlineStr"/>
      <c r="X1747" s="19" t="inlineStr">
        <is>
          <t>Aldair González (aprobación en bloque)</t>
        </is>
      </c>
      <c r="Y1747" s="20" t="n">
        <v>46321</v>
      </c>
      <c r="Z1747" s="19" t="inlineStr">
        <is>
          <t>Nivel 1: propuesta del comentario del desarrollador o de confianza alta, o regla de fecha/responsable/motivo.</t>
        </is>
      </c>
      <c r="AA1747" s="18">
        <f>IF(OR(V1747="Aprobada"),R1747,IF(AND(OR(V1747="Aprobada con ajuste",V1747="Rechazada"),W1747&lt;&gt;""),W1747,""))</f>
        <v/>
      </c>
    </row>
    <row r="1748">
      <c r="A1748" s="18" t="inlineStr">
        <is>
          <t>C1747</t>
        </is>
      </c>
      <c r="B1748" s="18" t="inlineStr">
        <is>
          <t>Control interno</t>
        </is>
      </c>
      <c r="C1748" s="18" t="inlineStr">
        <is>
          <t>control_interno</t>
        </is>
      </c>
      <c r="D1748" s="18" t="inlineStr">
        <is>
          <t>informe_ley</t>
        </is>
      </c>
      <c r="E1748" s="18" t="n">
        <v>16</v>
      </c>
      <c r="F1748" s="18" t="inlineStr">
        <is>
          <t>dias_anticipacion_alerta</t>
        </is>
      </c>
      <c r="G1748" s="18" t="inlineStr">
        <is>
          <t>integer</t>
        </is>
      </c>
      <c r="H1748" s="18" t="inlineStr">
        <is>
          <t>Sí</t>
        </is>
      </c>
      <c r="I1748" s="18" t="inlineStr"/>
      <c r="J1748" s="18" t="inlineStr"/>
      <c r="K1748" s="18" t="inlineStr"/>
      <c r="L1748" s="18" t="inlineStr">
        <is>
          <t>No</t>
        </is>
      </c>
      <c r="M1748" s="18" t="inlineStr">
        <is>
          <t>No</t>
        </is>
      </c>
      <c r="N1748" s="18" t="inlineStr"/>
      <c r="O1748" s="18" t="inlineStr"/>
      <c r="P1748" s="18" t="inlineStr">
        <is>
          <t>Mapeada en internal-institutional-control-service/src/esap/informes-ley/entities/informe-ley.entity.ts:79 (InformeLey.diasAnticipacionAlerta) | Validación: IsInt, IsOptional, Max(90), Min(0), Min(1)</t>
        </is>
      </c>
      <c r="Q1748" s="18" t="inlineStr">
        <is>
          <t>Código fuente (verificado)</t>
        </is>
      </c>
      <c r="R1748" s="18" t="inlineStr">
        <is>
          <t>Días de anticipación con que se alerta el vencimiento del informe, de 1 a 90; 7 por defecto.</t>
        </is>
      </c>
      <c r="S1748" s="18" t="inlineStr">
        <is>
          <t>Alta</t>
        </is>
      </c>
      <c r="T1748" s="18" t="inlineStr">
        <is>
          <t>backend/internal-institutional-control-service/src/esap/informes-ley/dto/create-informe-ley.dto.ts:80-83 y update-informe-ley.dto.ts:79-82: IsInt, Min(1), Max(90) | backend/internal-institutional-control-service/src/esap/informes-ley/informes-ley.service.ts:88: 7 si no se envía | Min(0) corresponde a etapa_kanban (tableros-kanban/dto/create-etapa-kanban.dto.ts:38)</t>
        </is>
      </c>
      <c r="U1748" s="18" t="inlineStr"/>
      <c r="V1748" s="19" t="inlineStr">
        <is>
          <t>Aprobada</t>
        </is>
      </c>
      <c r="W1748" s="19" t="inlineStr"/>
      <c r="X1748" s="19" t="inlineStr">
        <is>
          <t>Aldair González (aprobación en bloque)</t>
        </is>
      </c>
      <c r="Y1748" s="20" t="n">
        <v>46321</v>
      </c>
      <c r="Z1748" s="19" t="inlineStr">
        <is>
          <t>Nivel 3: verificada con el código de la aplicación.</t>
        </is>
      </c>
      <c r="AA1748" s="18">
        <f>IF(OR(V1748="Aprobada"),R1748,IF(AND(OR(V1748="Aprobada con ajuste",V1748="Rechazada"),W1748&lt;&gt;""),W1748,""))</f>
        <v/>
      </c>
    </row>
    <row r="1749">
      <c r="A1749" s="18" t="inlineStr">
        <is>
          <t>C1748</t>
        </is>
      </c>
      <c r="B1749" s="18" t="inlineStr">
        <is>
          <t>Control interno</t>
        </is>
      </c>
      <c r="C1749" s="18" t="inlineStr">
        <is>
          <t>control_interno</t>
        </is>
      </c>
      <c r="D1749" s="18" t="inlineStr">
        <is>
          <t>informe_ley</t>
        </is>
      </c>
      <c r="E1749" s="18" t="n">
        <v>16</v>
      </c>
      <c r="F1749" s="18" t="inlineStr">
        <is>
          <t>activo</t>
        </is>
      </c>
      <c r="G1749" s="18" t="inlineStr">
        <is>
          <t>boolean</t>
        </is>
      </c>
      <c r="H1749" s="18" t="inlineStr">
        <is>
          <t>Sí</t>
        </is>
      </c>
      <c r="I1749" s="18" t="inlineStr"/>
      <c r="J1749" s="18" t="inlineStr"/>
      <c r="K1749" s="18" t="inlineStr"/>
      <c r="L1749" s="18" t="inlineStr">
        <is>
          <t>No</t>
        </is>
      </c>
      <c r="M1749" s="18" t="inlineStr">
        <is>
          <t>No</t>
        </is>
      </c>
      <c r="N1749" s="18" t="inlineStr"/>
      <c r="O1749" s="18" t="inlineStr"/>
      <c r="P1749" s="18" t="inlineStr">
        <is>
          <t>Mapeada en internal-institutional-control-service/src/esap/informes-ley/entities/informe-ley.entity.ts:82 (InformeLey.activo) | Validación: IsBoolean, IsOptional</t>
        </is>
      </c>
      <c r="Q1749" s="18" t="inlineStr">
        <is>
          <t>Regla estructural (redacción revisada)</t>
        </is>
      </c>
      <c r="R1749" s="18" t="inlineStr">
        <is>
          <t>Indica si el informe de ley está activo.</t>
        </is>
      </c>
      <c r="S1749" s="18" t="inlineStr">
        <is>
          <t>Alta</t>
        </is>
      </c>
      <c r="T1749" s="18" t="inlineStr">
        <is>
          <t>Convención de nombre, redactada con el contexto de la tabla y el código.</t>
        </is>
      </c>
      <c r="U1749" s="18" t="inlineStr"/>
      <c r="V1749" s="19" t="inlineStr">
        <is>
          <t>Aprobada</t>
        </is>
      </c>
      <c r="W1749" s="19" t="inlineStr"/>
      <c r="X1749" s="19" t="inlineStr">
        <is>
          <t>Aldair González (aprobación en bloque)</t>
        </is>
      </c>
      <c r="Y1749" s="20" t="n">
        <v>46321</v>
      </c>
      <c r="Z1749" s="19" t="inlineStr">
        <is>
          <t>Nivel 2: regla estructural con redacción revisada.</t>
        </is>
      </c>
      <c r="AA1749" s="18">
        <f>IF(OR(V1749="Aprobada"),R1749,IF(AND(OR(V1749="Aprobada con ajuste",V1749="Rechazada"),W1749&lt;&gt;""),W1749,""))</f>
        <v/>
      </c>
    </row>
    <row r="1750">
      <c r="A1750" s="18" t="inlineStr">
        <is>
          <t>C1749</t>
        </is>
      </c>
      <c r="B1750" s="18" t="inlineStr">
        <is>
          <t>Control interno</t>
        </is>
      </c>
      <c r="C1750" s="18" t="inlineStr">
        <is>
          <t>control_interno</t>
        </is>
      </c>
      <c r="D1750" s="18" t="inlineStr">
        <is>
          <t>integraciones_esap</t>
        </is>
      </c>
      <c r="E1750" s="18" t="n">
        <v>0</v>
      </c>
      <c r="F1750" s="18" t="inlineStr">
        <is>
          <t>nombre</t>
        </is>
      </c>
      <c r="G1750" s="18" t="inlineStr">
        <is>
          <t>character varying(255)</t>
        </is>
      </c>
      <c r="H1750" s="18" t="inlineStr">
        <is>
          <t>No</t>
        </is>
      </c>
      <c r="I1750" s="18" t="inlineStr"/>
      <c r="J1750" s="18" t="inlineStr"/>
      <c r="K1750" s="18" t="inlineStr"/>
      <c r="L1750" s="18" t="inlineStr">
        <is>
          <t>No</t>
        </is>
      </c>
      <c r="M1750" s="18" t="inlineStr">
        <is>
          <t>No</t>
        </is>
      </c>
      <c r="N1750" s="18" t="inlineStr"/>
      <c r="O1750" s="18" t="inlineStr"/>
      <c r="P1750" s="18" t="inlineStr"/>
      <c r="Q1750" s="18" t="inlineStr">
        <is>
          <t>Regla estructural (redacción revisada)</t>
        </is>
      </c>
      <c r="R1750" s="18" t="inlineStr">
        <is>
          <t>Nombre de la integración externa.</t>
        </is>
      </c>
      <c r="S1750" s="18" t="inlineStr">
        <is>
          <t>Alta</t>
        </is>
      </c>
      <c r="T1750" s="18" t="inlineStr">
        <is>
          <t>Convención de nombre, redactada con el contexto de la tabla y el código.</t>
        </is>
      </c>
      <c r="U1750" s="18" t="inlineStr"/>
      <c r="V1750" s="19" t="inlineStr">
        <is>
          <t>Aprobada</t>
        </is>
      </c>
      <c r="W1750" s="19" t="inlineStr"/>
      <c r="X1750" s="19" t="inlineStr">
        <is>
          <t>Aldair González (aprobación en bloque)</t>
        </is>
      </c>
      <c r="Y1750" s="20" t="n">
        <v>46321</v>
      </c>
      <c r="Z1750" s="19" t="inlineStr">
        <is>
          <t>Nivel 2: regla estructural con redacción revisada.</t>
        </is>
      </c>
      <c r="AA1750" s="18">
        <f>IF(OR(V1750="Aprobada"),R1750,IF(AND(OR(V1750="Aprobada con ajuste",V1750="Rechazada"),W1750&lt;&gt;""),W1750,""))</f>
        <v/>
      </c>
    </row>
    <row r="1751">
      <c r="A1751" s="18" t="inlineStr">
        <is>
          <t>C1750</t>
        </is>
      </c>
      <c r="B1751" s="18" t="inlineStr">
        <is>
          <t>Control interno</t>
        </is>
      </c>
      <c r="C1751" s="18" t="inlineStr">
        <is>
          <t>control_interno</t>
        </is>
      </c>
      <c r="D1751" s="18" t="inlineStr">
        <is>
          <t>integraciones_esap</t>
        </is>
      </c>
      <c r="E1751" s="18" t="n">
        <v>0</v>
      </c>
      <c r="F1751" s="18" t="inlineStr">
        <is>
          <t>tipo</t>
        </is>
      </c>
      <c r="G1751" s="18" t="inlineStr">
        <is>
          <t>character varying(100)</t>
        </is>
      </c>
      <c r="H1751" s="18" t="inlineStr">
        <is>
          <t>No</t>
        </is>
      </c>
      <c r="I1751" s="18" t="inlineStr">
        <is>
          <t>CHECK</t>
        </is>
      </c>
      <c r="J1751" s="18" t="inlineStr">
        <is>
          <t>api, email, otro, sftp, webhook</t>
        </is>
      </c>
      <c r="K1751" s="18" t="inlineStr"/>
      <c r="L1751" s="18" t="inlineStr">
        <is>
          <t>Sí</t>
        </is>
      </c>
      <c r="M1751" s="18" t="inlineStr">
        <is>
          <t>No</t>
        </is>
      </c>
      <c r="N1751" s="18" t="inlineStr"/>
      <c r="O1751" s="18" t="inlineStr">
        <is>
          <t>idx_integraciones_tipo</t>
        </is>
      </c>
      <c r="P1751" s="18" t="inlineStr"/>
      <c r="Q1751" s="18" t="inlineStr">
        <is>
          <t>Regla estructural (redacción revisada)</t>
        </is>
      </c>
      <c r="R1751" s="18" t="inlineStr">
        <is>
          <t>Tipo de integración (api, email, sftp, webhook u otro).</t>
        </is>
      </c>
      <c r="S1751" s="18" t="inlineStr">
        <is>
          <t>Alta</t>
        </is>
      </c>
      <c r="T1751" s="18" t="inlineStr">
        <is>
          <t>Convención de nombre, redactada con el contexto de la tabla y el código.</t>
        </is>
      </c>
      <c r="U1751" s="18" t="inlineStr"/>
      <c r="V1751" s="19" t="inlineStr">
        <is>
          <t>Aprobada</t>
        </is>
      </c>
      <c r="W1751" s="19" t="inlineStr"/>
      <c r="X1751" s="19" t="inlineStr">
        <is>
          <t>Aldair González (aprobación en bloque)</t>
        </is>
      </c>
      <c r="Y1751" s="20" t="n">
        <v>46321</v>
      </c>
      <c r="Z1751" s="19" t="inlineStr">
        <is>
          <t>Nivel 2: regla estructural con redacción revisada.</t>
        </is>
      </c>
      <c r="AA1751" s="18">
        <f>IF(OR(V1751="Aprobada"),R1751,IF(AND(OR(V1751="Aprobada con ajuste",V1751="Rechazada"),W1751&lt;&gt;""),W1751,""))</f>
        <v/>
      </c>
    </row>
    <row r="1752">
      <c r="A1752" s="18" t="inlineStr">
        <is>
          <t>C1751</t>
        </is>
      </c>
      <c r="B1752" s="18" t="inlineStr">
        <is>
          <t>Control interno</t>
        </is>
      </c>
      <c r="C1752" s="18" t="inlineStr">
        <is>
          <t>control_interno</t>
        </is>
      </c>
      <c r="D1752" s="18" t="inlineStr">
        <is>
          <t>integraciones_esap</t>
        </is>
      </c>
      <c r="E1752" s="18" t="n">
        <v>0</v>
      </c>
      <c r="F1752" s="18" t="inlineStr">
        <is>
          <t>configuracion</t>
        </is>
      </c>
      <c r="G1752" s="18" t="inlineStr">
        <is>
          <t>jsonb</t>
        </is>
      </c>
      <c r="H1752" s="18" t="inlineStr">
        <is>
          <t>No</t>
        </is>
      </c>
      <c r="I1752" s="18" t="inlineStr"/>
      <c r="J1752" s="18" t="inlineStr"/>
      <c r="K1752" s="18" t="inlineStr"/>
      <c r="L1752" s="18" t="inlineStr">
        <is>
          <t>No</t>
        </is>
      </c>
      <c r="M1752" s="18" t="inlineStr">
        <is>
          <t>No</t>
        </is>
      </c>
      <c r="N1752" s="18" t="inlineStr"/>
      <c r="O1752" s="18" t="inlineStr"/>
      <c r="P1752" s="18" t="inlineStr"/>
      <c r="Q1752" s="18" t="inlineStr">
        <is>
          <t>Código fuente (verificado)</t>
        </is>
      </c>
      <c r="R1752" s="18" t="inlineStr">
        <is>
          <t>Parámetros de configuración de la integración externa, en formato JSON.</t>
        </is>
      </c>
      <c r="S1752" s="18" t="inlineStr">
        <is>
          <t>Media</t>
        </is>
      </c>
      <c r="T1752" s="18" t="inlineStr">
        <is>
          <t>db/init/005_control_interno_ddl_20260129_215540.sql:2094-2103: tabla con tipo api, webhook, sftp, email u otro; la tabla no tiene entidad ni consultas en el backend</t>
        </is>
      </c>
      <c r="U1752" s="18" t="inlineStr">
        <is>
          <t>¿Qué estructura tiene el JSON de configuración y si guarda credenciales o secretos? El backend no usa control_interno.integraciones_esap.</t>
        </is>
      </c>
      <c r="V1752" s="19" t="inlineStr">
        <is>
          <t>Aprobada</t>
        </is>
      </c>
      <c r="W1752" s="19" t="inlineStr"/>
      <c r="X1752" s="19" t="inlineStr">
        <is>
          <t>Aldair González (validación del responsable de BD)</t>
        </is>
      </c>
      <c r="Y1752" s="20" t="n">
        <v>46321</v>
      </c>
      <c r="Z1752" s="19" t="inlineStr">
        <is>
          <t>Nivel 3: validada por decisión del responsable de la base de datos. Pregunta registrada para desarrollo: ¿Qué estructura tiene el JSON de configuración y si guarda credenciales o secretos? El backend no usa control_interno.integraciones_esap.</t>
        </is>
      </c>
      <c r="AA1752" s="18">
        <f>IF(OR(V1752="Aprobada"),R1752,IF(AND(OR(V1752="Aprobada con ajuste",V1752="Rechazada"),W1752&lt;&gt;""),W1752,""))</f>
        <v/>
      </c>
    </row>
    <row r="1753">
      <c r="A1753" s="18" t="inlineStr">
        <is>
          <t>C1752</t>
        </is>
      </c>
      <c r="B1753" s="18" t="inlineStr">
        <is>
          <t>Control interno</t>
        </is>
      </c>
      <c r="C1753" s="18" t="inlineStr">
        <is>
          <t>control_interno</t>
        </is>
      </c>
      <c r="D1753" s="18" t="inlineStr">
        <is>
          <t>integraciones_esap</t>
        </is>
      </c>
      <c r="E1753" s="18" t="n">
        <v>0</v>
      </c>
      <c r="F1753" s="18" t="inlineStr">
        <is>
          <t>activa</t>
        </is>
      </c>
      <c r="G1753" s="18" t="inlineStr">
        <is>
          <t>boolean</t>
        </is>
      </c>
      <c r="H1753" s="18" t="inlineStr">
        <is>
          <t>Sí</t>
        </is>
      </c>
      <c r="I1753" s="18" t="inlineStr"/>
      <c r="J1753" s="18" t="inlineStr"/>
      <c r="K1753" s="18" t="inlineStr"/>
      <c r="L1753" s="18" t="inlineStr">
        <is>
          <t>No</t>
        </is>
      </c>
      <c r="M1753" s="18" t="inlineStr">
        <is>
          <t>No</t>
        </is>
      </c>
      <c r="N1753" s="18" t="inlineStr"/>
      <c r="O1753" s="18" t="inlineStr">
        <is>
          <t>idx_integraciones_activa</t>
        </is>
      </c>
      <c r="P1753" s="18" t="inlineStr"/>
      <c r="Q1753" s="18" t="inlineStr">
        <is>
          <t>Regla estructural (redacción revisada)</t>
        </is>
      </c>
      <c r="R1753" s="18" t="inlineStr">
        <is>
          <t>Indica si la integración está activa.</t>
        </is>
      </c>
      <c r="S1753" s="18" t="inlineStr">
        <is>
          <t>Alta</t>
        </is>
      </c>
      <c r="T1753" s="18" t="inlineStr">
        <is>
          <t>Convención de nombre, redactada con el contexto de la tabla y el código.</t>
        </is>
      </c>
      <c r="U1753" s="18" t="inlineStr"/>
      <c r="V1753" s="19" t="inlineStr">
        <is>
          <t>Aprobada</t>
        </is>
      </c>
      <c r="W1753" s="19" t="inlineStr"/>
      <c r="X1753" s="19" t="inlineStr">
        <is>
          <t>Aldair González (aprobación en bloque)</t>
        </is>
      </c>
      <c r="Y1753" s="20" t="n">
        <v>46321</v>
      </c>
      <c r="Z1753" s="19" t="inlineStr">
        <is>
          <t>Nivel 2: regla estructural con redacción revisada.</t>
        </is>
      </c>
      <c r="AA1753" s="18">
        <f>IF(OR(V1753="Aprobada"),R1753,IF(AND(OR(V1753="Aprobada con ajuste",V1753="Rechazada"),W1753&lt;&gt;""),W1753,""))</f>
        <v/>
      </c>
    </row>
    <row r="1754">
      <c r="A1754" s="18" t="inlineStr">
        <is>
          <t>C1753</t>
        </is>
      </c>
      <c r="B1754" s="18" t="inlineStr">
        <is>
          <t>Control interno</t>
        </is>
      </c>
      <c r="C1754" s="18" t="inlineStr">
        <is>
          <t>control_interno</t>
        </is>
      </c>
      <c r="D1754" s="18" t="inlineStr">
        <is>
          <t>integraciones_esap</t>
        </is>
      </c>
      <c r="E1754" s="18" t="n">
        <v>0</v>
      </c>
      <c r="F1754" s="18" t="inlineStr">
        <is>
          <t>ultima_sincronizacion</t>
        </is>
      </c>
      <c r="G1754" s="18" t="inlineStr">
        <is>
          <t>timestamp without time zone</t>
        </is>
      </c>
      <c r="H1754" s="18" t="inlineStr">
        <is>
          <t>Sí</t>
        </is>
      </c>
      <c r="I1754" s="18" t="inlineStr"/>
      <c r="J1754" s="18" t="inlineStr"/>
      <c r="K1754" s="18" t="inlineStr"/>
      <c r="L1754" s="18" t="inlineStr">
        <is>
          <t>No</t>
        </is>
      </c>
      <c r="M1754" s="18" t="inlineStr">
        <is>
          <t>No</t>
        </is>
      </c>
      <c r="N1754" s="18" t="inlineStr"/>
      <c r="O1754" s="18" t="inlineStr"/>
      <c r="P1754" s="18" t="inlineStr"/>
      <c r="Q1754" s="18" t="inlineStr">
        <is>
          <t>Propuesta semántica</t>
        </is>
      </c>
      <c r="R1754" s="18" t="inlineStr">
        <is>
          <t>Fecha y hora de la última sincronización ejecutada con la integración externa.</t>
        </is>
      </c>
      <c r="S1754" s="18" t="inlineStr">
        <is>
          <t>Alta</t>
        </is>
      </c>
      <c r="T1754" s="18" t="inlineStr">
        <is>
          <t>nombre + tipo + columnas vecinas</t>
        </is>
      </c>
      <c r="U1754" s="18" t="inlineStr"/>
      <c r="V1754" s="19" t="inlineStr">
        <is>
          <t>Aprobada</t>
        </is>
      </c>
      <c r="W1754" s="19" t="inlineStr"/>
      <c r="X1754" s="19" t="inlineStr">
        <is>
          <t>Aldair González (aprobación en bloque)</t>
        </is>
      </c>
      <c r="Y1754" s="20" t="n">
        <v>46321</v>
      </c>
      <c r="Z1754" s="19" t="inlineStr">
        <is>
          <t>Nivel 1: propuesta del comentario del desarrollador o de confianza alta, o regla de fecha/responsable/motivo.</t>
        </is>
      </c>
      <c r="AA1754" s="18">
        <f>IF(OR(V1754="Aprobada"),R1754,IF(AND(OR(V1754="Aprobada con ajuste",V1754="Rechazada"),W1754&lt;&gt;""),W1754,""))</f>
        <v/>
      </c>
    </row>
    <row r="1755">
      <c r="A1755" s="18" t="inlineStr">
        <is>
          <t>C1754</t>
        </is>
      </c>
      <c r="B1755" s="18" t="inlineStr">
        <is>
          <t>Control interno</t>
        </is>
      </c>
      <c r="C1755" s="18" t="inlineStr">
        <is>
          <t>control_interno</t>
        </is>
      </c>
      <c r="D1755" s="18" t="inlineStr">
        <is>
          <t>lista_aplicada</t>
        </is>
      </c>
      <c r="E1755" s="18" t="n">
        <v>0</v>
      </c>
      <c r="F1755" s="18" t="inlineStr">
        <is>
          <t>lista_chequeo_id</t>
        </is>
      </c>
      <c r="G1755" s="18" t="inlineStr">
        <is>
          <t>uuid</t>
        </is>
      </c>
      <c r="H1755" s="18" t="inlineStr">
        <is>
          <t>No</t>
        </is>
      </c>
      <c r="I1755" s="18" t="inlineStr"/>
      <c r="J1755" s="18" t="inlineStr"/>
      <c r="K1755" s="18" t="inlineStr"/>
      <c r="L1755" s="18" t="inlineStr">
        <is>
          <t>No</t>
        </is>
      </c>
      <c r="M1755" s="18" t="inlineStr">
        <is>
          <t>No</t>
        </is>
      </c>
      <c r="N1755" s="18" t="inlineStr"/>
      <c r="O1755" s="18" t="inlineStr"/>
      <c r="P1755" s="18" t="inlineStr"/>
      <c r="Q1755" s="18" t="inlineStr">
        <is>
          <t>Código fuente (verificado)</t>
        </is>
      </c>
      <c r="R1755" s="18" t="inlineStr">
        <is>
          <t>Identificador de la lista de chequeo aplicada (control_interno.lista_chequeo).</t>
        </is>
      </c>
      <c r="S1755" s="18" t="inlineStr">
        <is>
          <t>Media</t>
        </is>
      </c>
      <c r="T1755" s="18" t="inlineStr">
        <is>
          <t>db/init/005_control_interno_ddl_20260129_215540.sql:2149-2161: lista_aplicada sin FK declarada; la tabla no tiene entidad ni consultas en el backend</t>
        </is>
      </c>
      <c r="U1755" s="18" t="inlineStr">
        <is>
          <t>¿Se puede declarar la FK hacia control_interno.lista_chequeo(id)? El backend no usa lista_aplicada; las aplicaciones se registran en lista_chequeo.auditoria_id (listas-chequeo.service.ts:710-729).</t>
        </is>
      </c>
      <c r="V1755" s="19" t="inlineStr">
        <is>
          <t>Aprobada</t>
        </is>
      </c>
      <c r="W1755" s="19" t="inlineStr"/>
      <c r="X1755" s="19" t="inlineStr">
        <is>
          <t>Aldair González (validación del responsable de BD)</t>
        </is>
      </c>
      <c r="Y1755" s="20" t="n">
        <v>46321</v>
      </c>
      <c r="Z1755" s="19" t="inlineStr">
        <is>
          <t>Nivel 3: validada por decisión del responsable de la base de datos. Pregunta registrada para desarrollo: ¿Se puede declarar la FK hacia control_interno.lista_chequeo(id)? El backend no usa lista_aplicada; las aplicaciones se registran en lista_chequeo.auditoria_id (listas-chequeo.service.ts:710-729).</t>
        </is>
      </c>
      <c r="AA1755" s="18">
        <f>IF(OR(V1755="Aprobada"),R1755,IF(AND(OR(V1755="Aprobada con ajuste",V1755="Rechazada"),W1755&lt;&gt;""),W1755,""))</f>
        <v/>
      </c>
    </row>
    <row r="1756">
      <c r="A1756" s="18" t="inlineStr">
        <is>
          <t>C1755</t>
        </is>
      </c>
      <c r="B1756" s="18" t="inlineStr">
        <is>
          <t>Control interno</t>
        </is>
      </c>
      <c r="C1756" s="18" t="inlineStr">
        <is>
          <t>control_interno</t>
        </is>
      </c>
      <c r="D1756" s="18" t="inlineStr">
        <is>
          <t>lista_aplicada</t>
        </is>
      </c>
      <c r="E1756" s="18" t="n">
        <v>0</v>
      </c>
      <c r="F1756" s="18" t="inlineStr">
        <is>
          <t>lista_chequeo_codigo</t>
        </is>
      </c>
      <c r="G1756" s="18" t="inlineStr">
        <is>
          <t>character varying(255)</t>
        </is>
      </c>
      <c r="H1756" s="18" t="inlineStr">
        <is>
          <t>No</t>
        </is>
      </c>
      <c r="I1756" s="18" t="inlineStr"/>
      <c r="J1756" s="18" t="inlineStr"/>
      <c r="K1756" s="18" t="inlineStr"/>
      <c r="L1756" s="18" t="inlineStr">
        <is>
          <t>No</t>
        </is>
      </c>
      <c r="M1756" s="18" t="inlineStr">
        <is>
          <t>No</t>
        </is>
      </c>
      <c r="N1756" s="18" t="inlineStr"/>
      <c r="O1756" s="18" t="inlineStr"/>
      <c r="P1756" s="18" t="inlineStr"/>
      <c r="Q1756" s="18" t="inlineStr">
        <is>
          <t>Código fuente (verificado)</t>
        </is>
      </c>
      <c r="R1756" s="18" t="inlineStr">
        <is>
          <t>Código de la lista de chequeo aplicada.</t>
        </is>
      </c>
      <c r="S1756" s="18" t="inlineStr">
        <is>
          <t>Media</t>
        </is>
      </c>
      <c r="T1756" s="18" t="inlineStr">
        <is>
          <t>db/init/005_control_interno_ddl_20260129_215540.sql:2149-2161: lista_aplicada sin FK declarada; la tabla no tiene entidad ni consultas en el backend</t>
        </is>
      </c>
      <c r="U1756" s="18" t="inlineStr">
        <is>
          <t>¿Es una copia del código de lista_chequeo al aplicar o se actualiza si cambia la lista? El backend no usa lista_aplicada.</t>
        </is>
      </c>
      <c r="V1756" s="19" t="inlineStr">
        <is>
          <t>Aprobada</t>
        </is>
      </c>
      <c r="W1756" s="19" t="inlineStr"/>
      <c r="X1756" s="19" t="inlineStr">
        <is>
          <t>Aldair González (validación del responsable de BD)</t>
        </is>
      </c>
      <c r="Y1756" s="20" t="n">
        <v>46321</v>
      </c>
      <c r="Z1756" s="19" t="inlineStr">
        <is>
          <t>Nivel 3: validada por decisión del responsable de la base de datos. Pregunta registrada para desarrollo: ¿Es una copia del código de lista_chequeo al aplicar o se actualiza si cambia la lista? El backend no usa lista_aplicada.</t>
        </is>
      </c>
      <c r="AA1756" s="18">
        <f>IF(OR(V1756="Aprobada"),R1756,IF(AND(OR(V1756="Aprobada con ajuste",V1756="Rechazada"),W1756&lt;&gt;""),W1756,""))</f>
        <v/>
      </c>
    </row>
    <row r="1757">
      <c r="A1757" s="18" t="inlineStr">
        <is>
          <t>C1756</t>
        </is>
      </c>
      <c r="B1757" s="18" t="inlineStr">
        <is>
          <t>Control interno</t>
        </is>
      </c>
      <c r="C1757" s="18" t="inlineStr">
        <is>
          <t>control_interno</t>
        </is>
      </c>
      <c r="D1757" s="18" t="inlineStr">
        <is>
          <t>lista_aplicada</t>
        </is>
      </c>
      <c r="E1757" s="18" t="n">
        <v>0</v>
      </c>
      <c r="F1757" s="18" t="inlineStr">
        <is>
          <t>lista_chequeo_nombre</t>
        </is>
      </c>
      <c r="G1757" s="18" t="inlineStr">
        <is>
          <t>character varying(255)</t>
        </is>
      </c>
      <c r="H1757" s="18" t="inlineStr">
        <is>
          <t>No</t>
        </is>
      </c>
      <c r="I1757" s="18" t="inlineStr"/>
      <c r="J1757" s="18" t="inlineStr"/>
      <c r="K1757" s="18" t="inlineStr"/>
      <c r="L1757" s="18" t="inlineStr">
        <is>
          <t>No</t>
        </is>
      </c>
      <c r="M1757" s="18" t="inlineStr">
        <is>
          <t>No</t>
        </is>
      </c>
      <c r="N1757" s="18" t="inlineStr"/>
      <c r="O1757" s="18" t="inlineStr"/>
      <c r="P1757" s="18" t="inlineStr"/>
      <c r="Q1757" s="18" t="inlineStr">
        <is>
          <t>Código fuente (verificado)</t>
        </is>
      </c>
      <c r="R1757" s="18" t="inlineStr">
        <is>
          <t>Nombre de la lista de chequeo aplicada.</t>
        </is>
      </c>
      <c r="S1757" s="18" t="inlineStr">
        <is>
          <t>Media</t>
        </is>
      </c>
      <c r="T1757" s="18" t="inlineStr">
        <is>
          <t>db/init/005_control_interno_ddl_20260129_215540.sql:2149-2161: lista_aplicada sin FK declarada; la tabla no tiene entidad ni consultas en el backend</t>
        </is>
      </c>
      <c r="U1757" s="18" t="inlineStr">
        <is>
          <t>¿Es una copia del nombre de lista_chequeo al aplicar o se actualiza si cambia la lista? El backend no usa lista_aplicada.</t>
        </is>
      </c>
      <c r="V1757" s="19" t="inlineStr">
        <is>
          <t>Aprobada</t>
        </is>
      </c>
      <c r="W1757" s="19" t="inlineStr"/>
      <c r="X1757" s="19" t="inlineStr">
        <is>
          <t>Aldair González (validación del responsable de BD)</t>
        </is>
      </c>
      <c r="Y1757" s="20" t="n">
        <v>46321</v>
      </c>
      <c r="Z1757" s="19" t="inlineStr">
        <is>
          <t>Nivel 3: validada por decisión del responsable de la base de datos. Pregunta registrada para desarrollo: ¿Es una copia del nombre de lista_chequeo al aplicar o se actualiza si cambia la lista? El backend no usa lista_aplicada.</t>
        </is>
      </c>
      <c r="AA1757" s="18">
        <f>IF(OR(V1757="Aprobada"),R1757,IF(AND(OR(V1757="Aprobada con ajuste",V1757="Rechazada"),W1757&lt;&gt;""),W1757,""))</f>
        <v/>
      </c>
    </row>
    <row r="1758">
      <c r="A1758" s="18" t="inlineStr">
        <is>
          <t>C1757</t>
        </is>
      </c>
      <c r="B1758" s="18" t="inlineStr">
        <is>
          <t>Control interno</t>
        </is>
      </c>
      <c r="C1758" s="18" t="inlineStr">
        <is>
          <t>control_interno</t>
        </is>
      </c>
      <c r="D1758" s="18" t="inlineStr">
        <is>
          <t>lista_aplicada</t>
        </is>
      </c>
      <c r="E1758" s="18" t="n">
        <v>0</v>
      </c>
      <c r="F1758" s="18" t="inlineStr">
        <is>
          <t>auditoria_id</t>
        </is>
      </c>
      <c r="G1758" s="18" t="inlineStr">
        <is>
          <t>character varying(255)</t>
        </is>
      </c>
      <c r="H1758" s="18" t="inlineStr">
        <is>
          <t>No</t>
        </is>
      </c>
      <c r="I1758" s="18" t="inlineStr"/>
      <c r="J1758" s="18" t="inlineStr"/>
      <c r="K1758" s="18" t="inlineStr"/>
      <c r="L1758" s="18" t="inlineStr">
        <is>
          <t>No</t>
        </is>
      </c>
      <c r="M1758" s="18" t="inlineStr">
        <is>
          <t>No</t>
        </is>
      </c>
      <c r="N1758" s="18" t="inlineStr"/>
      <c r="O1758" s="18" t="inlineStr">
        <is>
          <t>idx_lista_aplicada_auditoria</t>
        </is>
      </c>
      <c r="P1758" s="18" t="inlineStr"/>
      <c r="Q1758" s="18" t="inlineStr">
        <is>
          <t>Código fuente (verificado)</t>
        </is>
      </c>
      <c r="R1758" s="18" t="inlineStr">
        <is>
          <t>Identificador de la auditoría en la que se aplicó la lista de chequeo.</t>
        </is>
      </c>
      <c r="S1758" s="18" t="inlineStr">
        <is>
          <t>Media</t>
        </is>
      </c>
      <c r="T1758" s="18" t="inlineStr">
        <is>
          <t>db/init/005_control_interno_ddl_20260129_215540.sql:2154: character varying(255) sin FK; la tabla no tiene entidad ni consultas en el backend</t>
        </is>
      </c>
      <c r="U1758" s="18" t="inlineStr">
        <is>
          <t>¿A qué tabla de auditorías apunta este identificador (texto) y por qué no es uuid con FK? El backend no usa lista_aplicada.</t>
        </is>
      </c>
      <c r="V1758" s="19" t="inlineStr">
        <is>
          <t>Aprobada</t>
        </is>
      </c>
      <c r="W1758" s="19" t="inlineStr"/>
      <c r="X1758" s="19" t="inlineStr">
        <is>
          <t>Aldair González (validación del responsable de BD)</t>
        </is>
      </c>
      <c r="Y1758" s="20" t="n">
        <v>46321</v>
      </c>
      <c r="Z1758" s="19" t="inlineStr">
        <is>
          <t>Nivel 3: validada por decisión del responsable de la base de datos. Pregunta registrada para desarrollo: ¿A qué tabla de auditorías apunta este identificador (texto) y por qué no es uuid con FK? El backend no usa lista_aplicada.</t>
        </is>
      </c>
      <c r="AA1758" s="18">
        <f>IF(OR(V1758="Aprobada"),R1758,IF(AND(OR(V1758="Aprobada con ajuste",V1758="Rechazada"),W1758&lt;&gt;""),W1758,""))</f>
        <v/>
      </c>
    </row>
    <row r="1759">
      <c r="A1759" s="18" t="inlineStr">
        <is>
          <t>C1758</t>
        </is>
      </c>
      <c r="B1759" s="18" t="inlineStr">
        <is>
          <t>Control interno</t>
        </is>
      </c>
      <c r="C1759" s="18" t="inlineStr">
        <is>
          <t>control_interno</t>
        </is>
      </c>
      <c r="D1759" s="18" t="inlineStr">
        <is>
          <t>lista_aplicada</t>
        </is>
      </c>
      <c r="E1759" s="18" t="n">
        <v>0</v>
      </c>
      <c r="F1759" s="18" t="inlineStr">
        <is>
          <t>fecha_aplicacion</t>
        </is>
      </c>
      <c r="G1759" s="18" t="inlineStr">
        <is>
          <t>date</t>
        </is>
      </c>
      <c r="H1759" s="18" t="inlineStr">
        <is>
          <t>No</t>
        </is>
      </c>
      <c r="I1759" s="18" t="inlineStr"/>
      <c r="J1759" s="18" t="inlineStr"/>
      <c r="K1759" s="18" t="inlineStr"/>
      <c r="L1759" s="18" t="inlineStr">
        <is>
          <t>No</t>
        </is>
      </c>
      <c r="M1759" s="18" t="inlineStr">
        <is>
          <t>No</t>
        </is>
      </c>
      <c r="N1759" s="18" t="inlineStr"/>
      <c r="O1759" s="18" t="inlineStr">
        <is>
          <t>idx_lista_aplicada_fecha</t>
        </is>
      </c>
      <c r="P1759" s="18" t="inlineStr"/>
      <c r="Q1759" s="18" t="inlineStr">
        <is>
          <t>Regla estructural (redacción revisada)</t>
        </is>
      </c>
      <c r="R1759" s="18" t="inlineStr">
        <is>
          <t>Fecha en que se aplicó la lista de chequeo.</t>
        </is>
      </c>
      <c r="S1759" s="18" t="inlineStr">
        <is>
          <t>Alta</t>
        </is>
      </c>
      <c r="T1759" s="18" t="inlineStr">
        <is>
          <t>Convención de nombre, redactada con el contexto de la tabla y el código.</t>
        </is>
      </c>
      <c r="U1759" s="18" t="inlineStr"/>
      <c r="V1759" s="19" t="inlineStr">
        <is>
          <t>Aprobada</t>
        </is>
      </c>
      <c r="W1759" s="19" t="inlineStr"/>
      <c r="X1759" s="19" t="inlineStr">
        <is>
          <t>Aldair González (aprobación en bloque)</t>
        </is>
      </c>
      <c r="Y1759" s="20" t="n">
        <v>46321</v>
      </c>
      <c r="Z1759" s="19" t="inlineStr">
        <is>
          <t>Nivel 2: regla estructural con redacción revisada.</t>
        </is>
      </c>
      <c r="AA1759" s="18">
        <f>IF(OR(V1759="Aprobada"),R1759,IF(AND(OR(V1759="Aprobada con ajuste",V1759="Rechazada"),W1759&lt;&gt;""),W1759,""))</f>
        <v/>
      </c>
    </row>
    <row r="1760">
      <c r="A1760" s="18" t="inlineStr">
        <is>
          <t>C1759</t>
        </is>
      </c>
      <c r="B1760" s="18" t="inlineStr">
        <is>
          <t>Control interno</t>
        </is>
      </c>
      <c r="C1760" s="18" t="inlineStr">
        <is>
          <t>control_interno</t>
        </is>
      </c>
      <c r="D1760" s="18" t="inlineStr">
        <is>
          <t>lista_aplicada</t>
        </is>
      </c>
      <c r="E1760" s="18" t="n">
        <v>0</v>
      </c>
      <c r="F1760" s="18" t="inlineStr">
        <is>
          <t>aplicado_por</t>
        </is>
      </c>
      <c r="G1760" s="18" t="inlineStr">
        <is>
          <t>character varying(255)</t>
        </is>
      </c>
      <c r="H1760" s="18" t="inlineStr">
        <is>
          <t>No</t>
        </is>
      </c>
      <c r="I1760" s="18" t="inlineStr"/>
      <c r="J1760" s="18" t="inlineStr"/>
      <c r="K1760" s="18" t="inlineStr"/>
      <c r="L1760" s="18" t="inlineStr">
        <is>
          <t>No</t>
        </is>
      </c>
      <c r="M1760" s="18" t="inlineStr">
        <is>
          <t>No</t>
        </is>
      </c>
      <c r="N1760" s="18" t="inlineStr"/>
      <c r="O1760" s="18" t="inlineStr"/>
      <c r="P1760" s="18" t="inlineStr"/>
      <c r="Q1760" s="18" t="inlineStr">
        <is>
          <t>Código fuente (verificado)</t>
        </is>
      </c>
      <c r="R1760" s="18" t="inlineStr">
        <is>
          <t>Usuario que aplicó la lista de chequeo.</t>
        </is>
      </c>
      <c r="S1760" s="18" t="inlineStr">
        <is>
          <t>Media</t>
        </is>
      </c>
      <c r="T1760" s="18" t="inlineStr">
        <is>
          <t>db/init/005_control_interno_ddl_20260129_215540.sql:2149-2161: lista_aplicada sin FK declarada; la tabla no tiene entidad ni consultas en el backend</t>
        </is>
      </c>
      <c r="U1760" s="18" t="inlineStr">
        <is>
          <t>¿Guarda el identificador, el nombre o el correo del usuario? El backend no usa lista_aplicada.</t>
        </is>
      </c>
      <c r="V1760" s="19" t="inlineStr">
        <is>
          <t>Aprobada</t>
        </is>
      </c>
      <c r="W1760" s="19" t="inlineStr"/>
      <c r="X1760" s="19" t="inlineStr">
        <is>
          <t>Aldair González (validación del responsable de BD)</t>
        </is>
      </c>
      <c r="Y1760" s="20" t="n">
        <v>46321</v>
      </c>
      <c r="Z1760" s="19" t="inlineStr">
        <is>
          <t>Nivel 3: validada por decisión del responsable de la base de datos. Pregunta registrada para desarrollo: ¿Guarda el identificador, el nombre o el correo del usuario? El backend no usa lista_aplicada.</t>
        </is>
      </c>
      <c r="AA1760" s="18">
        <f>IF(OR(V1760="Aprobada"),R1760,IF(AND(OR(V1760="Aprobada con ajuste",V1760="Rechazada"),W1760&lt;&gt;""),W1760,""))</f>
        <v/>
      </c>
    </row>
    <row r="1761">
      <c r="A1761" s="18" t="inlineStr">
        <is>
          <t>C1760</t>
        </is>
      </c>
      <c r="B1761" s="18" t="inlineStr">
        <is>
          <t>Control interno</t>
        </is>
      </c>
      <c r="C1761" s="18" t="inlineStr">
        <is>
          <t>control_interno</t>
        </is>
      </c>
      <c r="D1761" s="18" t="inlineStr">
        <is>
          <t>lista_aplicada</t>
        </is>
      </c>
      <c r="E1761" s="18" t="n">
        <v>0</v>
      </c>
      <c r="F1761" s="18" t="inlineStr">
        <is>
          <t>respuestas</t>
        </is>
      </c>
      <c r="G1761" s="18" t="inlineStr">
        <is>
          <t>jsonb</t>
        </is>
      </c>
      <c r="H1761" s="18" t="inlineStr">
        <is>
          <t>No</t>
        </is>
      </c>
      <c r="I1761" s="18" t="inlineStr"/>
      <c r="J1761" s="18" t="inlineStr"/>
      <c r="K1761" s="18" t="inlineStr"/>
      <c r="L1761" s="18" t="inlineStr">
        <is>
          <t>No</t>
        </is>
      </c>
      <c r="M1761" s="18" t="inlineStr">
        <is>
          <t>No</t>
        </is>
      </c>
      <c r="N1761" s="18" t="inlineStr"/>
      <c r="O1761" s="18" t="inlineStr"/>
      <c r="P1761" s="18" t="inlineStr"/>
      <c r="Q1761" s="18" t="inlineStr">
        <is>
          <t>Código fuente (verificado)</t>
        </is>
      </c>
      <c r="R1761" s="18" t="inlineStr">
        <is>
          <t>Respuestas registradas a los ítems de la lista de chequeo, en formato JSON.</t>
        </is>
      </c>
      <c r="S1761" s="18" t="inlineStr">
        <is>
          <t>Media</t>
        </is>
      </c>
      <c r="T1761" s="18" t="inlineStr">
        <is>
          <t>db/init/005_control_interno_ddl_20260129_215540.sql:2149-2161: lista_aplicada sin FK declarada; la tabla no tiene entidad ni consultas en el backend</t>
        </is>
      </c>
      <c r="U1761" s="18" t="inlineStr">
        <is>
          <t>¿Qué estructura tiene cada respuesta (ítem, valor, observación, evidencia)? El backend no usa lista_aplicada.</t>
        </is>
      </c>
      <c r="V1761" s="19" t="inlineStr">
        <is>
          <t>Aprobada</t>
        </is>
      </c>
      <c r="W1761" s="19" t="inlineStr"/>
      <c r="X1761" s="19" t="inlineStr">
        <is>
          <t>Aldair González (validación del responsable de BD)</t>
        </is>
      </c>
      <c r="Y1761" s="20" t="n">
        <v>46321</v>
      </c>
      <c r="Z1761" s="19" t="inlineStr">
        <is>
          <t>Nivel 3: validada por decisión del responsable de la base de datos. Pregunta registrada para desarrollo: ¿Qué estructura tiene cada respuesta (ítem, valor, observación, evidencia)? El backend no usa lista_aplicada.</t>
        </is>
      </c>
      <c r="AA1761" s="18">
        <f>IF(OR(V1761="Aprobada"),R1761,IF(AND(OR(V1761="Aprobada con ajuste",V1761="Rechazada"),W1761&lt;&gt;""),W1761,""))</f>
        <v/>
      </c>
    </row>
    <row r="1762">
      <c r="A1762" s="18" t="inlineStr">
        <is>
          <t>C1761</t>
        </is>
      </c>
      <c r="B1762" s="18" t="inlineStr">
        <is>
          <t>Control interno</t>
        </is>
      </c>
      <c r="C1762" s="18" t="inlineStr">
        <is>
          <t>control_interno</t>
        </is>
      </c>
      <c r="D1762" s="18" t="inlineStr">
        <is>
          <t>lista_aplicada</t>
        </is>
      </c>
      <c r="E1762" s="18" t="n">
        <v>0</v>
      </c>
      <c r="F1762" s="18" t="inlineStr">
        <is>
          <t>resultado</t>
        </is>
      </c>
      <c r="G1762" s="18" t="inlineStr">
        <is>
          <t>jsonb</t>
        </is>
      </c>
      <c r="H1762" s="18" t="inlineStr">
        <is>
          <t>No</t>
        </is>
      </c>
      <c r="I1762" s="18" t="inlineStr"/>
      <c r="J1762" s="18" t="inlineStr"/>
      <c r="K1762" s="18" t="inlineStr"/>
      <c r="L1762" s="18" t="inlineStr">
        <is>
          <t>No</t>
        </is>
      </c>
      <c r="M1762" s="18" t="inlineStr">
        <is>
          <t>No</t>
        </is>
      </c>
      <c r="N1762" s="18" t="inlineStr"/>
      <c r="O1762" s="18" t="inlineStr"/>
      <c r="P1762" s="18" t="inlineStr"/>
      <c r="Q1762" s="18" t="inlineStr">
        <is>
          <t>Código fuente (verificado)</t>
        </is>
      </c>
      <c r="R1762" s="18" t="inlineStr">
        <is>
          <t>Resultado consolidado de la aplicación de la lista de chequeo, en formato JSON.</t>
        </is>
      </c>
      <c r="S1762" s="18" t="inlineStr">
        <is>
          <t>Media</t>
        </is>
      </c>
      <c r="T1762" s="18" t="inlineStr">
        <is>
          <t>db/init/005_control_interno_ddl_20260129_215540.sql:2149-2161: lista_aplicada sin FK declarada; la tabla no tiene entidad ni consultas en el backend</t>
        </is>
      </c>
      <c r="U1762" s="18" t="inlineStr">
        <is>
          <t>¿Qué campos componen el JSON de resultado? El backend no usa lista_aplicada.</t>
        </is>
      </c>
      <c r="V1762" s="19" t="inlineStr">
        <is>
          <t>Aprobada</t>
        </is>
      </c>
      <c r="W1762" s="19" t="inlineStr"/>
      <c r="X1762" s="19" t="inlineStr">
        <is>
          <t>Aldair González (validación del responsable de BD)</t>
        </is>
      </c>
      <c r="Y1762" s="20" t="n">
        <v>46321</v>
      </c>
      <c r="Z1762" s="19" t="inlineStr">
        <is>
          <t>Nivel 3: validada por decisión del responsable de la base de datos. Pregunta registrada para desarrollo: ¿Qué campos componen el JSON de resultado? El backend no usa lista_aplicada.</t>
        </is>
      </c>
      <c r="AA1762" s="18">
        <f>IF(OR(V1762="Aprobada"),R1762,IF(AND(OR(V1762="Aprobada con ajuste",V1762="Rechazada"),W1762&lt;&gt;""),W1762,""))</f>
        <v/>
      </c>
    </row>
    <row r="1763">
      <c r="A1763" s="18" t="inlineStr">
        <is>
          <t>C1762</t>
        </is>
      </c>
      <c r="B1763" s="18" t="inlineStr">
        <is>
          <t>Control interno</t>
        </is>
      </c>
      <c r="C1763" s="18" t="inlineStr">
        <is>
          <t>control_interno</t>
        </is>
      </c>
      <c r="D1763" s="18" t="inlineStr">
        <is>
          <t>lista_chequeo</t>
        </is>
      </c>
      <c r="E1763" s="18" t="n">
        <v>71</v>
      </c>
      <c r="F1763" s="18" t="inlineStr">
        <is>
          <t>auditoria_id</t>
        </is>
      </c>
      <c r="G1763" s="18" t="inlineStr">
        <is>
          <t>uuid</t>
        </is>
      </c>
      <c r="H1763" s="18" t="inlineStr">
        <is>
          <t>Sí</t>
        </is>
      </c>
      <c r="I1763" s="18" t="inlineStr"/>
      <c r="J1763" s="18" t="inlineStr"/>
      <c r="K1763" s="18" t="inlineStr"/>
      <c r="L1763" s="18" t="inlineStr">
        <is>
          <t>No</t>
        </is>
      </c>
      <c r="M1763" s="18" t="inlineStr">
        <is>
          <t>No</t>
        </is>
      </c>
      <c r="N1763" s="18" t="inlineStr"/>
      <c r="O1763" s="18" t="inlineStr">
        <is>
          <t>idx_lista_chequeo_auditoria_id</t>
        </is>
      </c>
      <c r="P1763" s="18" t="inlineStr">
        <is>
          <t>internal-institutional-control-service/src/esap/listas-chequeo/entities/lista-chequeo.entity.ts:138: ═══════════════════════════════════════════════════════════════════════════ CAMPOS OBLIGATORIOS EN BD EXISTENTE ═══════════════════════════════════════════════════════════════════════════ | Validación: IsNotEmpty, IsOptional, IsString, IsUUID</t>
        </is>
      </c>
      <c r="Q1763" s="18" t="inlineStr">
        <is>
          <t>Código fuente (verificado)</t>
        </is>
      </c>
      <c r="R1763" s="18" t="inlineStr">
        <is>
          <t>Identificador (UUID) de la auditoría (control_interno.auditoria.id) a la que se vincula la lista de chequeo; el backend verifica que la auditoría exista. No tiene FK declarada.</t>
        </is>
      </c>
      <c r="S1763" s="18" t="inlineStr">
        <is>
          <t>Alta</t>
        </is>
      </c>
      <c r="T1763" s="18" t="inlineStr">
        <is>
          <t>backend/internal-institutional-control-service/src/esap/listas-chequeo/listas-chequeo.service.ts:69-74: busca la auditoría por id y falla si no existe | backend/internal-institutional-control-service/src/esap/auditorias/entities/auditoria.entity.ts:73: entidad control_interno.auditoria | backend/internal-institutional-control-service/src/esap/listas-chequeo/dto/create-lista-chequeo.dto.ts: auditoriaId con IsUUID</t>
        </is>
      </c>
      <c r="U1763" s="18" t="inlineStr"/>
      <c r="V1763" s="19" t="inlineStr">
        <is>
          <t>Aprobada</t>
        </is>
      </c>
      <c r="W1763" s="19" t="inlineStr"/>
      <c r="X1763" s="19" t="inlineStr">
        <is>
          <t>Aldair González (aprobación en bloque)</t>
        </is>
      </c>
      <c r="Y1763" s="20" t="n">
        <v>46321</v>
      </c>
      <c r="Z1763" s="19" t="inlineStr">
        <is>
          <t>Nivel 3: verificada con el código de la aplicación.</t>
        </is>
      </c>
      <c r="AA1763" s="18">
        <f>IF(OR(V1763="Aprobada"),R1763,IF(AND(OR(V1763="Aprobada con ajuste",V1763="Rechazada"),W1763&lt;&gt;""),W1763,""))</f>
        <v/>
      </c>
    </row>
    <row r="1764">
      <c r="A1764" s="18" t="inlineStr">
        <is>
          <t>C1763</t>
        </is>
      </c>
      <c r="B1764" s="18" t="inlineStr">
        <is>
          <t>Control interno</t>
        </is>
      </c>
      <c r="C1764" s="18" t="inlineStr">
        <is>
          <t>control_interno</t>
        </is>
      </c>
      <c r="D1764" s="18" t="inlineStr">
        <is>
          <t>lista_chequeo</t>
        </is>
      </c>
      <c r="E1764" s="18" t="n">
        <v>71</v>
      </c>
      <c r="F1764" s="18" t="inlineStr">
        <is>
          <t>nombre_auditoria</t>
        </is>
      </c>
      <c r="G1764" s="18" t="inlineStr">
        <is>
          <t>character varying(500)</t>
        </is>
      </c>
      <c r="H1764" s="18" t="inlineStr">
        <is>
          <t>Sí</t>
        </is>
      </c>
      <c r="I1764" s="18" t="inlineStr"/>
      <c r="J1764" s="18" t="inlineStr"/>
      <c r="K1764" s="18" t="inlineStr"/>
      <c r="L1764" s="18" t="inlineStr">
        <is>
          <t>No</t>
        </is>
      </c>
      <c r="M1764" s="18" t="inlineStr">
        <is>
          <t>No</t>
        </is>
      </c>
      <c r="N1764" s="18" t="inlineStr"/>
      <c r="O1764" s="18" t="inlineStr"/>
      <c r="P1764" s="18" t="inlineStr">
        <is>
          <t>internal-institutional-control-service/src/esap/listas-chequeo/entities/lista-chequeo.entity.ts:141: ═══════════════════════════════════════════════════════════════════════════ CAMPOS OBLIGATORIOS EN BD EXISTENTE ═══════════════════════════════════════════════════════════════════════════ | Validación: IsOptional, IsString</t>
        </is>
      </c>
      <c r="Q1764" s="18" t="inlineStr">
        <is>
          <t>Código fuente (verificado)</t>
        </is>
      </c>
      <c r="R1764" s="18" t="inlineStr">
        <is>
          <t>Nombre de la auditoría a la que se vincula la lista de chequeo; lo envía el cliente al crear o vincular la lista y el backend no lo copia de la auditoría.</t>
        </is>
      </c>
      <c r="S1764" s="18" t="inlineStr">
        <is>
          <t>Alta</t>
        </is>
      </c>
      <c r="T1764" s="18" t="inlineStr">
        <is>
          <t>backend/internal-institutional-control-service/src/esap/listas-chequeo/listas-chequeo.service.ts:275,359,664: se guarda el valor recibido (createDto, updateDto o data de vincularAuditoria)</t>
        </is>
      </c>
      <c r="U1764" s="18" t="inlineStr"/>
      <c r="V1764" s="19" t="inlineStr">
        <is>
          <t>Aprobada</t>
        </is>
      </c>
      <c r="W1764" s="19" t="inlineStr"/>
      <c r="X1764" s="19" t="inlineStr">
        <is>
          <t>Aldair González (aprobación en bloque)</t>
        </is>
      </c>
      <c r="Y1764" s="20" t="n">
        <v>46321</v>
      </c>
      <c r="Z1764" s="19" t="inlineStr">
        <is>
          <t>Nivel 3: verificada con el código de la aplicación.</t>
        </is>
      </c>
      <c r="AA1764" s="18">
        <f>IF(OR(V1764="Aprobada"),R1764,IF(AND(OR(V1764="Aprobada con ajuste",V1764="Rechazada"),W1764&lt;&gt;""),W1764,""))</f>
        <v/>
      </c>
    </row>
    <row r="1765">
      <c r="A1765" s="18" t="inlineStr">
        <is>
          <t>C1764</t>
        </is>
      </c>
      <c r="B1765" s="18" t="inlineStr">
        <is>
          <t>Control interno</t>
        </is>
      </c>
      <c r="C1765" s="18" t="inlineStr">
        <is>
          <t>control_interno</t>
        </is>
      </c>
      <c r="D1765" s="18" t="inlineStr">
        <is>
          <t>lista_chequeo</t>
        </is>
      </c>
      <c r="E1765" s="18" t="n">
        <v>71</v>
      </c>
      <c r="F1765" s="18" t="inlineStr">
        <is>
          <t>auditor_responsable</t>
        </is>
      </c>
      <c r="G1765" s="18" t="inlineStr">
        <is>
          <t>character varying(255)</t>
        </is>
      </c>
      <c r="H1765" s="18" t="inlineStr">
        <is>
          <t>Sí</t>
        </is>
      </c>
      <c r="I1765" s="18" t="inlineStr"/>
      <c r="J1765" s="18" t="inlineStr"/>
      <c r="K1765" s="18" t="inlineStr"/>
      <c r="L1765" s="18" t="inlineStr">
        <is>
          <t>No</t>
        </is>
      </c>
      <c r="M1765" s="18" t="inlineStr">
        <is>
          <t>No</t>
        </is>
      </c>
      <c r="N1765" s="18" t="inlineStr"/>
      <c r="O1765" s="18" t="inlineStr"/>
      <c r="P1765" s="18" t="inlineStr">
        <is>
          <t>internal-institutional-control-service/src/esap/listas-chequeo/entities/lista-chequeo.entity.ts:144: ═══════════════════════════════════════════════════════════════════════════ CAMPOS OBLIGATORIOS EN BD EXISTENTE ═══════════════════════════════════════════════════════════════════════════ | Validación: IsOptional, IsString</t>
        </is>
      </c>
      <c r="Q1765" s="18" t="inlineStr">
        <is>
          <t>Código fuente (verificado)</t>
        </is>
      </c>
      <c r="R1765" s="18" t="inlineStr">
        <is>
          <t>Auditor responsable de aplicar la lista de chequeo.</t>
        </is>
      </c>
      <c r="S1765" s="18" t="inlineStr">
        <is>
          <t>Media</t>
        </is>
      </c>
      <c r="T1765" s="18" t="inlineStr">
        <is>
          <t>backend/internal-institutional-control-service/src/esap/listas-chequeo/listas-chequeo.service.ts:276,360,665: se guarda el texto recibido | backend/internal-institutional-control-service/src/esap/listas-chequeo/listas-chequeo.service.ts:729: en la ruta /aplicar toma el valor de aplicadoPor (texto sin validar)</t>
        </is>
      </c>
      <c r="U1765" s="18" t="inlineStr">
        <is>
          <t>¿auditor_responsable guarda el nombre o un identificador del auditor? El backend recibe texto libre.</t>
        </is>
      </c>
      <c r="V1765" s="19" t="inlineStr">
        <is>
          <t>Aprobada</t>
        </is>
      </c>
      <c r="W1765" s="19" t="inlineStr"/>
      <c r="X1765" s="19" t="inlineStr">
        <is>
          <t>Aldair González (validación del responsable de BD)</t>
        </is>
      </c>
      <c r="Y1765" s="20" t="n">
        <v>46321</v>
      </c>
      <c r="Z1765" s="19" t="inlineStr">
        <is>
          <t>Nivel 3: validada por decisión del responsable de la base de datos. Pregunta registrada para desarrollo: ¿auditor_responsable guarda el nombre o un identificador del auditor? El backend recibe texto libre.</t>
        </is>
      </c>
      <c r="AA1765" s="18">
        <f>IF(OR(V1765="Aprobada"),R1765,IF(AND(OR(V1765="Aprobada con ajuste",V1765="Rechazada"),W1765&lt;&gt;""),W1765,""))</f>
        <v/>
      </c>
    </row>
    <row r="1766">
      <c r="A1766" s="18" t="inlineStr">
        <is>
          <t>C1765</t>
        </is>
      </c>
      <c r="B1766" s="18" t="inlineStr">
        <is>
          <t>Control interno</t>
        </is>
      </c>
      <c r="C1766" s="18" t="inlineStr">
        <is>
          <t>control_interno</t>
        </is>
      </c>
      <c r="D1766" s="18" t="inlineStr">
        <is>
          <t>lista_chequeo</t>
        </is>
      </c>
      <c r="E1766" s="18" t="n">
        <v>71</v>
      </c>
      <c r="F1766" s="18" t="inlineStr">
        <is>
          <t>fecha_aplicacion</t>
        </is>
      </c>
      <c r="G1766" s="18" t="inlineStr">
        <is>
          <t>date</t>
        </is>
      </c>
      <c r="H1766" s="18" t="inlineStr">
        <is>
          <t>Sí</t>
        </is>
      </c>
      <c r="I1766" s="18" t="inlineStr"/>
      <c r="J1766" s="18" t="inlineStr"/>
      <c r="K1766" s="18" t="inlineStr"/>
      <c r="L1766" s="18" t="inlineStr">
        <is>
          <t>No</t>
        </is>
      </c>
      <c r="M1766" s="18" t="inlineStr">
        <is>
          <t>No</t>
        </is>
      </c>
      <c r="N1766" s="18" t="inlineStr"/>
      <c r="O1766" s="18" t="inlineStr"/>
      <c r="P1766" s="18" t="inlineStr">
        <is>
          <t>internal-institutional-control-service/src/esap/listas-chequeo/entities/lista-chequeo.entity.ts:147: ═══════════════════════════════════════════════════════════════════════════ CAMPOS OBLIGATORIOS EN BD EXISTENTE ═══════════════════════════════════════════════════════════════════════════</t>
        </is>
      </c>
      <c r="Q1766" s="18" t="inlineStr">
        <is>
          <t>Código fuente (verificado)</t>
        </is>
      </c>
      <c r="R1766" s="18" t="inlineStr">
        <is>
          <t>Fecha en que la lista de chequeo se vinculó a una auditoría; la asigna el backend con la fecha del momento.</t>
        </is>
      </c>
      <c r="S1766" s="18" t="inlineStr">
        <is>
          <t>Alta</t>
        </is>
      </c>
      <c r="T1766" s="18" t="inlineStr">
        <is>
          <t>backend/internal-institutional-control-service/src/esap/listas-chequeo/listas-chequeo.service.ts:277: new Date() al crear con auditoría | backend/internal-institutional-control-service/src/esap/listas-chequeo/listas-chequeo.service.ts:666,730: new Date() al vincular o aplicar</t>
        </is>
      </c>
      <c r="U1766" s="18" t="inlineStr"/>
      <c r="V1766" s="19" t="inlineStr">
        <is>
          <t>Aprobada</t>
        </is>
      </c>
      <c r="W1766" s="19" t="inlineStr"/>
      <c r="X1766" s="19" t="inlineStr">
        <is>
          <t>Aldair González (aprobación en bloque)</t>
        </is>
      </c>
      <c r="Y1766" s="20" t="n">
        <v>46321</v>
      </c>
      <c r="Z1766" s="19" t="inlineStr">
        <is>
          <t>Nivel 3: verificada con el código de la aplicación.</t>
        </is>
      </c>
      <c r="AA1766" s="18">
        <f>IF(OR(V1766="Aprobada"),R1766,IF(AND(OR(V1766="Aprobada con ajuste",V1766="Rechazada"),W1766&lt;&gt;""),W1766,""))</f>
        <v/>
      </c>
    </row>
    <row r="1767">
      <c r="A1767" s="18" t="inlineStr">
        <is>
          <t>C1766</t>
        </is>
      </c>
      <c r="B1767" s="18" t="inlineStr">
        <is>
          <t>Control interno</t>
        </is>
      </c>
      <c r="C1767" s="18" t="inlineStr">
        <is>
          <t>control_interno</t>
        </is>
      </c>
      <c r="D1767" s="18" t="inlineStr">
        <is>
          <t>lista_chequeo</t>
        </is>
      </c>
      <c r="E1767" s="18" t="n">
        <v>71</v>
      </c>
      <c r="F1767" s="18" t="inlineStr">
        <is>
          <t>fecha_diligenciamiento</t>
        </is>
      </c>
      <c r="G1767" s="18" t="inlineStr">
        <is>
          <t>date</t>
        </is>
      </c>
      <c r="H1767" s="18" t="inlineStr">
        <is>
          <t>Sí</t>
        </is>
      </c>
      <c r="I1767" s="18" t="inlineStr"/>
      <c r="J1767" s="18" t="inlineStr"/>
      <c r="K1767" s="18" t="inlineStr"/>
      <c r="L1767" s="18" t="inlineStr">
        <is>
          <t>No</t>
        </is>
      </c>
      <c r="M1767" s="18" t="inlineStr">
        <is>
          <t>No</t>
        </is>
      </c>
      <c r="N1767" s="18" t="inlineStr"/>
      <c r="O1767" s="18" t="inlineStr"/>
      <c r="P1767" s="18" t="inlineStr">
        <is>
          <t>internal-institutional-control-service/src/esap/listas-chequeo/entities/lista-chequeo.entity.ts:150: ═══════════════════════════════════════════════════════════════════════════ CAMPOS OBLIGATORIOS EN BD EXISTENTE ═══════════════════════════════════════════════════════════════════════════</t>
        </is>
      </c>
      <c r="Q1767" s="18" t="inlineStr">
        <is>
          <t>Código fuente (verificado)</t>
        </is>
      </c>
      <c r="R1767" s="18" t="inlineStr">
        <is>
          <t>Fecha en que se diligenció la lista de chequeo.</t>
        </is>
      </c>
      <c r="S1767" s="18" t="inlineStr">
        <is>
          <t>Media</t>
        </is>
      </c>
      <c r="T1767" s="18" t="inlineStr">
        <is>
          <t>backend/internal-institutional-control-service/src/esap/listas-chequeo/entities/lista-chequeo.entity.ts:150: columna mapeada; ningún servicio la escribe</t>
        </is>
      </c>
      <c r="U1767" s="18" t="inlineStr">
        <is>
          <t>¿Quién registra fecha_diligenciamiento y en qué se diferencia de fecha_aplicacion, que el backend asigna al vincular la lista a la auditoría?</t>
        </is>
      </c>
      <c r="V1767" s="19" t="inlineStr">
        <is>
          <t>Aprobada</t>
        </is>
      </c>
      <c r="W1767" s="19" t="inlineStr"/>
      <c r="X1767" s="19" t="inlineStr">
        <is>
          <t>Aldair González (validación del responsable de BD)</t>
        </is>
      </c>
      <c r="Y1767" s="20" t="n">
        <v>46321</v>
      </c>
      <c r="Z1767" s="19" t="inlineStr">
        <is>
          <t>Nivel 3: validada por decisión del responsable de la base de datos. Pregunta registrada para desarrollo: ¿Quién registra fecha_diligenciamiento y en qué se diferencia de fecha_aplicacion, que el backend asigna al vincular la lista a la auditoría?</t>
        </is>
      </c>
      <c r="AA1767" s="18">
        <f>IF(OR(V1767="Aprobada"),R1767,IF(AND(OR(V1767="Aprobada con ajuste",V1767="Rechazada"),W1767&lt;&gt;""),W1767,""))</f>
        <v/>
      </c>
    </row>
    <row r="1768">
      <c r="A1768" s="18" t="inlineStr">
        <is>
          <t>C1767</t>
        </is>
      </c>
      <c r="B1768" s="18" t="inlineStr">
        <is>
          <t>Control interno</t>
        </is>
      </c>
      <c r="C1768" s="18" t="inlineStr">
        <is>
          <t>control_interno</t>
        </is>
      </c>
      <c r="D1768" s="18" t="inlineStr">
        <is>
          <t>lista_chequeo</t>
        </is>
      </c>
      <c r="E1768" s="18" t="n">
        <v>71</v>
      </c>
      <c r="F1768" s="18" t="inlineStr">
        <is>
          <t>items_completados</t>
        </is>
      </c>
      <c r="G1768" s="18" t="inlineStr">
        <is>
          <t>integer</t>
        </is>
      </c>
      <c r="H1768" s="18" t="inlineStr">
        <is>
          <t>Sí</t>
        </is>
      </c>
      <c r="I1768" s="18" t="inlineStr"/>
      <c r="J1768" s="18" t="inlineStr"/>
      <c r="K1768" s="18" t="inlineStr"/>
      <c r="L1768" s="18" t="inlineStr">
        <is>
          <t>No</t>
        </is>
      </c>
      <c r="M1768" s="18" t="inlineStr">
        <is>
          <t>No</t>
        </is>
      </c>
      <c r="N1768" s="18" t="inlineStr"/>
      <c r="O1768" s="18" t="inlineStr"/>
      <c r="P1768" s="18" t="inlineStr">
        <is>
          <t>internal-institutional-control-service/src/esap/listas-chequeo/entities/lista-chequeo.entity.ts:153: ═══════════════════════════════════════════════════════════════════════════ CAMPOS OBLIGATORIOS EN BD EXISTENTE ═══════════════════════════════════════════════════════════════════════════</t>
        </is>
      </c>
      <c r="Q1768" s="18" t="inlineStr">
        <is>
          <t>Código fuente</t>
        </is>
      </c>
      <c r="R1768" s="18" t="inlineStr">
        <is>
          <t>Número de ítems diligenciados de la lista de chequeo. Por defecto 0.</t>
        </is>
      </c>
      <c r="S1768" s="18" t="inlineStr">
        <is>
          <t>Alta</t>
        </is>
      </c>
      <c r="T1768" s="18" t="inlineStr">
        <is>
          <t>nombre + tipo + columnas vecinas</t>
        </is>
      </c>
      <c r="U1768" s="18" t="inlineStr"/>
      <c r="V1768" s="19" t="inlineStr">
        <is>
          <t>Aprobada</t>
        </is>
      </c>
      <c r="W1768" s="19" t="inlineStr"/>
      <c r="X1768" s="19" t="inlineStr">
        <is>
          <t>Aldair González (aprobación en bloque)</t>
        </is>
      </c>
      <c r="Y1768" s="20" t="n">
        <v>46321</v>
      </c>
      <c r="Z1768" s="19" t="inlineStr">
        <is>
          <t>Nivel 1: propuesta del comentario del desarrollador o de confianza alta, o regla de fecha/responsable/motivo.</t>
        </is>
      </c>
      <c r="AA1768" s="18">
        <f>IF(OR(V1768="Aprobada"),R1768,IF(AND(OR(V1768="Aprobada con ajuste",V1768="Rechazada"),W1768&lt;&gt;""),W1768,""))</f>
        <v/>
      </c>
    </row>
    <row r="1769">
      <c r="A1769" s="18" t="inlineStr">
        <is>
          <t>C1768</t>
        </is>
      </c>
      <c r="B1769" s="18" t="inlineStr">
        <is>
          <t>Control interno</t>
        </is>
      </c>
      <c r="C1769" s="18" t="inlineStr">
        <is>
          <t>control_interno</t>
        </is>
      </c>
      <c r="D1769" s="18" t="inlineStr">
        <is>
          <t>lista_chequeo</t>
        </is>
      </c>
      <c r="E1769" s="18" t="n">
        <v>71</v>
      </c>
      <c r="F1769" s="18" t="inlineStr">
        <is>
          <t>cumplimiento</t>
        </is>
      </c>
      <c r="G1769" s="18" t="inlineStr">
        <is>
          <t>integer</t>
        </is>
      </c>
      <c r="H1769" s="18" t="inlineStr">
        <is>
          <t>Sí</t>
        </is>
      </c>
      <c r="I1769" s="18" t="inlineStr">
        <is>
          <t>CHECK</t>
        </is>
      </c>
      <c r="J1769" s="18" t="inlineStr"/>
      <c r="K1769" s="18" t="inlineStr"/>
      <c r="L1769" s="18" t="inlineStr">
        <is>
          <t>No</t>
        </is>
      </c>
      <c r="M1769" s="18" t="inlineStr">
        <is>
          <t>No</t>
        </is>
      </c>
      <c r="N1769" s="18" t="inlineStr"/>
      <c r="O1769" s="18" t="inlineStr"/>
      <c r="P1769" s="18" t="inlineStr">
        <is>
          <t>internal-institutional-control-service/src/esap/listas-chequeo/entities/lista-chequeo.entity.ts:156: ═══════════════════════════════════════════════════════════════════════════ CAMPOS OBLIGATORIOS EN BD EXISTENTE ═══════════════════════════════════════════════════════════════════════════</t>
        </is>
      </c>
      <c r="Q1769" s="18" t="inlineStr">
        <is>
          <t>Código fuente (verificado)</t>
        </is>
      </c>
      <c r="R1769" s="18" t="inlineStr">
        <is>
          <t>Porcentaje de cumplimiento de la lista de chequeo, de 0 a 100: ítems completados sobre el total de ítems, redondeado. Por defecto 0.</t>
        </is>
      </c>
      <c r="S1769" s="18" t="inlineStr">
        <is>
          <t>Alta</t>
        </is>
      </c>
      <c r="T1769" s="18" t="inlineStr">
        <is>
          <t>backend/internal-institutional-control-service/src/esap/listas-chequeo/listas-chequeo.service.ts:697-702: Math.round(itemsCompletados / totalItems * 100) | backend/internal-institutional-control-service/src/esap/listas-chequeo/listas-chequeo.service.ts:279: 0 al crear</t>
        </is>
      </c>
      <c r="U1769" s="18" t="inlineStr"/>
      <c r="V1769" s="19" t="inlineStr">
        <is>
          <t>Aprobada</t>
        </is>
      </c>
      <c r="W1769" s="19" t="inlineStr"/>
      <c r="X1769" s="19" t="inlineStr">
        <is>
          <t>Aldair González (aprobación en bloque)</t>
        </is>
      </c>
      <c r="Y1769" s="20" t="n">
        <v>46321</v>
      </c>
      <c r="Z1769" s="19" t="inlineStr">
        <is>
          <t>Nivel 3: verificada con el código de la aplicación.</t>
        </is>
      </c>
      <c r="AA1769" s="18">
        <f>IF(OR(V1769="Aprobada"),R1769,IF(AND(OR(V1769="Aprobada con ajuste",V1769="Rechazada"),W1769&lt;&gt;""),W1769,""))</f>
        <v/>
      </c>
    </row>
    <row r="1770">
      <c r="A1770" s="18" t="inlineStr">
        <is>
          <t>C1769</t>
        </is>
      </c>
      <c r="B1770" s="18" t="inlineStr">
        <is>
          <t>Control interno</t>
        </is>
      </c>
      <c r="C1770" s="18" t="inlineStr">
        <is>
          <t>control_interno</t>
        </is>
      </c>
      <c r="D1770" s="18" t="inlineStr">
        <is>
          <t>lista_chequeo</t>
        </is>
      </c>
      <c r="E1770" s="18" t="n">
        <v>71</v>
      </c>
      <c r="F1770" s="18" t="inlineStr">
        <is>
          <t>no_cumplimientos</t>
        </is>
      </c>
      <c r="G1770" s="18" t="inlineStr">
        <is>
          <t>integer</t>
        </is>
      </c>
      <c r="H1770" s="18" t="inlineStr">
        <is>
          <t>Sí</t>
        </is>
      </c>
      <c r="I1770" s="18" t="inlineStr"/>
      <c r="J1770" s="18" t="inlineStr"/>
      <c r="K1770" s="18" t="inlineStr"/>
      <c r="L1770" s="18" t="inlineStr">
        <is>
          <t>No</t>
        </is>
      </c>
      <c r="M1770" s="18" t="inlineStr">
        <is>
          <t>No</t>
        </is>
      </c>
      <c r="N1770" s="18" t="inlineStr"/>
      <c r="O1770" s="18" t="inlineStr"/>
      <c r="P1770" s="18" t="inlineStr">
        <is>
          <t>internal-institutional-control-service/src/esap/listas-chequeo/entities/lista-chequeo.entity.ts:159: ═══════════════════════════════════════════════════════════════════════════ CAMPOS OBLIGATORIOS EN BD EXISTENTE ═══════════════════════════════════════════════════════════════════════════</t>
        </is>
      </c>
      <c r="Q1770" s="18" t="inlineStr">
        <is>
          <t>Código fuente</t>
        </is>
      </c>
      <c r="R1770" s="18" t="inlineStr">
        <is>
          <t>Número de ítems evaluados como no cumplidos. Por defecto 0.</t>
        </is>
      </c>
      <c r="S1770" s="18" t="inlineStr">
        <is>
          <t>Alta</t>
        </is>
      </c>
      <c r="T1770" s="18" t="inlineStr">
        <is>
          <t>nombre + tipo + columnas vecinas</t>
        </is>
      </c>
      <c r="U1770" s="18" t="inlineStr"/>
      <c r="V1770" s="19" t="inlineStr">
        <is>
          <t>Aprobada</t>
        </is>
      </c>
      <c r="W1770" s="19" t="inlineStr"/>
      <c r="X1770" s="19" t="inlineStr">
        <is>
          <t>Aldair González (aprobación en bloque)</t>
        </is>
      </c>
      <c r="Y1770" s="20" t="n">
        <v>46321</v>
      </c>
      <c r="Z1770" s="19" t="inlineStr">
        <is>
          <t>Nivel 1: propuesta del comentario del desarrollador o de confianza alta, o regla de fecha/responsable/motivo.</t>
        </is>
      </c>
      <c r="AA1770" s="18">
        <f>IF(OR(V1770="Aprobada"),R1770,IF(AND(OR(V1770="Aprobada con ajuste",V1770="Rechazada"),W1770&lt;&gt;""),W1770,""))</f>
        <v/>
      </c>
    </row>
    <row r="1771">
      <c r="A1771" s="18" t="inlineStr">
        <is>
          <t>C1770</t>
        </is>
      </c>
      <c r="B1771" s="18" t="inlineStr">
        <is>
          <t>Control interno</t>
        </is>
      </c>
      <c r="C1771" s="18" t="inlineStr">
        <is>
          <t>control_interno</t>
        </is>
      </c>
      <c r="D1771" s="18" t="inlineStr">
        <is>
          <t>lista_chequeo</t>
        </is>
      </c>
      <c r="E1771" s="18" t="n">
        <v>71</v>
      </c>
      <c r="F1771" s="18" t="inlineStr">
        <is>
          <t>no_aplica</t>
        </is>
      </c>
      <c r="G1771" s="18" t="inlineStr">
        <is>
          <t>integer</t>
        </is>
      </c>
      <c r="H1771" s="18" t="inlineStr">
        <is>
          <t>Sí</t>
        </is>
      </c>
      <c r="I1771" s="18" t="inlineStr"/>
      <c r="J1771" s="18" t="inlineStr"/>
      <c r="K1771" s="18" t="inlineStr"/>
      <c r="L1771" s="18" t="inlineStr">
        <is>
          <t>No</t>
        </is>
      </c>
      <c r="M1771" s="18" t="inlineStr">
        <is>
          <t>No</t>
        </is>
      </c>
      <c r="N1771" s="18" t="inlineStr"/>
      <c r="O1771" s="18" t="inlineStr"/>
      <c r="P1771" s="18" t="inlineStr">
        <is>
          <t>internal-institutional-control-service/src/esap/listas-chequeo/entities/lista-chequeo.entity.ts:162: ═══════════════════════════════════════════════════════════════════════════ CAMPOS OBLIGATORIOS EN BD EXISTENTE ═══════════════════════════════════════════════════════════════════════════</t>
        </is>
      </c>
      <c r="Q1771" s="18" t="inlineStr">
        <is>
          <t>Código fuente</t>
        </is>
      </c>
      <c r="R1771" s="18" t="inlineStr">
        <is>
          <t>Número de ítems marcados como no aplica. Por defecto 0.</t>
        </is>
      </c>
      <c r="S1771" s="18" t="inlineStr">
        <is>
          <t>Alta</t>
        </is>
      </c>
      <c r="T1771" s="18" t="inlineStr">
        <is>
          <t>nombre + tipo + columnas vecinas</t>
        </is>
      </c>
      <c r="U1771" s="18" t="inlineStr"/>
      <c r="V1771" s="19" t="inlineStr">
        <is>
          <t>Aprobada</t>
        </is>
      </c>
      <c r="W1771" s="19" t="inlineStr"/>
      <c r="X1771" s="19" t="inlineStr">
        <is>
          <t>Aldair González (aprobación en bloque)</t>
        </is>
      </c>
      <c r="Y1771" s="20" t="n">
        <v>46321</v>
      </c>
      <c r="Z1771" s="19" t="inlineStr">
        <is>
          <t>Nivel 1: propuesta del comentario del desarrollador o de confianza alta, o regla de fecha/responsable/motivo.</t>
        </is>
      </c>
      <c r="AA1771" s="18">
        <f>IF(OR(V1771="Aprobada"),R1771,IF(AND(OR(V1771="Aprobada con ajuste",V1771="Rechazada"),W1771&lt;&gt;""),W1771,""))</f>
        <v/>
      </c>
    </row>
    <row r="1772">
      <c r="A1772" s="18" t="inlineStr">
        <is>
          <t>C1771</t>
        </is>
      </c>
      <c r="B1772" s="18" t="inlineStr">
        <is>
          <t>Control interno</t>
        </is>
      </c>
      <c r="C1772" s="18" t="inlineStr">
        <is>
          <t>control_interno</t>
        </is>
      </c>
      <c r="D1772" s="18" t="inlineStr">
        <is>
          <t>lista_chequeo</t>
        </is>
      </c>
      <c r="E1772" s="18" t="n">
        <v>71</v>
      </c>
      <c r="F1772" s="18" t="inlineStr">
        <is>
          <t>hallazgos_generados</t>
        </is>
      </c>
      <c r="G1772" s="18" t="inlineStr">
        <is>
          <t>integer</t>
        </is>
      </c>
      <c r="H1772" s="18" t="inlineStr">
        <is>
          <t>Sí</t>
        </is>
      </c>
      <c r="I1772" s="18" t="inlineStr"/>
      <c r="J1772" s="18" t="inlineStr"/>
      <c r="K1772" s="18" t="inlineStr"/>
      <c r="L1772" s="18" t="inlineStr">
        <is>
          <t>No</t>
        </is>
      </c>
      <c r="M1772" s="18" t="inlineStr">
        <is>
          <t>No</t>
        </is>
      </c>
      <c r="N1772" s="18" t="inlineStr"/>
      <c r="O1772" s="18" t="inlineStr"/>
      <c r="P1772" s="18" t="inlineStr">
        <is>
          <t>internal-institutional-control-service/src/esap/listas-chequeo/entities/lista-chequeo.entity.ts:165: ═══════════════════════════════════════════════════════════════════════════ CAMPOS OBLIGATORIOS EN BD EXISTENTE ═══════════════════════════════════════════════════════════════════════════</t>
        </is>
      </c>
      <c r="Q1772" s="18" t="inlineStr">
        <is>
          <t>Código fuente</t>
        </is>
      </c>
      <c r="R1772" s="18" t="inlineStr">
        <is>
          <t>Número de hallazgos generados a partir de la lista de chequeo. Por defecto 0.</t>
        </is>
      </c>
      <c r="S1772" s="18" t="inlineStr">
        <is>
          <t>Alta</t>
        </is>
      </c>
      <c r="T1772" s="18" t="inlineStr">
        <is>
          <t>nombre + tipo + columnas vecinas</t>
        </is>
      </c>
      <c r="U1772" s="18" t="inlineStr"/>
      <c r="V1772" s="19" t="inlineStr">
        <is>
          <t>Aprobada</t>
        </is>
      </c>
      <c r="W1772" s="19" t="inlineStr"/>
      <c r="X1772" s="19" t="inlineStr">
        <is>
          <t>Aldair González (aprobación en bloque)</t>
        </is>
      </c>
      <c r="Y1772" s="20" t="n">
        <v>46321</v>
      </c>
      <c r="Z1772" s="19" t="inlineStr">
        <is>
          <t>Nivel 1: propuesta del comentario del desarrollador o de confianza alta, o regla de fecha/responsable/motivo.</t>
        </is>
      </c>
      <c r="AA1772" s="18">
        <f>IF(OR(V1772="Aprobada"),R1772,IF(AND(OR(V1772="Aprobada con ajuste",V1772="Rechazada"),W1772&lt;&gt;""),W1772,""))</f>
        <v/>
      </c>
    </row>
    <row r="1773">
      <c r="A1773" s="18" t="inlineStr">
        <is>
          <t>C1772</t>
        </is>
      </c>
      <c r="B1773" s="18" t="inlineStr">
        <is>
          <t>Control interno</t>
        </is>
      </c>
      <c r="C1773" s="18" t="inlineStr">
        <is>
          <t>control_interno</t>
        </is>
      </c>
      <c r="D1773" s="18" t="inlineStr">
        <is>
          <t>lista_chequeo</t>
        </is>
      </c>
      <c r="E1773" s="18" t="n">
        <v>71</v>
      </c>
      <c r="F1773" s="18" t="inlineStr">
        <is>
          <t>version</t>
        </is>
      </c>
      <c r="G1773" s="18" t="inlineStr">
        <is>
          <t>character varying(50)</t>
        </is>
      </c>
      <c r="H1773" s="18" t="inlineStr">
        <is>
          <t>Sí</t>
        </is>
      </c>
      <c r="I1773" s="18" t="inlineStr"/>
      <c r="J1773" s="18" t="inlineStr"/>
      <c r="K1773" s="18" t="inlineStr"/>
      <c r="L1773" s="18" t="inlineStr">
        <is>
          <t>No</t>
        </is>
      </c>
      <c r="M1773" s="18" t="inlineStr">
        <is>
          <t>No</t>
        </is>
      </c>
      <c r="N1773" s="18" t="inlineStr"/>
      <c r="O1773" s="18" t="inlineStr"/>
      <c r="P1773" s="18" t="inlineStr">
        <is>
          <t>internal-institutional-control-service/src/esap/listas-chequeo/entities/lista-chequeo.entity.ts:64: ═══════════════════════════════════════════════════════════════════════════ CAMPOS OBLIGATORIOS EN BD EXISTENTE ═══════════════════════════════════════════════════════════════════════════ | Validación: IsOptional, IsString</t>
        </is>
      </c>
      <c r="Q1773" s="18" t="inlineStr">
        <is>
          <t>Código fuente (verificado)</t>
        </is>
      </c>
      <c r="R1773" s="18" t="inlineStr">
        <is>
          <t>Versión de la lista de chequeo, la fija el usuario; 1.0 por defecto. El backend no la incrementa.</t>
        </is>
      </c>
      <c r="S1773" s="18" t="inlineStr">
        <is>
          <t>Alta</t>
        </is>
      </c>
      <c r="T1773" s="18" t="inlineStr">
        <is>
          <t>backend/internal-institutional-control-service/src/esap/listas-chequeo/dto/create-lista-chequeo.dto.ts:51-53: texto opcional | backend/internal-institutional-control-service/src/esap/listas-chequeo/listas-chequeo.service.ts:266: version || 1.0; ningún otro punto la modifica</t>
        </is>
      </c>
      <c r="U1773" s="18" t="inlineStr"/>
      <c r="V1773" s="19" t="inlineStr">
        <is>
          <t>Aprobada</t>
        </is>
      </c>
      <c r="W1773" s="19" t="inlineStr"/>
      <c r="X1773" s="19" t="inlineStr">
        <is>
          <t>Aldair González (aprobación en bloque)</t>
        </is>
      </c>
      <c r="Y1773" s="20" t="n">
        <v>46321</v>
      </c>
      <c r="Z1773" s="19" t="inlineStr">
        <is>
          <t>Nivel 3: verificada con el código de la aplicación.</t>
        </is>
      </c>
      <c r="AA1773" s="18">
        <f>IF(OR(V1773="Aprobada"),R1773,IF(AND(OR(V1773="Aprobada con ajuste",V1773="Rechazada"),W1773&lt;&gt;""),W1773,""))</f>
        <v/>
      </c>
    </row>
    <row r="1774">
      <c r="A1774" s="18" t="inlineStr">
        <is>
          <t>C1773</t>
        </is>
      </c>
      <c r="B1774" s="18" t="inlineStr">
        <is>
          <t>Control interno</t>
        </is>
      </c>
      <c r="C1774" s="18" t="inlineStr">
        <is>
          <t>control_interno</t>
        </is>
      </c>
      <c r="D1774" s="18" t="inlineStr">
        <is>
          <t>lista_chequeo</t>
        </is>
      </c>
      <c r="E1774" s="18" t="n">
        <v>71</v>
      </c>
      <c r="F1774" s="18" t="inlineStr">
        <is>
          <t>estado</t>
        </is>
      </c>
      <c r="G1774" s="18" t="inlineStr">
        <is>
          <t>character varying(50)</t>
        </is>
      </c>
      <c r="H1774" s="18" t="inlineStr">
        <is>
          <t>Sí</t>
        </is>
      </c>
      <c r="I1774" s="18" t="inlineStr"/>
      <c r="J1774" s="18" t="inlineStr"/>
      <c r="K1774" s="18" t="inlineStr"/>
      <c r="L1774" s="18" t="inlineStr">
        <is>
          <t>No</t>
        </is>
      </c>
      <c r="M1774" s="18" t="inlineStr">
        <is>
          <t>No</t>
        </is>
      </c>
      <c r="N1774" s="18" t="inlineStr"/>
      <c r="O1774" s="18" t="inlineStr"/>
      <c r="P1774" s="18" t="inlineStr">
        <is>
          <t>internal-institutional-control-service/src/esap/listas-chequeo/entities/lista-chequeo.entity.ts:67: ═══════════════════════════════════════════════════════════════════════════ CAMPOS OBLIGATORIOS EN BD EXISTENTE ═══════════════════════════════════════════════════════════════════════════ | Validación: IsEnum(AccionCorrectivaEstado), IsEnum(EstadoEtapa), IsEnum(EstadoPlanIndividual), IsEnum(EstadoTarea), IsEnum(HallazgoEstado), IsEnum(PlanMejoramientoEstado)</t>
        </is>
      </c>
      <c r="Q1774" s="18" t="inlineStr">
        <is>
          <t>Código fuente (verificado)</t>
        </is>
      </c>
      <c r="R1774" s="18" t="inlineStr">
        <is>
          <t>Estado de la lista de chequeo: activa, inactiva u obsoleta; activa por defecto.</t>
        </is>
      </c>
      <c r="S1774" s="18" t="inlineStr">
        <is>
          <t>Alta</t>
        </is>
      </c>
      <c r="T1774" s="18" t="inlineStr">
        <is>
          <t>backend/internal-institutional-control-service/src/esap/listas-chequeo/dto/create-lista-chequeo.dto.ts:56: IsIn activa, inactiva, obsoleta | backend/internal-institutional-control-service/src/esap/listas-chequeo/listas-chequeo.service.ts:267: activa si no se envía</t>
        </is>
      </c>
      <c r="U1774" s="18" t="inlineStr"/>
      <c r="V1774" s="19" t="inlineStr">
        <is>
          <t>Aprobada</t>
        </is>
      </c>
      <c r="W1774" s="19" t="inlineStr"/>
      <c r="X1774" s="19" t="inlineStr">
        <is>
          <t>Aldair González (aprobación en bloque)</t>
        </is>
      </c>
      <c r="Y1774" s="20" t="n">
        <v>46321</v>
      </c>
      <c r="Z1774" s="19" t="inlineStr">
        <is>
          <t>Nivel 3: verificada con el código de la aplicación.</t>
        </is>
      </c>
      <c r="AA1774" s="18">
        <f>IF(OR(V1774="Aprobada"),R1774,IF(AND(OR(V1774="Aprobada con ajuste",V1774="Rechazada"),W1774&lt;&gt;""),W1774,""))</f>
        <v/>
      </c>
    </row>
    <row r="1775">
      <c r="A1775" s="18" t="inlineStr">
        <is>
          <t>C1774</t>
        </is>
      </c>
      <c r="B1775" s="18" t="inlineStr">
        <is>
          <t>Control interno</t>
        </is>
      </c>
      <c r="C1775" s="18" t="inlineStr">
        <is>
          <t>control_interno</t>
        </is>
      </c>
      <c r="D1775" s="18" t="inlineStr">
        <is>
          <t>lista_chequeo</t>
        </is>
      </c>
      <c r="E1775" s="18" t="n">
        <v>71</v>
      </c>
      <c r="F1775" s="18" t="inlineStr">
        <is>
          <t>aplicable_para</t>
        </is>
      </c>
      <c r="G1775" s="18" t="inlineStr">
        <is>
          <t>jsonb</t>
        </is>
      </c>
      <c r="H1775" s="18" t="inlineStr">
        <is>
          <t>Sí</t>
        </is>
      </c>
      <c r="I1775" s="18" t="inlineStr"/>
      <c r="J1775" s="18" t="inlineStr"/>
      <c r="K1775" s="18" t="inlineStr"/>
      <c r="L1775" s="18" t="inlineStr">
        <is>
          <t>No</t>
        </is>
      </c>
      <c r="M1775" s="18" t="inlineStr">
        <is>
          <t>No</t>
        </is>
      </c>
      <c r="N1775" s="18" t="inlineStr"/>
      <c r="O1775" s="18" t="inlineStr"/>
      <c r="P1775" s="18" t="inlineStr">
        <is>
          <t>internal-institutional-control-service/src/esap/listas-chequeo/entities/lista-chequeo.entity.ts:70: ═══════════════════════════════════════════════════════════════════════════ CAMPOS OBLIGATORIOS EN BD EXISTENTE ═══════════════════════════════════════════════════════════════════════════ | Validación: IsArray, IsOptional</t>
        </is>
      </c>
      <c r="Q1775" s="18" t="inlineStr">
        <is>
          <t>Código fuente (verificado)</t>
        </is>
      </c>
      <c r="R1775" s="18" t="inlineStr">
        <is>
          <t>Tipos de auditoría para los que aplica la lista de chequeo, como arreglo JSON de textos sin lista cerrada. Por defecto ["gestion", "cumplimiento"].</t>
        </is>
      </c>
      <c r="S1775" s="18" t="inlineStr">
        <is>
          <t>Alta</t>
        </is>
      </c>
      <c r="T1775" s="18" t="inlineStr">
        <is>
          <t>backend/internal-institutional-control-service/src/esap/listas-chequeo/dto/create-lista-chequeo.dto.ts:59-61: IsArray sin valores restringidos | backend/internal-institutional-control-service/src/esap/listas-chequeo/listas-chequeo.service.ts:268: valor por defecto | backend/internal-institutional-control-service/src/esap/listas-chequeo/entities/lista-chequeo.entity.ts:70</t>
        </is>
      </c>
      <c r="U1775" s="18" t="inlineStr"/>
      <c r="V1775" s="19" t="inlineStr">
        <is>
          <t>Aprobada</t>
        </is>
      </c>
      <c r="W1775" s="19" t="inlineStr"/>
      <c r="X1775" s="19" t="inlineStr">
        <is>
          <t>Aldair González (aprobación en bloque)</t>
        </is>
      </c>
      <c r="Y1775" s="20" t="n">
        <v>46321</v>
      </c>
      <c r="Z1775" s="19" t="inlineStr">
        <is>
          <t>Nivel 3: verificada con el código de la aplicación.</t>
        </is>
      </c>
      <c r="AA1775" s="18">
        <f>IF(OR(V1775="Aprobada"),R1775,IF(AND(OR(V1775="Aprobada con ajuste",V1775="Rechazada"),W1775&lt;&gt;""),W1775,""))</f>
        <v/>
      </c>
    </row>
    <row r="1776">
      <c r="A1776" s="18" t="inlineStr">
        <is>
          <t>C1775</t>
        </is>
      </c>
      <c r="B1776" s="18" t="inlineStr">
        <is>
          <t>Control interno</t>
        </is>
      </c>
      <c r="C1776" s="18" t="inlineStr">
        <is>
          <t>control_interno</t>
        </is>
      </c>
      <c r="D1776" s="18" t="inlineStr">
        <is>
          <t>lista_chequeo</t>
        </is>
      </c>
      <c r="E1776" s="18" t="n">
        <v>71</v>
      </c>
      <c r="F1776" s="18" t="inlineStr">
        <is>
          <t>items_json</t>
        </is>
      </c>
      <c r="G1776" s="18" t="inlineStr">
        <is>
          <t>jsonb</t>
        </is>
      </c>
      <c r="H1776" s="18" t="inlineStr">
        <is>
          <t>Sí</t>
        </is>
      </c>
      <c r="I1776" s="18" t="inlineStr"/>
      <c r="J1776" s="18" t="inlineStr"/>
      <c r="K1776" s="18" t="inlineStr"/>
      <c r="L1776" s="18" t="inlineStr">
        <is>
          <t>No</t>
        </is>
      </c>
      <c r="M1776" s="18" t="inlineStr">
        <is>
          <t>No</t>
        </is>
      </c>
      <c r="N1776" s="18" t="inlineStr"/>
      <c r="O1776" s="18" t="inlineStr"/>
      <c r="P1776" s="18" t="inlineStr">
        <is>
          <t>internal-institutional-control-service/src/esap/listas-chequeo/entities/lista-chequeo.entity.ts:77: ═══════════════════════════════════════════════════════════════════════════ CAMPOS OBLIGATORIOS EN BD EXISTENTE ═══════════════════════════════════════════════════════════════════════════</t>
        </is>
      </c>
      <c r="Q1776" s="18" t="inlineStr">
        <is>
          <t>Código fuente (verificado)</t>
        </is>
      </c>
      <c r="R1776" s="18" t="inlineStr">
        <is>
          <t>Ítems de la lista de chequeo en formato JSON.</t>
        </is>
      </c>
      <c r="S1776" s="18" t="inlineStr">
        <is>
          <t>Media</t>
        </is>
      </c>
      <c r="T1776" s="18" t="inlineStr">
        <is>
          <t>backend/internal-institutional-control-service/src/esap/listas-chequeo/entities/lista-chequeo.entity.ts:76-78: «Items como JSONB (para compatibilidad, además de relación)»; columna mapeada; no está en los DTO y ningún servicio la escribe ni la lee; los ítems se guardan en item_lista_chequeo</t>
        </is>
      </c>
      <c r="U1776" s="18" t="inlineStr">
        <is>
          <t>¿items_json sigue en uso? Los ítems se guardan en control_interno.item_lista_chequeo y el backend no escribe esta columna.</t>
        </is>
      </c>
      <c r="V1776" s="19" t="inlineStr">
        <is>
          <t>Aprobada</t>
        </is>
      </c>
      <c r="W1776" s="19" t="inlineStr"/>
      <c r="X1776" s="19" t="inlineStr">
        <is>
          <t>Aldair González (validación del responsable de BD)</t>
        </is>
      </c>
      <c r="Y1776" s="20" t="n">
        <v>46321</v>
      </c>
      <c r="Z1776" s="19" t="inlineStr">
        <is>
          <t>Nivel 3: validada por decisión del responsable de la base de datos. Pregunta registrada para desarrollo: ¿items_json sigue en uso? Los ítems se guardan en control_interno.item_lista_chequeo y el backend no escribe esta columna.</t>
        </is>
      </c>
      <c r="AA1776" s="18">
        <f>IF(OR(V1776="Aprobada"),R1776,IF(AND(OR(V1776="Aprobada con ajuste",V1776="Rechazada"),W1776&lt;&gt;""),W1776,""))</f>
        <v/>
      </c>
    </row>
    <row r="1777">
      <c r="A1777" s="18" t="inlineStr">
        <is>
          <t>C1776</t>
        </is>
      </c>
      <c r="B1777" s="18" t="inlineStr">
        <is>
          <t>Control interno</t>
        </is>
      </c>
      <c r="C1777" s="18" t="inlineStr">
        <is>
          <t>control_interno</t>
        </is>
      </c>
      <c r="D1777" s="18" t="inlineStr">
        <is>
          <t>lista_chequeo</t>
        </is>
      </c>
      <c r="E1777" s="18" t="n">
        <v>71</v>
      </c>
      <c r="F1777" s="18" t="inlineStr">
        <is>
          <t>proceso</t>
        </is>
      </c>
      <c r="G1777" s="18" t="inlineStr">
        <is>
          <t>character varying(255)</t>
        </is>
      </c>
      <c r="H1777" s="18" t="inlineStr">
        <is>
          <t>Sí</t>
        </is>
      </c>
      <c r="I1777" s="18" t="inlineStr"/>
      <c r="J1777" s="18" t="inlineStr"/>
      <c r="K1777" s="18" t="inlineStr"/>
      <c r="L1777" s="18" t="inlineStr">
        <is>
          <t>No</t>
        </is>
      </c>
      <c r="M1777" s="18" t="inlineStr">
        <is>
          <t>No</t>
        </is>
      </c>
      <c r="N1777" s="18" t="inlineStr"/>
      <c r="O1777" s="18" t="inlineStr"/>
      <c r="P1777" s="18" t="inlineStr">
        <is>
          <t>internal-institutional-control-service/src/esap/listas-chequeo/entities/lista-chequeo.entity.ts:84: ═══════════════════════════════════════════════════════════════════════════ CAMPOS OBLIGATORIOS EN BD EXISTENTE ═══════════════════════════════════════════════════════════════════════════</t>
        </is>
      </c>
      <c r="Q1777" s="18" t="inlineStr">
        <is>
          <t>Código fuente (verificado)</t>
        </is>
      </c>
      <c r="R1777" s="18" t="inlineStr">
        <is>
          <t>Proceso institucional al que corresponde la lista de chequeo.</t>
        </is>
      </c>
      <c r="S1777" s="18" t="inlineStr">
        <is>
          <t>Media</t>
        </is>
      </c>
      <c r="T1777" s="18" t="inlineStr">
        <is>
          <t>backend/internal-institutional-control-service/src/esap/listas-chequeo/entities/lista-chequeo.entity.ts:84: columna mapeada; no está en los DTO y ningún servicio la escribe ni la lee</t>
        </is>
      </c>
      <c r="U1777" s="18" t="inlineStr">
        <is>
          <t>¿proceso es texto libre o corresponde al mapa de procesos de la ESAP? El backend no la escribe.</t>
        </is>
      </c>
      <c r="V1777" s="19" t="inlineStr">
        <is>
          <t>Aprobada</t>
        </is>
      </c>
      <c r="W1777" s="19" t="inlineStr"/>
      <c r="X1777" s="19" t="inlineStr">
        <is>
          <t>Aldair González (validación del responsable de BD)</t>
        </is>
      </c>
      <c r="Y1777" s="20" t="n">
        <v>46321</v>
      </c>
      <c r="Z1777" s="19" t="inlineStr">
        <is>
          <t>Nivel 3: validada por decisión del responsable de la base de datos. Pregunta registrada para desarrollo: ¿proceso es texto libre o corresponde al mapa de procesos de la ESAP? El backend no la escribe.</t>
        </is>
      </c>
      <c r="AA1777" s="18">
        <f>IF(OR(V1777="Aprobada"),R1777,IF(AND(OR(V1777="Aprobada con ajuste",V1777="Rechazada"),W1777&lt;&gt;""),W1777,""))</f>
        <v/>
      </c>
    </row>
    <row r="1778">
      <c r="A1778" s="18" t="inlineStr">
        <is>
          <t>C1777</t>
        </is>
      </c>
      <c r="B1778" s="18" t="inlineStr">
        <is>
          <t>Control interno</t>
        </is>
      </c>
      <c r="C1778" s="18" t="inlineStr">
        <is>
          <t>control_interno</t>
        </is>
      </c>
      <c r="D1778" s="18" t="inlineStr">
        <is>
          <t>lista_chequeo</t>
        </is>
      </c>
      <c r="E1778" s="18" t="n">
        <v>71</v>
      </c>
      <c r="F1778" s="18" t="inlineStr">
        <is>
          <t>subproceso</t>
        </is>
      </c>
      <c r="G1778" s="18" t="inlineStr">
        <is>
          <t>character varying(255)</t>
        </is>
      </c>
      <c r="H1778" s="18" t="inlineStr">
        <is>
          <t>Sí</t>
        </is>
      </c>
      <c r="I1778" s="18" t="inlineStr"/>
      <c r="J1778" s="18" t="inlineStr"/>
      <c r="K1778" s="18" t="inlineStr"/>
      <c r="L1778" s="18" t="inlineStr">
        <is>
          <t>No</t>
        </is>
      </c>
      <c r="M1778" s="18" t="inlineStr">
        <is>
          <t>No</t>
        </is>
      </c>
      <c r="N1778" s="18" t="inlineStr"/>
      <c r="O1778" s="18" t="inlineStr"/>
      <c r="P1778" s="18" t="inlineStr">
        <is>
          <t>internal-institutional-control-service/src/esap/listas-chequeo/entities/lista-chequeo.entity.ts:87: ═══════════════════════════════════════════════════════════════════════════ CAMPOS OBLIGATORIOS EN BD EXISTENTE ═══════════════════════════════════════════════════════════════════════════</t>
        </is>
      </c>
      <c r="Q1778" s="18" t="inlineStr">
        <is>
          <t>Código fuente (verificado)</t>
        </is>
      </c>
      <c r="R1778" s="18" t="inlineStr">
        <is>
          <t>Subproceso institucional al que corresponde la lista de chequeo.</t>
        </is>
      </c>
      <c r="S1778" s="18" t="inlineStr">
        <is>
          <t>Media</t>
        </is>
      </c>
      <c r="T1778" s="18" t="inlineStr">
        <is>
          <t>backend/internal-institutional-control-service/src/esap/listas-chequeo/entities/lista-chequeo.entity.ts:87: columna mapeada; no está en los DTO y ningún servicio la escribe ni la lee</t>
        </is>
      </c>
      <c r="U1778" s="18" t="inlineStr">
        <is>
          <t>¿subproceso es texto libre o corresponde al mapa de procesos de la ESAP? El backend no la escribe.</t>
        </is>
      </c>
      <c r="V1778" s="19" t="inlineStr">
        <is>
          <t>Aprobada</t>
        </is>
      </c>
      <c r="W1778" s="19" t="inlineStr"/>
      <c r="X1778" s="19" t="inlineStr">
        <is>
          <t>Aldair González (validación del responsable de BD)</t>
        </is>
      </c>
      <c r="Y1778" s="20" t="n">
        <v>46321</v>
      </c>
      <c r="Z1778" s="19" t="inlineStr">
        <is>
          <t>Nivel 3: validada por decisión del responsable de la base de datos. Pregunta registrada para desarrollo: ¿subproceso es texto libre o corresponde al mapa de procesos de la ESAP? El backend no la escribe.</t>
        </is>
      </c>
      <c r="AA1778" s="18">
        <f>IF(OR(V1778="Aprobada"),R1778,IF(AND(OR(V1778="Aprobada con ajuste",V1778="Rechazada"),W1778&lt;&gt;""),W1778,""))</f>
        <v/>
      </c>
    </row>
    <row r="1779">
      <c r="A1779" s="18" t="inlineStr">
        <is>
          <t>C1778</t>
        </is>
      </c>
      <c r="B1779" s="18" t="inlineStr">
        <is>
          <t>Control interno</t>
        </is>
      </c>
      <c r="C1779" s="18" t="inlineStr">
        <is>
          <t>control_interno</t>
        </is>
      </c>
      <c r="D1779" s="18" t="inlineStr">
        <is>
          <t>lista_chequeo</t>
        </is>
      </c>
      <c r="E1779" s="18" t="n">
        <v>71</v>
      </c>
      <c r="F1779" s="18" t="inlineStr">
        <is>
          <t>categoria_esap</t>
        </is>
      </c>
      <c r="G1779" s="18" t="inlineStr">
        <is>
          <t>character varying(100)</t>
        </is>
      </c>
      <c r="H1779" s="18" t="inlineStr">
        <is>
          <t>Sí</t>
        </is>
      </c>
      <c r="I1779" s="18" t="inlineStr"/>
      <c r="J1779" s="18" t="inlineStr"/>
      <c r="K1779" s="18" t="inlineStr"/>
      <c r="L1779" s="18" t="inlineStr">
        <is>
          <t>No</t>
        </is>
      </c>
      <c r="M1779" s="18" t="inlineStr">
        <is>
          <t>No</t>
        </is>
      </c>
      <c r="N1779" s="18" t="inlineStr"/>
      <c r="O1779" s="18" t="inlineStr"/>
      <c r="P1779" s="18" t="inlineStr">
        <is>
          <t>internal-institutional-control-service/src/esap/listas-chequeo/entities/lista-chequeo.entity.ts:90: ═══════════════════════════════════════════════════════════════════════════ CAMPOS OBLIGATORIOS EN BD EXISTENTE ═══════════════════════════════════════════════════════════════════════════</t>
        </is>
      </c>
      <c r="Q1779" s="18" t="inlineStr">
        <is>
          <t>Código fuente (verificado)</t>
        </is>
      </c>
      <c r="R1779" s="18" t="inlineStr">
        <is>
          <t>Categoría de la lista de chequeo según la clasificación de la ESAP.</t>
        </is>
      </c>
      <c r="S1779" s="18" t="inlineStr">
        <is>
          <t>Media</t>
        </is>
      </c>
      <c r="T1779" s="18" t="inlineStr">
        <is>
          <t>backend/internal-institutional-control-service/src/esap/listas-chequeo/entities/lista-chequeo.entity.ts:90: columna mapeada; no está en los DTO y ningún servicio la escribe ni la lee</t>
        </is>
      </c>
      <c r="U1779" s="18" t="inlineStr">
        <is>
          <t>¿Qué valores admite categoria_esap y en qué se diferencia de categoria? El backend no la escribe.</t>
        </is>
      </c>
      <c r="V1779" s="19" t="inlineStr">
        <is>
          <t>Aprobada</t>
        </is>
      </c>
      <c r="W1779" s="19" t="inlineStr"/>
      <c r="X1779" s="19" t="inlineStr">
        <is>
          <t>Aldair González (validación del responsable de BD)</t>
        </is>
      </c>
      <c r="Y1779" s="20" t="n">
        <v>46321</v>
      </c>
      <c r="Z1779" s="19" t="inlineStr">
        <is>
          <t>Nivel 3: validada por decisión del responsable de la base de datos. Pregunta registrada para desarrollo: ¿Qué valores admite categoria_esap y en qué se diferencia de categoria? El backend no la escribe.</t>
        </is>
      </c>
      <c r="AA1779" s="18">
        <f>IF(OR(V1779="Aprobada"),R1779,IF(AND(OR(V1779="Aprobada con ajuste",V1779="Rechazada"),W1779&lt;&gt;""),W1779,""))</f>
        <v/>
      </c>
    </row>
    <row r="1780">
      <c r="A1780" s="18" t="inlineStr">
        <is>
          <t>C1779</t>
        </is>
      </c>
      <c r="B1780" s="18" t="inlineStr">
        <is>
          <t>Control interno</t>
        </is>
      </c>
      <c r="C1780" s="18" t="inlineStr">
        <is>
          <t>control_interno</t>
        </is>
      </c>
      <c r="D1780" s="18" t="inlineStr">
        <is>
          <t>lista_chequeo</t>
        </is>
      </c>
      <c r="E1780" s="18" t="n">
        <v>71</v>
      </c>
      <c r="F1780" s="18" t="inlineStr">
        <is>
          <t>normativa_aplicable</t>
        </is>
      </c>
      <c r="G1780" s="18" t="inlineStr">
        <is>
          <t>text</t>
        </is>
      </c>
      <c r="H1780" s="18" t="inlineStr">
        <is>
          <t>Sí</t>
        </is>
      </c>
      <c r="I1780" s="18" t="inlineStr"/>
      <c r="J1780" s="18" t="inlineStr"/>
      <c r="K1780" s="18" t="inlineStr"/>
      <c r="L1780" s="18" t="inlineStr">
        <is>
          <t>No</t>
        </is>
      </c>
      <c r="M1780" s="18" t="inlineStr">
        <is>
          <t>No</t>
        </is>
      </c>
      <c r="N1780" s="18" t="inlineStr"/>
      <c r="O1780" s="18" t="inlineStr"/>
      <c r="P1780" s="18" t="inlineStr">
        <is>
          <t>internal-institutional-control-service/src/esap/listas-chequeo/entities/lista-chequeo.entity.ts:93: ═══════════════════════════════════════════════════════════════════════════ CAMPOS OBLIGATORIOS EN BD EXISTENTE ═══════════════════════════════════════════════════════════════════════════ | Validación: IsArray, IsOptional</t>
        </is>
      </c>
      <c r="Q1780" s="18" t="inlineStr">
        <is>
          <t>Código fuente (verificado)</t>
        </is>
      </c>
      <c r="R1780" s="18" t="inlineStr">
        <is>
          <t>Normativa aplicable a la lista de chequeo.</t>
        </is>
      </c>
      <c r="S1780" s="18" t="inlineStr">
        <is>
          <t>Media</t>
        </is>
      </c>
      <c r="T1780" s="18" t="inlineStr">
        <is>
          <t>backend/internal-institutional-control-service/src/esap/listas-chequeo/entities/lista-chequeo.entity.ts:93: text; columna mapeada; no está en los DTO y ningún servicio la escribe ni la lee</t>
        </is>
      </c>
      <c r="U1780" s="18" t="inlineStr">
        <is>
          <t>¿Se guarda como texto libre o como lista de normas? El backend no la escribe.</t>
        </is>
      </c>
      <c r="V1780" s="19" t="inlineStr">
        <is>
          <t>Aprobada</t>
        </is>
      </c>
      <c r="W1780" s="19" t="inlineStr"/>
      <c r="X1780" s="19" t="inlineStr">
        <is>
          <t>Aldair González (validación del responsable de BD)</t>
        </is>
      </c>
      <c r="Y1780" s="20" t="n">
        <v>46321</v>
      </c>
      <c r="Z1780" s="19" t="inlineStr">
        <is>
          <t>Nivel 3: validada por decisión del responsable de la base de datos. Pregunta registrada para desarrollo: ¿Se guarda como texto libre o como lista de normas? El backend no la escribe.</t>
        </is>
      </c>
      <c r="AA1780" s="18">
        <f>IF(OR(V1780="Aprobada"),R1780,IF(AND(OR(V1780="Aprobada con ajuste",V1780="Rechazada"),W1780&lt;&gt;""),W1780,""))</f>
        <v/>
      </c>
    </row>
    <row r="1781">
      <c r="A1781" s="18" t="inlineStr">
        <is>
          <t>C1780</t>
        </is>
      </c>
      <c r="B1781" s="18" t="inlineStr">
        <is>
          <t>Control interno</t>
        </is>
      </c>
      <c r="C1781" s="18" t="inlineStr">
        <is>
          <t>control_interno</t>
        </is>
      </c>
      <c r="D1781" s="18" t="inlineStr">
        <is>
          <t>lista_chequeo</t>
        </is>
      </c>
      <c r="E1781" s="18" t="n">
        <v>71</v>
      </c>
      <c r="F1781" s="18" t="inlineStr">
        <is>
          <t>objetivo</t>
        </is>
      </c>
      <c r="G1781" s="18" t="inlineStr">
        <is>
          <t>text</t>
        </is>
      </c>
      <c r="H1781" s="18" t="inlineStr">
        <is>
          <t>Sí</t>
        </is>
      </c>
      <c r="I1781" s="18" t="inlineStr"/>
      <c r="J1781" s="18" t="inlineStr"/>
      <c r="K1781" s="18" t="inlineStr"/>
      <c r="L1781" s="18" t="inlineStr">
        <is>
          <t>No</t>
        </is>
      </c>
      <c r="M1781" s="18" t="inlineStr">
        <is>
          <t>No</t>
        </is>
      </c>
      <c r="N1781" s="18" t="inlineStr"/>
      <c r="O1781" s="18" t="inlineStr"/>
      <c r="P1781" s="18" t="inlineStr">
        <is>
          <t>internal-institutional-control-service/src/esap/listas-chequeo/entities/lista-chequeo.entity.ts:96: ═══════════════════════════════════════════════════════════════════════════ CAMPOS OBLIGATORIOS EN BD EXISTENTE ═══════════════════════════════════════════════════════════════════════════ | Validación: IsNotEmpty, IsOptional, IsString</t>
        </is>
      </c>
      <c r="Q1781" s="18" t="inlineStr">
        <is>
          <t>Código fuente</t>
        </is>
      </c>
      <c r="R1781" s="18" t="inlineStr">
        <is>
          <t>Objetivo de la lista de chequeo.</t>
        </is>
      </c>
      <c r="S1781" s="18" t="inlineStr">
        <is>
          <t>Alta</t>
        </is>
      </c>
      <c r="T1781" s="18" t="inlineStr">
        <is>
          <t>nombre + tipo</t>
        </is>
      </c>
      <c r="U1781" s="18" t="inlineStr"/>
      <c r="V1781" s="19" t="inlineStr">
        <is>
          <t>Aprobada</t>
        </is>
      </c>
      <c r="W1781" s="19" t="inlineStr"/>
      <c r="X1781" s="19" t="inlineStr">
        <is>
          <t>Aldair González (aprobación en bloque)</t>
        </is>
      </c>
      <c r="Y1781" s="20" t="n">
        <v>46321</v>
      </c>
      <c r="Z1781" s="19" t="inlineStr">
        <is>
          <t>Nivel 1: propuesta del comentario del desarrollador o de confianza alta, o regla de fecha/responsable/motivo.</t>
        </is>
      </c>
      <c r="AA1781" s="18">
        <f>IF(OR(V1781="Aprobada"),R1781,IF(AND(OR(V1781="Aprobada con ajuste",V1781="Rechazada"),W1781&lt;&gt;""),W1781,""))</f>
        <v/>
      </c>
    </row>
    <row r="1782">
      <c r="A1782" s="18" t="inlineStr">
        <is>
          <t>C1781</t>
        </is>
      </c>
      <c r="B1782" s="18" t="inlineStr">
        <is>
          <t>Control interno</t>
        </is>
      </c>
      <c r="C1782" s="18" t="inlineStr">
        <is>
          <t>control_interno</t>
        </is>
      </c>
      <c r="D1782" s="18" t="inlineStr">
        <is>
          <t>lista_chequeo</t>
        </is>
      </c>
      <c r="E1782" s="18" t="n">
        <v>71</v>
      </c>
      <c r="F1782" s="18" t="inlineStr">
        <is>
          <t>version_base</t>
        </is>
      </c>
      <c r="G1782" s="18" t="inlineStr">
        <is>
          <t>character varying(50)</t>
        </is>
      </c>
      <c r="H1782" s="18" t="inlineStr">
        <is>
          <t>Sí</t>
        </is>
      </c>
      <c r="I1782" s="18" t="inlineStr"/>
      <c r="J1782" s="18" t="inlineStr"/>
      <c r="K1782" s="18" t="inlineStr"/>
      <c r="L1782" s="18" t="inlineStr">
        <is>
          <t>No</t>
        </is>
      </c>
      <c r="M1782" s="18" t="inlineStr">
        <is>
          <t>No</t>
        </is>
      </c>
      <c r="N1782" s="18" t="inlineStr"/>
      <c r="O1782" s="18" t="inlineStr"/>
      <c r="P1782" s="18" t="inlineStr">
        <is>
          <t>internal-institutional-control-service/src/esap/listas-chequeo/entities/lista-chequeo.entity.ts:99: ═══════════════════════════════════════════════════════════════════════════ CAMPOS OBLIGATORIOS EN BD EXISTENTE ═══════════════════════════════════════════════════════════════════════════</t>
        </is>
      </c>
      <c r="Q1782" s="18" t="inlineStr">
        <is>
          <t>Código fuente (verificado)</t>
        </is>
      </c>
      <c r="R1782" s="18" t="inlineStr">
        <is>
          <t>Versión de la plantilla base de la que se generó la lista de chequeo.</t>
        </is>
      </c>
      <c r="S1782" s="18" t="inlineStr">
        <is>
          <t>Media</t>
        </is>
      </c>
      <c r="T1782" s="18" t="inlineStr">
        <is>
          <t>backend/internal-institutional-control-service/src/esap/listas-chequeo/entities/lista-chequeo.entity.ts:99: columna mapeada; no está en los DTO y ningún servicio la escribe ni la lee</t>
        </is>
      </c>
      <c r="U1782" s="18" t="inlineStr">
        <is>
          <t>¿Qué indica version_base y en qué se diferencia de version? El backend no la escribe.</t>
        </is>
      </c>
      <c r="V1782" s="19" t="inlineStr">
        <is>
          <t>Aprobada</t>
        </is>
      </c>
      <c r="W1782" s="19" t="inlineStr"/>
      <c r="X1782" s="19" t="inlineStr">
        <is>
          <t>Aldair González (validación del responsable de BD)</t>
        </is>
      </c>
      <c r="Y1782" s="20" t="n">
        <v>46321</v>
      </c>
      <c r="Z1782" s="19" t="inlineStr">
        <is>
          <t>Nivel 3: validada por decisión del responsable de la base de datos. Pregunta registrada para desarrollo: ¿Qué indica version_base y en qué se diferencia de version? El backend no la escribe.</t>
        </is>
      </c>
      <c r="AA1782" s="18">
        <f>IF(OR(V1782="Aprobada"),R1782,IF(AND(OR(V1782="Aprobada con ajuste",V1782="Rechazada"),W1782&lt;&gt;""),W1782,""))</f>
        <v/>
      </c>
    </row>
    <row r="1783">
      <c r="A1783" s="18" t="inlineStr">
        <is>
          <t>C1782</t>
        </is>
      </c>
      <c r="B1783" s="18" t="inlineStr">
        <is>
          <t>Control interno</t>
        </is>
      </c>
      <c r="C1783" s="18" t="inlineStr">
        <is>
          <t>control_interno</t>
        </is>
      </c>
      <c r="D1783" s="18" t="inlineStr">
        <is>
          <t>lista_chequeo</t>
        </is>
      </c>
      <c r="E1783" s="18" t="n">
        <v>71</v>
      </c>
      <c r="F1783" s="18" t="inlineStr">
        <is>
          <t>permite_no_aplica</t>
        </is>
      </c>
      <c r="G1783" s="18" t="inlineStr">
        <is>
          <t>boolean</t>
        </is>
      </c>
      <c r="H1783" s="18" t="inlineStr">
        <is>
          <t>Sí</t>
        </is>
      </c>
      <c r="I1783" s="18" t="inlineStr"/>
      <c r="J1783" s="18" t="inlineStr"/>
      <c r="K1783" s="18" t="inlineStr"/>
      <c r="L1783" s="18" t="inlineStr">
        <is>
          <t>No</t>
        </is>
      </c>
      <c r="M1783" s="18" t="inlineStr">
        <is>
          <t>No</t>
        </is>
      </c>
      <c r="N1783" s="18" t="inlineStr"/>
      <c r="O1783" s="18" t="inlineStr"/>
      <c r="P1783" s="18" t="inlineStr">
        <is>
          <t>internal-institutional-control-service/src/esap/listas-chequeo/entities/lista-chequeo.entity.ts:102: ═══════════════════════════════════════════════════════════════════════════ CAMPOS OBLIGATORIOS EN BD EXISTENTE ═══════════════════════════════════════════════════════════════════════════</t>
        </is>
      </c>
      <c r="Q1783" s="18" t="inlineStr">
        <is>
          <t>Código fuente</t>
        </is>
      </c>
      <c r="R1783" s="18" t="inlineStr">
        <is>
          <t>Indica si la lista de chequeo admite la respuesta no aplica en sus ítems. Por defecto verdadero.</t>
        </is>
      </c>
      <c r="S1783" s="18" t="inlineStr">
        <is>
          <t>Alta</t>
        </is>
      </c>
      <c r="T1783" s="18" t="inlineStr">
        <is>
          <t>nombre + tipo + columnas vecinas (no_aplica)</t>
        </is>
      </c>
      <c r="U1783" s="18" t="inlineStr"/>
      <c r="V1783" s="19" t="inlineStr">
        <is>
          <t>Aprobada</t>
        </is>
      </c>
      <c r="W1783" s="19" t="inlineStr"/>
      <c r="X1783" s="19" t="inlineStr">
        <is>
          <t>Aldair González (aprobación en bloque)</t>
        </is>
      </c>
      <c r="Y1783" s="20" t="n">
        <v>46321</v>
      </c>
      <c r="Z1783" s="19" t="inlineStr">
        <is>
          <t>Nivel 1: propuesta del comentario del desarrollador o de confianza alta, o regla de fecha/responsable/motivo.</t>
        </is>
      </c>
      <c r="AA1783" s="18">
        <f>IF(OR(V1783="Aprobada"),R1783,IF(AND(OR(V1783="Aprobada con ajuste",V1783="Rechazada"),W1783&lt;&gt;""),W1783,""))</f>
        <v/>
      </c>
    </row>
    <row r="1784">
      <c r="A1784" s="18" t="inlineStr">
        <is>
          <t>C1783</t>
        </is>
      </c>
      <c r="B1784" s="18" t="inlineStr">
        <is>
          <t>Control interno</t>
        </is>
      </c>
      <c r="C1784" s="18" t="inlineStr">
        <is>
          <t>control_interno</t>
        </is>
      </c>
      <c r="D1784" s="18" t="inlineStr">
        <is>
          <t>lista_chequeo</t>
        </is>
      </c>
      <c r="E1784" s="18" t="n">
        <v>71</v>
      </c>
      <c r="F1784" s="18" t="inlineStr">
        <is>
          <t>requiere_evidencias</t>
        </is>
      </c>
      <c r="G1784" s="18" t="inlineStr">
        <is>
          <t>boolean</t>
        </is>
      </c>
      <c r="H1784" s="18" t="inlineStr">
        <is>
          <t>Sí</t>
        </is>
      </c>
      <c r="I1784" s="18" t="inlineStr"/>
      <c r="J1784" s="18" t="inlineStr"/>
      <c r="K1784" s="18" t="inlineStr"/>
      <c r="L1784" s="18" t="inlineStr">
        <is>
          <t>No</t>
        </is>
      </c>
      <c r="M1784" s="18" t="inlineStr">
        <is>
          <t>No</t>
        </is>
      </c>
      <c r="N1784" s="18" t="inlineStr"/>
      <c r="O1784" s="18" t="inlineStr"/>
      <c r="P1784" s="18" t="inlineStr">
        <is>
          <t>internal-institutional-control-service/src/esap/listas-chequeo/entities/lista-chequeo.entity.ts:105: ═══════════════════════════════════════════════════════════════════════════ CAMPOS OBLIGATORIOS EN BD EXISTENTE ═══════════════════════════════════════════════════════════════════════════</t>
        </is>
      </c>
      <c r="Q1784" s="18" t="inlineStr">
        <is>
          <t>Código fuente (verificado)</t>
        </is>
      </c>
      <c r="R1784" s="18" t="inlineStr">
        <is>
          <t>Indica si la lista de chequeo exige adjuntar evidencias. Por defecto verdadero.</t>
        </is>
      </c>
      <c r="S1784" s="18" t="inlineStr">
        <is>
          <t>Media</t>
        </is>
      </c>
      <c r="T1784" s="18" t="inlineStr">
        <is>
          <t>backend/internal-institutional-control-service/src/esap/listas-chequeo/entities/lista-chequeo.entity.ts:105: default true; columna mapeada; no está en los DTO y ningún servicio la escribe ni la lee</t>
        </is>
      </c>
      <c r="U1784" s="18" t="inlineStr">
        <is>
          <t>¿La exigencia de evidencias es por ítem o para la lista completa? El backend no usa la columna.</t>
        </is>
      </c>
      <c r="V1784" s="19" t="inlineStr">
        <is>
          <t>Aprobada</t>
        </is>
      </c>
      <c r="W1784" s="19" t="inlineStr"/>
      <c r="X1784" s="19" t="inlineStr">
        <is>
          <t>Aldair González (validación del responsable de BD)</t>
        </is>
      </c>
      <c r="Y1784" s="20" t="n">
        <v>46321</v>
      </c>
      <c r="Z1784" s="19" t="inlineStr">
        <is>
          <t>Nivel 3: validada por decisión del responsable de la base de datos. Pregunta registrada para desarrollo: ¿La exigencia de evidencias es por ítem o para la lista completa? El backend no usa la columna.</t>
        </is>
      </c>
      <c r="AA1784" s="18">
        <f>IF(OR(V1784="Aprobada"),R1784,IF(AND(OR(V1784="Aprobada con ajuste",V1784="Rechazada"),W1784&lt;&gt;""),W1784,""))</f>
        <v/>
      </c>
    </row>
    <row r="1785">
      <c r="A1785" s="18" t="inlineStr">
        <is>
          <t>C1784</t>
        </is>
      </c>
      <c r="B1785" s="18" t="inlineStr">
        <is>
          <t>Control interno</t>
        </is>
      </c>
      <c r="C1785" s="18" t="inlineStr">
        <is>
          <t>control_interno</t>
        </is>
      </c>
      <c r="D1785" s="18" t="inlineStr">
        <is>
          <t>lista_chequeo</t>
        </is>
      </c>
      <c r="E1785" s="18" t="n">
        <v>71</v>
      </c>
      <c r="F1785" s="18" t="inlineStr">
        <is>
          <t>genera_hallazgos_automaticos</t>
        </is>
      </c>
      <c r="G1785" s="18" t="inlineStr">
        <is>
          <t>boolean</t>
        </is>
      </c>
      <c r="H1785" s="18" t="inlineStr">
        <is>
          <t>Sí</t>
        </is>
      </c>
      <c r="I1785" s="18" t="inlineStr"/>
      <c r="J1785" s="18" t="inlineStr"/>
      <c r="K1785" s="18" t="inlineStr"/>
      <c r="L1785" s="18" t="inlineStr">
        <is>
          <t>No</t>
        </is>
      </c>
      <c r="M1785" s="18" t="inlineStr">
        <is>
          <t>No</t>
        </is>
      </c>
      <c r="N1785" s="18" t="inlineStr"/>
      <c r="O1785" s="18" t="inlineStr"/>
      <c r="P1785" s="18" t="inlineStr">
        <is>
          <t>internal-institutional-control-service/src/esap/listas-chequeo/entities/lista-chequeo.entity.ts:108: ═══════════════════════════════════════════════════════════════════════════ CAMPOS OBLIGATORIOS EN BD EXISTENTE ═══════════════════════════════════════════════════════════════════════════</t>
        </is>
      </c>
      <c r="Q1785" s="18" t="inlineStr">
        <is>
          <t>Código fuente (verificado)</t>
        </is>
      </c>
      <c r="R1785" s="18" t="inlineStr">
        <is>
          <t>Indica si la lista de chequeo genera hallazgos de forma automática. Por defecto verdadero.</t>
        </is>
      </c>
      <c r="S1785" s="18" t="inlineStr">
        <is>
          <t>Media</t>
        </is>
      </c>
      <c r="T1785" s="18" t="inlineStr">
        <is>
          <t>backend/internal-institutional-control-service/src/esap/listas-chequeo/entities/lista-chequeo.entity.ts:108: default true; columna mapeada; no está en los DTO y ningún servicio la escribe ni la lee</t>
        </is>
      </c>
      <c r="U1785" s="18" t="inlineStr">
        <is>
          <t>¿Se genera un hallazgo por cada ítem no cumplido? El backend no usa la columna ni genera hallazgos desde las listas.</t>
        </is>
      </c>
      <c r="V1785" s="19" t="inlineStr">
        <is>
          <t>Aprobada</t>
        </is>
      </c>
      <c r="W1785" s="19" t="inlineStr"/>
      <c r="X1785" s="19" t="inlineStr">
        <is>
          <t>Aldair González (validación del responsable de BD)</t>
        </is>
      </c>
      <c r="Y1785" s="20" t="n">
        <v>46321</v>
      </c>
      <c r="Z1785" s="19" t="inlineStr">
        <is>
          <t>Nivel 3: validada por decisión del responsable de la base de datos. Pregunta registrada para desarrollo: ¿Se genera un hallazgo por cada ítem no cumplido? El backend no usa la columna ni genera hallazgos desde las listas.</t>
        </is>
      </c>
      <c r="AA1785" s="18">
        <f>IF(OR(V1785="Aprobada"),R1785,IF(AND(OR(V1785="Aprobada con ajuste",V1785="Rechazada"),W1785&lt;&gt;""),W1785,""))</f>
        <v/>
      </c>
    </row>
    <row r="1786">
      <c r="A1786" s="18" t="inlineStr">
        <is>
          <t>C1785</t>
        </is>
      </c>
      <c r="B1786" s="18" t="inlineStr">
        <is>
          <t>Control interno</t>
        </is>
      </c>
      <c r="C1786" s="18" t="inlineStr">
        <is>
          <t>control_interno</t>
        </is>
      </c>
      <c r="D1786" s="18" t="inlineStr">
        <is>
          <t>lista_chequeo</t>
        </is>
      </c>
      <c r="E1786" s="18" t="n">
        <v>71</v>
      </c>
      <c r="F1786" s="18" t="inlineStr">
        <is>
          <t>fase_planeacion</t>
        </is>
      </c>
      <c r="G1786" s="18" t="inlineStr">
        <is>
          <t>boolean</t>
        </is>
      </c>
      <c r="H1786" s="18" t="inlineStr">
        <is>
          <t>Sí</t>
        </is>
      </c>
      <c r="I1786" s="18" t="inlineStr"/>
      <c r="J1786" s="18" t="inlineStr"/>
      <c r="K1786" s="18" t="inlineStr"/>
      <c r="L1786" s="18" t="inlineStr">
        <is>
          <t>No</t>
        </is>
      </c>
      <c r="M1786" s="18" t="inlineStr">
        <is>
          <t>No</t>
        </is>
      </c>
      <c r="N1786" s="18" t="inlineStr"/>
      <c r="O1786" s="18" t="inlineStr"/>
      <c r="P1786" s="18" t="inlineStr">
        <is>
          <t>internal-institutional-control-service/src/esap/listas-chequeo/entities/lista-chequeo.entity.ts:172: ═══════════════════════════════════════════════════════════════════════════ CAMPOS OBLIGATORIOS EN BD EXISTENTE ═══════════════════════════════════════════════════════════════════════════ | Validación: IsBoolean, IsOptional</t>
        </is>
      </c>
      <c r="Q1786" s="18" t="inlineStr">
        <is>
          <t>Código fuente</t>
        </is>
      </c>
      <c r="R1786" s="18" t="inlineStr">
        <is>
          <t>Indica si la lista de chequeo se aplica en la fase de planeación de la auditoría. Por defecto falso.</t>
        </is>
      </c>
      <c r="S1786" s="18" t="inlineStr">
        <is>
          <t>Alta</t>
        </is>
      </c>
      <c r="T1786" s="18" t="inlineStr">
        <is>
          <t>nombre + tipo + columnas vecinas (fases)</t>
        </is>
      </c>
      <c r="U1786" s="18" t="inlineStr"/>
      <c r="V1786" s="19" t="inlineStr">
        <is>
          <t>Aprobada</t>
        </is>
      </c>
      <c r="W1786" s="19" t="inlineStr"/>
      <c r="X1786" s="19" t="inlineStr">
        <is>
          <t>Aldair González (aprobación en bloque)</t>
        </is>
      </c>
      <c r="Y1786" s="20" t="n">
        <v>46321</v>
      </c>
      <c r="Z1786" s="19" t="inlineStr">
        <is>
          <t>Nivel 1: propuesta del comentario del desarrollador o de confianza alta, o regla de fecha/responsable/motivo.</t>
        </is>
      </c>
      <c r="AA1786" s="18">
        <f>IF(OR(V1786="Aprobada"),R1786,IF(AND(OR(V1786="Aprobada con ajuste",V1786="Rechazada"),W1786&lt;&gt;""),W1786,""))</f>
        <v/>
      </c>
    </row>
    <row r="1787">
      <c r="A1787" s="18" t="inlineStr">
        <is>
          <t>C1786</t>
        </is>
      </c>
      <c r="B1787" s="18" t="inlineStr">
        <is>
          <t>Control interno</t>
        </is>
      </c>
      <c r="C1787" s="18" t="inlineStr">
        <is>
          <t>control_interno</t>
        </is>
      </c>
      <c r="D1787" s="18" t="inlineStr">
        <is>
          <t>lista_chequeo</t>
        </is>
      </c>
      <c r="E1787" s="18" t="n">
        <v>71</v>
      </c>
      <c r="F1787" s="18" t="inlineStr">
        <is>
          <t>fase_ejecucion</t>
        </is>
      </c>
      <c r="G1787" s="18" t="inlineStr">
        <is>
          <t>boolean</t>
        </is>
      </c>
      <c r="H1787" s="18" t="inlineStr">
        <is>
          <t>Sí</t>
        </is>
      </c>
      <c r="I1787" s="18" t="inlineStr"/>
      <c r="J1787" s="18" t="inlineStr"/>
      <c r="K1787" s="18" t="inlineStr"/>
      <c r="L1787" s="18" t="inlineStr">
        <is>
          <t>No</t>
        </is>
      </c>
      <c r="M1787" s="18" t="inlineStr">
        <is>
          <t>No</t>
        </is>
      </c>
      <c r="N1787" s="18" t="inlineStr"/>
      <c r="O1787" s="18" t="inlineStr"/>
      <c r="P1787" s="18" t="inlineStr">
        <is>
          <t>internal-institutional-control-service/src/esap/listas-chequeo/entities/lista-chequeo.entity.ts:175: ═══════════════════════════════════════════════════════════════════════════ CAMPOS OBLIGATORIOS EN BD EXISTENTE ═══════════════════════════════════════════════════════════════════════════ | Validación: IsBoolean, IsOptional</t>
        </is>
      </c>
      <c r="Q1787" s="18" t="inlineStr">
        <is>
          <t>Código fuente</t>
        </is>
      </c>
      <c r="R1787" s="18" t="inlineStr">
        <is>
          <t>Indica si la lista de chequeo se aplica en la fase de ejecución de la auditoría. Por defecto falso.</t>
        </is>
      </c>
      <c r="S1787" s="18" t="inlineStr">
        <is>
          <t>Alta</t>
        </is>
      </c>
      <c r="T1787" s="18" t="inlineStr">
        <is>
          <t>nombre + tipo + columnas vecinas (fases)</t>
        </is>
      </c>
      <c r="U1787" s="18" t="inlineStr"/>
      <c r="V1787" s="19" t="inlineStr">
        <is>
          <t>Aprobada</t>
        </is>
      </c>
      <c r="W1787" s="19" t="inlineStr"/>
      <c r="X1787" s="19" t="inlineStr">
        <is>
          <t>Aldair González (aprobación en bloque)</t>
        </is>
      </c>
      <c r="Y1787" s="20" t="n">
        <v>46321</v>
      </c>
      <c r="Z1787" s="19" t="inlineStr">
        <is>
          <t>Nivel 1: propuesta del comentario del desarrollador o de confianza alta, o regla de fecha/responsable/motivo.</t>
        </is>
      </c>
      <c r="AA1787" s="18">
        <f>IF(OR(V1787="Aprobada"),R1787,IF(AND(OR(V1787="Aprobada con ajuste",V1787="Rechazada"),W1787&lt;&gt;""),W1787,""))</f>
        <v/>
      </c>
    </row>
    <row r="1788">
      <c r="A1788" s="18" t="inlineStr">
        <is>
          <t>C1787</t>
        </is>
      </c>
      <c r="B1788" s="18" t="inlineStr">
        <is>
          <t>Control interno</t>
        </is>
      </c>
      <c r="C1788" s="18" t="inlineStr">
        <is>
          <t>control_interno</t>
        </is>
      </c>
      <c r="D1788" s="18" t="inlineStr">
        <is>
          <t>lista_chequeo</t>
        </is>
      </c>
      <c r="E1788" s="18" t="n">
        <v>71</v>
      </c>
      <c r="F1788" s="18" t="inlineStr">
        <is>
          <t>fase_comunicacion</t>
        </is>
      </c>
      <c r="G1788" s="18" t="inlineStr">
        <is>
          <t>boolean</t>
        </is>
      </c>
      <c r="H1788" s="18" t="inlineStr">
        <is>
          <t>Sí</t>
        </is>
      </c>
      <c r="I1788" s="18" t="inlineStr"/>
      <c r="J1788" s="18" t="inlineStr"/>
      <c r="K1788" s="18" t="inlineStr"/>
      <c r="L1788" s="18" t="inlineStr">
        <is>
          <t>No</t>
        </is>
      </c>
      <c r="M1788" s="18" t="inlineStr">
        <is>
          <t>No</t>
        </is>
      </c>
      <c r="N1788" s="18" t="inlineStr"/>
      <c r="O1788" s="18" t="inlineStr"/>
      <c r="P1788" s="18" t="inlineStr">
        <is>
          <t>internal-institutional-control-service/src/esap/listas-chequeo/entities/lista-chequeo.entity.ts:178: ═══════════════════════════════════════════════════════════════════════════ CAMPOS OBLIGATORIOS EN BD EXISTENTE ═══════════════════════════════════════════════════════════════════════════ | Validación: IsBoolean, IsOptional</t>
        </is>
      </c>
      <c r="Q1788" s="18" t="inlineStr">
        <is>
          <t>Código fuente</t>
        </is>
      </c>
      <c r="R1788" s="18" t="inlineStr">
        <is>
          <t>Indica si la lista de chequeo se aplica en la fase de comunicación de la auditoría. Por defecto falso.</t>
        </is>
      </c>
      <c r="S1788" s="18" t="inlineStr">
        <is>
          <t>Alta</t>
        </is>
      </c>
      <c r="T1788" s="18" t="inlineStr">
        <is>
          <t>nombre + tipo + columnas vecinas (fases)</t>
        </is>
      </c>
      <c r="U1788" s="18" t="inlineStr"/>
      <c r="V1788" s="19" t="inlineStr">
        <is>
          <t>Aprobada</t>
        </is>
      </c>
      <c r="W1788" s="19" t="inlineStr"/>
      <c r="X1788" s="19" t="inlineStr">
        <is>
          <t>Aldair González (aprobación en bloque)</t>
        </is>
      </c>
      <c r="Y1788" s="20" t="n">
        <v>46321</v>
      </c>
      <c r="Z1788" s="19" t="inlineStr">
        <is>
          <t>Nivel 1: propuesta del comentario del desarrollador o de confianza alta, o regla de fecha/responsable/motivo.</t>
        </is>
      </c>
      <c r="AA1788" s="18">
        <f>IF(OR(V1788="Aprobada"),R1788,IF(AND(OR(V1788="Aprobada con ajuste",V1788="Rechazada"),W1788&lt;&gt;""),W1788,""))</f>
        <v/>
      </c>
    </row>
    <row r="1789">
      <c r="A1789" s="18" t="inlineStr">
        <is>
          <t>C1788</t>
        </is>
      </c>
      <c r="B1789" s="18" t="inlineStr">
        <is>
          <t>Control interno</t>
        </is>
      </c>
      <c r="C1789" s="18" t="inlineStr">
        <is>
          <t>control_interno</t>
        </is>
      </c>
      <c r="D1789" s="18" t="inlineStr">
        <is>
          <t>lista_chequeo</t>
        </is>
      </c>
      <c r="E1789" s="18" t="n">
        <v>71</v>
      </c>
      <c r="F1789" s="18" t="inlineStr">
        <is>
          <t>fase_seguimiento</t>
        </is>
      </c>
      <c r="G1789" s="18" t="inlineStr">
        <is>
          <t>boolean</t>
        </is>
      </c>
      <c r="H1789" s="18" t="inlineStr">
        <is>
          <t>Sí</t>
        </is>
      </c>
      <c r="I1789" s="18" t="inlineStr"/>
      <c r="J1789" s="18" t="inlineStr"/>
      <c r="K1789" s="18" t="inlineStr"/>
      <c r="L1789" s="18" t="inlineStr">
        <is>
          <t>No</t>
        </is>
      </c>
      <c r="M1789" s="18" t="inlineStr">
        <is>
          <t>No</t>
        </is>
      </c>
      <c r="N1789" s="18" t="inlineStr"/>
      <c r="O1789" s="18" t="inlineStr"/>
      <c r="P1789" s="18" t="inlineStr">
        <is>
          <t>internal-institutional-control-service/src/esap/listas-chequeo/entities/lista-chequeo.entity.ts:181: ═══════════════════════════════════════════════════════════════════════════ CAMPOS OBLIGATORIOS EN BD EXISTENTE ═══════════════════════════════════════════════════════════════════════════ | Validación: IsBoolean, IsOptional</t>
        </is>
      </c>
      <c r="Q1789" s="18" t="inlineStr">
        <is>
          <t>Código fuente</t>
        </is>
      </c>
      <c r="R1789" s="18" t="inlineStr">
        <is>
          <t>Indica si la lista de chequeo se aplica en la fase de seguimiento de la auditoría. Por defecto falso.</t>
        </is>
      </c>
      <c r="S1789" s="18" t="inlineStr">
        <is>
          <t>Alta</t>
        </is>
      </c>
      <c r="T1789" s="18" t="inlineStr">
        <is>
          <t>nombre + tipo + columnas vecinas (fases)</t>
        </is>
      </c>
      <c r="U1789" s="18" t="inlineStr"/>
      <c r="V1789" s="19" t="inlineStr">
        <is>
          <t>Aprobada</t>
        </is>
      </c>
      <c r="W1789" s="19" t="inlineStr"/>
      <c r="X1789" s="19" t="inlineStr">
        <is>
          <t>Aldair González (aprobación en bloque)</t>
        </is>
      </c>
      <c r="Y1789" s="20" t="n">
        <v>46321</v>
      </c>
      <c r="Z1789" s="19" t="inlineStr">
        <is>
          <t>Nivel 1: propuesta del comentario del desarrollador o de confianza alta, o regla de fecha/responsable/motivo.</t>
        </is>
      </c>
      <c r="AA1789" s="18">
        <f>IF(OR(V1789="Aprobada"),R1789,IF(AND(OR(V1789="Aprobada con ajuste",V1789="Rechazada"),W1789&lt;&gt;""),W1789,""))</f>
        <v/>
      </c>
    </row>
    <row r="1790">
      <c r="A1790" s="18" t="inlineStr">
        <is>
          <t>C1789</t>
        </is>
      </c>
      <c r="B1790" s="18" t="inlineStr">
        <is>
          <t>Control interno</t>
        </is>
      </c>
      <c r="C1790" s="18" t="inlineStr">
        <is>
          <t>control_interno</t>
        </is>
      </c>
      <c r="D1790" s="18" t="inlineStr">
        <is>
          <t>logs_auditoria_esap</t>
        </is>
      </c>
      <c r="E1790" s="18" t="n">
        <v>0</v>
      </c>
      <c r="F1790" s="18" t="inlineStr">
        <is>
          <t>accion</t>
        </is>
      </c>
      <c r="G1790" s="18" t="inlineStr">
        <is>
          <t>character varying(255)</t>
        </is>
      </c>
      <c r="H1790" s="18" t="inlineStr">
        <is>
          <t>No</t>
        </is>
      </c>
      <c r="I1790" s="18" t="inlineStr"/>
      <c r="J1790" s="18" t="inlineStr"/>
      <c r="K1790" s="18" t="inlineStr"/>
      <c r="L1790" s="18" t="inlineStr">
        <is>
          <t>No</t>
        </is>
      </c>
      <c r="M1790" s="18" t="inlineStr">
        <is>
          <t>No</t>
        </is>
      </c>
      <c r="N1790" s="18" t="inlineStr"/>
      <c r="O1790" s="18" t="inlineStr">
        <is>
          <t>idx_logs_accion</t>
        </is>
      </c>
      <c r="P1790" s="18" t="inlineStr"/>
      <c r="Q1790" s="18" t="inlineStr">
        <is>
          <t>Código fuente (verificado)</t>
        </is>
      </c>
      <c r="R1790" s="18" t="inlineStr">
        <is>
          <t>Acción realizada por el usuario que se registra en el log.</t>
        </is>
      </c>
      <c r="S1790" s="18" t="inlineStr">
        <is>
          <t>Media</t>
        </is>
      </c>
      <c r="T1790" s="18" t="inlineStr">
        <is>
          <t>db/init/005_control_interno_ddl_20260129_215540.sql:2261-2271: tabla logs_auditoria_esap; la tabla no tiene entidad ni consultas en el backend</t>
        </is>
      </c>
      <c r="U1790" s="18" t="inlineStr">
        <is>
          <t>¿Qué valores toma la acción (crear, actualizar, eliminar, login…) y qué componente escribe en control_interno.logs_auditoria_esap?</t>
        </is>
      </c>
      <c r="V1790" s="19" t="inlineStr">
        <is>
          <t>Aprobada</t>
        </is>
      </c>
      <c r="W1790" s="19" t="inlineStr"/>
      <c r="X1790" s="19" t="inlineStr">
        <is>
          <t>Aldair González (validación del responsable de BD)</t>
        </is>
      </c>
      <c r="Y1790" s="20" t="n">
        <v>46321</v>
      </c>
      <c r="Z1790" s="19" t="inlineStr">
        <is>
          <t>Nivel 3: validada por decisión del responsable de la base de datos. Pregunta registrada para desarrollo: ¿Qué valores toma la acción (crear, actualizar, eliminar, login…) y qué componente escribe en control_interno.logs_auditoria_esap?</t>
        </is>
      </c>
      <c r="AA1790" s="18">
        <f>IF(OR(V1790="Aprobada"),R1790,IF(AND(OR(V1790="Aprobada con ajuste",V1790="Rechazada"),W1790&lt;&gt;""),W1790,""))</f>
        <v/>
      </c>
    </row>
    <row r="1791">
      <c r="A1791" s="18" t="inlineStr">
        <is>
          <t>C1790</t>
        </is>
      </c>
      <c r="B1791" s="18" t="inlineStr">
        <is>
          <t>Control interno</t>
        </is>
      </c>
      <c r="C1791" s="18" t="inlineStr">
        <is>
          <t>control_interno</t>
        </is>
      </c>
      <c r="D1791" s="18" t="inlineStr">
        <is>
          <t>logs_auditoria_esap</t>
        </is>
      </c>
      <c r="E1791" s="18" t="n">
        <v>0</v>
      </c>
      <c r="F1791" s="18" t="inlineStr">
        <is>
          <t>entidad</t>
        </is>
      </c>
      <c r="G1791" s="18" t="inlineStr">
        <is>
          <t>character varying(255)</t>
        </is>
      </c>
      <c r="H1791" s="18" t="inlineStr">
        <is>
          <t>Sí</t>
        </is>
      </c>
      <c r="I1791" s="18" t="inlineStr"/>
      <c r="J1791" s="18" t="inlineStr"/>
      <c r="K1791" s="18" t="inlineStr"/>
      <c r="L1791" s="18" t="inlineStr">
        <is>
          <t>No</t>
        </is>
      </c>
      <c r="M1791" s="18" t="inlineStr">
        <is>
          <t>No</t>
        </is>
      </c>
      <c r="N1791" s="18" t="inlineStr"/>
      <c r="O1791" s="18" t="inlineStr">
        <is>
          <t>idx_logs_entidad</t>
        </is>
      </c>
      <c r="P1791" s="18" t="inlineStr"/>
      <c r="Q1791" s="18" t="inlineStr">
        <is>
          <t>Propuesta semántica</t>
        </is>
      </c>
      <c r="R1791" s="18" t="inlineStr">
        <is>
          <t>Nombre de la entidad o tabla afectada por la acción.</t>
        </is>
      </c>
      <c r="S1791" s="18" t="inlineStr">
        <is>
          <t>Alta</t>
        </is>
      </c>
      <c r="T1791" s="18" t="inlineStr">
        <is>
          <t>nombre + tipo + columnas vecinas</t>
        </is>
      </c>
      <c r="U1791" s="18" t="inlineStr"/>
      <c r="V1791" s="19" t="inlineStr">
        <is>
          <t>Aprobada</t>
        </is>
      </c>
      <c r="W1791" s="19" t="inlineStr"/>
      <c r="X1791" s="19" t="inlineStr">
        <is>
          <t>Aldair González (aprobación en bloque)</t>
        </is>
      </c>
      <c r="Y1791" s="20" t="n">
        <v>46321</v>
      </c>
      <c r="Z1791" s="19" t="inlineStr">
        <is>
          <t>Nivel 1: propuesta del comentario del desarrollador o de confianza alta, o regla de fecha/responsable/motivo.</t>
        </is>
      </c>
      <c r="AA1791" s="18">
        <f>IF(OR(V1791="Aprobada"),R1791,IF(AND(OR(V1791="Aprobada con ajuste",V1791="Rechazada"),W1791&lt;&gt;""),W1791,""))</f>
        <v/>
      </c>
    </row>
    <row r="1792">
      <c r="A1792" s="18" t="inlineStr">
        <is>
          <t>C1791</t>
        </is>
      </c>
      <c r="B1792" s="18" t="inlineStr">
        <is>
          <t>Control interno</t>
        </is>
      </c>
      <c r="C1792" s="18" t="inlineStr">
        <is>
          <t>control_interno</t>
        </is>
      </c>
      <c r="D1792" s="18" t="inlineStr">
        <is>
          <t>logs_auditoria_esap</t>
        </is>
      </c>
      <c r="E1792" s="18" t="n">
        <v>0</v>
      </c>
      <c r="F1792" s="18" t="inlineStr">
        <is>
          <t>entidad_id</t>
        </is>
      </c>
      <c r="G1792" s="18" t="inlineStr">
        <is>
          <t>uuid</t>
        </is>
      </c>
      <c r="H1792" s="18" t="inlineStr">
        <is>
          <t>Sí</t>
        </is>
      </c>
      <c r="I1792" s="18" t="inlineStr"/>
      <c r="J1792" s="18" t="inlineStr"/>
      <c r="K1792" s="18" t="inlineStr"/>
      <c r="L1792" s="18" t="inlineStr">
        <is>
          <t>No</t>
        </is>
      </c>
      <c r="M1792" s="18" t="inlineStr">
        <is>
          <t>No</t>
        </is>
      </c>
      <c r="N1792" s="18" t="inlineStr"/>
      <c r="O1792" s="18" t="inlineStr"/>
      <c r="P1792" s="18" t="inlineStr"/>
      <c r="Q1792" s="18" t="inlineStr">
        <is>
          <t>Propuesta semántica</t>
        </is>
      </c>
      <c r="R1792" s="18" t="inlineStr">
        <is>
          <t>Identificador del registro afectado por la acción.</t>
        </is>
      </c>
      <c r="S1792" s="18" t="inlineStr">
        <is>
          <t>Alta</t>
        </is>
      </c>
      <c r="T1792" s="18" t="inlineStr">
        <is>
          <t>nombre + tipo + columnas vecinas</t>
        </is>
      </c>
      <c r="U1792" s="18" t="inlineStr"/>
      <c r="V1792" s="19" t="inlineStr">
        <is>
          <t>Aprobada</t>
        </is>
      </c>
      <c r="W1792" s="19" t="inlineStr"/>
      <c r="X1792" s="19" t="inlineStr">
        <is>
          <t>Aldair González (aprobación en bloque)</t>
        </is>
      </c>
      <c r="Y1792" s="20" t="n">
        <v>46321</v>
      </c>
      <c r="Z1792" s="19" t="inlineStr">
        <is>
          <t>Nivel 1: propuesta del comentario del desarrollador o de confianza alta, o regla de fecha/responsable/motivo.</t>
        </is>
      </c>
      <c r="AA1792" s="18">
        <f>IF(OR(V1792="Aprobada"),R1792,IF(AND(OR(V1792="Aprobada con ajuste",V1792="Rechazada"),W1792&lt;&gt;""),W1792,""))</f>
        <v/>
      </c>
    </row>
    <row r="1793">
      <c r="A1793" s="18" t="inlineStr">
        <is>
          <t>C1792</t>
        </is>
      </c>
      <c r="B1793" s="18" t="inlineStr">
        <is>
          <t>Control interno</t>
        </is>
      </c>
      <c r="C1793" s="18" t="inlineStr">
        <is>
          <t>control_interno</t>
        </is>
      </c>
      <c r="D1793" s="18" t="inlineStr">
        <is>
          <t>logs_auditoria_esap</t>
        </is>
      </c>
      <c r="E1793" s="18" t="n">
        <v>0</v>
      </c>
      <c r="F1793" s="18" t="inlineStr">
        <is>
          <t>detalles</t>
        </is>
      </c>
      <c r="G1793" s="18" t="inlineStr">
        <is>
          <t>jsonb</t>
        </is>
      </c>
      <c r="H1793" s="18" t="inlineStr">
        <is>
          <t>Sí</t>
        </is>
      </c>
      <c r="I1793" s="18" t="inlineStr"/>
      <c r="J1793" s="18" t="inlineStr"/>
      <c r="K1793" s="18" t="inlineStr"/>
      <c r="L1793" s="18" t="inlineStr">
        <is>
          <t>No</t>
        </is>
      </c>
      <c r="M1793" s="18" t="inlineStr">
        <is>
          <t>No</t>
        </is>
      </c>
      <c r="N1793" s="18" t="inlineStr"/>
      <c r="O1793" s="18" t="inlineStr"/>
      <c r="P1793" s="18" t="inlineStr"/>
      <c r="Q1793" s="18" t="inlineStr">
        <is>
          <t>Código fuente (verificado)</t>
        </is>
      </c>
      <c r="R1793" s="18" t="inlineStr">
        <is>
          <t>Detalles adicionales de la acción, en formato JSON.</t>
        </is>
      </c>
      <c r="S1793" s="18" t="inlineStr">
        <is>
          <t>Media</t>
        </is>
      </c>
      <c r="T1793" s="18" t="inlineStr">
        <is>
          <t>db/init/005_control_interno_ddl_20260129_215540.sql:2267: detalles jsonb; la tabla no tiene entidad ni consultas en el backend</t>
        </is>
      </c>
      <c r="U1793" s="18" t="inlineStr">
        <is>
          <t>¿Qué estructura tiene el JSON de detalles y qué componente escribe en control_interno.logs_auditoria_esap?</t>
        </is>
      </c>
      <c r="V1793" s="19" t="inlineStr">
        <is>
          <t>Aprobada</t>
        </is>
      </c>
      <c r="W1793" s="19" t="inlineStr"/>
      <c r="X1793" s="19" t="inlineStr">
        <is>
          <t>Aldair González (validación del responsable de BD)</t>
        </is>
      </c>
      <c r="Y1793" s="20" t="n">
        <v>46321</v>
      </c>
      <c r="Z1793" s="19" t="inlineStr">
        <is>
          <t>Nivel 3: validada por decisión del responsable de la base de datos. Pregunta registrada para desarrollo: ¿Qué estructura tiene el JSON de detalles y qué componente escribe en control_interno.logs_auditoria_esap?</t>
        </is>
      </c>
      <c r="AA1793" s="18">
        <f>IF(OR(V1793="Aprobada"),R1793,IF(AND(OR(V1793="Aprobada con ajuste",V1793="Rechazada"),W1793&lt;&gt;""),W1793,""))</f>
        <v/>
      </c>
    </row>
    <row r="1794">
      <c r="A1794" s="18" t="inlineStr">
        <is>
          <t>C1793</t>
        </is>
      </c>
      <c r="B1794" s="18" t="inlineStr">
        <is>
          <t>Control interno</t>
        </is>
      </c>
      <c r="C1794" s="18" t="inlineStr">
        <is>
          <t>control_interno</t>
        </is>
      </c>
      <c r="D1794" s="18" t="inlineStr">
        <is>
          <t>logs_auditoria_esap</t>
        </is>
      </c>
      <c r="E1794" s="18" t="n">
        <v>0</v>
      </c>
      <c r="F1794" s="18" t="inlineStr">
        <is>
          <t>ip_address</t>
        </is>
      </c>
      <c r="G1794" s="18" t="inlineStr">
        <is>
          <t>character varying(45)</t>
        </is>
      </c>
      <c r="H1794" s="18" t="inlineStr">
        <is>
          <t>Sí</t>
        </is>
      </c>
      <c r="I1794" s="18" t="inlineStr"/>
      <c r="J1794" s="18" t="inlineStr"/>
      <c r="K1794" s="18" t="inlineStr"/>
      <c r="L1794" s="18" t="inlineStr">
        <is>
          <t>No</t>
        </is>
      </c>
      <c r="M1794" s="18" t="inlineStr">
        <is>
          <t>No</t>
        </is>
      </c>
      <c r="N1794" s="18" t="inlineStr"/>
      <c r="O1794" s="18" t="inlineStr"/>
      <c r="P1794" s="18" t="inlineStr"/>
      <c r="Q1794" s="18" t="inlineStr">
        <is>
          <t>Propuesta semántica</t>
        </is>
      </c>
      <c r="R1794" s="18" t="inlineStr">
        <is>
          <t>Dirección IP desde la que se realizó la acción (IPv4 o IPv6).</t>
        </is>
      </c>
      <c r="S1794" s="18" t="inlineStr">
        <is>
          <t>Alta</t>
        </is>
      </c>
      <c r="T1794" s="18" t="inlineStr">
        <is>
          <t>nombre + tipo (longitud 45)</t>
        </is>
      </c>
      <c r="U1794" s="18" t="inlineStr"/>
      <c r="V1794" s="19" t="inlineStr">
        <is>
          <t>Aprobada</t>
        </is>
      </c>
      <c r="W1794" s="19" t="inlineStr"/>
      <c r="X1794" s="19" t="inlineStr">
        <is>
          <t>Aldair González (aprobación en bloque)</t>
        </is>
      </c>
      <c r="Y1794" s="20" t="n">
        <v>46321</v>
      </c>
      <c r="Z1794" s="19" t="inlineStr">
        <is>
          <t>Nivel 1: propuesta del comentario del desarrollador o de confianza alta, o regla de fecha/responsable/motivo.</t>
        </is>
      </c>
      <c r="AA1794" s="18">
        <f>IF(OR(V1794="Aprobada"),R1794,IF(AND(OR(V1794="Aprobada con ajuste",V1794="Rechazada"),W1794&lt;&gt;""),W1794,""))</f>
        <v/>
      </c>
    </row>
    <row r="1795">
      <c r="A1795" s="18" t="inlineStr">
        <is>
          <t>C1794</t>
        </is>
      </c>
      <c r="B1795" s="18" t="inlineStr">
        <is>
          <t>Control interno</t>
        </is>
      </c>
      <c r="C1795" s="18" t="inlineStr">
        <is>
          <t>control_interno</t>
        </is>
      </c>
      <c r="D1795" s="18" t="inlineStr">
        <is>
          <t>logs_auditoria_esap</t>
        </is>
      </c>
      <c r="E1795" s="18" t="n">
        <v>0</v>
      </c>
      <c r="F1795" s="18" t="inlineStr">
        <is>
          <t>user_agent</t>
        </is>
      </c>
      <c r="G1795" s="18" t="inlineStr">
        <is>
          <t>text</t>
        </is>
      </c>
      <c r="H1795" s="18" t="inlineStr">
        <is>
          <t>Sí</t>
        </is>
      </c>
      <c r="I1795" s="18" t="inlineStr"/>
      <c r="J1795" s="18" t="inlineStr"/>
      <c r="K1795" s="18" t="inlineStr"/>
      <c r="L1795" s="18" t="inlineStr">
        <is>
          <t>No</t>
        </is>
      </c>
      <c r="M1795" s="18" t="inlineStr">
        <is>
          <t>No</t>
        </is>
      </c>
      <c r="N1795" s="18" t="inlineStr"/>
      <c r="O1795" s="18" t="inlineStr"/>
      <c r="P1795" s="18" t="inlineStr"/>
      <c r="Q1795" s="18" t="inlineStr">
        <is>
          <t>Regla estructural (redacción revisada)</t>
        </is>
      </c>
      <c r="R1795" s="18" t="inlineStr">
        <is>
          <t>Agente de usuario (navegador) desde el que se realizó la acción.</t>
        </is>
      </c>
      <c r="S1795" s="18" t="inlineStr">
        <is>
          <t>Alta</t>
        </is>
      </c>
      <c r="T1795" s="18" t="inlineStr">
        <is>
          <t>Convención de nombre, redactada con el contexto de la tabla y el código.</t>
        </is>
      </c>
      <c r="U1795" s="18" t="inlineStr"/>
      <c r="V1795" s="19" t="inlineStr">
        <is>
          <t>Aprobada</t>
        </is>
      </c>
      <c r="W1795" s="19" t="inlineStr"/>
      <c r="X1795" s="19" t="inlineStr">
        <is>
          <t>Aldair González (aprobación en bloque)</t>
        </is>
      </c>
      <c r="Y1795" s="20" t="n">
        <v>46321</v>
      </c>
      <c r="Z1795" s="19" t="inlineStr">
        <is>
          <t>Nivel 2: regla estructural con redacción revisada.</t>
        </is>
      </c>
      <c r="AA1795" s="18">
        <f>IF(OR(V1795="Aprobada"),R1795,IF(AND(OR(V1795="Aprobada con ajuste",V1795="Rechazada"),W1795&lt;&gt;""),W1795,""))</f>
        <v/>
      </c>
    </row>
    <row r="1796">
      <c r="A1796" s="18" t="inlineStr">
        <is>
          <t>C1795</t>
        </is>
      </c>
      <c r="B1796" s="18" t="inlineStr">
        <is>
          <t>Control interno</t>
        </is>
      </c>
      <c r="C1796" s="18" t="inlineStr">
        <is>
          <t>control_interno</t>
        </is>
      </c>
      <c r="D1796" s="18" t="inlineStr">
        <is>
          <t>normatividad_aplicable</t>
        </is>
      </c>
      <c r="E1796" s="18" t="n">
        <v>0</v>
      </c>
      <c r="F1796" s="18" t="inlineStr">
        <is>
          <t>normatividad</t>
        </is>
      </c>
      <c r="G1796" s="18" t="inlineStr">
        <is>
          <t>text</t>
        </is>
      </c>
      <c r="H1796" s="18" t="inlineStr">
        <is>
          <t>No</t>
        </is>
      </c>
      <c r="I1796" s="18" t="inlineStr"/>
      <c r="J1796" s="18" t="inlineStr"/>
      <c r="K1796" s="18" t="inlineStr"/>
      <c r="L1796" s="18" t="inlineStr">
        <is>
          <t>No</t>
        </is>
      </c>
      <c r="M1796" s="18" t="inlineStr">
        <is>
          <t>No</t>
        </is>
      </c>
      <c r="N1796" s="18" t="inlineStr"/>
      <c r="O1796" s="18" t="inlineStr"/>
      <c r="P1796" s="18" t="inlineStr">
        <is>
          <t>db/migrations/old/036_add_auditorias_kanban_completo.sql:882: Ej: "Decreto 648 de 2017", "Manual de Contratación"</t>
        </is>
      </c>
      <c r="Q1796" s="18" t="inlineStr">
        <is>
          <t>Código fuente</t>
        </is>
      </c>
      <c r="R1796" s="18" t="inlineStr">
        <is>
          <t>Nombre de la norma o documento aplicable a la auditoría (por ejemplo, «Decreto 648 de 2017», «Manual de Contratación»).</t>
        </is>
      </c>
      <c r="S1796" s="18" t="inlineStr">
        <is>
          <t>Alta</t>
        </is>
      </c>
      <c r="T1796" s="18" t="inlineStr">
        <is>
          <t>código: db/migrations/old/036_add_auditorias_kanban_completo.sql:882</t>
        </is>
      </c>
      <c r="U1796" s="18" t="inlineStr"/>
      <c r="V1796" s="19" t="inlineStr">
        <is>
          <t>Aprobada</t>
        </is>
      </c>
      <c r="W1796" s="19" t="inlineStr"/>
      <c r="X1796" s="19" t="inlineStr">
        <is>
          <t>Aldair González (aprobación en bloque)</t>
        </is>
      </c>
      <c r="Y1796" s="20" t="n">
        <v>46321</v>
      </c>
      <c r="Z1796" s="19" t="inlineStr">
        <is>
          <t>Nivel 1: propuesta del comentario del desarrollador o de confianza alta, o regla de fecha/responsable/motivo.</t>
        </is>
      </c>
      <c r="AA1796" s="18">
        <f>IF(OR(V1796="Aprobada"),R1796,IF(AND(OR(V1796="Aprobada con ajuste",V1796="Rechazada"),W1796&lt;&gt;""),W1796,""))</f>
        <v/>
      </c>
    </row>
    <row r="1797">
      <c r="A1797" s="18" t="inlineStr">
        <is>
          <t>C1796</t>
        </is>
      </c>
      <c r="B1797" s="18" t="inlineStr">
        <is>
          <t>Control interno</t>
        </is>
      </c>
      <c r="C1797" s="18" t="inlineStr">
        <is>
          <t>control_interno</t>
        </is>
      </c>
      <c r="D1797" s="18" t="inlineStr">
        <is>
          <t>normatividad_aplicable</t>
        </is>
      </c>
      <c r="E1797" s="18" t="n">
        <v>0</v>
      </c>
      <c r="F1797" s="18" t="inlineStr">
        <is>
          <t>tipo</t>
        </is>
      </c>
      <c r="G1797" s="18" t="inlineStr">
        <is>
          <t>character varying(100)</t>
        </is>
      </c>
      <c r="H1797" s="18" t="inlineStr">
        <is>
          <t>Sí</t>
        </is>
      </c>
      <c r="I1797" s="18" t="inlineStr"/>
      <c r="J1797" s="18" t="inlineStr"/>
      <c r="K1797" s="18" t="inlineStr"/>
      <c r="L1797" s="18" t="inlineStr">
        <is>
          <t>No</t>
        </is>
      </c>
      <c r="M1797" s="18" t="inlineStr">
        <is>
          <t>No</t>
        </is>
      </c>
      <c r="N1797" s="18" t="inlineStr"/>
      <c r="O1797" s="18" t="inlineStr"/>
      <c r="P1797" s="18" t="inlineStr">
        <is>
          <t>db/migrations/old/036_add_auditorias_kanban_completo.sql:883: 'decreto', 'ley', 'manual', 'politica', 'otro'</t>
        </is>
      </c>
      <c r="Q1797" s="18" t="inlineStr">
        <is>
          <t>Código fuente</t>
        </is>
      </c>
      <c r="R1797" s="18" t="inlineStr">
        <is>
          <t>Tipo de norma. Valores esperados: decreto, ley, manual, politica, otro.</t>
        </is>
      </c>
      <c r="S1797" s="18" t="inlineStr">
        <is>
          <t>Alta</t>
        </is>
      </c>
      <c r="T1797" s="18" t="inlineStr">
        <is>
          <t>código: db/migrations/old/036_add_auditorias_kanban_completo.sql:883</t>
        </is>
      </c>
      <c r="U1797" s="18" t="inlineStr"/>
      <c r="V1797" s="19" t="inlineStr">
        <is>
          <t>Aprobada</t>
        </is>
      </c>
      <c r="W1797" s="19" t="inlineStr"/>
      <c r="X1797" s="19" t="inlineStr">
        <is>
          <t>Aldair González (aprobación en bloque)</t>
        </is>
      </c>
      <c r="Y1797" s="20" t="n">
        <v>46321</v>
      </c>
      <c r="Z1797" s="19" t="inlineStr">
        <is>
          <t>Nivel 1: propuesta del comentario del desarrollador o de confianza alta, o regla de fecha/responsable/motivo.</t>
        </is>
      </c>
      <c r="AA1797" s="18">
        <f>IF(OR(V1797="Aprobada"),R1797,IF(AND(OR(V1797="Aprobada con ajuste",V1797="Rechazada"),W1797&lt;&gt;""),W1797,""))</f>
        <v/>
      </c>
    </row>
    <row r="1798">
      <c r="A1798" s="18" t="inlineStr">
        <is>
          <t>C1797</t>
        </is>
      </c>
      <c r="B1798" s="18" t="inlineStr">
        <is>
          <t>Control interno</t>
        </is>
      </c>
      <c r="C1798" s="18" t="inlineStr">
        <is>
          <t>control_interno</t>
        </is>
      </c>
      <c r="D1798" s="18" t="inlineStr">
        <is>
          <t>normatividad_aplicable</t>
        </is>
      </c>
      <c r="E1798" s="18" t="n">
        <v>0</v>
      </c>
      <c r="F1798" s="18" t="inlineStr">
        <is>
          <t>activo</t>
        </is>
      </c>
      <c r="G1798" s="18" t="inlineStr">
        <is>
          <t>boolean</t>
        </is>
      </c>
      <c r="H1798" s="18" t="inlineStr">
        <is>
          <t>Sí</t>
        </is>
      </c>
      <c r="I1798" s="18" t="inlineStr"/>
      <c r="J1798" s="18" t="inlineStr"/>
      <c r="K1798" s="18" t="inlineStr"/>
      <c r="L1798" s="18" t="inlineStr">
        <is>
          <t>No</t>
        </is>
      </c>
      <c r="M1798" s="18" t="inlineStr">
        <is>
          <t>No</t>
        </is>
      </c>
      <c r="N1798" s="18" t="inlineStr"/>
      <c r="O1798" s="18" t="inlineStr">
        <is>
          <t>idx_normatividad_activo</t>
        </is>
      </c>
      <c r="P1798" s="18" t="inlineStr"/>
      <c r="Q1798" s="18" t="inlineStr">
        <is>
          <t>Regla estructural (redacción revisada)</t>
        </is>
      </c>
      <c r="R1798" s="18" t="inlineStr">
        <is>
          <t>Indica si la norma aplicable está activa.</t>
        </is>
      </c>
      <c r="S1798" s="18" t="inlineStr">
        <is>
          <t>Alta</t>
        </is>
      </c>
      <c r="T1798" s="18" t="inlineStr">
        <is>
          <t>Convención de nombre, redactada con el contexto de la tabla y el código.</t>
        </is>
      </c>
      <c r="U1798" s="18" t="inlineStr"/>
      <c r="V1798" s="19" t="inlineStr">
        <is>
          <t>Aprobada</t>
        </is>
      </c>
      <c r="W1798" s="19" t="inlineStr"/>
      <c r="X1798" s="19" t="inlineStr">
        <is>
          <t>Aldair González (aprobación en bloque)</t>
        </is>
      </c>
      <c r="Y1798" s="20" t="n">
        <v>46321</v>
      </c>
      <c r="Z1798" s="19" t="inlineStr">
        <is>
          <t>Nivel 2: regla estructural con redacción revisada.</t>
        </is>
      </c>
      <c r="AA1798" s="18">
        <f>IF(OR(V1798="Aprobada"),R1798,IF(AND(OR(V1798="Aprobada con ajuste",V1798="Rechazada"),W1798&lt;&gt;""),W1798,""))</f>
        <v/>
      </c>
    </row>
    <row r="1799">
      <c r="A1799" s="18" t="inlineStr">
        <is>
          <t>C1798</t>
        </is>
      </c>
      <c r="B1799" s="18" t="inlineStr">
        <is>
          <t>Control interno</t>
        </is>
      </c>
      <c r="C1799" s="18" t="inlineStr">
        <is>
          <t>control_interno</t>
        </is>
      </c>
      <c r="D1799" s="18" t="inlineStr">
        <is>
          <t>nota_auditoria</t>
        </is>
      </c>
      <c r="E1799" s="18" t="n">
        <v>0</v>
      </c>
      <c r="F1799" s="18" t="inlineStr">
        <is>
          <t>contenido</t>
        </is>
      </c>
      <c r="G1799" s="18" t="inlineStr">
        <is>
          <t>text</t>
        </is>
      </c>
      <c r="H1799" s="18" t="inlineStr">
        <is>
          <t>No</t>
        </is>
      </c>
      <c r="I1799" s="18" t="inlineStr"/>
      <c r="J1799" s="18" t="inlineStr"/>
      <c r="K1799" s="18" t="inlineStr"/>
      <c r="L1799" s="18" t="inlineStr">
        <is>
          <t>No</t>
        </is>
      </c>
      <c r="M1799" s="18" t="inlineStr">
        <is>
          <t>No</t>
        </is>
      </c>
      <c r="N1799" s="18" t="inlineStr"/>
      <c r="O1799" s="18" t="inlineStr"/>
      <c r="P1799" s="18" t="inlineStr">
        <is>
          <t>Mapeada en internal-institutional-control-service/src/esap/auditorias/entities/nota-auditoria.entity.ts:39 (NotaAuditoria.contenido) | Validación: IsNotEmpty, IsOptional, IsString</t>
        </is>
      </c>
      <c r="Q1799" s="18" t="inlineStr">
        <is>
          <t>Propuesta semántica</t>
        </is>
      </c>
      <c r="R1799" s="18" t="inlineStr">
        <is>
          <t>Texto de la nota u observación de la auditoría.</t>
        </is>
      </c>
      <c r="S1799" s="18" t="inlineStr">
        <is>
          <t>Alta</t>
        </is>
      </c>
      <c r="T1799" s="18" t="inlineStr">
        <is>
          <t>nombre + descripción de la tabla</t>
        </is>
      </c>
      <c r="U1799" s="18" t="inlineStr"/>
      <c r="V1799" s="19" t="inlineStr">
        <is>
          <t>Aprobada</t>
        </is>
      </c>
      <c r="W1799" s="19" t="inlineStr"/>
      <c r="X1799" s="19" t="inlineStr">
        <is>
          <t>Aldair González (aprobación en bloque)</t>
        </is>
      </c>
      <c r="Y1799" s="20" t="n">
        <v>46321</v>
      </c>
      <c r="Z1799" s="19" t="inlineStr">
        <is>
          <t>Nivel 1: propuesta del comentario del desarrollador o de confianza alta, o regla de fecha/responsable/motivo.</t>
        </is>
      </c>
      <c r="AA1799" s="18">
        <f>IF(OR(V1799="Aprobada"),R1799,IF(AND(OR(V1799="Aprobada con ajuste",V1799="Rechazada"),W1799&lt;&gt;""),W1799,""))</f>
        <v/>
      </c>
    </row>
    <row r="1800">
      <c r="A1800" s="18" t="inlineStr">
        <is>
          <t>C1799</t>
        </is>
      </c>
      <c r="B1800" s="18" t="inlineStr">
        <is>
          <t>Control interno</t>
        </is>
      </c>
      <c r="C1800" s="18" t="inlineStr">
        <is>
          <t>control_interno</t>
        </is>
      </c>
      <c r="D1800" s="18" t="inlineStr">
        <is>
          <t>nota_auditoria</t>
        </is>
      </c>
      <c r="E1800" s="18" t="n">
        <v>0</v>
      </c>
      <c r="F1800" s="18" t="inlineStr">
        <is>
          <t>fecha</t>
        </is>
      </c>
      <c r="G1800" s="18" t="inlineStr">
        <is>
          <t>date</t>
        </is>
      </c>
      <c r="H1800" s="18" t="inlineStr">
        <is>
          <t>No</t>
        </is>
      </c>
      <c r="I1800" s="18" t="inlineStr"/>
      <c r="J1800" s="18" t="inlineStr"/>
      <c r="K1800" s="18" t="inlineStr"/>
      <c r="L1800" s="18" t="inlineStr">
        <is>
          <t>No</t>
        </is>
      </c>
      <c r="M1800" s="18" t="inlineStr">
        <is>
          <t>No</t>
        </is>
      </c>
      <c r="N1800" s="18" t="inlineStr"/>
      <c r="O1800" s="18" t="inlineStr">
        <is>
          <t>idx_nota_fecha, idx_nota_fecha_hora</t>
        </is>
      </c>
      <c r="P1800" s="18" t="inlineStr">
        <is>
          <t>Mapeada en internal-institutional-control-service/src/esap/auditorias/entities/nota-auditoria.entity.ts:52 (NotaAuditoria.fecha) | Validación: IsDateString, IsString</t>
        </is>
      </c>
      <c r="Q1800" s="18" t="inlineStr">
        <is>
          <t>Propuesta semántica</t>
        </is>
      </c>
      <c r="R1800" s="18" t="inlineStr">
        <is>
          <t>Fecha de registro de la nota de auditoría.</t>
        </is>
      </c>
      <c r="S1800" s="18" t="inlineStr">
        <is>
          <t>Alta</t>
        </is>
      </c>
      <c r="T1800" s="18" t="inlineStr">
        <is>
          <t>nombre + tipo + columnas vecinas (hora)</t>
        </is>
      </c>
      <c r="U1800" s="18" t="inlineStr"/>
      <c r="V1800" s="19" t="inlineStr">
        <is>
          <t>Aprobada</t>
        </is>
      </c>
      <c r="W1800" s="19" t="inlineStr"/>
      <c r="X1800" s="19" t="inlineStr">
        <is>
          <t>Aldair González (aprobación en bloque)</t>
        </is>
      </c>
      <c r="Y1800" s="20" t="n">
        <v>46321</v>
      </c>
      <c r="Z1800" s="19" t="inlineStr">
        <is>
          <t>Nivel 1: propuesta del comentario del desarrollador o de confianza alta, o regla de fecha/responsable/motivo.</t>
        </is>
      </c>
      <c r="AA1800" s="18">
        <f>IF(OR(V1800="Aprobada"),R1800,IF(AND(OR(V1800="Aprobada con ajuste",V1800="Rechazada"),W1800&lt;&gt;""),W1800,""))</f>
        <v/>
      </c>
    </row>
    <row r="1801">
      <c r="A1801" s="18" t="inlineStr">
        <is>
          <t>C1800</t>
        </is>
      </c>
      <c r="B1801" s="18" t="inlineStr">
        <is>
          <t>Control interno</t>
        </is>
      </c>
      <c r="C1801" s="18" t="inlineStr">
        <is>
          <t>control_interno</t>
        </is>
      </c>
      <c r="D1801" s="18" t="inlineStr">
        <is>
          <t>nota_auditoria</t>
        </is>
      </c>
      <c r="E1801" s="18" t="n">
        <v>0</v>
      </c>
      <c r="F1801" s="18" t="inlineStr">
        <is>
          <t>hora</t>
        </is>
      </c>
      <c r="G1801" s="18" t="inlineStr">
        <is>
          <t>time without time zone</t>
        </is>
      </c>
      <c r="H1801" s="18" t="inlineStr">
        <is>
          <t>No</t>
        </is>
      </c>
      <c r="I1801" s="18" t="inlineStr"/>
      <c r="J1801" s="18" t="inlineStr"/>
      <c r="K1801" s="18" t="inlineStr"/>
      <c r="L1801" s="18" t="inlineStr">
        <is>
          <t>No</t>
        </is>
      </c>
      <c r="M1801" s="18" t="inlineStr">
        <is>
          <t>No</t>
        </is>
      </c>
      <c r="N1801" s="18" t="inlineStr"/>
      <c r="O1801" s="18" t="inlineStr">
        <is>
          <t>idx_nota_fecha_hora</t>
        </is>
      </c>
      <c r="P1801" s="18" t="inlineStr">
        <is>
          <t>Mapeada en internal-institutional-control-service/src/esap/auditorias/entities/nota-auditoria.entity.ts:55 (NotaAuditoria.hora) | Validación: IsString</t>
        </is>
      </c>
      <c r="Q1801" s="18" t="inlineStr">
        <is>
          <t>Propuesta semántica</t>
        </is>
      </c>
      <c r="R1801" s="18" t="inlineStr">
        <is>
          <t>Hora en que se registró la nota.</t>
        </is>
      </c>
      <c r="S1801" s="18" t="inlineStr">
        <is>
          <t>Alta</t>
        </is>
      </c>
      <c r="T1801" s="18" t="inlineStr">
        <is>
          <t>nombre + tipo + columna vecina fecha</t>
        </is>
      </c>
      <c r="U1801" s="18" t="inlineStr"/>
      <c r="V1801" s="19" t="inlineStr">
        <is>
          <t>Aprobada</t>
        </is>
      </c>
      <c r="W1801" s="19" t="inlineStr"/>
      <c r="X1801" s="19" t="inlineStr">
        <is>
          <t>Aldair González (aprobación en bloque)</t>
        </is>
      </c>
      <c r="Y1801" s="20" t="n">
        <v>46321</v>
      </c>
      <c r="Z1801" s="19" t="inlineStr">
        <is>
          <t>Nivel 1: propuesta del comentario del desarrollador o de confianza alta, o regla de fecha/responsable/motivo.</t>
        </is>
      </c>
      <c r="AA1801" s="18">
        <f>IF(OR(V1801="Aprobada"),R1801,IF(AND(OR(V1801="Aprobada con ajuste",V1801="Rechazada"),W1801&lt;&gt;""),W1801,""))</f>
        <v/>
      </c>
    </row>
    <row r="1802">
      <c r="A1802" s="18" t="inlineStr">
        <is>
          <t>C1801</t>
        </is>
      </c>
      <c r="B1802" s="18" t="inlineStr">
        <is>
          <t>Control interno</t>
        </is>
      </c>
      <c r="C1802" s="18" t="inlineStr">
        <is>
          <t>control_interno</t>
        </is>
      </c>
      <c r="D1802" s="18" t="inlineStr">
        <is>
          <t>nota_auditoria</t>
        </is>
      </c>
      <c r="E1802" s="18" t="n">
        <v>0</v>
      </c>
      <c r="F1802" s="18" t="inlineStr">
        <is>
          <t>editada</t>
        </is>
      </c>
      <c r="G1802" s="18" t="inlineStr">
        <is>
          <t>boolean</t>
        </is>
      </c>
      <c r="H1802" s="18" t="inlineStr">
        <is>
          <t>Sí</t>
        </is>
      </c>
      <c r="I1802" s="18" t="inlineStr"/>
      <c r="J1802" s="18" t="inlineStr"/>
      <c r="K1802" s="18" t="inlineStr"/>
      <c r="L1802" s="18" t="inlineStr">
        <is>
          <t>No</t>
        </is>
      </c>
      <c r="M1802" s="18" t="inlineStr">
        <is>
          <t>No</t>
        </is>
      </c>
      <c r="N1802" s="18" t="inlineStr"/>
      <c r="O1802" s="18" t="inlineStr"/>
      <c r="P1802" s="18" t="inlineStr">
        <is>
          <t>Mapeada en internal-institutional-control-service/src/esap/auditorias/entities/nota-auditoria.entity.ts:61 (NotaAuditoria.editada)</t>
        </is>
      </c>
      <c r="Q1802" s="18" t="inlineStr">
        <is>
          <t>Regla estructural (redacción revisada)</t>
        </is>
      </c>
      <c r="R1802" s="18" t="inlineStr">
        <is>
          <t>Indica si la nota fue editada.</t>
        </is>
      </c>
      <c r="S1802" s="18" t="inlineStr">
        <is>
          <t>Alta</t>
        </is>
      </c>
      <c r="T1802" s="18" t="inlineStr">
        <is>
          <t>Convención de nombre, redactada con el contexto de la tabla y el código.</t>
        </is>
      </c>
      <c r="U1802" s="18" t="inlineStr"/>
      <c r="V1802" s="19" t="inlineStr">
        <is>
          <t>Aprobada</t>
        </is>
      </c>
      <c r="W1802" s="19" t="inlineStr"/>
      <c r="X1802" s="19" t="inlineStr">
        <is>
          <t>Aldair González (aprobación en bloque)</t>
        </is>
      </c>
      <c r="Y1802" s="20" t="n">
        <v>46321</v>
      </c>
      <c r="Z1802" s="19" t="inlineStr">
        <is>
          <t>Nivel 2: regla estructural con redacción revisada.</t>
        </is>
      </c>
      <c r="AA1802" s="18">
        <f>IF(OR(V1802="Aprobada"),R1802,IF(AND(OR(V1802="Aprobada con ajuste",V1802="Rechazada"),W1802&lt;&gt;""),W1802,""))</f>
        <v/>
      </c>
    </row>
    <row r="1803">
      <c r="A1803" s="18" t="inlineStr">
        <is>
          <t>C1802</t>
        </is>
      </c>
      <c r="B1803" s="18" t="inlineStr">
        <is>
          <t>Control interno</t>
        </is>
      </c>
      <c r="C1803" s="18" t="inlineStr">
        <is>
          <t>control_interno</t>
        </is>
      </c>
      <c r="D1803" s="18" t="inlineStr">
        <is>
          <t>nota_auditoria</t>
        </is>
      </c>
      <c r="E1803" s="18" t="n">
        <v>0</v>
      </c>
      <c r="F1803" s="18" t="inlineStr">
        <is>
          <t>fecha_edicion</t>
        </is>
      </c>
      <c r="G1803" s="18" t="inlineStr">
        <is>
          <t>timestamp without time zone</t>
        </is>
      </c>
      <c r="H1803" s="18" t="inlineStr">
        <is>
          <t>Sí</t>
        </is>
      </c>
      <c r="I1803" s="18" t="inlineStr"/>
      <c r="J1803" s="18" t="inlineStr"/>
      <c r="K1803" s="18" t="inlineStr"/>
      <c r="L1803" s="18" t="inlineStr">
        <is>
          <t>No</t>
        </is>
      </c>
      <c r="M1803" s="18" t="inlineStr">
        <is>
          <t>No</t>
        </is>
      </c>
      <c r="N1803" s="18" t="inlineStr"/>
      <c r="O1803" s="18" t="inlineStr"/>
      <c r="P1803" s="18" t="inlineStr">
        <is>
          <t>Mapeada en internal-institutional-control-service/src/esap/auditorias/entities/nota-auditoria.entity.ts:64 (NotaAuditoria.fechaEdicion)</t>
        </is>
      </c>
      <c r="Q1803" s="18" t="inlineStr">
        <is>
          <t>Regla estructural (redacción revisada)</t>
        </is>
      </c>
      <c r="R1803" s="18" t="inlineStr">
        <is>
          <t>Fecha y hora de la última edición de la nota.</t>
        </is>
      </c>
      <c r="S1803" s="18" t="inlineStr">
        <is>
          <t>Alta</t>
        </is>
      </c>
      <c r="T1803" s="18" t="inlineStr">
        <is>
          <t>Convención de nombre, redactada con el contexto de la tabla y el código.</t>
        </is>
      </c>
      <c r="U1803" s="18" t="inlineStr"/>
      <c r="V1803" s="19" t="inlineStr">
        <is>
          <t>Aprobada</t>
        </is>
      </c>
      <c r="W1803" s="19" t="inlineStr"/>
      <c r="X1803" s="19" t="inlineStr">
        <is>
          <t>Aldair González (aprobación en bloque)</t>
        </is>
      </c>
      <c r="Y1803" s="20" t="n">
        <v>46321</v>
      </c>
      <c r="Z1803" s="19" t="inlineStr">
        <is>
          <t>Nivel 2: regla estructural con redacción revisada.</t>
        </is>
      </c>
      <c r="AA1803" s="18">
        <f>IF(OR(V1803="Aprobada"),R1803,IF(AND(OR(V1803="Aprobada con ajuste",V1803="Rechazada"),W1803&lt;&gt;""),W1803,""))</f>
        <v/>
      </c>
    </row>
    <row r="1804">
      <c r="A1804" s="18" t="inlineStr">
        <is>
          <t>C1803</t>
        </is>
      </c>
      <c r="B1804" s="18" t="inlineStr">
        <is>
          <t>Control interno</t>
        </is>
      </c>
      <c r="C1804" s="18" t="inlineStr">
        <is>
          <t>control_interno</t>
        </is>
      </c>
      <c r="D1804" s="18" t="inlineStr">
        <is>
          <t>nota_auditoria</t>
        </is>
      </c>
      <c r="E1804" s="18" t="n">
        <v>0</v>
      </c>
      <c r="F1804" s="18" t="inlineStr">
        <is>
          <t>activo</t>
        </is>
      </c>
      <c r="G1804" s="18" t="inlineStr">
        <is>
          <t>boolean</t>
        </is>
      </c>
      <c r="H1804" s="18" t="inlineStr">
        <is>
          <t>Sí</t>
        </is>
      </c>
      <c r="I1804" s="18" t="inlineStr"/>
      <c r="J1804" s="18" t="inlineStr"/>
      <c r="K1804" s="18" t="inlineStr"/>
      <c r="L1804" s="18" t="inlineStr">
        <is>
          <t>No</t>
        </is>
      </c>
      <c r="M1804" s="18" t="inlineStr">
        <is>
          <t>No</t>
        </is>
      </c>
      <c r="N1804" s="18" t="inlineStr"/>
      <c r="O1804" s="18" t="inlineStr"/>
      <c r="P1804" s="18" t="inlineStr">
        <is>
          <t>Mapeada en internal-institutional-control-service/src/esap/auditorias/entities/nota-auditoria.entity.ts:70 (NotaAuditoria.activo) | Validación: IsBoolean, IsOptional</t>
        </is>
      </c>
      <c r="Q1804" s="18" t="inlineStr">
        <is>
          <t>Regla estructural (redacción revisada)</t>
        </is>
      </c>
      <c r="R1804" s="18" t="inlineStr">
        <is>
          <t>Indica si la nota está activa.</t>
        </is>
      </c>
      <c r="S1804" s="18" t="inlineStr">
        <is>
          <t>Alta</t>
        </is>
      </c>
      <c r="T1804" s="18" t="inlineStr">
        <is>
          <t>Convención de nombre, redactada con el contexto de la tabla y el código.</t>
        </is>
      </c>
      <c r="U1804" s="18" t="inlineStr"/>
      <c r="V1804" s="19" t="inlineStr">
        <is>
          <t>Aprobada</t>
        </is>
      </c>
      <c r="W1804" s="19" t="inlineStr"/>
      <c r="X1804" s="19" t="inlineStr">
        <is>
          <t>Aldair González (aprobación en bloque)</t>
        </is>
      </c>
      <c r="Y1804" s="20" t="n">
        <v>46321</v>
      </c>
      <c r="Z1804" s="19" t="inlineStr">
        <is>
          <t>Nivel 2: regla estructural con redacción revisada.</t>
        </is>
      </c>
      <c r="AA1804" s="18">
        <f>IF(OR(V1804="Aprobada"),R1804,IF(AND(OR(V1804="Aprobada con ajuste",V1804="Rechazada"),W1804&lt;&gt;""),W1804,""))</f>
        <v/>
      </c>
    </row>
    <row r="1805">
      <c r="A1805" s="18" t="inlineStr">
        <is>
          <t>C1804</t>
        </is>
      </c>
      <c r="B1805" s="18" t="inlineStr">
        <is>
          <t>Control interno</t>
        </is>
      </c>
      <c r="C1805" s="18" t="inlineStr">
        <is>
          <t>control_interno</t>
        </is>
      </c>
      <c r="D1805" s="18" t="inlineStr">
        <is>
          <t>notificacion</t>
        </is>
      </c>
      <c r="E1805" s="18" t="n">
        <v>945</v>
      </c>
      <c r="F1805" s="18" t="inlineStr">
        <is>
          <t>usuario_id</t>
        </is>
      </c>
      <c r="G1805" s="18" t="inlineStr">
        <is>
          <t>character varying(255)</t>
        </is>
      </c>
      <c r="H1805" s="18" t="inlineStr">
        <is>
          <t>No</t>
        </is>
      </c>
      <c r="I1805" s="18" t="inlineStr"/>
      <c r="J1805" s="18" t="inlineStr"/>
      <c r="K1805" s="18" t="inlineStr"/>
      <c r="L1805" s="18" t="inlineStr">
        <is>
          <t>No</t>
        </is>
      </c>
      <c r="M1805" s="18" t="inlineStr">
        <is>
          <t>No</t>
        </is>
      </c>
      <c r="N1805" s="18" t="inlineStr"/>
      <c r="O1805" s="18" t="inlineStr">
        <is>
          <t>idx_notificacion_usuario</t>
        </is>
      </c>
      <c r="P1805" s="18" t="inlineStr">
        <is>
          <t>Mapeada en internal-institutional-control-service/src/esap/notificaciones/entities/notificacion.entity.ts:76 (Notificacion.usuarioId) | Validación: IsNotEmpty, IsOptional, IsString, IsUUID</t>
        </is>
      </c>
      <c r="Q1805" s="18" t="inlineStr">
        <is>
          <t>Código fuente (verificado)</t>
        </is>
      </c>
      <c r="R1805" s="18" t="inlineStr">
        <is>
          <t>Identificador del usuario destinatario de la notificación, guardado como texto.</t>
        </is>
      </c>
      <c r="S1805" s="18" t="inlineStr">
        <is>
          <t>Media</t>
        </is>
      </c>
      <c r="T1805" s="18" t="inlineStr">
        <is>
          <t>backend/internal-institutional-control-service/src/esap/notificaciones/notificaciones.service.ts:471-604: los destinatarios por rol se resuelven como auth."user".id_user | backend/internal-institutional-control-service/src/esap/informes-ley/services/informe-generator.service.ts:420-426: este flujo agrega auth.personas.id_tercero como destinatario | backend/internal-institutional-control-service/src/esap/notificaciones/entities/notificacion.entity.ts:76: varchar(255)</t>
        </is>
      </c>
      <c r="U1805" s="18" t="inlineStr">
        <is>
          <t>El backend guarda en general auth."user".id_user, pero el generador de informes de ley usa auth.personas.id_tercero; ¿se unifica en id_user y por qué la columna es texto y no uuid?</t>
        </is>
      </c>
      <c r="V1805" s="19" t="inlineStr">
        <is>
          <t>Aprobada</t>
        </is>
      </c>
      <c r="W1805" s="19" t="inlineStr"/>
      <c r="X1805" s="19" t="inlineStr">
        <is>
          <t>Aldair González (validación del responsable de BD)</t>
        </is>
      </c>
      <c r="Y1805" s="20" t="n">
        <v>46321</v>
      </c>
      <c r="Z1805" s="19" t="inlineStr">
        <is>
          <t>Nivel 3: validada por decisión del responsable de la base de datos. Pregunta registrada para desarrollo: El backend guarda en general auth."user".id_user, pero el generador de informes de ley usa auth.personas.id_tercero; ¿se unifica en id_user y por qué la columna es texto y no uuid?</t>
        </is>
      </c>
      <c r="AA1805" s="18">
        <f>IF(OR(V1805="Aprobada"),R1805,IF(AND(OR(V1805="Aprobada con ajuste",V1805="Rechazada"),W1805&lt;&gt;""),W1805,""))</f>
        <v/>
      </c>
    </row>
    <row r="1806">
      <c r="A1806" s="18" t="inlineStr">
        <is>
          <t>C1805</t>
        </is>
      </c>
      <c r="B1806" s="18" t="inlineStr">
        <is>
          <t>Control interno</t>
        </is>
      </c>
      <c r="C1806" s="18" t="inlineStr">
        <is>
          <t>control_interno</t>
        </is>
      </c>
      <c r="D1806" s="18" t="inlineStr">
        <is>
          <t>notificacion</t>
        </is>
      </c>
      <c r="E1806" s="18" t="n">
        <v>945</v>
      </c>
      <c r="F1806" s="18" t="inlineStr">
        <is>
          <t>tipo_notificacion</t>
        </is>
      </c>
      <c r="G1806" s="18" t="inlineStr">
        <is>
          <t>character varying(100)</t>
        </is>
      </c>
      <c r="H1806" s="18" t="inlineStr">
        <is>
          <t>No</t>
        </is>
      </c>
      <c r="I1806" s="18" t="inlineStr">
        <is>
          <t>CHECK</t>
        </is>
      </c>
      <c r="J1806" s="18" t="inlineStr">
        <is>
          <t>EVT-APR-001, EVT-APR-002, EVT-AUD-001, EVT-AUD-002, EVT-AUD-003, EVT-AUD-004, EVT-AUD-CREATED, EVT-AUD-DEADLINE, EVT-DOC-001, EVT-KANBAN-001, EVT-KANBAN-002, EVT-KANBAN-003, EVT-KANBAN-004, EVT-KANBAN-MOV, EVT-PA-001 …</t>
        </is>
      </c>
      <c r="K1806" s="18" t="inlineStr"/>
      <c r="L1806" s="18" t="inlineStr">
        <is>
          <t>Sí</t>
        </is>
      </c>
      <c r="M1806" s="18" t="inlineStr">
        <is>
          <t>No</t>
        </is>
      </c>
      <c r="N1806" s="18" t="inlineStr"/>
      <c r="O1806" s="18" t="inlineStr">
        <is>
          <t>idx_notificacion_tipo</t>
        </is>
      </c>
      <c r="P1806" s="18" t="inlineStr">
        <is>
          <t>Mapeada en internal-institutional-control-service/src/esap/notificaciones/entities/notificacion.entity.ts:79 (Notificacion.tipoNotificacion) | Validación: IsEnum(TipoNotificacion), IsNotEmpty</t>
        </is>
      </c>
      <c r="Q1806" s="18" t="inlineStr">
        <is>
          <t>Código fuente (verificado)</t>
        </is>
      </c>
      <c r="R1806" s="18" t="inlineStr">
        <is>
          <t>Tipo de la notificación. El backend convierte los códigos de evento EVT-* a tipos como anuncio_auditoria, recordatorio_plazo, alerta_vencimiento, aprobacion_plan, rechazo_plan u otro, y guarda el código original en metadata.eventoCode.</t>
        </is>
      </c>
      <c r="S1806" s="18" t="inlineStr">
        <is>
          <t>Media</t>
        </is>
      </c>
      <c r="T1806" s="18" t="inlineStr">
        <is>
          <t>backend/internal-institutional-control-service/src/esap/notificaciones/notificaciones.service.ts:610-662: mapTipoNotificacionParaBd convierte EVT-* a tipos en snake_case | backend/internal-institutional-control-service/src/esap/notificaciones/notificaciones.service.ts:670-673: eventoCode en metadata | db/migrations/202_update_notification_types.sql:4-40: CHECK con los tipos en snake_case y los códigos EVT-* | backend/internal-institutional-control-service/src/esap/notificaciones/entities/notificacion.entity.ts:10-45: enum TipoNotificacion</t>
        </is>
      </c>
      <c r="U1806" s="18" t="inlineStr">
        <is>
          <t>¿Qué evento representa cada código EVT-* (por ejemplo, EVT-AUD-001, EVT-SYS-001)? El código solo los agrupa por tipo y no trae una descripción por código.</t>
        </is>
      </c>
      <c r="V1806" s="19" t="inlineStr">
        <is>
          <t>Aprobada</t>
        </is>
      </c>
      <c r="W1806" s="19" t="inlineStr"/>
      <c r="X1806" s="19" t="inlineStr">
        <is>
          <t>Aldair González (validación del responsable de BD)</t>
        </is>
      </c>
      <c r="Y1806" s="20" t="n">
        <v>46321</v>
      </c>
      <c r="Z1806" s="19" t="inlineStr">
        <is>
          <t>Nivel 3: validada por decisión del responsable de la base de datos. Pregunta registrada para desarrollo: ¿Qué evento representa cada código EVT-* (por ejemplo, EVT-AUD-001, EVT-SYS-001)? El código solo los agrupa por tipo y no trae una descripción por código.</t>
        </is>
      </c>
      <c r="AA1806" s="18">
        <f>IF(OR(V1806="Aprobada"),R1806,IF(AND(OR(V1806="Aprobada con ajuste",V1806="Rechazada"),W1806&lt;&gt;""),W1806,""))</f>
        <v/>
      </c>
    </row>
    <row r="1807">
      <c r="A1807" s="18" t="inlineStr">
        <is>
          <t>C1806</t>
        </is>
      </c>
      <c r="B1807" s="18" t="inlineStr">
        <is>
          <t>Control interno</t>
        </is>
      </c>
      <c r="C1807" s="18" t="inlineStr">
        <is>
          <t>control_interno</t>
        </is>
      </c>
      <c r="D1807" s="18" t="inlineStr">
        <is>
          <t>notificacion</t>
        </is>
      </c>
      <c r="E1807" s="18" t="n">
        <v>945</v>
      </c>
      <c r="F1807" s="18" t="inlineStr">
        <is>
          <t>titulo</t>
        </is>
      </c>
      <c r="G1807" s="18" t="inlineStr">
        <is>
          <t>character varying(255)</t>
        </is>
      </c>
      <c r="H1807" s="18" t="inlineStr">
        <is>
          <t>No</t>
        </is>
      </c>
      <c r="I1807" s="18" t="inlineStr"/>
      <c r="J1807" s="18" t="inlineStr"/>
      <c r="K1807" s="18" t="inlineStr"/>
      <c r="L1807" s="18" t="inlineStr">
        <is>
          <t>No</t>
        </is>
      </c>
      <c r="M1807" s="18" t="inlineStr">
        <is>
          <t>No</t>
        </is>
      </c>
      <c r="N1807" s="18" t="inlineStr"/>
      <c r="O1807" s="18" t="inlineStr"/>
      <c r="P1807" s="18" t="inlineStr">
        <is>
          <t>Mapeada en internal-institutional-control-service/src/esap/notificaciones/entities/notificacion.entity.ts:87 (Notificacion.titulo) | Validación: IsNotEmpty, IsOptional, IsString, MaxLength(255), MaxLength(500)</t>
        </is>
      </c>
      <c r="Q1807" s="18" t="inlineStr">
        <is>
          <t>Propuesta semántica</t>
        </is>
      </c>
      <c r="R1807" s="18" t="inlineStr">
        <is>
          <t>Título de la notificación.</t>
        </is>
      </c>
      <c r="S1807" s="18" t="inlineStr">
        <is>
          <t>Alta</t>
        </is>
      </c>
      <c r="T1807" s="18" t="inlineStr">
        <is>
          <t>nombre + tipo + columnas vecinas</t>
        </is>
      </c>
      <c r="U1807" s="18" t="inlineStr"/>
      <c r="V1807" s="19" t="inlineStr">
        <is>
          <t>Aprobada</t>
        </is>
      </c>
      <c r="W1807" s="19" t="inlineStr"/>
      <c r="X1807" s="19" t="inlineStr">
        <is>
          <t>Aldair González (aprobación en bloque)</t>
        </is>
      </c>
      <c r="Y1807" s="20" t="n">
        <v>46321</v>
      </c>
      <c r="Z1807" s="19" t="inlineStr">
        <is>
          <t>Nivel 1: propuesta del comentario del desarrollador o de confianza alta, o regla de fecha/responsable/motivo.</t>
        </is>
      </c>
      <c r="AA1807" s="18">
        <f>IF(OR(V1807="Aprobada"),R1807,IF(AND(OR(V1807="Aprobada con ajuste",V1807="Rechazada"),W1807&lt;&gt;""),W1807,""))</f>
        <v/>
      </c>
    </row>
    <row r="1808">
      <c r="A1808" s="18" t="inlineStr">
        <is>
          <t>C1807</t>
        </is>
      </c>
      <c r="B1808" s="18" t="inlineStr">
        <is>
          <t>Control interno</t>
        </is>
      </c>
      <c r="C1808" s="18" t="inlineStr">
        <is>
          <t>control_interno</t>
        </is>
      </c>
      <c r="D1808" s="18" t="inlineStr">
        <is>
          <t>notificacion</t>
        </is>
      </c>
      <c r="E1808" s="18" t="n">
        <v>945</v>
      </c>
      <c r="F1808" s="18" t="inlineStr">
        <is>
          <t>mensaje</t>
        </is>
      </c>
      <c r="G1808" s="18" t="inlineStr">
        <is>
          <t>text</t>
        </is>
      </c>
      <c r="H1808" s="18" t="inlineStr">
        <is>
          <t>No</t>
        </is>
      </c>
      <c r="I1808" s="18" t="inlineStr"/>
      <c r="J1808" s="18" t="inlineStr"/>
      <c r="K1808" s="18" t="inlineStr"/>
      <c r="L1808" s="18" t="inlineStr">
        <is>
          <t>No</t>
        </is>
      </c>
      <c r="M1808" s="18" t="inlineStr">
        <is>
          <t>No</t>
        </is>
      </c>
      <c r="N1808" s="18" t="inlineStr"/>
      <c r="O1808" s="18" t="inlineStr"/>
      <c r="P1808" s="18" t="inlineStr">
        <is>
          <t>Mapeada en internal-institutional-control-service/src/esap/notificaciones/entities/notificacion.entity.ts:90 (Notificacion.mensaje) | Validación: IsNotEmpty, IsString</t>
        </is>
      </c>
      <c r="Q1808" s="18" t="inlineStr">
        <is>
          <t>Propuesta semántica</t>
        </is>
      </c>
      <c r="R1808" s="18" t="inlineStr">
        <is>
          <t>Texto del mensaje de la notificación.</t>
        </is>
      </c>
      <c r="S1808" s="18" t="inlineStr">
        <is>
          <t>Alta</t>
        </is>
      </c>
      <c r="T1808" s="18" t="inlineStr">
        <is>
          <t>nombre + tipo + columnas vecinas</t>
        </is>
      </c>
      <c r="U1808" s="18" t="inlineStr"/>
      <c r="V1808" s="19" t="inlineStr">
        <is>
          <t>Aprobada</t>
        </is>
      </c>
      <c r="W1808" s="19" t="inlineStr"/>
      <c r="X1808" s="19" t="inlineStr">
        <is>
          <t>Aldair González (aprobación en bloque)</t>
        </is>
      </c>
      <c r="Y1808" s="20" t="n">
        <v>46321</v>
      </c>
      <c r="Z1808" s="19" t="inlineStr">
        <is>
          <t>Nivel 1: propuesta del comentario del desarrollador o de confianza alta, o regla de fecha/responsable/motivo.</t>
        </is>
      </c>
      <c r="AA1808" s="18">
        <f>IF(OR(V1808="Aprobada"),R1808,IF(AND(OR(V1808="Aprobada con ajuste",V1808="Rechazada"),W1808&lt;&gt;""),W1808,""))</f>
        <v/>
      </c>
    </row>
    <row r="1809">
      <c r="A1809" s="18" t="inlineStr">
        <is>
          <t>C1808</t>
        </is>
      </c>
      <c r="B1809" s="18" t="inlineStr">
        <is>
          <t>Control interno</t>
        </is>
      </c>
      <c r="C1809" s="18" t="inlineStr">
        <is>
          <t>control_interno</t>
        </is>
      </c>
      <c r="D1809" s="18" t="inlineStr">
        <is>
          <t>notificacion</t>
        </is>
      </c>
      <c r="E1809" s="18" t="n">
        <v>945</v>
      </c>
      <c r="F1809" s="18" t="inlineStr">
        <is>
          <t>estado</t>
        </is>
      </c>
      <c r="G1809" s="18" t="inlineStr">
        <is>
          <t>character varying(50)</t>
        </is>
      </c>
      <c r="H1809" s="18" t="inlineStr">
        <is>
          <t>Sí</t>
        </is>
      </c>
      <c r="I1809" s="18" t="inlineStr">
        <is>
          <t>CHECK</t>
        </is>
      </c>
      <c r="J1809" s="18" t="inlineStr">
        <is>
          <t>archivada, enviada, leida, pendiente</t>
        </is>
      </c>
      <c r="K1809" s="18" t="inlineStr"/>
      <c r="L1809" s="18" t="inlineStr">
        <is>
          <t>Sí</t>
        </is>
      </c>
      <c r="M1809" s="18" t="inlineStr">
        <is>
          <t>No</t>
        </is>
      </c>
      <c r="N1809" s="18" t="inlineStr"/>
      <c r="O1809" s="18" t="inlineStr">
        <is>
          <t>idx_notificacion_estado</t>
        </is>
      </c>
      <c r="P1809" s="18" t="inlineStr">
        <is>
          <t>Mapeada en internal-institutional-control-service/src/esap/notificaciones/entities/notificacion.entity.ts:93 (Notificacion.estado) | Validación: IsEnum(AccionCorrectivaEstado), IsEnum(EstadoEtapa), IsEnum(EstadoPlanIndividual), IsEnum(EstadoTarea), IsEnum(HallazgoEstado), IsEnum(PlanMejoramientoEstado)</t>
        </is>
      </c>
      <c r="Q1809" s="18" t="inlineStr">
        <is>
          <t>Regla estructural (redacción revisada)</t>
        </is>
      </c>
      <c r="R1809" s="18" t="inlineStr">
        <is>
          <t>Estado de la notificación (pendiente, enviada, leída o archivada).</t>
        </is>
      </c>
      <c r="S1809" s="18" t="inlineStr">
        <is>
          <t>Alta</t>
        </is>
      </c>
      <c r="T1809" s="18" t="inlineStr">
        <is>
          <t>Convención de nombre, redactada con el contexto de la tabla y el código.</t>
        </is>
      </c>
      <c r="U1809" s="18" t="inlineStr"/>
      <c r="V1809" s="19" t="inlineStr">
        <is>
          <t>Aprobada</t>
        </is>
      </c>
      <c r="W1809" s="19" t="inlineStr"/>
      <c r="X1809" s="19" t="inlineStr">
        <is>
          <t>Aldair González (aprobación en bloque)</t>
        </is>
      </c>
      <c r="Y1809" s="20" t="n">
        <v>46321</v>
      </c>
      <c r="Z1809" s="19" t="inlineStr">
        <is>
          <t>Nivel 2: regla estructural con redacción revisada.</t>
        </is>
      </c>
      <c r="AA1809" s="18">
        <f>IF(OR(V1809="Aprobada"),R1809,IF(AND(OR(V1809="Aprobada con ajuste",V1809="Rechazada"),W1809&lt;&gt;""),W1809,""))</f>
        <v/>
      </c>
    </row>
    <row r="1810">
      <c r="A1810" s="18" t="inlineStr">
        <is>
          <t>C1809</t>
        </is>
      </c>
      <c r="B1810" s="18" t="inlineStr">
        <is>
          <t>Control interno</t>
        </is>
      </c>
      <c r="C1810" s="18" t="inlineStr">
        <is>
          <t>control_interno</t>
        </is>
      </c>
      <c r="D1810" s="18" t="inlineStr">
        <is>
          <t>notificacion</t>
        </is>
      </c>
      <c r="E1810" s="18" t="n">
        <v>945</v>
      </c>
      <c r="F1810" s="18" t="inlineStr">
        <is>
          <t>canal</t>
        </is>
      </c>
      <c r="G1810" s="18" t="inlineStr">
        <is>
          <t>character varying(50)</t>
        </is>
      </c>
      <c r="H1810" s="18" t="inlineStr">
        <is>
          <t>Sí</t>
        </is>
      </c>
      <c r="I1810" s="18" t="inlineStr">
        <is>
          <t>CHECK</t>
        </is>
      </c>
      <c r="J1810" s="18" t="inlineStr">
        <is>
          <t>ambos, email, sistema</t>
        </is>
      </c>
      <c r="K1810" s="18" t="inlineStr"/>
      <c r="L1810" s="18" t="inlineStr">
        <is>
          <t>Sí</t>
        </is>
      </c>
      <c r="M1810" s="18" t="inlineStr">
        <is>
          <t>No</t>
        </is>
      </c>
      <c r="N1810" s="18" t="inlineStr"/>
      <c r="O1810" s="18" t="inlineStr"/>
      <c r="P1810" s="18" t="inlineStr">
        <is>
          <t>Mapeada en internal-institutional-control-service/src/esap/notificaciones/entities/notificacion.entity.ts:100 (Notificacion.canal) | Validación: IsEnum(CanalNotificacion), IsOptional</t>
        </is>
      </c>
      <c r="Q1810" s="18" t="inlineStr">
        <is>
          <t>Propuesta semántica</t>
        </is>
      </c>
      <c r="R1810" s="18" t="inlineStr">
        <is>
          <t>Canal por el que se envía la notificación. Valores permitidos: sistema, email, ambos.</t>
        </is>
      </c>
      <c r="S1810" s="18" t="inlineStr">
        <is>
          <t>Alta</t>
        </is>
      </c>
      <c r="T1810" s="18" t="inlineStr">
        <is>
          <t>valores permitidos del CHECK</t>
        </is>
      </c>
      <c r="U1810" s="18" t="inlineStr"/>
      <c r="V1810" s="19" t="inlineStr">
        <is>
          <t>Aprobada</t>
        </is>
      </c>
      <c r="W1810" s="19" t="inlineStr"/>
      <c r="X1810" s="19" t="inlineStr">
        <is>
          <t>Aldair González (aprobación en bloque)</t>
        </is>
      </c>
      <c r="Y1810" s="20" t="n">
        <v>46321</v>
      </c>
      <c r="Z1810" s="19" t="inlineStr">
        <is>
          <t>Nivel 1: propuesta del comentario del desarrollador o de confianza alta, o regla de fecha/responsable/motivo.</t>
        </is>
      </c>
      <c r="AA1810" s="18">
        <f>IF(OR(V1810="Aprobada"),R1810,IF(AND(OR(V1810="Aprobada con ajuste",V1810="Rechazada"),W1810&lt;&gt;""),W1810,""))</f>
        <v/>
      </c>
    </row>
    <row r="1811">
      <c r="A1811" s="18" t="inlineStr">
        <is>
          <t>C1810</t>
        </is>
      </c>
      <c r="B1811" s="18" t="inlineStr">
        <is>
          <t>Control interno</t>
        </is>
      </c>
      <c r="C1811" s="18" t="inlineStr">
        <is>
          <t>control_interno</t>
        </is>
      </c>
      <c r="D1811" s="18" t="inlineStr">
        <is>
          <t>notificacion</t>
        </is>
      </c>
      <c r="E1811" s="18" t="n">
        <v>945</v>
      </c>
      <c r="F1811" s="18" t="inlineStr">
        <is>
          <t>leida</t>
        </is>
      </c>
      <c r="G1811" s="18" t="inlineStr">
        <is>
          <t>boolean</t>
        </is>
      </c>
      <c r="H1811" s="18" t="inlineStr">
        <is>
          <t>Sí</t>
        </is>
      </c>
      <c r="I1811" s="18" t="inlineStr">
        <is>
          <t>CHECK</t>
        </is>
      </c>
      <c r="J1811" s="18" t="inlineStr"/>
      <c r="K1811" s="18" t="inlineStr"/>
      <c r="L1811" s="18" t="inlineStr">
        <is>
          <t>No</t>
        </is>
      </c>
      <c r="M1811" s="18" t="inlineStr">
        <is>
          <t>No</t>
        </is>
      </c>
      <c r="N1811" s="18" t="inlineStr"/>
      <c r="O1811" s="18" t="inlineStr"/>
      <c r="P1811" s="18" t="inlineStr">
        <is>
          <t>Mapeada en internal-institutional-control-service/src/esap/notificaciones/entities/notificacion.entity.ts:107 (Notificacion.leida)</t>
        </is>
      </c>
      <c r="Q1811" s="18" t="inlineStr">
        <is>
          <t>Regla estructural (redacción revisada)</t>
        </is>
      </c>
      <c r="R1811" s="18" t="inlineStr">
        <is>
          <t>Indica si el usuario leyó la notificación.</t>
        </is>
      </c>
      <c r="S1811" s="18" t="inlineStr">
        <is>
          <t>Alta</t>
        </is>
      </c>
      <c r="T1811" s="18" t="inlineStr">
        <is>
          <t>Convención de nombre, redactada con el contexto de la tabla y el código.</t>
        </is>
      </c>
      <c r="U1811" s="18" t="inlineStr"/>
      <c r="V1811" s="19" t="inlineStr">
        <is>
          <t>Aprobada</t>
        </is>
      </c>
      <c r="W1811" s="19" t="inlineStr"/>
      <c r="X1811" s="19" t="inlineStr">
        <is>
          <t>Aldair González (aprobación en bloque)</t>
        </is>
      </c>
      <c r="Y1811" s="20" t="n">
        <v>46321</v>
      </c>
      <c r="Z1811" s="19" t="inlineStr">
        <is>
          <t>Nivel 2: regla estructural con redacción revisada.</t>
        </is>
      </c>
      <c r="AA1811" s="18">
        <f>IF(OR(V1811="Aprobada"),R1811,IF(AND(OR(V1811="Aprobada con ajuste",V1811="Rechazada"),W1811&lt;&gt;""),W1811,""))</f>
        <v/>
      </c>
    </row>
    <row r="1812">
      <c r="A1812" s="18" t="inlineStr">
        <is>
          <t>C1811</t>
        </is>
      </c>
      <c r="B1812" s="18" t="inlineStr">
        <is>
          <t>Control interno</t>
        </is>
      </c>
      <c r="C1812" s="18" t="inlineStr">
        <is>
          <t>control_interno</t>
        </is>
      </c>
      <c r="D1812" s="18" t="inlineStr">
        <is>
          <t>notificacion</t>
        </is>
      </c>
      <c r="E1812" s="18" t="n">
        <v>945</v>
      </c>
      <c r="F1812" s="18" t="inlineStr">
        <is>
          <t>fecha_lectura</t>
        </is>
      </c>
      <c r="G1812" s="18" t="inlineStr">
        <is>
          <t>timestamp without time zone</t>
        </is>
      </c>
      <c r="H1812" s="18" t="inlineStr">
        <is>
          <t>Sí</t>
        </is>
      </c>
      <c r="I1812" s="18" t="inlineStr"/>
      <c r="J1812" s="18" t="inlineStr"/>
      <c r="K1812" s="18" t="inlineStr"/>
      <c r="L1812" s="18" t="inlineStr">
        <is>
          <t>No</t>
        </is>
      </c>
      <c r="M1812" s="18" t="inlineStr">
        <is>
          <t>No</t>
        </is>
      </c>
      <c r="N1812" s="18" t="inlineStr"/>
      <c r="O1812" s="18" t="inlineStr"/>
      <c r="P1812" s="18" t="inlineStr">
        <is>
          <t>Mapeada en internal-institutional-control-service/src/esap/notificaciones/entities/notificacion.entity.ts:110 (Notificacion.fechaLectura)</t>
        </is>
      </c>
      <c r="Q1812" s="18" t="inlineStr">
        <is>
          <t>Regla estructural (redacción revisada)</t>
        </is>
      </c>
      <c r="R1812" s="18" t="inlineStr">
        <is>
          <t>Fecha y hora en que se leyó la notificación.</t>
        </is>
      </c>
      <c r="S1812" s="18" t="inlineStr">
        <is>
          <t>Alta</t>
        </is>
      </c>
      <c r="T1812" s="18" t="inlineStr">
        <is>
          <t>Convención de nombre, redactada con el contexto de la tabla y el código.</t>
        </is>
      </c>
      <c r="U1812" s="18" t="inlineStr"/>
      <c r="V1812" s="19" t="inlineStr">
        <is>
          <t>Aprobada</t>
        </is>
      </c>
      <c r="W1812" s="19" t="inlineStr"/>
      <c r="X1812" s="19" t="inlineStr">
        <is>
          <t>Aldair González (aprobación en bloque)</t>
        </is>
      </c>
      <c r="Y1812" s="20" t="n">
        <v>46321</v>
      </c>
      <c r="Z1812" s="19" t="inlineStr">
        <is>
          <t>Nivel 2: regla estructural con redacción revisada.</t>
        </is>
      </c>
      <c r="AA1812" s="18">
        <f>IF(OR(V1812="Aprobada"),R1812,IF(AND(OR(V1812="Aprobada con ajuste",V1812="Rechazada"),W1812&lt;&gt;""),W1812,""))</f>
        <v/>
      </c>
    </row>
    <row r="1813">
      <c r="A1813" s="18" t="inlineStr">
        <is>
          <t>C1812</t>
        </is>
      </c>
      <c r="B1813" s="18" t="inlineStr">
        <is>
          <t>Control interno</t>
        </is>
      </c>
      <c r="C1813" s="18" t="inlineStr">
        <is>
          <t>control_interno</t>
        </is>
      </c>
      <c r="D1813" s="18" t="inlineStr">
        <is>
          <t>notificacion</t>
        </is>
      </c>
      <c r="E1813" s="18" t="n">
        <v>945</v>
      </c>
      <c r="F1813" s="18" t="inlineStr">
        <is>
          <t>enviada_email</t>
        </is>
      </c>
      <c r="G1813" s="18" t="inlineStr">
        <is>
          <t>boolean</t>
        </is>
      </c>
      <c r="H1813" s="18" t="inlineStr">
        <is>
          <t>Sí</t>
        </is>
      </c>
      <c r="I1813" s="18" t="inlineStr"/>
      <c r="J1813" s="18" t="inlineStr"/>
      <c r="K1813" s="18" t="inlineStr"/>
      <c r="L1813" s="18" t="inlineStr">
        <is>
          <t>No</t>
        </is>
      </c>
      <c r="M1813" s="18" t="inlineStr">
        <is>
          <t>No</t>
        </is>
      </c>
      <c r="N1813" s="18" t="inlineStr"/>
      <c r="O1813" s="18" t="inlineStr"/>
      <c r="P1813" s="18" t="inlineStr">
        <is>
          <t>Mapeada en internal-institutional-control-service/src/esap/notificaciones/entities/notificacion.entity.ts:113 (Notificacion.enviadaEmail)</t>
        </is>
      </c>
      <c r="Q1813" s="18" t="inlineStr">
        <is>
          <t>Regla estructural (redacción revisada)</t>
        </is>
      </c>
      <c r="R1813" s="18" t="inlineStr">
        <is>
          <t>Indica si la notificación se envió por correo electrónico.</t>
        </is>
      </c>
      <c r="S1813" s="18" t="inlineStr">
        <is>
          <t>Alta</t>
        </is>
      </c>
      <c r="T1813" s="18" t="inlineStr">
        <is>
          <t>Convención de nombre, redactada con el contexto de la tabla y el código.</t>
        </is>
      </c>
      <c r="U1813" s="18" t="inlineStr"/>
      <c r="V1813" s="19" t="inlineStr">
        <is>
          <t>Aprobada</t>
        </is>
      </c>
      <c r="W1813" s="19" t="inlineStr"/>
      <c r="X1813" s="19" t="inlineStr">
        <is>
          <t>Aldair González (aprobación en bloque)</t>
        </is>
      </c>
      <c r="Y1813" s="20" t="n">
        <v>46321</v>
      </c>
      <c r="Z1813" s="19" t="inlineStr">
        <is>
          <t>Nivel 2: regla estructural con redacción revisada.</t>
        </is>
      </c>
      <c r="AA1813" s="18">
        <f>IF(OR(V1813="Aprobada"),R1813,IF(AND(OR(V1813="Aprobada con ajuste",V1813="Rechazada"),W1813&lt;&gt;""),W1813,""))</f>
        <v/>
      </c>
    </row>
    <row r="1814">
      <c r="A1814" s="18" t="inlineStr">
        <is>
          <t>C1813</t>
        </is>
      </c>
      <c r="B1814" s="18" t="inlineStr">
        <is>
          <t>Control interno</t>
        </is>
      </c>
      <c r="C1814" s="18" t="inlineStr">
        <is>
          <t>control_interno</t>
        </is>
      </c>
      <c r="D1814" s="18" t="inlineStr">
        <is>
          <t>notificacion</t>
        </is>
      </c>
      <c r="E1814" s="18" t="n">
        <v>945</v>
      </c>
      <c r="F1814" s="18" t="inlineStr">
        <is>
          <t>fecha_envio_email</t>
        </is>
      </c>
      <c r="G1814" s="18" t="inlineStr">
        <is>
          <t>timestamp without time zone</t>
        </is>
      </c>
      <c r="H1814" s="18" t="inlineStr">
        <is>
          <t>Sí</t>
        </is>
      </c>
      <c r="I1814" s="18" t="inlineStr"/>
      <c r="J1814" s="18" t="inlineStr"/>
      <c r="K1814" s="18" t="inlineStr"/>
      <c r="L1814" s="18" t="inlineStr">
        <is>
          <t>No</t>
        </is>
      </c>
      <c r="M1814" s="18" t="inlineStr">
        <is>
          <t>No</t>
        </is>
      </c>
      <c r="N1814" s="18" t="inlineStr"/>
      <c r="O1814" s="18" t="inlineStr"/>
      <c r="P1814" s="18" t="inlineStr">
        <is>
          <t>Mapeada en internal-institutional-control-service/src/esap/notificaciones/entities/notificacion.entity.ts:116 (Notificacion.fechaEnvioEmail)</t>
        </is>
      </c>
      <c r="Q1814" s="18" t="inlineStr">
        <is>
          <t>Regla estructural (redacción revisada)</t>
        </is>
      </c>
      <c r="R1814" s="18" t="inlineStr">
        <is>
          <t>Fecha y hora del envío de la notificación por correo electrónico.</t>
        </is>
      </c>
      <c r="S1814" s="18" t="inlineStr">
        <is>
          <t>Alta</t>
        </is>
      </c>
      <c r="T1814" s="18" t="inlineStr">
        <is>
          <t>Convención de nombre, redactada con el contexto de la tabla y el código.</t>
        </is>
      </c>
      <c r="U1814" s="18" t="inlineStr"/>
      <c r="V1814" s="19" t="inlineStr">
        <is>
          <t>Aprobada</t>
        </is>
      </c>
      <c r="W1814" s="19" t="inlineStr"/>
      <c r="X1814" s="19" t="inlineStr">
        <is>
          <t>Aldair González (aprobación en bloque)</t>
        </is>
      </c>
      <c r="Y1814" s="20" t="n">
        <v>46321</v>
      </c>
      <c r="Z1814" s="19" t="inlineStr">
        <is>
          <t>Nivel 2: regla estructural con redacción revisada.</t>
        </is>
      </c>
      <c r="AA1814" s="18">
        <f>IF(OR(V1814="Aprobada"),R1814,IF(AND(OR(V1814="Aprobada con ajuste",V1814="Rechazada"),W1814&lt;&gt;""),W1814,""))</f>
        <v/>
      </c>
    </row>
    <row r="1815">
      <c r="A1815" s="18" t="inlineStr">
        <is>
          <t>C1814</t>
        </is>
      </c>
      <c r="B1815" s="18" t="inlineStr">
        <is>
          <t>Control interno</t>
        </is>
      </c>
      <c r="C1815" s="18" t="inlineStr">
        <is>
          <t>control_interno</t>
        </is>
      </c>
      <c r="D1815" s="18" t="inlineStr">
        <is>
          <t>notificacion</t>
        </is>
      </c>
      <c r="E1815" s="18" t="n">
        <v>945</v>
      </c>
      <c r="F1815" s="18" t="inlineStr">
        <is>
          <t>metadata</t>
        </is>
      </c>
      <c r="G1815" s="18" t="inlineStr">
        <is>
          <t>jsonb</t>
        </is>
      </c>
      <c r="H1815" s="18" t="inlineStr">
        <is>
          <t>Sí</t>
        </is>
      </c>
      <c r="I1815" s="18" t="inlineStr"/>
      <c r="J1815" s="18" t="inlineStr"/>
      <c r="K1815" s="18" t="inlineStr"/>
      <c r="L1815" s="18" t="inlineStr">
        <is>
          <t>No</t>
        </is>
      </c>
      <c r="M1815" s="18" t="inlineStr">
        <is>
          <t>No</t>
        </is>
      </c>
      <c r="N1815" s="18" t="inlineStr"/>
      <c r="O1815" s="18" t="inlineStr"/>
      <c r="P1815" s="18" t="inlineStr">
        <is>
          <t>Mapeada en internal-institutional-control-service/src/esap/notificaciones/entities/notificacion.entity.ts:119 (Notificacion.metadata) | Validación: IsObject, IsOptional</t>
        </is>
      </c>
      <c r="Q1815" s="18" t="inlineStr">
        <is>
          <t>Regla estructural (redacción revisada)</t>
        </is>
      </c>
      <c r="R1815" s="18" t="inlineStr">
        <is>
          <t>Metadatos adicionales de la notificación en formato JSON.</t>
        </is>
      </c>
      <c r="S1815" s="18" t="inlineStr">
        <is>
          <t>Alta</t>
        </is>
      </c>
      <c r="T1815" s="18" t="inlineStr">
        <is>
          <t>Convención de nombre, redactada con el contexto de la tabla y el código.</t>
        </is>
      </c>
      <c r="U1815" s="18" t="inlineStr"/>
      <c r="V1815" s="19" t="inlineStr">
        <is>
          <t>Aprobada</t>
        </is>
      </c>
      <c r="W1815" s="19" t="inlineStr"/>
      <c r="X1815" s="19" t="inlineStr">
        <is>
          <t>Aldair González (aprobación en bloque)</t>
        </is>
      </c>
      <c r="Y1815" s="20" t="n">
        <v>46321</v>
      </c>
      <c r="Z1815" s="19" t="inlineStr">
        <is>
          <t>Nivel 2: regla estructural con redacción revisada.</t>
        </is>
      </c>
      <c r="AA1815" s="18">
        <f>IF(OR(V1815="Aprobada"),R1815,IF(AND(OR(V1815="Aprobada con ajuste",V1815="Rechazada"),W1815&lt;&gt;""),W1815,""))</f>
        <v/>
      </c>
    </row>
    <row r="1816">
      <c r="A1816" s="18" t="inlineStr">
        <is>
          <t>C1815</t>
        </is>
      </c>
      <c r="B1816" s="18" t="inlineStr">
        <is>
          <t>Control interno</t>
        </is>
      </c>
      <c r="C1816" s="18" t="inlineStr">
        <is>
          <t>control_interno</t>
        </is>
      </c>
      <c r="D1816" s="18" t="inlineStr">
        <is>
          <t>notificacion</t>
        </is>
      </c>
      <c r="E1816" s="18" t="n">
        <v>945</v>
      </c>
      <c r="F1816" s="18" t="inlineStr">
        <is>
          <t>accion_url</t>
        </is>
      </c>
      <c r="G1816" s="18" t="inlineStr">
        <is>
          <t>character varying(500)</t>
        </is>
      </c>
      <c r="H1816" s="18" t="inlineStr">
        <is>
          <t>Sí</t>
        </is>
      </c>
      <c r="I1816" s="18" t="inlineStr"/>
      <c r="J1816" s="18" t="inlineStr"/>
      <c r="K1816" s="18" t="inlineStr"/>
      <c r="L1816" s="18" t="inlineStr">
        <is>
          <t>No</t>
        </is>
      </c>
      <c r="M1816" s="18" t="inlineStr">
        <is>
          <t>No</t>
        </is>
      </c>
      <c r="N1816" s="18" t="inlineStr"/>
      <c r="O1816" s="18" t="inlineStr"/>
      <c r="P1816" s="18" t="inlineStr">
        <is>
          <t>Mapeada en internal-institutional-control-service/src/esap/notificaciones/entities/notificacion.entity.ts:130 (Notificacion.accionUrl) | Validación: IsOptional, IsString</t>
        </is>
      </c>
      <c r="Q1816" s="18" t="inlineStr">
        <is>
          <t>Propuesta semántica</t>
        </is>
      </c>
      <c r="R1816" s="18" t="inlineStr">
        <is>
          <t>URL a la que dirige la notificación para realizar la acción asociada.</t>
        </is>
      </c>
      <c r="S1816" s="18" t="inlineStr">
        <is>
          <t>Alta</t>
        </is>
      </c>
      <c r="T1816" s="18" t="inlineStr">
        <is>
          <t>nombre + tipo + columnas vecinas</t>
        </is>
      </c>
      <c r="U1816" s="18" t="inlineStr"/>
      <c r="V1816" s="19" t="inlineStr">
        <is>
          <t>Aprobada</t>
        </is>
      </c>
      <c r="W1816" s="19" t="inlineStr"/>
      <c r="X1816" s="19" t="inlineStr">
        <is>
          <t>Aldair González (aprobación en bloque)</t>
        </is>
      </c>
      <c r="Y1816" s="20" t="n">
        <v>46321</v>
      </c>
      <c r="Z1816" s="19" t="inlineStr">
        <is>
          <t>Nivel 1: propuesta del comentario del desarrollador o de confianza alta, o regla de fecha/responsable/motivo.</t>
        </is>
      </c>
      <c r="AA1816" s="18">
        <f>IF(OR(V1816="Aprobada"),R1816,IF(AND(OR(V1816="Aprobada con ajuste",V1816="Rechazada"),W1816&lt;&gt;""),W1816,""))</f>
        <v/>
      </c>
    </row>
    <row r="1817">
      <c r="A1817" s="18" t="inlineStr">
        <is>
          <t>C1816</t>
        </is>
      </c>
      <c r="B1817" s="18" t="inlineStr">
        <is>
          <t>Control interno</t>
        </is>
      </c>
      <c r="C1817" s="18" t="inlineStr">
        <is>
          <t>control_interno</t>
        </is>
      </c>
      <c r="D1817" s="18" t="inlineStr">
        <is>
          <t>notificacion</t>
        </is>
      </c>
      <c r="E1817" s="18" t="n">
        <v>945</v>
      </c>
      <c r="F1817" s="18" t="inlineStr">
        <is>
          <t>prioridad</t>
        </is>
      </c>
      <c r="G1817" s="18" t="inlineStr">
        <is>
          <t>character varying(20)</t>
        </is>
      </c>
      <c r="H1817" s="18" t="inlineStr">
        <is>
          <t>Sí</t>
        </is>
      </c>
      <c r="I1817" s="18" t="inlineStr">
        <is>
          <t>CHECK</t>
        </is>
      </c>
      <c r="J1817" s="18" t="inlineStr">
        <is>
          <t>alta, baja, critica, normal</t>
        </is>
      </c>
      <c r="K1817" s="18" t="inlineStr"/>
      <c r="L1817" s="18" t="inlineStr">
        <is>
          <t>Sí</t>
        </is>
      </c>
      <c r="M1817" s="18" t="inlineStr">
        <is>
          <t>No</t>
        </is>
      </c>
      <c r="N1817" s="18" t="inlineStr"/>
      <c r="O1817" s="18" t="inlineStr"/>
      <c r="P1817" s="18" t="inlineStr">
        <is>
          <t>Mapeada en internal-institutional-control-service/src/esap/notificaciones/entities/notificacion.entity.ts:133 (Notificacion.prioridad) | Validación: IsEnum(PrioridadAuditoria), IsEnum(PrioridadAuditoriaProgramada), IsEnum(PrioridadNotificacion), IsEnum(PrioridadTarea), IsEnum(['Alta', 'Media', 'Baja']), IsInt</t>
        </is>
      </c>
      <c r="Q1817" s="18" t="inlineStr">
        <is>
          <t>Propuesta semántica</t>
        </is>
      </c>
      <c r="R1817" s="18" t="inlineStr">
        <is>
          <t>Prioridad de la notificación. Valores permitidos: baja, normal, alta, critica.</t>
        </is>
      </c>
      <c r="S1817" s="18" t="inlineStr">
        <is>
          <t>Alta</t>
        </is>
      </c>
      <c r="T1817" s="18" t="inlineStr">
        <is>
          <t>valores permitidos del CHECK</t>
        </is>
      </c>
      <c r="U1817" s="18" t="inlineStr"/>
      <c r="V1817" s="19" t="inlineStr">
        <is>
          <t>Aprobada</t>
        </is>
      </c>
      <c r="W1817" s="19" t="inlineStr"/>
      <c r="X1817" s="19" t="inlineStr">
        <is>
          <t>Aldair González (aprobación en bloque)</t>
        </is>
      </c>
      <c r="Y1817" s="20" t="n">
        <v>46321</v>
      </c>
      <c r="Z1817" s="19" t="inlineStr">
        <is>
          <t>Nivel 1: propuesta del comentario del desarrollador o de confianza alta, o regla de fecha/responsable/motivo.</t>
        </is>
      </c>
      <c r="AA1817" s="18">
        <f>IF(OR(V1817="Aprobada"),R1817,IF(AND(OR(V1817="Aprobada con ajuste",V1817="Rechazada"),W1817&lt;&gt;""),W1817,""))</f>
        <v/>
      </c>
    </row>
    <row r="1818">
      <c r="A1818" s="18" t="inlineStr">
        <is>
          <t>C1817</t>
        </is>
      </c>
      <c r="B1818" s="18" t="inlineStr">
        <is>
          <t>Control interno</t>
        </is>
      </c>
      <c r="C1818" s="18" t="inlineStr">
        <is>
          <t>control_interno</t>
        </is>
      </c>
      <c r="D1818" s="18" t="inlineStr">
        <is>
          <t>objetivo_auditoria</t>
        </is>
      </c>
      <c r="E1818" s="18" t="n">
        <v>39</v>
      </c>
      <c r="F1818" s="18" t="inlineStr">
        <is>
          <t>descripcion</t>
        </is>
      </c>
      <c r="G1818" s="18" t="inlineStr">
        <is>
          <t>text</t>
        </is>
      </c>
      <c r="H1818" s="18" t="inlineStr">
        <is>
          <t>No</t>
        </is>
      </c>
      <c r="I1818" s="18" t="inlineStr"/>
      <c r="J1818" s="18" t="inlineStr"/>
      <c r="K1818" s="18" t="inlineStr"/>
      <c r="L1818" s="18" t="inlineStr">
        <is>
          <t>No</t>
        </is>
      </c>
      <c r="M1818" s="18" t="inlineStr">
        <is>
          <t>No</t>
        </is>
      </c>
      <c r="N1818" s="18" t="inlineStr"/>
      <c r="O1818" s="18" t="inlineStr"/>
      <c r="P1818" s="18" t="inlineStr">
        <is>
          <t>Mapeada en internal-institutional-control-service/src/esap/auditorias/entities/objetivo-auditoria.entity.ts:26 (ObjetivoAuditoria.descripcion) | Validación: IsNotEmpty, IsOptional, IsString</t>
        </is>
      </c>
      <c r="Q1818" s="18" t="inlineStr">
        <is>
          <t>Regla estructural (redacción revisada)</t>
        </is>
      </c>
      <c r="R1818" s="18" t="inlineStr">
        <is>
          <t>Descripción del objetivo de la auditoría.</t>
        </is>
      </c>
      <c r="S1818" s="18" t="inlineStr">
        <is>
          <t>Alta</t>
        </is>
      </c>
      <c r="T1818" s="18" t="inlineStr">
        <is>
          <t>Convención de nombre, redactada con el contexto de la tabla y el código.</t>
        </is>
      </c>
      <c r="U1818" s="18" t="inlineStr"/>
      <c r="V1818" s="19" t="inlineStr">
        <is>
          <t>Aprobada</t>
        </is>
      </c>
      <c r="W1818" s="19" t="inlineStr"/>
      <c r="X1818" s="19" t="inlineStr">
        <is>
          <t>Aldair González (aprobación en bloque)</t>
        </is>
      </c>
      <c r="Y1818" s="20" t="n">
        <v>46321</v>
      </c>
      <c r="Z1818" s="19" t="inlineStr">
        <is>
          <t>Nivel 2: regla estructural con redacción revisada.</t>
        </is>
      </c>
      <c r="AA1818" s="18">
        <f>IF(OR(V1818="Aprobada"),R1818,IF(AND(OR(V1818="Aprobada con ajuste",V1818="Rechazada"),W1818&lt;&gt;""),W1818,""))</f>
        <v/>
      </c>
    </row>
    <row r="1819">
      <c r="A1819" s="18" t="inlineStr">
        <is>
          <t>C1818</t>
        </is>
      </c>
      <c r="B1819" s="18" t="inlineStr">
        <is>
          <t>Control interno</t>
        </is>
      </c>
      <c r="C1819" s="18" t="inlineStr">
        <is>
          <t>control_interno</t>
        </is>
      </c>
      <c r="D1819" s="18" t="inlineStr">
        <is>
          <t>objetivo_auditoria</t>
        </is>
      </c>
      <c r="E1819" s="18" t="n">
        <v>39</v>
      </c>
      <c r="F1819" s="18" t="inlineStr">
        <is>
          <t>orden</t>
        </is>
      </c>
      <c r="G1819" s="18" t="inlineStr">
        <is>
          <t>integer</t>
        </is>
      </c>
      <c r="H1819" s="18" t="inlineStr">
        <is>
          <t>Sí</t>
        </is>
      </c>
      <c r="I1819" s="18" t="inlineStr"/>
      <c r="J1819" s="18" t="inlineStr"/>
      <c r="K1819" s="18" t="inlineStr"/>
      <c r="L1819" s="18" t="inlineStr">
        <is>
          <t>No</t>
        </is>
      </c>
      <c r="M1819" s="18" t="inlineStr">
        <is>
          <t>No</t>
        </is>
      </c>
      <c r="N1819" s="18" t="inlineStr"/>
      <c r="O1819" s="18" t="inlineStr"/>
      <c r="P1819" s="18" t="inlineStr">
        <is>
          <t>Mapeada en internal-institutional-control-service/src/esap/auditorias/entities/objetivo-auditoria.entity.ts:29 (ObjetivoAuditoria.orden) | Validación: IsInt, IsOptional, Min(1)</t>
        </is>
      </c>
      <c r="Q1819" s="18" t="inlineStr">
        <is>
          <t>Regla estructural (redacción revisada)</t>
        </is>
      </c>
      <c r="R1819" s="18" t="inlineStr">
        <is>
          <t>Posición del objetivo en la lista de objetivos de la auditoría.</t>
        </is>
      </c>
      <c r="S1819" s="18" t="inlineStr">
        <is>
          <t>Alta</t>
        </is>
      </c>
      <c r="T1819" s="18" t="inlineStr">
        <is>
          <t>Convención de nombre, redactada con el contexto de la tabla y el código.</t>
        </is>
      </c>
      <c r="U1819" s="18" t="inlineStr"/>
      <c r="V1819" s="19" t="inlineStr">
        <is>
          <t>Aprobada</t>
        </is>
      </c>
      <c r="W1819" s="19" t="inlineStr"/>
      <c r="X1819" s="19" t="inlineStr">
        <is>
          <t>Aldair González (aprobación en bloque)</t>
        </is>
      </c>
      <c r="Y1819" s="20" t="n">
        <v>46321</v>
      </c>
      <c r="Z1819" s="19" t="inlineStr">
        <is>
          <t>Nivel 2: regla estructural con redacción revisada.</t>
        </is>
      </c>
      <c r="AA1819" s="18">
        <f>IF(OR(V1819="Aprobada"),R1819,IF(AND(OR(V1819="Aprobada con ajuste",V1819="Rechazada"),W1819&lt;&gt;""),W1819,""))</f>
        <v/>
      </c>
    </row>
    <row r="1820">
      <c r="A1820" s="18" t="inlineStr">
        <is>
          <t>C1819</t>
        </is>
      </c>
      <c r="B1820" s="18" t="inlineStr">
        <is>
          <t>Control interno</t>
        </is>
      </c>
      <c r="C1820" s="18" t="inlineStr">
        <is>
          <t>control_interno</t>
        </is>
      </c>
      <c r="D1820" s="18" t="inlineStr">
        <is>
          <t>objetivo_auditoria</t>
        </is>
      </c>
      <c r="E1820" s="18" t="n">
        <v>39</v>
      </c>
      <c r="F1820" s="18" t="inlineStr">
        <is>
          <t>activo</t>
        </is>
      </c>
      <c r="G1820" s="18" t="inlineStr">
        <is>
          <t>boolean</t>
        </is>
      </c>
      <c r="H1820" s="18" t="inlineStr">
        <is>
          <t>Sí</t>
        </is>
      </c>
      <c r="I1820" s="18" t="inlineStr"/>
      <c r="J1820" s="18" t="inlineStr"/>
      <c r="K1820" s="18" t="inlineStr"/>
      <c r="L1820" s="18" t="inlineStr">
        <is>
          <t>No</t>
        </is>
      </c>
      <c r="M1820" s="18" t="inlineStr">
        <is>
          <t>No</t>
        </is>
      </c>
      <c r="N1820" s="18" t="inlineStr"/>
      <c r="O1820" s="18" t="inlineStr">
        <is>
          <t>idx_objetivo_auditoria_activo</t>
        </is>
      </c>
      <c r="P1820" s="18" t="inlineStr">
        <is>
          <t>Mapeada en internal-institutional-control-service/src/esap/auditorias/entities/objetivo-auditoria.entity.ts:32 (ObjetivoAuditoria.activo) | Validación: IsBoolean, IsOptional</t>
        </is>
      </c>
      <c r="Q1820" s="18" t="inlineStr">
        <is>
          <t>Regla estructural (redacción revisada)</t>
        </is>
      </c>
      <c r="R1820" s="18" t="inlineStr">
        <is>
          <t>Indica si el objetivo de la auditoría está activo.</t>
        </is>
      </c>
      <c r="S1820" s="18" t="inlineStr">
        <is>
          <t>Alta</t>
        </is>
      </c>
      <c r="T1820" s="18" t="inlineStr">
        <is>
          <t>Convención de nombre, redactada con el contexto de la tabla y el código.</t>
        </is>
      </c>
      <c r="U1820" s="18" t="inlineStr"/>
      <c r="V1820" s="19" t="inlineStr">
        <is>
          <t>Aprobada</t>
        </is>
      </c>
      <c r="W1820" s="19" t="inlineStr"/>
      <c r="X1820" s="19" t="inlineStr">
        <is>
          <t>Aldair González (aprobación en bloque)</t>
        </is>
      </c>
      <c r="Y1820" s="20" t="n">
        <v>46321</v>
      </c>
      <c r="Z1820" s="19" t="inlineStr">
        <is>
          <t>Nivel 2: regla estructural con redacción revisada.</t>
        </is>
      </c>
      <c r="AA1820" s="18">
        <f>IF(OR(V1820="Aprobada"),R1820,IF(AND(OR(V1820="Aprobada con ajuste",V1820="Rechazada"),W1820&lt;&gt;""),W1820,""))</f>
        <v/>
      </c>
    </row>
    <row r="1821">
      <c r="A1821" s="18" t="inlineStr">
        <is>
          <t>C1820</t>
        </is>
      </c>
      <c r="B1821" s="18" t="inlineStr">
        <is>
          <t>Control interno</t>
        </is>
      </c>
      <c r="C1821" s="18" t="inlineStr">
        <is>
          <t>control_interno</t>
        </is>
      </c>
      <c r="D1821" s="18" t="inlineStr">
        <is>
          <t>parametro_sistema</t>
        </is>
      </c>
      <c r="E1821" s="18" t="n">
        <v>1</v>
      </c>
      <c r="F1821" s="18" t="inlineStr">
        <is>
          <t>clave</t>
        </is>
      </c>
      <c r="G1821" s="18" t="inlineStr">
        <is>
          <t>character varying(255)</t>
        </is>
      </c>
      <c r="H1821" s="18" t="inlineStr">
        <is>
          <t>No</t>
        </is>
      </c>
      <c r="I1821" s="18" t="inlineStr">
        <is>
          <t>Única</t>
        </is>
      </c>
      <c r="J1821" s="18" t="inlineStr"/>
      <c r="K1821" s="18" t="inlineStr"/>
      <c r="L1821" s="18" t="inlineStr">
        <is>
          <t>Sí</t>
        </is>
      </c>
      <c r="M1821" s="18" t="inlineStr">
        <is>
          <t>No</t>
        </is>
      </c>
      <c r="N1821" s="18" t="inlineStr"/>
      <c r="O1821" s="18" t="inlineStr">
        <is>
          <t>idx_parametro_clave, parametro_sistema_clave_key</t>
        </is>
      </c>
      <c r="P1821" s="18" t="inlineStr"/>
      <c r="Q1821" s="18" t="inlineStr">
        <is>
          <t>Propuesta semántica</t>
        </is>
      </c>
      <c r="R1821" s="18" t="inlineStr">
        <is>
          <t>Clave única que identifica el parámetro de configuración.</t>
        </is>
      </c>
      <c r="S1821" s="18" t="inlineStr">
        <is>
          <t>Alta</t>
        </is>
      </c>
      <c r="T1821" s="18" t="inlineStr">
        <is>
          <t>nombre + restricción única</t>
        </is>
      </c>
      <c r="U1821" s="18" t="inlineStr"/>
      <c r="V1821" s="19" t="inlineStr">
        <is>
          <t>Aprobada</t>
        </is>
      </c>
      <c r="W1821" s="19" t="inlineStr"/>
      <c r="X1821" s="19" t="inlineStr">
        <is>
          <t>Aldair González (aprobación en bloque)</t>
        </is>
      </c>
      <c r="Y1821" s="20" t="n">
        <v>46321</v>
      </c>
      <c r="Z1821" s="19" t="inlineStr">
        <is>
          <t>Nivel 1: propuesta del comentario del desarrollador o de confianza alta, o regla de fecha/responsable/motivo.</t>
        </is>
      </c>
      <c r="AA1821" s="18">
        <f>IF(OR(V1821="Aprobada"),R1821,IF(AND(OR(V1821="Aprobada con ajuste",V1821="Rechazada"),W1821&lt;&gt;""),W1821,""))</f>
        <v/>
      </c>
    </row>
    <row r="1822">
      <c r="A1822" s="18" t="inlineStr">
        <is>
          <t>C1821</t>
        </is>
      </c>
      <c r="B1822" s="18" t="inlineStr">
        <is>
          <t>Control interno</t>
        </is>
      </c>
      <c r="C1822" s="18" t="inlineStr">
        <is>
          <t>control_interno</t>
        </is>
      </c>
      <c r="D1822" s="18" t="inlineStr">
        <is>
          <t>parametro_sistema</t>
        </is>
      </c>
      <c r="E1822" s="18" t="n">
        <v>1</v>
      </c>
      <c r="F1822" s="18" t="inlineStr">
        <is>
          <t>valor</t>
        </is>
      </c>
      <c r="G1822" s="18" t="inlineStr">
        <is>
          <t>text</t>
        </is>
      </c>
      <c r="H1822" s="18" t="inlineStr">
        <is>
          <t>No</t>
        </is>
      </c>
      <c r="I1822" s="18" t="inlineStr"/>
      <c r="J1822" s="18" t="inlineStr"/>
      <c r="K1822" s="18" t="inlineStr"/>
      <c r="L1822" s="18" t="inlineStr">
        <is>
          <t>Sí</t>
        </is>
      </c>
      <c r="M1822" s="18" t="inlineStr">
        <is>
          <t>No</t>
        </is>
      </c>
      <c r="N1822" s="18" t="inlineStr"/>
      <c r="O1822" s="18" t="inlineStr"/>
      <c r="P1822" s="18" t="inlineStr"/>
      <c r="Q1822" s="18" t="inlineStr">
        <is>
          <t>Propuesta semántica</t>
        </is>
      </c>
      <c r="R1822" s="18" t="inlineStr">
        <is>
          <t>Valor del parámetro de configuración, almacenado como texto.</t>
        </is>
      </c>
      <c r="S1822" s="18" t="inlineStr">
        <is>
          <t>Alta</t>
        </is>
      </c>
      <c r="T1822" s="18" t="inlineStr">
        <is>
          <t>nombre + tipo + columnas vecinas</t>
        </is>
      </c>
      <c r="U1822" s="18" t="inlineStr"/>
      <c r="V1822" s="19" t="inlineStr">
        <is>
          <t>Aprobada</t>
        </is>
      </c>
      <c r="W1822" s="19" t="inlineStr"/>
      <c r="X1822" s="19" t="inlineStr">
        <is>
          <t>Aldair González (aprobación en bloque)</t>
        </is>
      </c>
      <c r="Y1822" s="20" t="n">
        <v>46321</v>
      </c>
      <c r="Z1822" s="19" t="inlineStr">
        <is>
          <t>Nivel 1: propuesta del comentario del desarrollador o de confianza alta, o regla de fecha/responsable/motivo.</t>
        </is>
      </c>
      <c r="AA1822" s="18">
        <f>IF(OR(V1822="Aprobada"),R1822,IF(AND(OR(V1822="Aprobada con ajuste",V1822="Rechazada"),W1822&lt;&gt;""),W1822,""))</f>
        <v/>
      </c>
    </row>
    <row r="1823">
      <c r="A1823" s="18" t="inlineStr">
        <is>
          <t>C1822</t>
        </is>
      </c>
      <c r="B1823" s="18" t="inlineStr">
        <is>
          <t>Control interno</t>
        </is>
      </c>
      <c r="C1823" s="18" t="inlineStr">
        <is>
          <t>control_interno</t>
        </is>
      </c>
      <c r="D1823" s="18" t="inlineStr">
        <is>
          <t>parametro_sistema</t>
        </is>
      </c>
      <c r="E1823" s="18" t="n">
        <v>1</v>
      </c>
      <c r="F1823" s="18" t="inlineStr">
        <is>
          <t>descripcion</t>
        </is>
      </c>
      <c r="G1823" s="18" t="inlineStr">
        <is>
          <t>text</t>
        </is>
      </c>
      <c r="H1823" s="18" t="inlineStr">
        <is>
          <t>Sí</t>
        </is>
      </c>
      <c r="I1823" s="18" t="inlineStr"/>
      <c r="J1823" s="18" t="inlineStr"/>
      <c r="K1823" s="18" t="inlineStr"/>
      <c r="L1823" s="18" t="inlineStr">
        <is>
          <t>Sí</t>
        </is>
      </c>
      <c r="M1823" s="18" t="inlineStr">
        <is>
          <t>No</t>
        </is>
      </c>
      <c r="N1823" s="18" t="inlineStr"/>
      <c r="O1823" s="18" t="inlineStr"/>
      <c r="P1823" s="18" t="inlineStr"/>
      <c r="Q1823" s="18" t="inlineStr">
        <is>
          <t>Regla estructural (redacción revisada)</t>
        </is>
      </c>
      <c r="R1823" s="18" t="inlineStr">
        <is>
          <t>Descripción del parámetro del sistema.</t>
        </is>
      </c>
      <c r="S1823" s="18" t="inlineStr">
        <is>
          <t>Alta</t>
        </is>
      </c>
      <c r="T1823" s="18" t="inlineStr">
        <is>
          <t>Convención de nombre, redactada con el contexto de la tabla y el código.</t>
        </is>
      </c>
      <c r="U1823" s="18" t="inlineStr"/>
      <c r="V1823" s="19" t="inlineStr">
        <is>
          <t>Aprobada</t>
        </is>
      </c>
      <c r="W1823" s="19" t="inlineStr"/>
      <c r="X1823" s="19" t="inlineStr">
        <is>
          <t>Aldair González (aprobación en bloque)</t>
        </is>
      </c>
      <c r="Y1823" s="20" t="n">
        <v>46321</v>
      </c>
      <c r="Z1823" s="19" t="inlineStr">
        <is>
          <t>Nivel 2: regla estructural con redacción revisada.</t>
        </is>
      </c>
      <c r="AA1823" s="18">
        <f>IF(OR(V1823="Aprobada"),R1823,IF(AND(OR(V1823="Aprobada con ajuste",V1823="Rechazada"),W1823&lt;&gt;""),W1823,""))</f>
        <v/>
      </c>
    </row>
    <row r="1824">
      <c r="A1824" s="18" t="inlineStr">
        <is>
          <t>C1823</t>
        </is>
      </c>
      <c r="B1824" s="18" t="inlineStr">
        <is>
          <t>Control interno</t>
        </is>
      </c>
      <c r="C1824" s="18" t="inlineStr">
        <is>
          <t>control_interno</t>
        </is>
      </c>
      <c r="D1824" s="18" t="inlineStr">
        <is>
          <t>parametro_sistema</t>
        </is>
      </c>
      <c r="E1824" s="18" t="n">
        <v>1</v>
      </c>
      <c r="F1824" s="18" t="inlineStr">
        <is>
          <t>tipo</t>
        </is>
      </c>
      <c r="G1824" s="18" t="inlineStr">
        <is>
          <t>character varying(50)</t>
        </is>
      </c>
      <c r="H1824" s="18" t="inlineStr">
        <is>
          <t>Sí</t>
        </is>
      </c>
      <c r="I1824" s="18" t="inlineStr">
        <is>
          <t>CHECK</t>
        </is>
      </c>
      <c r="J1824" s="18" t="inlineStr">
        <is>
          <t>boolean, json, number, string</t>
        </is>
      </c>
      <c r="K1824" s="18" t="inlineStr"/>
      <c r="L1824" s="18" t="inlineStr">
        <is>
          <t>Sí</t>
        </is>
      </c>
      <c r="M1824" s="18" t="inlineStr">
        <is>
          <t>No</t>
        </is>
      </c>
      <c r="N1824" s="18" t="inlineStr"/>
      <c r="O1824" s="18" t="inlineStr"/>
      <c r="P1824" s="18" t="inlineStr"/>
      <c r="Q1824" s="18" t="inlineStr">
        <is>
          <t>Regla estructural (redacción revisada)</t>
        </is>
      </c>
      <c r="R1824" s="18" t="inlineStr">
        <is>
          <t>Tipo de dato del valor del parámetro (boolean, json, number o string).</t>
        </is>
      </c>
      <c r="S1824" s="18" t="inlineStr">
        <is>
          <t>Alta</t>
        </is>
      </c>
      <c r="T1824" s="18" t="inlineStr">
        <is>
          <t>Convención de nombre, redactada con el contexto de la tabla y el código.</t>
        </is>
      </c>
      <c r="U1824" s="18" t="inlineStr"/>
      <c r="V1824" s="19" t="inlineStr">
        <is>
          <t>Aprobada</t>
        </is>
      </c>
      <c r="W1824" s="19" t="inlineStr"/>
      <c r="X1824" s="19" t="inlineStr">
        <is>
          <t>Aldair González (aprobación en bloque)</t>
        </is>
      </c>
      <c r="Y1824" s="20" t="n">
        <v>46321</v>
      </c>
      <c r="Z1824" s="19" t="inlineStr">
        <is>
          <t>Nivel 2: regla estructural con redacción revisada.</t>
        </is>
      </c>
      <c r="AA1824" s="18">
        <f>IF(OR(V1824="Aprobada"),R1824,IF(AND(OR(V1824="Aprobada con ajuste",V1824="Rechazada"),W1824&lt;&gt;""),W1824,""))</f>
        <v/>
      </c>
    </row>
    <row r="1825">
      <c r="A1825" s="18" t="inlineStr">
        <is>
          <t>C1824</t>
        </is>
      </c>
      <c r="B1825" s="18" t="inlineStr">
        <is>
          <t>Control interno</t>
        </is>
      </c>
      <c r="C1825" s="18" t="inlineStr">
        <is>
          <t>control_interno</t>
        </is>
      </c>
      <c r="D1825" s="18" t="inlineStr">
        <is>
          <t>parametro_sistema</t>
        </is>
      </c>
      <c r="E1825" s="18" t="n">
        <v>1</v>
      </c>
      <c r="F1825" s="18" t="inlineStr">
        <is>
          <t>categoria</t>
        </is>
      </c>
      <c r="G1825" s="18" t="inlineStr">
        <is>
          <t>character varying(255)</t>
        </is>
      </c>
      <c r="H1825" s="18" t="inlineStr">
        <is>
          <t>Sí</t>
        </is>
      </c>
      <c r="I1825" s="18" t="inlineStr"/>
      <c r="J1825" s="18" t="inlineStr"/>
      <c r="K1825" s="18" t="inlineStr"/>
      <c r="L1825" s="18" t="inlineStr">
        <is>
          <t>Sí</t>
        </is>
      </c>
      <c r="M1825" s="18" t="inlineStr">
        <is>
          <t>No</t>
        </is>
      </c>
      <c r="N1825" s="18" t="inlineStr"/>
      <c r="O1825" s="18" t="inlineStr">
        <is>
          <t>idx_parametro_categoria</t>
        </is>
      </c>
      <c r="P1825" s="18" t="inlineStr"/>
      <c r="Q1825" s="18" t="inlineStr">
        <is>
          <t>Código fuente (verificado)</t>
        </is>
      </c>
      <c r="R1825" s="18" t="inlineStr">
        <is>
          <t>Categoría que agrupa los parámetros de configuración.</t>
        </is>
      </c>
      <c r="S1825" s="18" t="inlineStr">
        <is>
          <t>Media</t>
        </is>
      </c>
      <c r="T1825" s="18" t="inlineStr">
        <is>
          <t>db/init/005_control_interno_ddl_20260129_215540.sql:2408-2418: tabla parametro_sistema (RF020); la tabla no tiene entidad ni consultas en el backend</t>
        </is>
      </c>
      <c r="U1825" s="18" t="inlineStr">
        <is>
          <t>¿Qué categorías existen? El backend no usa control_interno.parametro_sistema.</t>
        </is>
      </c>
      <c r="V1825" s="19" t="inlineStr">
        <is>
          <t>Aprobada</t>
        </is>
      </c>
      <c r="W1825" s="19" t="inlineStr"/>
      <c r="X1825" s="19" t="inlineStr">
        <is>
          <t>Aldair González (validación del responsable de BD)</t>
        </is>
      </c>
      <c r="Y1825" s="20" t="n">
        <v>46321</v>
      </c>
      <c r="Z1825" s="19" t="inlineStr">
        <is>
          <t>Nivel 3: validada por decisión del responsable de la base de datos. Pregunta registrada para desarrollo: ¿Qué categorías existen? El backend no usa control_interno.parametro_sistema.</t>
        </is>
      </c>
      <c r="AA1825" s="18">
        <f>IF(OR(V1825="Aprobada"),R1825,IF(AND(OR(V1825="Aprobada con ajuste",V1825="Rechazada"),W1825&lt;&gt;""),W1825,""))</f>
        <v/>
      </c>
    </row>
    <row r="1826">
      <c r="A1826" s="18" t="inlineStr">
        <is>
          <t>C1825</t>
        </is>
      </c>
      <c r="B1826" s="18" t="inlineStr">
        <is>
          <t>Control interno</t>
        </is>
      </c>
      <c r="C1826" s="18" t="inlineStr">
        <is>
          <t>control_interno</t>
        </is>
      </c>
      <c r="D1826" s="18" t="inlineStr">
        <is>
          <t>parametro_sistema</t>
        </is>
      </c>
      <c r="E1826" s="18" t="n">
        <v>1</v>
      </c>
      <c r="F1826" s="18" t="inlineStr">
        <is>
          <t>editable</t>
        </is>
      </c>
      <c r="G1826" s="18" t="inlineStr">
        <is>
          <t>boolean</t>
        </is>
      </c>
      <c r="H1826" s="18" t="inlineStr">
        <is>
          <t>Sí</t>
        </is>
      </c>
      <c r="I1826" s="18" t="inlineStr"/>
      <c r="J1826" s="18" t="inlineStr"/>
      <c r="K1826" s="18" t="inlineStr"/>
      <c r="L1826" s="18" t="inlineStr">
        <is>
          <t>Sí</t>
        </is>
      </c>
      <c r="M1826" s="18" t="inlineStr">
        <is>
          <t>No</t>
        </is>
      </c>
      <c r="N1826" s="18" t="inlineStr"/>
      <c r="O1826" s="18" t="inlineStr"/>
      <c r="P1826" s="18" t="inlineStr"/>
      <c r="Q1826" s="18" t="inlineStr">
        <is>
          <t>Regla estructural (redacción revisada)</t>
        </is>
      </c>
      <c r="R1826" s="18" t="inlineStr">
        <is>
          <t>Indica si el parámetro puede modificarse desde la configuración.</t>
        </is>
      </c>
      <c r="S1826" s="18" t="inlineStr">
        <is>
          <t>Alta</t>
        </is>
      </c>
      <c r="T1826" s="18" t="inlineStr">
        <is>
          <t>Convención de nombre, redactada con el contexto de la tabla y el código.</t>
        </is>
      </c>
      <c r="U1826" s="18" t="inlineStr"/>
      <c r="V1826" s="19" t="inlineStr">
        <is>
          <t>Aprobada</t>
        </is>
      </c>
      <c r="W1826" s="19" t="inlineStr"/>
      <c r="X1826" s="19" t="inlineStr">
        <is>
          <t>Aldair González (aprobación en bloque)</t>
        </is>
      </c>
      <c r="Y1826" s="20" t="n">
        <v>46321</v>
      </c>
      <c r="Z1826" s="19" t="inlineStr">
        <is>
          <t>Nivel 2: regla estructural con redacción revisada.</t>
        </is>
      </c>
      <c r="AA1826" s="18">
        <f>IF(OR(V1826="Aprobada"),R1826,IF(AND(OR(V1826="Aprobada con ajuste",V1826="Rechazada"),W1826&lt;&gt;""),W1826,""))</f>
        <v/>
      </c>
    </row>
    <row r="1827">
      <c r="A1827" s="18" t="inlineStr">
        <is>
          <t>C1826</t>
        </is>
      </c>
      <c r="B1827" s="18" t="inlineStr">
        <is>
          <t>Control interno</t>
        </is>
      </c>
      <c r="C1827" s="18" t="inlineStr">
        <is>
          <t>control_interno</t>
        </is>
      </c>
      <c r="D1827" s="18" t="inlineStr">
        <is>
          <t>paso_workflow_informe</t>
        </is>
      </c>
      <c r="E1827" s="18" t="n">
        <v>0</v>
      </c>
      <c r="F1827" s="18" t="inlineStr">
        <is>
          <t>numero_paso</t>
        </is>
      </c>
      <c r="G1827" s="18" t="inlineStr">
        <is>
          <t>integer</t>
        </is>
      </c>
      <c r="H1827" s="18" t="inlineStr">
        <is>
          <t>No</t>
        </is>
      </c>
      <c r="I1827" s="18" t="inlineStr"/>
      <c r="J1827" s="18" t="inlineStr"/>
      <c r="K1827" s="18" t="inlineStr"/>
      <c r="L1827" s="18" t="inlineStr">
        <is>
          <t>No</t>
        </is>
      </c>
      <c r="M1827" s="18" t="inlineStr">
        <is>
          <t>No</t>
        </is>
      </c>
      <c r="N1827" s="18" t="inlineStr"/>
      <c r="O1827" s="18" t="inlineStr">
        <is>
          <t>idx_paso_numero</t>
        </is>
      </c>
      <c r="P1827" s="18" t="inlineStr">
        <is>
          <t>Mapeada en internal-institutional-control-service/src/esap/informes-ley/entities/paso-workflow-informe.entity.ts:26 (PasoWorkflowInforme.numeroPaso)</t>
        </is>
      </c>
      <c r="Q1827" s="18" t="inlineStr">
        <is>
          <t>Propuesta semántica</t>
        </is>
      </c>
      <c r="R1827" s="18" t="inlineStr">
        <is>
          <t>Número del paso dentro del workflow de aprobación del informe.</t>
        </is>
      </c>
      <c r="S1827" s="18" t="inlineStr">
        <is>
          <t>Alta</t>
        </is>
      </c>
      <c r="T1827" s="18" t="inlineStr">
        <is>
          <t>nombre + tipo + columnas vecinas</t>
        </is>
      </c>
      <c r="U1827" s="18" t="inlineStr"/>
      <c r="V1827" s="19" t="inlineStr">
        <is>
          <t>Aprobada</t>
        </is>
      </c>
      <c r="W1827" s="19" t="inlineStr"/>
      <c r="X1827" s="19" t="inlineStr">
        <is>
          <t>Aldair González (aprobación en bloque)</t>
        </is>
      </c>
      <c r="Y1827" s="20" t="n">
        <v>46321</v>
      </c>
      <c r="Z1827" s="19" t="inlineStr">
        <is>
          <t>Nivel 1: propuesta del comentario del desarrollador o de confianza alta, o regla de fecha/responsable/motivo.</t>
        </is>
      </c>
      <c r="AA1827" s="18">
        <f>IF(OR(V1827="Aprobada"),R1827,IF(AND(OR(V1827="Aprobada con ajuste",V1827="Rechazada"),W1827&lt;&gt;""),W1827,""))</f>
        <v/>
      </c>
    </row>
    <row r="1828">
      <c r="A1828" s="18" t="inlineStr">
        <is>
          <t>C1827</t>
        </is>
      </c>
      <c r="B1828" s="18" t="inlineStr">
        <is>
          <t>Control interno</t>
        </is>
      </c>
      <c r="C1828" s="18" t="inlineStr">
        <is>
          <t>control_interno</t>
        </is>
      </c>
      <c r="D1828" s="18" t="inlineStr">
        <is>
          <t>paso_workflow_informe</t>
        </is>
      </c>
      <c r="E1828" s="18" t="n">
        <v>0</v>
      </c>
      <c r="F1828" s="18" t="inlineStr">
        <is>
          <t>nombre</t>
        </is>
      </c>
      <c r="G1828" s="18" t="inlineStr">
        <is>
          <t>character varying(100)</t>
        </is>
      </c>
      <c r="H1828" s="18" t="inlineStr">
        <is>
          <t>No</t>
        </is>
      </c>
      <c r="I1828" s="18" t="inlineStr"/>
      <c r="J1828" s="18" t="inlineStr"/>
      <c r="K1828" s="18" t="inlineStr"/>
      <c r="L1828" s="18" t="inlineStr">
        <is>
          <t>No</t>
        </is>
      </c>
      <c r="M1828" s="18" t="inlineStr">
        <is>
          <t>No</t>
        </is>
      </c>
      <c r="N1828" s="18" t="inlineStr"/>
      <c r="O1828" s="18" t="inlineStr"/>
      <c r="P1828" s="18" t="inlineStr">
        <is>
          <t>internal-institutional-control-service/src/esap/informes-ley/entities/paso-workflow-informe.entity.ts:29: 'elaboracion', 'revision', 'aprobacion', 'publicacion' | Validación: IsNotEmpty, IsNotEmpty({ message: 'El nombre del documento es obligatorio' }), IsOptional, IsString, Length(1, 500), MaxLength(120)</t>
        </is>
      </c>
      <c r="Q1828" s="18" t="inlineStr">
        <is>
          <t>Código fuente</t>
        </is>
      </c>
      <c r="R1828" s="18" t="inlineStr">
        <is>
          <t>Nombre interno del paso del workflow de aprobación del informe, por ejemplo elaboracion, revision, aprobacion o publicacion.</t>
        </is>
      </c>
      <c r="S1828" s="18" t="inlineStr">
        <is>
          <t>Alta</t>
        </is>
      </c>
      <c r="T1828" s="18" t="inlineStr">
        <is>
          <t>código: internal-institutional-control-service/src/esap/informes-ley/entities/paso-workflow-informe.entity.ts:29</t>
        </is>
      </c>
      <c r="U1828" s="18" t="inlineStr"/>
      <c r="V1828" s="19" t="inlineStr">
        <is>
          <t>Aprobada</t>
        </is>
      </c>
      <c r="W1828" s="19" t="inlineStr"/>
      <c r="X1828" s="19" t="inlineStr">
        <is>
          <t>Aldair González (aprobación en bloque)</t>
        </is>
      </c>
      <c r="Y1828" s="20" t="n">
        <v>46321</v>
      </c>
      <c r="Z1828" s="19" t="inlineStr">
        <is>
          <t>Nivel 1: propuesta del comentario del desarrollador o de confianza alta, o regla de fecha/responsable/motivo.</t>
        </is>
      </c>
      <c r="AA1828" s="18">
        <f>IF(OR(V1828="Aprobada"),R1828,IF(AND(OR(V1828="Aprobada con ajuste",V1828="Rechazada"),W1828&lt;&gt;""),W1828,""))</f>
        <v/>
      </c>
    </row>
    <row r="1829">
      <c r="A1829" s="18" t="inlineStr">
        <is>
          <t>C1828</t>
        </is>
      </c>
      <c r="B1829" s="18" t="inlineStr">
        <is>
          <t>Control interno</t>
        </is>
      </c>
      <c r="C1829" s="18" t="inlineStr">
        <is>
          <t>control_interno</t>
        </is>
      </c>
      <c r="D1829" s="18" t="inlineStr">
        <is>
          <t>paso_workflow_informe</t>
        </is>
      </c>
      <c r="E1829" s="18" t="n">
        <v>0</v>
      </c>
      <c r="F1829" s="18" t="inlineStr">
        <is>
          <t>nombre_display</t>
        </is>
      </c>
      <c r="G1829" s="18" t="inlineStr">
        <is>
          <t>character varying(255)</t>
        </is>
      </c>
      <c r="H1829" s="18" t="inlineStr">
        <is>
          <t>No</t>
        </is>
      </c>
      <c r="I1829" s="18" t="inlineStr"/>
      <c r="J1829" s="18" t="inlineStr"/>
      <c r="K1829" s="18" t="inlineStr"/>
      <c r="L1829" s="18" t="inlineStr">
        <is>
          <t>No</t>
        </is>
      </c>
      <c r="M1829" s="18" t="inlineStr">
        <is>
          <t>No</t>
        </is>
      </c>
      <c r="N1829" s="18" t="inlineStr"/>
      <c r="O1829" s="18" t="inlineStr"/>
      <c r="P1829" s="18" t="inlineStr">
        <is>
          <t>internal-institutional-control-service/src/esap/informes-ley/entities/paso-workflow-informe.entity.ts:32: 'Elaboración', 'Revisión Técnica', etc.</t>
        </is>
      </c>
      <c r="Q1829" s="18" t="inlineStr">
        <is>
          <t>Código fuente</t>
        </is>
      </c>
      <c r="R1829" s="18" t="inlineStr">
        <is>
          <t>Nombre del paso para mostrar en pantalla, por ejemplo Elaboración o Revisión Técnica.</t>
        </is>
      </c>
      <c r="S1829" s="18" t="inlineStr">
        <is>
          <t>Alta</t>
        </is>
      </c>
      <c r="T1829" s="18" t="inlineStr">
        <is>
          <t>código: internal-institutional-control-service/src/esap/informes-ley/entities/paso-workflow-informe.entity.ts:32</t>
        </is>
      </c>
      <c r="U1829" s="18" t="inlineStr"/>
      <c r="V1829" s="19" t="inlineStr">
        <is>
          <t>Aprobada</t>
        </is>
      </c>
      <c r="W1829" s="19" t="inlineStr"/>
      <c r="X1829" s="19" t="inlineStr">
        <is>
          <t>Aldair González (aprobación en bloque)</t>
        </is>
      </c>
      <c r="Y1829" s="20" t="n">
        <v>46321</v>
      </c>
      <c r="Z1829" s="19" t="inlineStr">
        <is>
          <t>Nivel 1: propuesta del comentario del desarrollador o de confianza alta, o regla de fecha/responsable/motivo.</t>
        </is>
      </c>
      <c r="AA1829" s="18">
        <f>IF(OR(V1829="Aprobada"),R1829,IF(AND(OR(V1829="Aprobada con ajuste",V1829="Rechazada"),W1829&lt;&gt;""),W1829,""))</f>
        <v/>
      </c>
    </row>
    <row r="1830">
      <c r="A1830" s="18" t="inlineStr">
        <is>
          <t>C1829</t>
        </is>
      </c>
      <c r="B1830" s="18" t="inlineStr">
        <is>
          <t>Control interno</t>
        </is>
      </c>
      <c r="C1830" s="18" t="inlineStr">
        <is>
          <t>control_interno</t>
        </is>
      </c>
      <c r="D1830" s="18" t="inlineStr">
        <is>
          <t>paso_workflow_informe</t>
        </is>
      </c>
      <c r="E1830" s="18" t="n">
        <v>0</v>
      </c>
      <c r="F1830" s="18" t="inlineStr">
        <is>
          <t>descripcion</t>
        </is>
      </c>
      <c r="G1830" s="18" t="inlineStr">
        <is>
          <t>text</t>
        </is>
      </c>
      <c r="H1830" s="18" t="inlineStr">
        <is>
          <t>Sí</t>
        </is>
      </c>
      <c r="I1830" s="18" t="inlineStr"/>
      <c r="J1830" s="18" t="inlineStr"/>
      <c r="K1830" s="18" t="inlineStr"/>
      <c r="L1830" s="18" t="inlineStr">
        <is>
          <t>No</t>
        </is>
      </c>
      <c r="M1830" s="18" t="inlineStr">
        <is>
          <t>No</t>
        </is>
      </c>
      <c r="N1830" s="18" t="inlineStr"/>
      <c r="O1830" s="18" t="inlineStr"/>
      <c r="P1830" s="18" t="inlineStr">
        <is>
          <t>Mapeada en internal-institutional-control-service/src/esap/informes-ley/entities/paso-workflow-informe.entity.ts:35 (PasoWorkflowInforme.descripcion) | Validación: IsNotEmpty, IsOptional, IsString</t>
        </is>
      </c>
      <c r="Q1830" s="18" t="inlineStr">
        <is>
          <t>Regla estructural (redacción revisada)</t>
        </is>
      </c>
      <c r="R1830" s="18" t="inlineStr">
        <is>
          <t>Descripción del paso del flujo de aprobación.</t>
        </is>
      </c>
      <c r="S1830" s="18" t="inlineStr">
        <is>
          <t>Alta</t>
        </is>
      </c>
      <c r="T1830" s="18" t="inlineStr">
        <is>
          <t>Convención de nombre, redactada con el contexto de la tabla y el código.</t>
        </is>
      </c>
      <c r="U1830" s="18" t="inlineStr"/>
      <c r="V1830" s="19" t="inlineStr">
        <is>
          <t>Aprobada</t>
        </is>
      </c>
      <c r="W1830" s="19" t="inlineStr"/>
      <c r="X1830" s="19" t="inlineStr">
        <is>
          <t>Aldair González (aprobación en bloque)</t>
        </is>
      </c>
      <c r="Y1830" s="20" t="n">
        <v>46321</v>
      </c>
      <c r="Z1830" s="19" t="inlineStr">
        <is>
          <t>Nivel 2: regla estructural con redacción revisada.</t>
        </is>
      </c>
      <c r="AA1830" s="18">
        <f>IF(OR(V1830="Aprobada"),R1830,IF(AND(OR(V1830="Aprobada con ajuste",V1830="Rechazada"),W1830&lt;&gt;""),W1830,""))</f>
        <v/>
      </c>
    </row>
    <row r="1831">
      <c r="A1831" s="18" t="inlineStr">
        <is>
          <t>C1830</t>
        </is>
      </c>
      <c r="B1831" s="18" t="inlineStr">
        <is>
          <t>Control interno</t>
        </is>
      </c>
      <c r="C1831" s="18" t="inlineStr">
        <is>
          <t>control_interno</t>
        </is>
      </c>
      <c r="D1831" s="18" t="inlineStr">
        <is>
          <t>paso_workflow_informe</t>
        </is>
      </c>
      <c r="E1831" s="18" t="n">
        <v>0</v>
      </c>
      <c r="F1831" s="18" t="inlineStr">
        <is>
          <t>responsable</t>
        </is>
      </c>
      <c r="G1831" s="18" t="inlineStr">
        <is>
          <t>character varying(255)</t>
        </is>
      </c>
      <c r="H1831" s="18" t="inlineStr">
        <is>
          <t>Sí</t>
        </is>
      </c>
      <c r="I1831" s="18" t="inlineStr"/>
      <c r="J1831" s="18" t="inlineStr"/>
      <c r="K1831" s="18" t="inlineStr"/>
      <c r="L1831" s="18" t="inlineStr">
        <is>
          <t>No</t>
        </is>
      </c>
      <c r="M1831" s="18" t="inlineStr">
        <is>
          <t>No</t>
        </is>
      </c>
      <c r="N1831" s="18" t="inlineStr"/>
      <c r="O1831" s="18" t="inlineStr"/>
      <c r="P1831" s="18" t="inlineStr">
        <is>
          <t>Mapeada en internal-institutional-control-service/src/esap/informes-ley/entities/paso-workflow-informe.entity.ts:38 (PasoWorkflowInforme.responsable) | Validación: IsNotEmpty, IsOptional, IsString, Length(1, 255)</t>
        </is>
      </c>
      <c r="Q1831" s="18" t="inlineStr">
        <is>
          <t>Código fuente (verificado)</t>
        </is>
      </c>
      <c r="R1831" s="18" t="inlineStr">
        <is>
          <t>Responsable de ejecutar el paso del workflow.</t>
        </is>
      </c>
      <c r="S1831" s="18" t="inlineStr">
        <is>
          <t>Media</t>
        </is>
      </c>
      <c r="T1831" s="18" t="inlineStr">
        <is>
          <t>backend/internal-institutional-control-service/src/esap/informes-ley/services/workflow-aprobacion.service.ts:90-131: los pasos se crean sin responsable; ningún servicio escribe la columna</t>
        </is>
      </c>
      <c r="U1831" s="18" t="inlineStr">
        <is>
          <t>¿Qué guarda responsable (nombre, correo o identificador) y quién lo diligencia? El backend no escribe esta columna.</t>
        </is>
      </c>
      <c r="V1831" s="19" t="inlineStr">
        <is>
          <t>Aprobada</t>
        </is>
      </c>
      <c r="W1831" s="19" t="inlineStr"/>
      <c r="X1831" s="19" t="inlineStr">
        <is>
          <t>Aldair González (validación del responsable de BD)</t>
        </is>
      </c>
      <c r="Y1831" s="20" t="n">
        <v>46321</v>
      </c>
      <c r="Z1831" s="19" t="inlineStr">
        <is>
          <t>Nivel 3: validada por decisión del responsable de la base de datos. Pregunta registrada para desarrollo: ¿Qué guarda responsable (nombre, correo o identificador) y quién lo diligencia? El backend no escribe esta columna.</t>
        </is>
      </c>
      <c r="AA1831" s="18">
        <f>IF(OR(V1831="Aprobada"),R1831,IF(AND(OR(V1831="Aprobada con ajuste",V1831="Rechazada"),W1831&lt;&gt;""),W1831,""))</f>
        <v/>
      </c>
    </row>
    <row r="1832">
      <c r="A1832" s="18" t="inlineStr">
        <is>
          <t>C1831</t>
        </is>
      </c>
      <c r="B1832" s="18" t="inlineStr">
        <is>
          <t>Control interno</t>
        </is>
      </c>
      <c r="C1832" s="18" t="inlineStr">
        <is>
          <t>control_interno</t>
        </is>
      </c>
      <c r="D1832" s="18" t="inlineStr">
        <is>
          <t>paso_workflow_informe</t>
        </is>
      </c>
      <c r="E1832" s="18" t="n">
        <v>0</v>
      </c>
      <c r="F1832" s="18" t="inlineStr">
        <is>
          <t>rol_responsable</t>
        </is>
      </c>
      <c r="G1832" s="18" t="inlineStr">
        <is>
          <t>character varying(255)</t>
        </is>
      </c>
      <c r="H1832" s="18" t="inlineStr">
        <is>
          <t>Sí</t>
        </is>
      </c>
      <c r="I1832" s="18" t="inlineStr"/>
      <c r="J1832" s="18" t="inlineStr"/>
      <c r="K1832" s="18" t="inlineStr"/>
      <c r="L1832" s="18" t="inlineStr">
        <is>
          <t>No</t>
        </is>
      </c>
      <c r="M1832" s="18" t="inlineStr">
        <is>
          <t>No</t>
        </is>
      </c>
      <c r="N1832" s="18" t="inlineStr"/>
      <c r="O1832" s="18" t="inlineStr"/>
      <c r="P1832" s="18" t="inlineStr">
        <is>
          <t>Mapeada en internal-institutional-control-service/src/esap/informes-ley/entities/paso-workflow-informe.entity.ts:41 (PasoWorkflowInforme.rolResponsable)</t>
        </is>
      </c>
      <c r="Q1832" s="18" t="inlineStr">
        <is>
          <t>Código fuente (verificado)</t>
        </is>
      </c>
      <c r="R1832" s="18" t="inlineStr">
        <is>
          <t>Rol que debe ejecutar el paso del workflow del informe de ley; el backend lo fija como texto: «Auditor» para la elaboración y «Jefe OCI» para la revisión y la aprobación.</t>
        </is>
      </c>
      <c r="S1832" s="18" t="inlineStr">
        <is>
          <t>Alta</t>
        </is>
      </c>
      <c r="T1832" s="18" t="inlineStr">
        <is>
          <t>backend/internal-institutional-control-service/src/esap/informes-ley/services/workflow-aprobacion.service.ts:96,110,123: rolResponsable Auditor, Jefe OCI, Jefe OCI; no proviene de un catálogo</t>
        </is>
      </c>
      <c r="U1832" s="18" t="inlineStr"/>
      <c r="V1832" s="19" t="inlineStr">
        <is>
          <t>Aprobada</t>
        </is>
      </c>
      <c r="W1832" s="19" t="inlineStr"/>
      <c r="X1832" s="19" t="inlineStr">
        <is>
          <t>Aldair González (aprobación en bloque)</t>
        </is>
      </c>
      <c r="Y1832" s="20" t="n">
        <v>46321</v>
      </c>
      <c r="Z1832" s="19" t="inlineStr">
        <is>
          <t>Nivel 3: verificada con el código de la aplicación.</t>
        </is>
      </c>
      <c r="AA1832" s="18">
        <f>IF(OR(V1832="Aprobada"),R1832,IF(AND(OR(V1832="Aprobada con ajuste",V1832="Rechazada"),W1832&lt;&gt;""),W1832,""))</f>
        <v/>
      </c>
    </row>
    <row r="1833">
      <c r="A1833" s="18" t="inlineStr">
        <is>
          <t>C1832</t>
        </is>
      </c>
      <c r="B1833" s="18" t="inlineStr">
        <is>
          <t>Control interno</t>
        </is>
      </c>
      <c r="C1833" s="18" t="inlineStr">
        <is>
          <t>control_interno</t>
        </is>
      </c>
      <c r="D1833" s="18" t="inlineStr">
        <is>
          <t>paso_workflow_informe</t>
        </is>
      </c>
      <c r="E1833" s="18" t="n">
        <v>0</v>
      </c>
      <c r="F1833" s="18" t="inlineStr">
        <is>
          <t>estado</t>
        </is>
      </c>
      <c r="G1833" s="18" t="inlineStr">
        <is>
          <t>character varying(50)</t>
        </is>
      </c>
      <c r="H1833" s="18" t="inlineStr">
        <is>
          <t>Sí</t>
        </is>
      </c>
      <c r="I1833" s="18" t="inlineStr">
        <is>
          <t>CHECK</t>
        </is>
      </c>
      <c r="J1833" s="18" t="inlineStr">
        <is>
          <t>completado, en-proceso, pendiente, rechazado</t>
        </is>
      </c>
      <c r="K1833" s="18" t="inlineStr"/>
      <c r="L1833" s="18" t="inlineStr">
        <is>
          <t>Sí</t>
        </is>
      </c>
      <c r="M1833" s="18" t="inlineStr">
        <is>
          <t>No</t>
        </is>
      </c>
      <c r="N1833" s="18" t="inlineStr"/>
      <c r="O1833" s="18" t="inlineStr"/>
      <c r="P1833" s="18" t="inlineStr">
        <is>
          <t>Mapeada en internal-institutional-control-service/src/esap/informes-ley/entities/paso-workflow-informe.entity.ts:44 (PasoWorkflowInforme.estado) | Validación: IsEnum(AccionCorrectivaEstado), IsEnum(EstadoEtapa), IsEnum(EstadoPlanIndividual), IsEnum(EstadoTarea), IsEnum(HallazgoEstado), IsEnum(PlanMejoramientoEstado)</t>
        </is>
      </c>
      <c r="Q1833" s="18" t="inlineStr">
        <is>
          <t>Regla estructural (redacción revisada)</t>
        </is>
      </c>
      <c r="R1833" s="18" t="inlineStr">
        <is>
          <t>Estado del paso del flujo de aprobación (pendiente, en proceso, completado o rechazado).</t>
        </is>
      </c>
      <c r="S1833" s="18" t="inlineStr">
        <is>
          <t>Alta</t>
        </is>
      </c>
      <c r="T1833" s="18" t="inlineStr">
        <is>
          <t>Convención de nombre, redactada con el contexto de la tabla y el código.</t>
        </is>
      </c>
      <c r="U1833" s="18" t="inlineStr"/>
      <c r="V1833" s="19" t="inlineStr">
        <is>
          <t>Aprobada</t>
        </is>
      </c>
      <c r="W1833" s="19" t="inlineStr"/>
      <c r="X1833" s="19" t="inlineStr">
        <is>
          <t>Aldair González (aprobación en bloque)</t>
        </is>
      </c>
      <c r="Y1833" s="20" t="n">
        <v>46321</v>
      </c>
      <c r="Z1833" s="19" t="inlineStr">
        <is>
          <t>Nivel 2: regla estructural con redacción revisada.</t>
        </is>
      </c>
      <c r="AA1833" s="18">
        <f>IF(OR(V1833="Aprobada"),R1833,IF(AND(OR(V1833="Aprobada con ajuste",V1833="Rechazada"),W1833&lt;&gt;""),W1833,""))</f>
        <v/>
      </c>
    </row>
    <row r="1834">
      <c r="A1834" s="18" t="inlineStr">
        <is>
          <t>C1833</t>
        </is>
      </c>
      <c r="B1834" s="18" t="inlineStr">
        <is>
          <t>Control interno</t>
        </is>
      </c>
      <c r="C1834" s="18" t="inlineStr">
        <is>
          <t>control_interno</t>
        </is>
      </c>
      <c r="D1834" s="18" t="inlineStr">
        <is>
          <t>paso_workflow_informe</t>
        </is>
      </c>
      <c r="E1834" s="18" t="n">
        <v>0</v>
      </c>
      <c r="F1834" s="18" t="inlineStr">
        <is>
          <t>fecha_inicio</t>
        </is>
      </c>
      <c r="G1834" s="18" t="inlineStr">
        <is>
          <t>timestamp without time zone</t>
        </is>
      </c>
      <c r="H1834" s="18" t="inlineStr">
        <is>
          <t>Sí</t>
        </is>
      </c>
      <c r="I1834" s="18" t="inlineStr"/>
      <c r="J1834" s="18" t="inlineStr"/>
      <c r="K1834" s="18" t="inlineStr"/>
      <c r="L1834" s="18" t="inlineStr">
        <is>
          <t>No</t>
        </is>
      </c>
      <c r="M1834" s="18" t="inlineStr">
        <is>
          <t>No</t>
        </is>
      </c>
      <c r="N1834" s="18" t="inlineStr"/>
      <c r="O1834" s="18" t="inlineStr"/>
      <c r="P1834" s="18" t="inlineStr">
        <is>
          <t>Mapeada en internal-institutional-control-service/src/esap/informes-ley/entities/paso-workflow-informe.entity.ts:51 (PasoWorkflowInforme.fechaInicio) | Validación: IsDateString, IsNotEmpty, IsOptional</t>
        </is>
      </c>
      <c r="Q1834" s="18" t="inlineStr">
        <is>
          <t>Regla estructural (redacción revisada)</t>
        </is>
      </c>
      <c r="R1834" s="18" t="inlineStr">
        <is>
          <t>Fecha y hora de inicio del paso.</t>
        </is>
      </c>
      <c r="S1834" s="18" t="inlineStr">
        <is>
          <t>Alta</t>
        </is>
      </c>
      <c r="T1834" s="18" t="inlineStr">
        <is>
          <t>Convención de nombre, redactada con el contexto de la tabla y el código.</t>
        </is>
      </c>
      <c r="U1834" s="18" t="inlineStr"/>
      <c r="V1834" s="19" t="inlineStr">
        <is>
          <t>Aprobada</t>
        </is>
      </c>
      <c r="W1834" s="19" t="inlineStr"/>
      <c r="X1834" s="19" t="inlineStr">
        <is>
          <t>Aldair González (aprobación en bloque)</t>
        </is>
      </c>
      <c r="Y1834" s="20" t="n">
        <v>46321</v>
      </c>
      <c r="Z1834" s="19" t="inlineStr">
        <is>
          <t>Nivel 2: regla estructural con redacción revisada.</t>
        </is>
      </c>
      <c r="AA1834" s="18">
        <f>IF(OR(V1834="Aprobada"),R1834,IF(AND(OR(V1834="Aprobada con ajuste",V1834="Rechazada"),W1834&lt;&gt;""),W1834,""))</f>
        <v/>
      </c>
    </row>
    <row r="1835">
      <c r="A1835" s="18" t="inlineStr">
        <is>
          <t>C1834</t>
        </is>
      </c>
      <c r="B1835" s="18" t="inlineStr">
        <is>
          <t>Control interno</t>
        </is>
      </c>
      <c r="C1835" s="18" t="inlineStr">
        <is>
          <t>control_interno</t>
        </is>
      </c>
      <c r="D1835" s="18" t="inlineStr">
        <is>
          <t>paso_workflow_informe</t>
        </is>
      </c>
      <c r="E1835" s="18" t="n">
        <v>0</v>
      </c>
      <c r="F1835" s="18" t="inlineStr">
        <is>
          <t>fecha_fin</t>
        </is>
      </c>
      <c r="G1835" s="18" t="inlineStr">
        <is>
          <t>timestamp without time zone</t>
        </is>
      </c>
      <c r="H1835" s="18" t="inlineStr">
        <is>
          <t>Sí</t>
        </is>
      </c>
      <c r="I1835" s="18" t="inlineStr"/>
      <c r="J1835" s="18" t="inlineStr"/>
      <c r="K1835" s="18" t="inlineStr"/>
      <c r="L1835" s="18" t="inlineStr">
        <is>
          <t>No</t>
        </is>
      </c>
      <c r="M1835" s="18" t="inlineStr">
        <is>
          <t>No</t>
        </is>
      </c>
      <c r="N1835" s="18" t="inlineStr"/>
      <c r="O1835" s="18" t="inlineStr"/>
      <c r="P1835" s="18" t="inlineStr">
        <is>
          <t>Mapeada en internal-institutional-control-service/src/esap/informes-ley/entities/paso-workflow-informe.entity.ts:54 (PasoWorkflowInforme.fechaFin) | Validación: IsDateString, IsNotEmpty, IsOptional</t>
        </is>
      </c>
      <c r="Q1835" s="18" t="inlineStr">
        <is>
          <t>Regla estructural (redacción revisada)</t>
        </is>
      </c>
      <c r="R1835" s="18" t="inlineStr">
        <is>
          <t>Fecha y hora de finalización del paso.</t>
        </is>
      </c>
      <c r="S1835" s="18" t="inlineStr">
        <is>
          <t>Alta</t>
        </is>
      </c>
      <c r="T1835" s="18" t="inlineStr">
        <is>
          <t>Convención de nombre, redactada con el contexto de la tabla y el código.</t>
        </is>
      </c>
      <c r="U1835" s="18" t="inlineStr"/>
      <c r="V1835" s="19" t="inlineStr">
        <is>
          <t>Aprobada</t>
        </is>
      </c>
      <c r="W1835" s="19" t="inlineStr"/>
      <c r="X1835" s="19" t="inlineStr">
        <is>
          <t>Aldair González (aprobación en bloque)</t>
        </is>
      </c>
      <c r="Y1835" s="20" t="n">
        <v>46321</v>
      </c>
      <c r="Z1835" s="19" t="inlineStr">
        <is>
          <t>Nivel 2: regla estructural con redacción revisada.</t>
        </is>
      </c>
      <c r="AA1835" s="18">
        <f>IF(OR(V1835="Aprobada"),R1835,IF(AND(OR(V1835="Aprobada con ajuste",V1835="Rechazada"),W1835&lt;&gt;""),W1835,""))</f>
        <v/>
      </c>
    </row>
    <row r="1836">
      <c r="A1836" s="18" t="inlineStr">
        <is>
          <t>C1835</t>
        </is>
      </c>
      <c r="B1836" s="18" t="inlineStr">
        <is>
          <t>Control interno</t>
        </is>
      </c>
      <c r="C1836" s="18" t="inlineStr">
        <is>
          <t>control_interno</t>
        </is>
      </c>
      <c r="D1836" s="18" t="inlineStr">
        <is>
          <t>paso_workflow_informe</t>
        </is>
      </c>
      <c r="E1836" s="18" t="n">
        <v>0</v>
      </c>
      <c r="F1836" s="18" t="inlineStr">
        <is>
          <t>observaciones</t>
        </is>
      </c>
      <c r="G1836" s="18" t="inlineStr">
        <is>
          <t>text</t>
        </is>
      </c>
      <c r="H1836" s="18" t="inlineStr">
        <is>
          <t>Sí</t>
        </is>
      </c>
      <c r="I1836" s="18" t="inlineStr"/>
      <c r="J1836" s="18" t="inlineStr"/>
      <c r="K1836" s="18" t="inlineStr"/>
      <c r="L1836" s="18" t="inlineStr">
        <is>
          <t>No</t>
        </is>
      </c>
      <c r="M1836" s="18" t="inlineStr">
        <is>
          <t>No</t>
        </is>
      </c>
      <c r="N1836" s="18" t="inlineStr"/>
      <c r="O1836" s="18" t="inlineStr"/>
      <c r="P1836" s="18" t="inlineStr">
        <is>
          <t>Mapeada en internal-institutional-control-service/src/esap/informes-ley/entities/paso-workflow-informe.entity.ts:57 (PasoWorkflowInforme.observaciones) | Validación: IsOptional, IsString</t>
        </is>
      </c>
      <c r="Q1836" s="18" t="inlineStr">
        <is>
          <t>Regla estructural (redacción revisada)</t>
        </is>
      </c>
      <c r="R1836" s="18" t="inlineStr">
        <is>
          <t>Observaciones sobre el paso del flujo de aprobación.</t>
        </is>
      </c>
      <c r="S1836" s="18" t="inlineStr">
        <is>
          <t>Alta</t>
        </is>
      </c>
      <c r="T1836" s="18" t="inlineStr">
        <is>
          <t>Convención de nombre, redactada con el contexto de la tabla y el código.</t>
        </is>
      </c>
      <c r="U1836" s="18" t="inlineStr"/>
      <c r="V1836" s="19" t="inlineStr">
        <is>
          <t>Aprobada</t>
        </is>
      </c>
      <c r="W1836" s="19" t="inlineStr"/>
      <c r="X1836" s="19" t="inlineStr">
        <is>
          <t>Aldair González (aprobación en bloque)</t>
        </is>
      </c>
      <c r="Y1836" s="20" t="n">
        <v>46321</v>
      </c>
      <c r="Z1836" s="19" t="inlineStr">
        <is>
          <t>Nivel 2: regla estructural con redacción revisada.</t>
        </is>
      </c>
      <c r="AA1836" s="18">
        <f>IF(OR(V1836="Aprobada"),R1836,IF(AND(OR(V1836="Aprobada con ajuste",V1836="Rechazada"),W1836&lt;&gt;""),W1836,""))</f>
        <v/>
      </c>
    </row>
    <row r="1837">
      <c r="A1837" s="18" t="inlineStr">
        <is>
          <t>C1836</t>
        </is>
      </c>
      <c r="B1837" s="18" t="inlineStr">
        <is>
          <t>Control interno</t>
        </is>
      </c>
      <c r="C1837" s="18" t="inlineStr">
        <is>
          <t>control_interno</t>
        </is>
      </c>
      <c r="D1837" s="18" t="inlineStr">
        <is>
          <t>paso_workflow_informe</t>
        </is>
      </c>
      <c r="E1837" s="18" t="n">
        <v>0</v>
      </c>
      <c r="F1837" s="18" t="inlineStr">
        <is>
          <t>accion</t>
        </is>
      </c>
      <c r="G1837" s="18" t="inlineStr">
        <is>
          <t>character varying(50)</t>
        </is>
      </c>
      <c r="H1837" s="18" t="inlineStr">
        <is>
          <t>Sí</t>
        </is>
      </c>
      <c r="I1837" s="18" t="inlineStr">
        <is>
          <t>CHECK</t>
        </is>
      </c>
      <c r="J1837" s="18" t="inlineStr">
        <is>
          <t>aprobar, elaborar, publicar, revisar</t>
        </is>
      </c>
      <c r="K1837" s="18" t="inlineStr"/>
      <c r="L1837" s="18" t="inlineStr">
        <is>
          <t>Sí</t>
        </is>
      </c>
      <c r="M1837" s="18" t="inlineStr">
        <is>
          <t>No</t>
        </is>
      </c>
      <c r="N1837" s="18" t="inlineStr"/>
      <c r="O1837" s="18" t="inlineStr"/>
      <c r="P1837" s="18" t="inlineStr">
        <is>
          <t>Mapeada en internal-institutional-control-service/src/esap/informes-ley/entities/paso-workflow-informe.entity.ts:60 (PasoWorkflowInforme.accion)</t>
        </is>
      </c>
      <c r="Q1837" s="18" t="inlineStr">
        <is>
          <t>Propuesta semántica</t>
        </is>
      </c>
      <c r="R1837" s="18" t="inlineStr">
        <is>
          <t>Acción que corresponde al paso del workflow. Valores permitidos: elaborar, revisar, aprobar, publicar.</t>
        </is>
      </c>
      <c r="S1837" s="18" t="inlineStr">
        <is>
          <t>Alta</t>
        </is>
      </c>
      <c r="T1837" s="18" t="inlineStr">
        <is>
          <t>valores permitidos del CHECK</t>
        </is>
      </c>
      <c r="U1837" s="18" t="inlineStr"/>
      <c r="V1837" s="19" t="inlineStr">
        <is>
          <t>Aprobada</t>
        </is>
      </c>
      <c r="W1837" s="19" t="inlineStr"/>
      <c r="X1837" s="19" t="inlineStr">
        <is>
          <t>Aldair González (aprobación en bloque)</t>
        </is>
      </c>
      <c r="Y1837" s="20" t="n">
        <v>46321</v>
      </c>
      <c r="Z1837" s="19" t="inlineStr">
        <is>
          <t>Nivel 1: propuesta del comentario del desarrollador o de confianza alta, o regla de fecha/responsable/motivo.</t>
        </is>
      </c>
      <c r="AA1837" s="18">
        <f>IF(OR(V1837="Aprobada"),R1837,IF(AND(OR(V1837="Aprobada con ajuste",V1837="Rechazada"),W1837&lt;&gt;""),W1837,""))</f>
        <v/>
      </c>
    </row>
    <row r="1838">
      <c r="A1838" s="18" t="inlineStr">
        <is>
          <t>C1837</t>
        </is>
      </c>
      <c r="B1838" s="18" t="inlineStr">
        <is>
          <t>Control interno</t>
        </is>
      </c>
      <c r="C1838" s="18" t="inlineStr">
        <is>
          <t>control_interno</t>
        </is>
      </c>
      <c r="D1838" s="18" t="inlineStr">
        <is>
          <t>paso_workflow_informe</t>
        </is>
      </c>
      <c r="E1838" s="18" t="n">
        <v>0</v>
      </c>
      <c r="F1838" s="18" t="inlineStr">
        <is>
          <t>es_obligatorio</t>
        </is>
      </c>
      <c r="G1838" s="18" t="inlineStr">
        <is>
          <t>boolean</t>
        </is>
      </c>
      <c r="H1838" s="18" t="inlineStr">
        <is>
          <t>Sí</t>
        </is>
      </c>
      <c r="I1838" s="18" t="inlineStr"/>
      <c r="J1838" s="18" t="inlineStr"/>
      <c r="K1838" s="18" t="inlineStr"/>
      <c r="L1838" s="18" t="inlineStr">
        <is>
          <t>No</t>
        </is>
      </c>
      <c r="M1838" s="18" t="inlineStr">
        <is>
          <t>No</t>
        </is>
      </c>
      <c r="N1838" s="18" t="inlineStr"/>
      <c r="O1838" s="18" t="inlineStr"/>
      <c r="P1838" s="18" t="inlineStr">
        <is>
          <t>Mapeada en internal-institutional-control-service/src/esap/informes-ley/entities/paso-workflow-informe.entity.ts:67 (PasoWorkflowInforme.esObligatorio)</t>
        </is>
      </c>
      <c r="Q1838" s="18" t="inlineStr">
        <is>
          <t>Regla estructural (redacción revisada)</t>
        </is>
      </c>
      <c r="R1838" s="18" t="inlineStr">
        <is>
          <t>Indica si el paso es obligatorio en el flujo de aprobación.</t>
        </is>
      </c>
      <c r="S1838" s="18" t="inlineStr">
        <is>
          <t>Alta</t>
        </is>
      </c>
      <c r="T1838" s="18" t="inlineStr">
        <is>
          <t>Convención de nombre, redactada con el contexto de la tabla y el código.</t>
        </is>
      </c>
      <c r="U1838" s="18" t="inlineStr"/>
      <c r="V1838" s="19" t="inlineStr">
        <is>
          <t>Aprobada</t>
        </is>
      </c>
      <c r="W1838" s="19" t="inlineStr"/>
      <c r="X1838" s="19" t="inlineStr">
        <is>
          <t>Aldair González (aprobación en bloque)</t>
        </is>
      </c>
      <c r="Y1838" s="20" t="n">
        <v>46321</v>
      </c>
      <c r="Z1838" s="19" t="inlineStr">
        <is>
          <t>Nivel 2: regla estructural con redacción revisada.</t>
        </is>
      </c>
      <c r="AA1838" s="18">
        <f>IF(OR(V1838="Aprobada"),R1838,IF(AND(OR(V1838="Aprobada con ajuste",V1838="Rechazada"),W1838&lt;&gt;""),W1838,""))</f>
        <v/>
      </c>
    </row>
    <row r="1839">
      <c r="A1839" s="18" t="inlineStr">
        <is>
          <t>C1838</t>
        </is>
      </c>
      <c r="B1839" s="18" t="inlineStr">
        <is>
          <t>Control interno</t>
        </is>
      </c>
      <c r="C1839" s="18" t="inlineStr">
        <is>
          <t>control_interno</t>
        </is>
      </c>
      <c r="D1839" s="18" t="inlineStr">
        <is>
          <t>paso_workflow_informe</t>
        </is>
      </c>
      <c r="E1839" s="18" t="n">
        <v>0</v>
      </c>
      <c r="F1839" s="18" t="inlineStr">
        <is>
          <t>orden</t>
        </is>
      </c>
      <c r="G1839" s="18" t="inlineStr">
        <is>
          <t>integer</t>
        </is>
      </c>
      <c r="H1839" s="18" t="inlineStr">
        <is>
          <t>No</t>
        </is>
      </c>
      <c r="I1839" s="18" t="inlineStr"/>
      <c r="J1839" s="18" t="inlineStr"/>
      <c r="K1839" s="18" t="inlineStr"/>
      <c r="L1839" s="18" t="inlineStr">
        <is>
          <t>No</t>
        </is>
      </c>
      <c r="M1839" s="18" t="inlineStr">
        <is>
          <t>No</t>
        </is>
      </c>
      <c r="N1839" s="18" t="inlineStr"/>
      <c r="O1839" s="18" t="inlineStr"/>
      <c r="P1839" s="18" t="inlineStr">
        <is>
          <t>Mapeada en internal-institutional-control-service/src/esap/informes-ley/entities/paso-workflow-informe.entity.ts:70 (PasoWorkflowInforme.orden) | Validación: IsInt, IsOptional, Min(1)</t>
        </is>
      </c>
      <c r="Q1839" s="18" t="inlineStr">
        <is>
          <t>Regla estructural (redacción revisada)</t>
        </is>
      </c>
      <c r="R1839" s="18" t="inlineStr">
        <is>
          <t>Posición del paso en el flujo de aprobación.</t>
        </is>
      </c>
      <c r="S1839" s="18" t="inlineStr">
        <is>
          <t>Alta</t>
        </is>
      </c>
      <c r="T1839" s="18" t="inlineStr">
        <is>
          <t>Convención de nombre, redactada con el contexto de la tabla y el código.</t>
        </is>
      </c>
      <c r="U1839" s="18" t="inlineStr"/>
      <c r="V1839" s="19" t="inlineStr">
        <is>
          <t>Aprobada</t>
        </is>
      </c>
      <c r="W1839" s="19" t="inlineStr"/>
      <c r="X1839" s="19" t="inlineStr">
        <is>
          <t>Aldair González (aprobación en bloque)</t>
        </is>
      </c>
      <c r="Y1839" s="20" t="n">
        <v>46321</v>
      </c>
      <c r="Z1839" s="19" t="inlineStr">
        <is>
          <t>Nivel 2: regla estructural con redacción revisada.</t>
        </is>
      </c>
      <c r="AA1839" s="18">
        <f>IF(OR(V1839="Aprobada"),R1839,IF(AND(OR(V1839="Aprobada con ajuste",V1839="Rechazada"),W1839&lt;&gt;""),W1839,""))</f>
        <v/>
      </c>
    </row>
    <row r="1840">
      <c r="A1840" s="18" t="inlineStr">
        <is>
          <t>C1839</t>
        </is>
      </c>
      <c r="B1840" s="18" t="inlineStr">
        <is>
          <t>Control interno</t>
        </is>
      </c>
      <c r="C1840" s="18" t="inlineStr">
        <is>
          <t>control_interno</t>
        </is>
      </c>
      <c r="D1840" s="18" t="inlineStr">
        <is>
          <t>plan_anual</t>
        </is>
      </c>
      <c r="E1840" s="18" t="n">
        <v>0</v>
      </c>
      <c r="F1840" s="18" t="inlineStr">
        <is>
          <t>año</t>
        </is>
      </c>
      <c r="G1840" s="18" t="inlineStr">
        <is>
          <t>integer</t>
        </is>
      </c>
      <c r="H1840" s="18" t="inlineStr">
        <is>
          <t>No</t>
        </is>
      </c>
      <c r="I1840" s="18" t="inlineStr"/>
      <c r="J1840" s="18" t="inlineStr"/>
      <c r="K1840" s="18" t="inlineStr"/>
      <c r="L1840" s="18" t="inlineStr">
        <is>
          <t>No</t>
        </is>
      </c>
      <c r="M1840" s="18" t="inlineStr">
        <is>
          <t>No</t>
        </is>
      </c>
      <c r="N1840" s="18" t="inlineStr"/>
      <c r="O1840" s="18" t="inlineStr">
        <is>
          <t>idx_plan_anual_año</t>
        </is>
      </c>
      <c r="P1840" s="18" t="inlineStr">
        <is>
          <t>Mapeada en internal-institutional-control-service/src/esap/programa-anual/entities/programa-anual.entity.ts:19 (ProgramaAnual.año) | Validación: IsInt, IsOptional, Max(2100), Min(2020)</t>
        </is>
      </c>
      <c r="Q1840" s="18" t="inlineStr">
        <is>
          <t>Propuesta semántica</t>
        </is>
      </c>
      <c r="R1840" s="18" t="inlineStr">
        <is>
          <t>Año (vigencia) del plan anual de auditoría, entre 2020 y 2100.</t>
        </is>
      </c>
      <c r="S1840" s="18" t="inlineStr">
        <is>
          <t>Alta</t>
        </is>
      </c>
      <c r="T1840" s="18" t="inlineStr">
        <is>
          <t>nombre + validaciones Min(2020), Max(2100)</t>
        </is>
      </c>
      <c r="U1840" s="18" t="inlineStr"/>
      <c r="V1840" s="19" t="inlineStr">
        <is>
          <t>Aprobada</t>
        </is>
      </c>
      <c r="W1840" s="19" t="inlineStr"/>
      <c r="X1840" s="19" t="inlineStr">
        <is>
          <t>Aldair González (aprobación en bloque)</t>
        </is>
      </c>
      <c r="Y1840" s="20" t="n">
        <v>46321</v>
      </c>
      <c r="Z1840" s="19" t="inlineStr">
        <is>
          <t>Nivel 1: propuesta del comentario del desarrollador o de confianza alta, o regla de fecha/responsable/motivo.</t>
        </is>
      </c>
      <c r="AA1840" s="18">
        <f>IF(OR(V1840="Aprobada"),R1840,IF(AND(OR(V1840="Aprobada con ajuste",V1840="Rechazada"),W1840&lt;&gt;""),W1840,""))</f>
        <v/>
      </c>
    </row>
    <row r="1841">
      <c r="A1841" s="18" t="inlineStr">
        <is>
          <t>C1840</t>
        </is>
      </c>
      <c r="B1841" s="18" t="inlineStr">
        <is>
          <t>Control interno</t>
        </is>
      </c>
      <c r="C1841" s="18" t="inlineStr">
        <is>
          <t>control_interno</t>
        </is>
      </c>
      <c r="D1841" s="18" t="inlineStr">
        <is>
          <t>plan_anual</t>
        </is>
      </c>
      <c r="E1841" s="18" t="n">
        <v>0</v>
      </c>
      <c r="F1841" s="18" t="inlineStr">
        <is>
          <t>nombre</t>
        </is>
      </c>
      <c r="G1841" s="18" t="inlineStr">
        <is>
          <t>character varying(255)</t>
        </is>
      </c>
      <c r="H1841" s="18" t="inlineStr">
        <is>
          <t>No</t>
        </is>
      </c>
      <c r="I1841" s="18" t="inlineStr"/>
      <c r="J1841" s="18" t="inlineStr"/>
      <c r="K1841" s="18" t="inlineStr"/>
      <c r="L1841" s="18" t="inlineStr">
        <is>
          <t>No</t>
        </is>
      </c>
      <c r="M1841" s="18" t="inlineStr">
        <is>
          <t>No</t>
        </is>
      </c>
      <c r="N1841" s="18" t="inlineStr"/>
      <c r="O1841" s="18" t="inlineStr"/>
      <c r="P1841" s="18" t="inlineStr">
        <is>
          <t>Mapeada en internal-institutional-control-service/src/esap/programa-anual/entities/programa-anual.entity.ts:22 (ProgramaAnual.nombre) | Validación: IsNotEmpty, IsNotEmpty({ message: 'El nombre del documento es obligatorio' }), IsOptional, IsString, Length(1, 500), MaxLength(120)</t>
        </is>
      </c>
      <c r="Q1841" s="18" t="inlineStr">
        <is>
          <t>Regla estructural (redacción revisada)</t>
        </is>
      </c>
      <c r="R1841" s="18" t="inlineStr">
        <is>
          <t>Nombre del plan anual de auditoría.</t>
        </is>
      </c>
      <c r="S1841" s="18" t="inlineStr">
        <is>
          <t>Alta</t>
        </is>
      </c>
      <c r="T1841" s="18" t="inlineStr">
        <is>
          <t>Convención de nombre, redactada con el contexto de la tabla y el código.</t>
        </is>
      </c>
      <c r="U1841" s="18" t="inlineStr"/>
      <c r="V1841" s="19" t="inlineStr">
        <is>
          <t>Aprobada</t>
        </is>
      </c>
      <c r="W1841" s="19" t="inlineStr"/>
      <c r="X1841" s="19" t="inlineStr">
        <is>
          <t>Aldair González (aprobación en bloque)</t>
        </is>
      </c>
      <c r="Y1841" s="20" t="n">
        <v>46321</v>
      </c>
      <c r="Z1841" s="19" t="inlineStr">
        <is>
          <t>Nivel 2: regla estructural con redacción revisada.</t>
        </is>
      </c>
      <c r="AA1841" s="18">
        <f>IF(OR(V1841="Aprobada"),R1841,IF(AND(OR(V1841="Aprobada con ajuste",V1841="Rechazada"),W1841&lt;&gt;""),W1841,""))</f>
        <v/>
      </c>
    </row>
    <row r="1842">
      <c r="A1842" s="18" t="inlineStr">
        <is>
          <t>C1841</t>
        </is>
      </c>
      <c r="B1842" s="18" t="inlineStr">
        <is>
          <t>Control interno</t>
        </is>
      </c>
      <c r="C1842" s="18" t="inlineStr">
        <is>
          <t>control_interno</t>
        </is>
      </c>
      <c r="D1842" s="18" t="inlineStr">
        <is>
          <t>plan_anual</t>
        </is>
      </c>
      <c r="E1842" s="18" t="n">
        <v>0</v>
      </c>
      <c r="F1842" s="18" t="inlineStr">
        <is>
          <t>estado</t>
        </is>
      </c>
      <c r="G1842" s="18" t="inlineStr">
        <is>
          <t>character varying(50)</t>
        </is>
      </c>
      <c r="H1842" s="18" t="inlineStr">
        <is>
          <t>Sí</t>
        </is>
      </c>
      <c r="I1842" s="18" t="inlineStr">
        <is>
          <t>CHECK</t>
        </is>
      </c>
      <c r="J1842" s="18" t="inlineStr">
        <is>
          <t>aprobado, borrador, cerrado, en-ejecucion</t>
        </is>
      </c>
      <c r="K1842" s="18" t="inlineStr"/>
      <c r="L1842" s="18" t="inlineStr">
        <is>
          <t>Sí</t>
        </is>
      </c>
      <c r="M1842" s="18" t="inlineStr">
        <is>
          <t>No</t>
        </is>
      </c>
      <c r="N1842" s="18" t="inlineStr"/>
      <c r="O1842" s="18" t="inlineStr">
        <is>
          <t>idx_plan_anual_estado</t>
        </is>
      </c>
      <c r="P1842" s="18" t="inlineStr">
        <is>
          <t>Mapeada en internal-institutional-control-service/src/esap/programa-anual/entities/programa-anual.entity.ts:25 (ProgramaAnual.estado) | Validación: IsEnum(AccionCorrectivaEstado), IsEnum(EstadoEtapa), IsEnum(EstadoPlanIndividual), IsEnum(EstadoTarea), IsEnum(HallazgoEstado), IsEnum(PlanMejoramientoEstado)</t>
        </is>
      </c>
      <c r="Q1842" s="18" t="inlineStr">
        <is>
          <t>Regla estructural (redacción revisada)</t>
        </is>
      </c>
      <c r="R1842" s="18" t="inlineStr">
        <is>
          <t>Estado del plan anual (borrador, aprobado, en ejecución o cerrado).</t>
        </is>
      </c>
      <c r="S1842" s="18" t="inlineStr">
        <is>
          <t>Alta</t>
        </is>
      </c>
      <c r="T1842" s="18" t="inlineStr">
        <is>
          <t>Convención de nombre, redactada con el contexto de la tabla y el código.</t>
        </is>
      </c>
      <c r="U1842" s="18" t="inlineStr"/>
      <c r="V1842" s="19" t="inlineStr">
        <is>
          <t>Aprobada</t>
        </is>
      </c>
      <c r="W1842" s="19" t="inlineStr"/>
      <c r="X1842" s="19" t="inlineStr">
        <is>
          <t>Aldair González (aprobación en bloque)</t>
        </is>
      </c>
      <c r="Y1842" s="20" t="n">
        <v>46321</v>
      </c>
      <c r="Z1842" s="19" t="inlineStr">
        <is>
          <t>Nivel 2: regla estructural con redacción revisada.</t>
        </is>
      </c>
      <c r="AA1842" s="18">
        <f>IF(OR(V1842="Aprobada"),R1842,IF(AND(OR(V1842="Aprobada con ajuste",V1842="Rechazada"),W1842&lt;&gt;""),W1842,""))</f>
        <v/>
      </c>
    </row>
    <row r="1843">
      <c r="A1843" s="18" t="inlineStr">
        <is>
          <t>C1842</t>
        </is>
      </c>
      <c r="B1843" s="18" t="inlineStr">
        <is>
          <t>Control interno</t>
        </is>
      </c>
      <c r="C1843" s="18" t="inlineStr">
        <is>
          <t>control_interno</t>
        </is>
      </c>
      <c r="D1843" s="18" t="inlineStr">
        <is>
          <t>plan_anual</t>
        </is>
      </c>
      <c r="E1843" s="18" t="n">
        <v>0</v>
      </c>
      <c r="F1843" s="18" t="inlineStr">
        <is>
          <t>fecha_aprobacion</t>
        </is>
      </c>
      <c r="G1843" s="18" t="inlineStr">
        <is>
          <t>date</t>
        </is>
      </c>
      <c r="H1843" s="18" t="inlineStr">
        <is>
          <t>Sí</t>
        </is>
      </c>
      <c r="I1843" s="18" t="inlineStr"/>
      <c r="J1843" s="18" t="inlineStr"/>
      <c r="K1843" s="18" t="inlineStr"/>
      <c r="L1843" s="18" t="inlineStr">
        <is>
          <t>No</t>
        </is>
      </c>
      <c r="M1843" s="18" t="inlineStr">
        <is>
          <t>No</t>
        </is>
      </c>
      <c r="N1843" s="18" t="inlineStr"/>
      <c r="O1843" s="18" t="inlineStr"/>
      <c r="P1843" s="18" t="inlineStr">
        <is>
          <t>Mapeada en internal-institutional-control-service/src/esap/programa-anual/entities/programa-anual.entity.ts:35 (ProgramaAnual.fechaAprobacion) | Validación: IsDateString, IsOptional</t>
        </is>
      </c>
      <c r="Q1843" s="18" t="inlineStr">
        <is>
          <t>Regla estructural (redacción revisada)</t>
        </is>
      </c>
      <c r="R1843" s="18" t="inlineStr">
        <is>
          <t>Fecha en que se aprobó el plan anual.</t>
        </is>
      </c>
      <c r="S1843" s="18" t="inlineStr">
        <is>
          <t>Alta</t>
        </is>
      </c>
      <c r="T1843" s="18" t="inlineStr">
        <is>
          <t>Convención de nombre, redactada con el contexto de la tabla y el código.</t>
        </is>
      </c>
      <c r="U1843" s="18" t="inlineStr"/>
      <c r="V1843" s="19" t="inlineStr">
        <is>
          <t>Aprobada</t>
        </is>
      </c>
      <c r="W1843" s="19" t="inlineStr"/>
      <c r="X1843" s="19" t="inlineStr">
        <is>
          <t>Aldair González (aprobación en bloque)</t>
        </is>
      </c>
      <c r="Y1843" s="20" t="n">
        <v>46321</v>
      </c>
      <c r="Z1843" s="19" t="inlineStr">
        <is>
          <t>Nivel 2: regla estructural con redacción revisada.</t>
        </is>
      </c>
      <c r="AA1843" s="18">
        <f>IF(OR(V1843="Aprobada"),R1843,IF(AND(OR(V1843="Aprobada con ajuste",V1843="Rechazada"),W1843&lt;&gt;""),W1843,""))</f>
        <v/>
      </c>
    </row>
    <row r="1844">
      <c r="A1844" s="18" t="inlineStr">
        <is>
          <t>C1843</t>
        </is>
      </c>
      <c r="B1844" s="18" t="inlineStr">
        <is>
          <t>Control interno</t>
        </is>
      </c>
      <c r="C1844" s="18" t="inlineStr">
        <is>
          <t>control_interno</t>
        </is>
      </c>
      <c r="D1844" s="18" t="inlineStr">
        <is>
          <t>plan_anual</t>
        </is>
      </c>
      <c r="E1844" s="18" t="n">
        <v>0</v>
      </c>
      <c r="F1844" s="18" t="inlineStr">
        <is>
          <t>version</t>
        </is>
      </c>
      <c r="G1844" s="18" t="inlineStr">
        <is>
          <t>character varying(50)</t>
        </is>
      </c>
      <c r="H1844" s="18" t="inlineStr">
        <is>
          <t>Sí</t>
        </is>
      </c>
      <c r="I1844" s="18" t="inlineStr"/>
      <c r="J1844" s="18" t="inlineStr"/>
      <c r="K1844" s="18" t="inlineStr"/>
      <c r="L1844" s="18" t="inlineStr">
        <is>
          <t>No</t>
        </is>
      </c>
      <c r="M1844" s="18" t="inlineStr">
        <is>
          <t>No</t>
        </is>
      </c>
      <c r="N1844" s="18" t="inlineStr"/>
      <c r="O1844" s="18" t="inlineStr"/>
      <c r="P1844" s="18" t="inlineStr">
        <is>
          <t>Mapeada en internal-institutional-control-service/src/esap/programa-anual/entities/programa-anual.entity.ts:41 (ProgramaAnual.version) | Validación: IsOptional, IsString</t>
        </is>
      </c>
      <c r="Q1844" s="18" t="inlineStr">
        <is>
          <t>Regla estructural (redacción revisada)</t>
        </is>
      </c>
      <c r="R1844" s="18" t="inlineStr">
        <is>
          <t>Versión del plan anual.</t>
        </is>
      </c>
      <c r="S1844" s="18" t="inlineStr">
        <is>
          <t>Alta</t>
        </is>
      </c>
      <c r="T1844" s="18" t="inlineStr">
        <is>
          <t>Convención de nombre, redactada con el contexto de la tabla y el código.</t>
        </is>
      </c>
      <c r="U1844" s="18" t="inlineStr"/>
      <c r="V1844" s="19" t="inlineStr">
        <is>
          <t>Aprobada</t>
        </is>
      </c>
      <c r="W1844" s="19" t="inlineStr"/>
      <c r="X1844" s="19" t="inlineStr">
        <is>
          <t>Aldair González (aprobación en bloque)</t>
        </is>
      </c>
      <c r="Y1844" s="20" t="n">
        <v>46321</v>
      </c>
      <c r="Z1844" s="19" t="inlineStr">
        <is>
          <t>Nivel 2: regla estructural con redacción revisada.</t>
        </is>
      </c>
      <c r="AA1844" s="18">
        <f>IF(OR(V1844="Aprobada"),R1844,IF(AND(OR(V1844="Aprobada con ajuste",V1844="Rechazada"),W1844&lt;&gt;""),W1844,""))</f>
        <v/>
      </c>
    </row>
    <row r="1845">
      <c r="A1845" s="18" t="inlineStr">
        <is>
          <t>C1844</t>
        </is>
      </c>
      <c r="B1845" s="18" t="inlineStr">
        <is>
          <t>Control interno</t>
        </is>
      </c>
      <c r="C1845" s="18" t="inlineStr">
        <is>
          <t>control_interno</t>
        </is>
      </c>
      <c r="D1845" s="18" t="inlineStr">
        <is>
          <t>plan_anual</t>
        </is>
      </c>
      <c r="E1845" s="18" t="n">
        <v>0</v>
      </c>
      <c r="F1845" s="18" t="inlineStr">
        <is>
          <t>total_actividades</t>
        </is>
      </c>
      <c r="G1845" s="18" t="inlineStr">
        <is>
          <t>integer</t>
        </is>
      </c>
      <c r="H1845" s="18" t="inlineStr">
        <is>
          <t>Sí</t>
        </is>
      </c>
      <c r="I1845" s="18" t="inlineStr"/>
      <c r="J1845" s="18" t="inlineStr"/>
      <c r="K1845" s="18" t="inlineStr"/>
      <c r="L1845" s="18" t="inlineStr">
        <is>
          <t>No</t>
        </is>
      </c>
      <c r="M1845" s="18" t="inlineStr">
        <is>
          <t>No</t>
        </is>
      </c>
      <c r="N1845" s="18" t="inlineStr"/>
      <c r="O1845" s="18" t="inlineStr"/>
      <c r="P1845" s="18" t="inlineStr">
        <is>
          <t>Mapeada en internal-institutional-control-service/src/esap/programa-anual/entities/programa-anual.entity.ts:44 (ProgramaAnual.totalActividades)</t>
        </is>
      </c>
      <c r="Q1845" s="18" t="inlineStr">
        <is>
          <t>Propuesta semántica</t>
        </is>
      </c>
      <c r="R1845" s="18" t="inlineStr">
        <is>
          <t>Cantidad total de actividades del plan anual.</t>
        </is>
      </c>
      <c r="S1845" s="18" t="inlineStr">
        <is>
          <t>Alta</t>
        </is>
      </c>
      <c r="T1845" s="18" t="inlineStr">
        <is>
          <t>nombre + tipo + columnas vecinas</t>
        </is>
      </c>
      <c r="U1845" s="18" t="inlineStr"/>
      <c r="V1845" s="19" t="inlineStr">
        <is>
          <t>Aprobada</t>
        </is>
      </c>
      <c r="W1845" s="19" t="inlineStr"/>
      <c r="X1845" s="19" t="inlineStr">
        <is>
          <t>Aldair González (aprobación en bloque)</t>
        </is>
      </c>
      <c r="Y1845" s="20" t="n">
        <v>46321</v>
      </c>
      <c r="Z1845" s="19" t="inlineStr">
        <is>
          <t>Nivel 1: propuesta del comentario del desarrollador o de confianza alta, o regla de fecha/responsable/motivo.</t>
        </is>
      </c>
      <c r="AA1845" s="18">
        <f>IF(OR(V1845="Aprobada"),R1845,IF(AND(OR(V1845="Aprobada con ajuste",V1845="Rechazada"),W1845&lt;&gt;""),W1845,""))</f>
        <v/>
      </c>
    </row>
    <row r="1846">
      <c r="A1846" s="18" t="inlineStr">
        <is>
          <t>C1845</t>
        </is>
      </c>
      <c r="B1846" s="18" t="inlineStr">
        <is>
          <t>Control interno</t>
        </is>
      </c>
      <c r="C1846" s="18" t="inlineStr">
        <is>
          <t>control_interno</t>
        </is>
      </c>
      <c r="D1846" s="18" t="inlineStr">
        <is>
          <t>plan_anual</t>
        </is>
      </c>
      <c r="E1846" s="18" t="n">
        <v>0</v>
      </c>
      <c r="F1846" s="18" t="inlineStr">
        <is>
          <t>actividades_completadas</t>
        </is>
      </c>
      <c r="G1846" s="18" t="inlineStr">
        <is>
          <t>integer</t>
        </is>
      </c>
      <c r="H1846" s="18" t="inlineStr">
        <is>
          <t>Sí</t>
        </is>
      </c>
      <c r="I1846" s="18" t="inlineStr"/>
      <c r="J1846" s="18" t="inlineStr"/>
      <c r="K1846" s="18" t="inlineStr"/>
      <c r="L1846" s="18" t="inlineStr">
        <is>
          <t>No</t>
        </is>
      </c>
      <c r="M1846" s="18" t="inlineStr">
        <is>
          <t>No</t>
        </is>
      </c>
      <c r="N1846" s="18" t="inlineStr"/>
      <c r="O1846" s="18" t="inlineStr"/>
      <c r="P1846" s="18" t="inlineStr">
        <is>
          <t>Mapeada en internal-institutional-control-service/src/esap/programa-anual/entities/programa-anual.entity.ts:47 (ProgramaAnual.actividadesCompletadas)</t>
        </is>
      </c>
      <c r="Q1846" s="18" t="inlineStr">
        <is>
          <t>Propuesta semántica</t>
        </is>
      </c>
      <c r="R1846" s="18" t="inlineStr">
        <is>
          <t>Cantidad de actividades del plan anual completadas.</t>
        </is>
      </c>
      <c r="S1846" s="18" t="inlineStr">
        <is>
          <t>Alta</t>
        </is>
      </c>
      <c r="T1846" s="18" t="inlineStr">
        <is>
          <t>nombre + tipo + columnas vecinas</t>
        </is>
      </c>
      <c r="U1846" s="18" t="inlineStr"/>
      <c r="V1846" s="19" t="inlineStr">
        <is>
          <t>Aprobada</t>
        </is>
      </c>
      <c r="W1846" s="19" t="inlineStr"/>
      <c r="X1846" s="19" t="inlineStr">
        <is>
          <t>Aldair González (aprobación en bloque)</t>
        </is>
      </c>
      <c r="Y1846" s="20" t="n">
        <v>46321</v>
      </c>
      <c r="Z1846" s="19" t="inlineStr">
        <is>
          <t>Nivel 1: propuesta del comentario del desarrollador o de confianza alta, o regla de fecha/responsable/motivo.</t>
        </is>
      </c>
      <c r="AA1846" s="18">
        <f>IF(OR(V1846="Aprobada"),R1846,IF(AND(OR(V1846="Aprobada con ajuste",V1846="Rechazada"),W1846&lt;&gt;""),W1846,""))</f>
        <v/>
      </c>
    </row>
    <row r="1847">
      <c r="A1847" s="18" t="inlineStr">
        <is>
          <t>C1846</t>
        </is>
      </c>
      <c r="B1847" s="18" t="inlineStr">
        <is>
          <t>Control interno</t>
        </is>
      </c>
      <c r="C1847" s="18" t="inlineStr">
        <is>
          <t>control_interno</t>
        </is>
      </c>
      <c r="D1847" s="18" t="inlineStr">
        <is>
          <t>plan_anual</t>
        </is>
      </c>
      <c r="E1847" s="18" t="n">
        <v>0</v>
      </c>
      <c r="F1847" s="18" t="inlineStr">
        <is>
          <t>porcentaje_cumplimiento</t>
        </is>
      </c>
      <c r="G1847" s="18" t="inlineStr">
        <is>
          <t>integer</t>
        </is>
      </c>
      <c r="H1847" s="18" t="inlineStr">
        <is>
          <t>Sí</t>
        </is>
      </c>
      <c r="I1847" s="18" t="inlineStr"/>
      <c r="J1847" s="18" t="inlineStr"/>
      <c r="K1847" s="18" t="inlineStr"/>
      <c r="L1847" s="18" t="inlineStr">
        <is>
          <t>No</t>
        </is>
      </c>
      <c r="M1847" s="18" t="inlineStr">
        <is>
          <t>No</t>
        </is>
      </c>
      <c r="N1847" s="18" t="inlineStr"/>
      <c r="O1847" s="18" t="inlineStr"/>
      <c r="P1847" s="18" t="inlineStr">
        <is>
          <t>Mapeada en internal-institutional-control-service/src/esap/programa-anual/entities/programa-anual.entity.ts:50 (ProgramaAnual.porcentajeCumplimiento) | Validación: IsInt, IsOptional, Max(100), Min(0)</t>
        </is>
      </c>
      <c r="Q1847" s="18" t="inlineStr">
        <is>
          <t>Propuesta semántica</t>
        </is>
      </c>
      <c r="R1847" s="18" t="inlineStr">
        <is>
          <t>Porcentaje de cumplimiento del plan anual, entre 0 y 100.</t>
        </is>
      </c>
      <c r="S1847" s="18" t="inlineStr">
        <is>
          <t>Alta</t>
        </is>
      </c>
      <c r="T1847" s="18" t="inlineStr">
        <is>
          <t>nombre + validaciones Min(0), Max(100)</t>
        </is>
      </c>
      <c r="U1847" s="18" t="inlineStr"/>
      <c r="V1847" s="19" t="inlineStr">
        <is>
          <t>Aprobada</t>
        </is>
      </c>
      <c r="W1847" s="19" t="inlineStr"/>
      <c r="X1847" s="19" t="inlineStr">
        <is>
          <t>Aldair González (aprobación en bloque)</t>
        </is>
      </c>
      <c r="Y1847" s="20" t="n">
        <v>46321</v>
      </c>
      <c r="Z1847" s="19" t="inlineStr">
        <is>
          <t>Nivel 1: propuesta del comentario del desarrollador o de confianza alta, o regla de fecha/responsable/motivo.</t>
        </is>
      </c>
      <c r="AA1847" s="18">
        <f>IF(OR(V1847="Aprobada"),R1847,IF(AND(OR(V1847="Aprobada con ajuste",V1847="Rechazada"),W1847&lt;&gt;""),W1847,""))</f>
        <v/>
      </c>
    </row>
    <row r="1848">
      <c r="A1848" s="18" t="inlineStr">
        <is>
          <t>C1847</t>
        </is>
      </c>
      <c r="B1848" s="18" t="inlineStr">
        <is>
          <t>Control interno</t>
        </is>
      </c>
      <c r="C1848" s="18" t="inlineStr">
        <is>
          <t>control_interno</t>
        </is>
      </c>
      <c r="D1848" s="18" t="inlineStr">
        <is>
          <t>plan_anual</t>
        </is>
      </c>
      <c r="E1848" s="18" t="n">
        <v>0</v>
      </c>
      <c r="F1848" s="18" t="inlineStr">
        <is>
          <t>enfoques</t>
        </is>
      </c>
      <c r="G1848" s="18" t="inlineStr">
        <is>
          <t>jsonb</t>
        </is>
      </c>
      <c r="H1848" s="18" t="inlineStr">
        <is>
          <t>Sí</t>
        </is>
      </c>
      <c r="I1848" s="18" t="inlineStr"/>
      <c r="J1848" s="18" t="inlineStr"/>
      <c r="K1848" s="18" t="inlineStr"/>
      <c r="L1848" s="18" t="inlineStr">
        <is>
          <t>No</t>
        </is>
      </c>
      <c r="M1848" s="18" t="inlineStr">
        <is>
          <t>No</t>
        </is>
      </c>
      <c r="N1848" s="18" t="inlineStr"/>
      <c r="O1848" s="18" t="inlineStr"/>
      <c r="P1848" s="18" t="inlineStr">
        <is>
          <t>Mapeada en internal-institutional-control-service/src/esap/programa-anual/entities/programa-anual.entity.ts:53 (ProgramaAnual.enfoques)</t>
        </is>
      </c>
      <c r="Q1848" s="18" t="inlineStr">
        <is>
          <t>Código fuente (verificado)</t>
        </is>
      </c>
      <c r="R1848" s="18" t="inlineStr">
        <is>
          <t>Enfoques de auditoría definidos para el plan anual, en formato JSON.</t>
        </is>
      </c>
      <c r="S1848" s="18" t="inlineStr">
        <is>
          <t>Media</t>
        </is>
      </c>
      <c r="T1848" s="18" t="inlineStr">
        <is>
          <t>backend/internal-institutional-control-service/src/esap/programa-anual/entities/programa-anual.entity.ts:53-54: jsonb tipado como any; ningún servicio la escribe ni la lee</t>
        </is>
      </c>
      <c r="U1848" s="18" t="inlineStr">
        <is>
          <t>¿Qué representan los enfoques y qué estructura tiene el JSON? El backend no usa la columna.</t>
        </is>
      </c>
      <c r="V1848" s="19" t="inlineStr">
        <is>
          <t>Aprobada</t>
        </is>
      </c>
      <c r="W1848" s="19" t="inlineStr"/>
      <c r="X1848" s="19" t="inlineStr">
        <is>
          <t>Aldair González (validación del responsable de BD)</t>
        </is>
      </c>
      <c r="Y1848" s="20" t="n">
        <v>46321</v>
      </c>
      <c r="Z1848" s="19" t="inlineStr">
        <is>
          <t>Nivel 3: validada por decisión del responsable de la base de datos. Pregunta registrada para desarrollo: ¿Qué representan los enfoques y qué estructura tiene el JSON? El backend no usa la columna.</t>
        </is>
      </c>
      <c r="AA1848" s="18">
        <f>IF(OR(V1848="Aprobada"),R1848,IF(AND(OR(V1848="Aprobada con ajuste",V1848="Rechazada"),W1848&lt;&gt;""),W1848,""))</f>
        <v/>
      </c>
    </row>
    <row r="1849">
      <c r="A1849" s="18" t="inlineStr">
        <is>
          <t>C1848</t>
        </is>
      </c>
      <c r="B1849" s="18" t="inlineStr">
        <is>
          <t>Control interno</t>
        </is>
      </c>
      <c r="C1849" s="18" t="inlineStr">
        <is>
          <t>control_interno</t>
        </is>
      </c>
      <c r="D1849" s="18" t="inlineStr">
        <is>
          <t>plan_anual_5_roles</t>
        </is>
      </c>
      <c r="E1849" s="18" t="n">
        <v>63</v>
      </c>
      <c r="F1849" s="18" t="inlineStr">
        <is>
          <t>ano</t>
        </is>
      </c>
      <c r="G1849" s="18" t="inlineStr">
        <is>
          <t>integer</t>
        </is>
      </c>
      <c r="H1849" s="18" t="inlineStr">
        <is>
          <t>No</t>
        </is>
      </c>
      <c r="I1849" s="18" t="inlineStr">
        <is>
          <t>Única</t>
        </is>
      </c>
      <c r="J1849" s="18" t="inlineStr"/>
      <c r="K1849" s="18" t="inlineStr"/>
      <c r="L1849" s="18" t="inlineStr">
        <is>
          <t>No</t>
        </is>
      </c>
      <c r="M1849" s="18" t="inlineStr">
        <is>
          <t>Sí</t>
        </is>
      </c>
      <c r="N1849" s="18" t="inlineStr">
        <is>
          <t>Función control_interno.fn_actualizar_cumplimiento_auditorias_vigencia; Función control_interno.fn_configurar_todos_planes_auditorias; Vista control_interno.v_estado_vinculacion_auditorias — control_interno.fn_actualizar_cumplimiento_auditorias_vigencia: AND p.ano = p_año | control_interno.fn_configurar_todos_planes_auditorias: SELECT id, ano</t>
        </is>
      </c>
      <c r="O1849" s="18" t="inlineStr">
        <is>
          <t>idx_plan_anual_5_roles_ano, unique_plan_anual_ano</t>
        </is>
      </c>
      <c r="P1849" s="18" t="inlineStr">
        <is>
          <t>Mapeada en internal-institutional-control-service/src/esap/plan-anual-5-roles/entities/plan-anual-5-roles.entity.ts:19 (PlanAnual5Roles.año) | Validación: IsInt, IsOptional, Max(2100), Min(2020)</t>
        </is>
      </c>
      <c r="Q1849" s="18" t="inlineStr">
        <is>
          <t>Propuesta semántica</t>
        </is>
      </c>
      <c r="R1849" s="18" t="inlineStr">
        <is>
          <t>Año (vigencia) del plan anual de auditoría; es único por plan, entre 2020 y 2100.</t>
        </is>
      </c>
      <c r="S1849" s="18" t="inlineStr">
        <is>
          <t>Alta</t>
        </is>
      </c>
      <c r="T1849" s="18" t="inlineStr">
        <is>
          <t>restricción única + validaciones + uso en fn_actualizar_cumplimiento_auditorias_vigencia</t>
        </is>
      </c>
      <c r="U1849" s="18" t="inlineStr"/>
      <c r="V1849" s="19" t="inlineStr">
        <is>
          <t>Aprobada</t>
        </is>
      </c>
      <c r="W1849" s="19" t="inlineStr"/>
      <c r="X1849" s="19" t="inlineStr">
        <is>
          <t>Aldair González (aprobación en bloque)</t>
        </is>
      </c>
      <c r="Y1849" s="20" t="n">
        <v>46321</v>
      </c>
      <c r="Z1849" s="19" t="inlineStr">
        <is>
          <t>Nivel 1: propuesta del comentario del desarrollador o de confianza alta, o regla de fecha/responsable/motivo.</t>
        </is>
      </c>
      <c r="AA1849" s="18">
        <f>IF(OR(V1849="Aprobada"),R1849,IF(AND(OR(V1849="Aprobada con ajuste",V1849="Rechazada"),W1849&lt;&gt;""),W1849,""))</f>
        <v/>
      </c>
    </row>
    <row r="1850">
      <c r="A1850" s="18" t="inlineStr">
        <is>
          <t>C1849</t>
        </is>
      </c>
      <c r="B1850" s="18" t="inlineStr">
        <is>
          <t>Control interno</t>
        </is>
      </c>
      <c r="C1850" s="18" t="inlineStr">
        <is>
          <t>control_interno</t>
        </is>
      </c>
      <c r="D1850" s="18" t="inlineStr">
        <is>
          <t>plan_anual_5_roles</t>
        </is>
      </c>
      <c r="E1850" s="18" t="n">
        <v>63</v>
      </c>
      <c r="F1850" s="18" t="inlineStr">
        <is>
          <t>responsable</t>
        </is>
      </c>
      <c r="G1850" s="18" t="inlineStr">
        <is>
          <t>character varying(255)</t>
        </is>
      </c>
      <c r="H1850" s="18" t="inlineStr">
        <is>
          <t>No</t>
        </is>
      </c>
      <c r="I1850" s="18" t="inlineStr"/>
      <c r="J1850" s="18" t="inlineStr"/>
      <c r="K1850" s="18" t="inlineStr"/>
      <c r="L1850" s="18" t="inlineStr">
        <is>
          <t>No</t>
        </is>
      </c>
      <c r="M1850" s="18" t="inlineStr">
        <is>
          <t>No</t>
        </is>
      </c>
      <c r="N1850" s="18" t="inlineStr"/>
      <c r="O1850" s="18" t="inlineStr"/>
      <c r="P1850" s="18" t="inlineStr">
        <is>
          <t>Mapeada en internal-institutional-control-service/src/esap/plan-anual-5-roles/entities/plan-anual-5-roles.entity.ts:32 (PlanAnual5Roles.responsable) | Validación: IsNotEmpty, IsOptional, IsString, Length(1, 255)</t>
        </is>
      </c>
      <c r="Q1850" s="18" t="inlineStr">
        <is>
          <t>Código fuente (verificado)</t>
        </is>
      </c>
      <c r="R1850" s="18" t="inlineStr">
        <is>
          <t>Nombre del responsable del plan anual; obligatorio. Se registra aparte de responsable_id (auth.personas.id_person) y el backend no sincroniza los dos campos.</t>
        </is>
      </c>
      <c r="S1850" s="18" t="inlineStr">
        <is>
          <t>Alta</t>
        </is>
      </c>
      <c r="T1850" s="18" t="inlineStr">
        <is>
          <t>backend/internal-institutional-control-service/src/esap/plan-anual-5-roles/plan-anual-5-roles.service.ts:267-268,342-349: responsable y responsable_id se reciben por separado | backend/internal-institutional-control-service/src/esap/plan-anual-5-roles/plan-anual-5-roles.service.ts:1835,1894: responsable se usa como nombre en los mensajes | backend/internal-institutional-control-service/src/esap/plan-anual-5-roles/plan-anual-5-roles.service.ts:203-207: responsable_id se consulta como auth.personas.id_person</t>
        </is>
      </c>
      <c r="U1850" s="18" t="inlineStr"/>
      <c r="V1850" s="19" t="inlineStr">
        <is>
          <t>Aprobada</t>
        </is>
      </c>
      <c r="W1850" s="19" t="inlineStr"/>
      <c r="X1850" s="19" t="inlineStr">
        <is>
          <t>Aldair González (aprobación en bloque)</t>
        </is>
      </c>
      <c r="Y1850" s="20" t="n">
        <v>46321</v>
      </c>
      <c r="Z1850" s="19" t="inlineStr">
        <is>
          <t>Nivel 3: verificada con el código de la aplicación.</t>
        </is>
      </c>
      <c r="AA1850" s="18">
        <f>IF(OR(V1850="Aprobada"),R1850,IF(AND(OR(V1850="Aprobada con ajuste",V1850="Rechazada"),W1850&lt;&gt;""),W1850,""))</f>
        <v/>
      </c>
    </row>
    <row r="1851">
      <c r="A1851" s="18" t="inlineStr">
        <is>
          <t>C1850</t>
        </is>
      </c>
      <c r="B1851" s="18" t="inlineStr">
        <is>
          <t>Control interno</t>
        </is>
      </c>
      <c r="C1851" s="18" t="inlineStr">
        <is>
          <t>control_interno</t>
        </is>
      </c>
      <c r="D1851" s="18" t="inlineStr">
        <is>
          <t>plan_anual_5_roles</t>
        </is>
      </c>
      <c r="E1851" s="18" t="n">
        <v>63</v>
      </c>
      <c r="F1851" s="18" t="inlineStr">
        <is>
          <t>porcentaje_cumplimiento_general</t>
        </is>
      </c>
      <c r="G1851" s="18" t="inlineStr">
        <is>
          <t>integer</t>
        </is>
      </c>
      <c r="H1851" s="18" t="inlineStr">
        <is>
          <t>Sí</t>
        </is>
      </c>
      <c r="I1851" s="18" t="inlineStr"/>
      <c r="J1851" s="18" t="inlineStr"/>
      <c r="K1851" s="18" t="inlineStr"/>
      <c r="L1851" s="18" t="inlineStr">
        <is>
          <t>No</t>
        </is>
      </c>
      <c r="M1851" s="18" t="inlineStr">
        <is>
          <t>No</t>
        </is>
      </c>
      <c r="N1851" s="18" t="inlineStr"/>
      <c r="O1851" s="18" t="inlineStr"/>
      <c r="P1851" s="18" t="inlineStr">
        <is>
          <t>Mapeada en internal-institutional-control-service/src/esap/plan-anual-5-roles/entities/plan-anual-5-roles.entity.ts:47 (PlanAnual5Roles.porcentaje_cumplimiento_general)</t>
        </is>
      </c>
      <c r="Q1851" s="18" t="inlineStr">
        <is>
          <t>Código fuente (verificado)</t>
        </is>
      </c>
      <c r="R1851" s="18" t="inlineStr">
        <is>
          <t>Porcentaje de cumplimiento general del plan anual: promedio redondeado del porcentaje de cumplimiento de sus roles (rol_plan_anual_5). Lo calcula el backend; 0 por defecto.</t>
        </is>
      </c>
      <c r="S1851" s="18" t="inlineStr">
        <is>
          <t>Alta</t>
        </is>
      </c>
      <c r="T1851" s="18" t="inlineStr">
        <is>
          <t>backend/internal-institutional-control-service/src/esap/plan-anual-5-roles/plan-anual-5-roles.service.ts:1206-1216: Math.round(promedio de r.porcentaje_cumplimiento) y update del plan</t>
        </is>
      </c>
      <c r="U1851" s="18" t="inlineStr"/>
      <c r="V1851" s="19" t="inlineStr">
        <is>
          <t>Aprobada</t>
        </is>
      </c>
      <c r="W1851" s="19" t="inlineStr"/>
      <c r="X1851" s="19" t="inlineStr">
        <is>
          <t>Aldair González (aprobación en bloque)</t>
        </is>
      </c>
      <c r="Y1851" s="20" t="n">
        <v>46321</v>
      </c>
      <c r="Z1851" s="19" t="inlineStr">
        <is>
          <t>Nivel 3: verificada con el código de la aplicación.</t>
        </is>
      </c>
      <c r="AA1851" s="18">
        <f>IF(OR(V1851="Aprobada"),R1851,IF(AND(OR(V1851="Aprobada con ajuste",V1851="Rechazada"),W1851&lt;&gt;""),W1851,""))</f>
        <v/>
      </c>
    </row>
    <row r="1852">
      <c r="A1852" s="18" t="inlineStr">
        <is>
          <t>C1851</t>
        </is>
      </c>
      <c r="B1852" s="18" t="inlineStr">
        <is>
          <t>Control interno</t>
        </is>
      </c>
      <c r="C1852" s="18" t="inlineStr">
        <is>
          <t>control_interno</t>
        </is>
      </c>
      <c r="D1852" s="18" t="inlineStr">
        <is>
          <t>plan_anual_5_roles</t>
        </is>
      </c>
      <c r="E1852" s="18" t="n">
        <v>63</v>
      </c>
      <c r="F1852" s="18" t="inlineStr">
        <is>
          <t>total_actividades</t>
        </is>
      </c>
      <c r="G1852" s="18" t="inlineStr">
        <is>
          <t>integer</t>
        </is>
      </c>
      <c r="H1852" s="18" t="inlineStr">
        <is>
          <t>Sí</t>
        </is>
      </c>
      <c r="I1852" s="18" t="inlineStr"/>
      <c r="J1852" s="18" t="inlineStr"/>
      <c r="K1852" s="18" t="inlineStr"/>
      <c r="L1852" s="18" t="inlineStr">
        <is>
          <t>No</t>
        </is>
      </c>
      <c r="M1852" s="18" t="inlineStr">
        <is>
          <t>No</t>
        </is>
      </c>
      <c r="N1852" s="18" t="inlineStr"/>
      <c r="O1852" s="18" t="inlineStr"/>
      <c r="P1852" s="18" t="inlineStr">
        <is>
          <t>Mapeada en internal-institutional-control-service/src/esap/plan-anual-5-roles/entities/plan-anual-5-roles.entity.ts:50 (PlanAnual5Roles.total_actividades)</t>
        </is>
      </c>
      <c r="Q1852" s="18" t="inlineStr">
        <is>
          <t>Propuesta semántica</t>
        </is>
      </c>
      <c r="R1852" s="18" t="inlineStr">
        <is>
          <t>Cantidad total de actividades del plan anual.</t>
        </is>
      </c>
      <c r="S1852" s="18" t="inlineStr">
        <is>
          <t>Alta</t>
        </is>
      </c>
      <c r="T1852" s="18" t="inlineStr">
        <is>
          <t>nombre + tipo + columnas vecinas</t>
        </is>
      </c>
      <c r="U1852" s="18" t="inlineStr"/>
      <c r="V1852" s="19" t="inlineStr">
        <is>
          <t>Aprobada</t>
        </is>
      </c>
      <c r="W1852" s="19" t="inlineStr"/>
      <c r="X1852" s="19" t="inlineStr">
        <is>
          <t>Aldair González (aprobación en bloque)</t>
        </is>
      </c>
      <c r="Y1852" s="20" t="n">
        <v>46321</v>
      </c>
      <c r="Z1852" s="19" t="inlineStr">
        <is>
          <t>Nivel 1: propuesta del comentario del desarrollador o de confianza alta, o regla de fecha/responsable/motivo.</t>
        </is>
      </c>
      <c r="AA1852" s="18">
        <f>IF(OR(V1852="Aprobada"),R1852,IF(AND(OR(V1852="Aprobada con ajuste",V1852="Rechazada"),W1852&lt;&gt;""),W1852,""))</f>
        <v/>
      </c>
    </row>
    <row r="1853">
      <c r="A1853" s="18" t="inlineStr">
        <is>
          <t>C1852</t>
        </is>
      </c>
      <c r="B1853" s="18" t="inlineStr">
        <is>
          <t>Control interno</t>
        </is>
      </c>
      <c r="C1853" s="18" t="inlineStr">
        <is>
          <t>control_interno</t>
        </is>
      </c>
      <c r="D1853" s="18" t="inlineStr">
        <is>
          <t>plan_anual_5_roles</t>
        </is>
      </c>
      <c r="E1853" s="18" t="n">
        <v>63</v>
      </c>
      <c r="F1853" s="18" t="inlineStr">
        <is>
          <t>actividades_completadas</t>
        </is>
      </c>
      <c r="G1853" s="18" t="inlineStr">
        <is>
          <t>integer</t>
        </is>
      </c>
      <c r="H1853" s="18" t="inlineStr">
        <is>
          <t>Sí</t>
        </is>
      </c>
      <c r="I1853" s="18" t="inlineStr"/>
      <c r="J1853" s="18" t="inlineStr"/>
      <c r="K1853" s="18" t="inlineStr"/>
      <c r="L1853" s="18" t="inlineStr">
        <is>
          <t>No</t>
        </is>
      </c>
      <c r="M1853" s="18" t="inlineStr">
        <is>
          <t>No</t>
        </is>
      </c>
      <c r="N1853" s="18" t="inlineStr"/>
      <c r="O1853" s="18" t="inlineStr"/>
      <c r="P1853" s="18" t="inlineStr">
        <is>
          <t>Mapeada en internal-institutional-control-service/src/esap/plan-anual-5-roles/entities/plan-anual-5-roles.entity.ts:53 (PlanAnual5Roles.actividades_completadas)</t>
        </is>
      </c>
      <c r="Q1853" s="18" t="inlineStr">
        <is>
          <t>Propuesta semántica</t>
        </is>
      </c>
      <c r="R1853" s="18" t="inlineStr">
        <is>
          <t>Cantidad de actividades del plan anual completadas.</t>
        </is>
      </c>
      <c r="S1853" s="18" t="inlineStr">
        <is>
          <t>Alta</t>
        </is>
      </c>
      <c r="T1853" s="18" t="inlineStr">
        <is>
          <t>nombre + tipo + columnas vecinas</t>
        </is>
      </c>
      <c r="U1853" s="18" t="inlineStr"/>
      <c r="V1853" s="19" t="inlineStr">
        <is>
          <t>Aprobada</t>
        </is>
      </c>
      <c r="W1853" s="19" t="inlineStr"/>
      <c r="X1853" s="19" t="inlineStr">
        <is>
          <t>Aldair González (aprobación en bloque)</t>
        </is>
      </c>
      <c r="Y1853" s="20" t="n">
        <v>46321</v>
      </c>
      <c r="Z1853" s="19" t="inlineStr">
        <is>
          <t>Nivel 1: propuesta del comentario del desarrollador o de confianza alta, o regla de fecha/responsable/motivo.</t>
        </is>
      </c>
      <c r="AA1853" s="18">
        <f>IF(OR(V1853="Aprobada"),R1853,IF(AND(OR(V1853="Aprobada con ajuste",V1853="Rechazada"),W1853&lt;&gt;""),W1853,""))</f>
        <v/>
      </c>
    </row>
    <row r="1854">
      <c r="A1854" s="18" t="inlineStr">
        <is>
          <t>C1853</t>
        </is>
      </c>
      <c r="B1854" s="18" t="inlineStr">
        <is>
          <t>Control interno</t>
        </is>
      </c>
      <c r="C1854" s="18" t="inlineStr">
        <is>
          <t>control_interno</t>
        </is>
      </c>
      <c r="D1854" s="18" t="inlineStr">
        <is>
          <t>plan_anual_5_roles</t>
        </is>
      </c>
      <c r="E1854" s="18" t="n">
        <v>63</v>
      </c>
      <c r="F1854" s="18" t="inlineStr">
        <is>
          <t>actividades_en_progreso</t>
        </is>
      </c>
      <c r="G1854" s="18" t="inlineStr">
        <is>
          <t>integer</t>
        </is>
      </c>
      <c r="H1854" s="18" t="inlineStr">
        <is>
          <t>Sí</t>
        </is>
      </c>
      <c r="I1854" s="18" t="inlineStr"/>
      <c r="J1854" s="18" t="inlineStr"/>
      <c r="K1854" s="18" t="inlineStr"/>
      <c r="L1854" s="18" t="inlineStr">
        <is>
          <t>No</t>
        </is>
      </c>
      <c r="M1854" s="18" t="inlineStr">
        <is>
          <t>No</t>
        </is>
      </c>
      <c r="N1854" s="18" t="inlineStr"/>
      <c r="O1854" s="18" t="inlineStr"/>
      <c r="P1854" s="18" t="inlineStr">
        <is>
          <t>Mapeada en internal-institutional-control-service/src/esap/plan-anual-5-roles/entities/plan-anual-5-roles.entity.ts:56 (PlanAnual5Roles.actividades_en_progreso)</t>
        </is>
      </c>
      <c r="Q1854" s="18" t="inlineStr">
        <is>
          <t>Propuesta semántica</t>
        </is>
      </c>
      <c r="R1854" s="18" t="inlineStr">
        <is>
          <t>Cantidad de actividades del plan anual en progreso.</t>
        </is>
      </c>
      <c r="S1854" s="18" t="inlineStr">
        <is>
          <t>Alta</t>
        </is>
      </c>
      <c r="T1854" s="18" t="inlineStr">
        <is>
          <t>nombre + tipo + columnas vecinas</t>
        </is>
      </c>
      <c r="U1854" s="18" t="inlineStr"/>
      <c r="V1854" s="19" t="inlineStr">
        <is>
          <t>Aprobada</t>
        </is>
      </c>
      <c r="W1854" s="19" t="inlineStr"/>
      <c r="X1854" s="19" t="inlineStr">
        <is>
          <t>Aldair González (aprobación en bloque)</t>
        </is>
      </c>
      <c r="Y1854" s="20" t="n">
        <v>46321</v>
      </c>
      <c r="Z1854" s="19" t="inlineStr">
        <is>
          <t>Nivel 1: propuesta del comentario del desarrollador o de confianza alta, o regla de fecha/responsable/motivo.</t>
        </is>
      </c>
      <c r="AA1854" s="18">
        <f>IF(OR(V1854="Aprobada"),R1854,IF(AND(OR(V1854="Aprobada con ajuste",V1854="Rechazada"),W1854&lt;&gt;""),W1854,""))</f>
        <v/>
      </c>
    </row>
    <row r="1855">
      <c r="A1855" s="18" t="inlineStr">
        <is>
          <t>C1854</t>
        </is>
      </c>
      <c r="B1855" s="18" t="inlineStr">
        <is>
          <t>Control interno</t>
        </is>
      </c>
      <c r="C1855" s="18" t="inlineStr">
        <is>
          <t>control_interno</t>
        </is>
      </c>
      <c r="D1855" s="18" t="inlineStr">
        <is>
          <t>plan_anual_5_roles</t>
        </is>
      </c>
      <c r="E1855" s="18" t="n">
        <v>63</v>
      </c>
      <c r="F1855" s="18" t="inlineStr">
        <is>
          <t>equipo_aprobacion</t>
        </is>
      </c>
      <c r="G1855" s="18" t="inlineStr">
        <is>
          <t>jsonb</t>
        </is>
      </c>
      <c r="H1855" s="18" t="inlineStr">
        <is>
          <t>Sí</t>
        </is>
      </c>
      <c r="I1855" s="18" t="inlineStr"/>
      <c r="J1855" s="18" t="inlineStr"/>
      <c r="K1855" s="18" t="inlineStr"/>
      <c r="L1855" s="18" t="inlineStr">
        <is>
          <t>No</t>
        </is>
      </c>
      <c r="M1855" s="18" t="inlineStr">
        <is>
          <t>No</t>
        </is>
      </c>
      <c r="N1855" s="18" t="inlineStr"/>
      <c r="O1855" s="18" t="inlineStr"/>
      <c r="P1855" s="18" t="inlineStr">
        <is>
          <t>Mapeada en internal-institutional-control-service/src/esap/plan-anual-5-roles/entities/plan-anual-5-roles.entity.ts:62 (PlanAnual5Roles.equipo_aprobacion) | Validación: IsArray, IsOptional</t>
        </is>
      </c>
      <c r="Q1855" s="18" t="inlineStr">
        <is>
          <t>Código fuente (verificado)</t>
        </is>
      </c>
      <c r="R1855" s="18" t="inlineStr">
        <is>
          <t>Integrantes del comité que aprueba el plan anual, como arreglo JSON de objetos con identificador (id o auditorId), nombre (nombre o auditorNombre), correo, estado de la votación (PENDIENTE por defecto, OBSERVADA, entre otros) y observación. Por defecto arreglo vacío.</t>
        </is>
      </c>
      <c r="S1855" s="18" t="inlineStr">
        <is>
          <t>Alta</t>
        </is>
      </c>
      <c r="T1855" s="18" t="inlineStr">
        <is>
          <t>backend/internal-institutional-control-service/src/esap/plan-anual-5-roles/plan-anual-5-roles.service.ts:1436-1444: estado PENDIENTE y clave id, auditorId, email o nombre | backend/internal-institutional-control-service/src/esap/plan-anual-5-roles/plan-anual-5-roles.service.ts:1493-1495,1507-1514: id, email, nombre, estado OBSERVADA y observacion | backend/internal-institutional-control-service/src/esap/plan-anual-5-roles/entities/plan-anual-5-roles.entity.ts:62</t>
        </is>
      </c>
      <c r="U1855" s="18" t="inlineStr"/>
      <c r="V1855" s="19" t="inlineStr">
        <is>
          <t>Aprobada</t>
        </is>
      </c>
      <c r="W1855" s="19" t="inlineStr"/>
      <c r="X1855" s="19" t="inlineStr">
        <is>
          <t>Aldair González (aprobación en bloque)</t>
        </is>
      </c>
      <c r="Y1855" s="20" t="n">
        <v>46321</v>
      </c>
      <c r="Z1855" s="19" t="inlineStr">
        <is>
          <t>Nivel 3: verificada con el código de la aplicación.</t>
        </is>
      </c>
      <c r="AA1855" s="18">
        <f>IF(OR(V1855="Aprobada"),R1855,IF(AND(OR(V1855="Aprobada con ajuste",V1855="Rechazada"),W1855&lt;&gt;""),W1855,""))</f>
        <v/>
      </c>
    </row>
    <row r="1856">
      <c r="A1856" s="18" t="inlineStr">
        <is>
          <t>C1855</t>
        </is>
      </c>
      <c r="B1856" s="18" t="inlineStr">
        <is>
          <t>Control interno</t>
        </is>
      </c>
      <c r="C1856" s="18" t="inlineStr">
        <is>
          <t>control_interno</t>
        </is>
      </c>
      <c r="D1856" s="18" t="inlineStr">
        <is>
          <t>plan_anual_5_roles</t>
        </is>
      </c>
      <c r="E1856" s="18" t="n">
        <v>63</v>
      </c>
      <c r="F1856" s="18" t="inlineStr">
        <is>
          <t>orden_aprobacion</t>
        </is>
      </c>
      <c r="G1856" s="18" t="inlineStr">
        <is>
          <t>character varying(20)</t>
        </is>
      </c>
      <c r="H1856" s="18" t="inlineStr">
        <is>
          <t>Sí</t>
        </is>
      </c>
      <c r="I1856" s="18" t="inlineStr"/>
      <c r="J1856" s="18" t="inlineStr"/>
      <c r="K1856" s="18" t="inlineStr"/>
      <c r="L1856" s="18" t="inlineStr">
        <is>
          <t>No</t>
        </is>
      </c>
      <c r="M1856" s="18" t="inlineStr">
        <is>
          <t>No</t>
        </is>
      </c>
      <c r="N1856" s="18" t="inlineStr"/>
      <c r="O1856" s="18" t="inlineStr"/>
      <c r="P1856" s="18" t="inlineStr">
        <is>
          <t>Mapeada en internal-institutional-control-service/src/esap/plan-anual-5-roles/entities/plan-anual-5-roles.entity.ts:65 (PlanAnual5Roles.orden_aprobacion) | Validación: IsOptional, IsString</t>
        </is>
      </c>
      <c r="Q1856" s="18" t="inlineStr">
        <is>
          <t>Código fuente (verificado)</t>
        </is>
      </c>
      <c r="R1856" s="18" t="inlineStr">
        <is>
          <t>Orden en que el comité aprueba el plan anual: secuencial (vota el primer integrante pendiente) o paralelo (votan todos los pendientes). Valor por defecto: secuencial.</t>
        </is>
      </c>
      <c r="S1856" s="18" t="inlineStr">
        <is>
          <t>Alta</t>
        </is>
      </c>
      <c r="T1856" s="18" t="inlineStr">
        <is>
          <t>backend/internal-institutional-control-service/src/esap/plan-anual-5-roles/plan-anual-5-roles.service.ts:1432-1440: secuencial toma el primer pendiente; cualquier otro valor, todos | apps/mfe-control-interno/src/components/services/plan-anual/types.ts:111: secuencial | paralelo | backend/internal-institutional-control-service/src/esap/plan-anual-5-roles/plan-anual-5-roles.service.ts:274: secuencial por defecto</t>
        </is>
      </c>
      <c r="U1856" s="18" t="inlineStr"/>
      <c r="V1856" s="19" t="inlineStr">
        <is>
          <t>Aprobada</t>
        </is>
      </c>
      <c r="W1856" s="19" t="inlineStr"/>
      <c r="X1856" s="19" t="inlineStr">
        <is>
          <t>Aldair González (aprobación en bloque)</t>
        </is>
      </c>
      <c r="Y1856" s="20" t="n">
        <v>46321</v>
      </c>
      <c r="Z1856" s="19" t="inlineStr">
        <is>
          <t>Nivel 3: verificada con el código de la aplicación.</t>
        </is>
      </c>
      <c r="AA1856" s="18">
        <f>IF(OR(V1856="Aprobada"),R1856,IF(AND(OR(V1856="Aprobada con ajuste",V1856="Rechazada"),W1856&lt;&gt;""),W1856,""))</f>
        <v/>
      </c>
    </row>
    <row r="1857">
      <c r="A1857" s="18" t="inlineStr">
        <is>
          <t>C1856</t>
        </is>
      </c>
      <c r="B1857" s="18" t="inlineStr">
        <is>
          <t>Control interno</t>
        </is>
      </c>
      <c r="C1857" s="18" t="inlineStr">
        <is>
          <t>control_interno</t>
        </is>
      </c>
      <c r="D1857" s="18" t="inlineStr">
        <is>
          <t>plan_anual_5_roles</t>
        </is>
      </c>
      <c r="E1857" s="18" t="n">
        <v>63</v>
      </c>
      <c r="F1857" s="18" t="inlineStr">
        <is>
          <t>firma_activacion</t>
        </is>
      </c>
      <c r="G1857" s="18" t="inlineStr">
        <is>
          <t>jsonb</t>
        </is>
      </c>
      <c r="H1857" s="18" t="inlineStr">
        <is>
          <t>Sí</t>
        </is>
      </c>
      <c r="I1857" s="18" t="inlineStr"/>
      <c r="J1857" s="18" t="inlineStr"/>
      <c r="K1857" s="18" t="inlineStr"/>
      <c r="L1857" s="18" t="inlineStr">
        <is>
          <t>No</t>
        </is>
      </c>
      <c r="M1857" s="18" t="inlineStr">
        <is>
          <t>No</t>
        </is>
      </c>
      <c r="N1857" s="18" t="inlineStr"/>
      <c r="O1857" s="18" t="inlineStr"/>
      <c r="P1857" s="18" t="inlineStr">
        <is>
          <t>Mapeada en internal-institutional-control-service/src/esap/plan-anual-5-roles/entities/plan-anual-5-roles.entity.ts:68 (PlanAnual5Roles.firma_activacion)</t>
        </is>
      </c>
      <c r="Q1857" s="18" t="inlineStr">
        <is>
          <t>Código fuente (verificado)</t>
        </is>
      </c>
      <c r="R1857" s="18" t="inlineStr">
        <is>
          <t>Datos de la firma con la que se activa el plan anual, en formato JSON: firmante, fecha de firma, IP, hash y agente de usuario. Nula por defecto.</t>
        </is>
      </c>
      <c r="S1857" s="18" t="inlineStr">
        <is>
          <t>Alta</t>
        </is>
      </c>
      <c r="T1857" s="18" t="inlineStr">
        <is>
          <t>backend/internal-institutional-control-service/src/esap/plan-anual-5-roles/entities/plan-anual-5-roles.entity.ts:67-75: {firmante, fechaFirma, ip, hash, userAgent} | backend/internal-institutional-control-service/src/esap/plan-anual-5-roles/plan-anual-5-roles.service.ts:375-377: se guarda el objeto recibido</t>
        </is>
      </c>
      <c r="U1857" s="18" t="inlineStr"/>
      <c r="V1857" s="19" t="inlineStr">
        <is>
          <t>Aprobada</t>
        </is>
      </c>
      <c r="W1857" s="19" t="inlineStr"/>
      <c r="X1857" s="19" t="inlineStr">
        <is>
          <t>Aldair González (aprobación en bloque)</t>
        </is>
      </c>
      <c r="Y1857" s="20" t="n">
        <v>46321</v>
      </c>
      <c r="Z1857" s="19" t="inlineStr">
        <is>
          <t>Nivel 3: verificada con el código de la aplicación.</t>
        </is>
      </c>
      <c r="AA1857" s="18">
        <f>IF(OR(V1857="Aprobada"),R1857,IF(AND(OR(V1857="Aprobada con ajuste",V1857="Rechazada"),W1857&lt;&gt;""),W1857,""))</f>
        <v/>
      </c>
    </row>
    <row r="1858">
      <c r="A1858" s="18" t="inlineStr">
        <is>
          <t>C1857</t>
        </is>
      </c>
      <c r="B1858" s="18" t="inlineStr">
        <is>
          <t>Control interno</t>
        </is>
      </c>
      <c r="C1858" s="18" t="inlineStr">
        <is>
          <t>control_interno</t>
        </is>
      </c>
      <c r="D1858" s="18" t="inlineStr">
        <is>
          <t>plan_anual_wizard_borrador</t>
        </is>
      </c>
      <c r="E1858" s="18" t="n">
        <v>2</v>
      </c>
      <c r="F1858" s="18" t="inlineStr">
        <is>
          <t>usuario_id</t>
        </is>
      </c>
      <c r="G1858" s="18" t="inlineStr">
        <is>
          <t>character varying(255)</t>
        </is>
      </c>
      <c r="H1858" s="18" t="inlineStr">
        <is>
          <t>No</t>
        </is>
      </c>
      <c r="I1858" s="18" t="inlineStr">
        <is>
          <t>Única</t>
        </is>
      </c>
      <c r="J1858" s="18" t="inlineStr"/>
      <c r="K1858" s="18" t="inlineStr"/>
      <c r="L1858" s="18" t="inlineStr">
        <is>
          <t>Sí</t>
        </is>
      </c>
      <c r="M1858" s="18" t="inlineStr">
        <is>
          <t>No</t>
        </is>
      </c>
      <c r="N1858" s="18" t="inlineStr"/>
      <c r="O1858" s="18" t="inlineStr">
        <is>
          <t>idx_plan_anual_wizard_borrador_usuario_id, plan_anual_wizard_borrador_usuario_id_key</t>
        </is>
      </c>
      <c r="P1858" s="18" t="inlineStr">
        <is>
          <t>Mapeada en internal-institutional-control-service/src/esap/plan-anual-5-roles/entities/plan-anual-wizard-borrador.entity.ts:15 (PlanAnualWizardBorrador.usuarioId) | Validación: IsNotEmpty, IsOptional, IsString, IsUUID</t>
        </is>
      </c>
      <c r="Q1858" s="18" t="inlineStr">
        <is>
          <t>Propuesta semántica</t>
        </is>
      </c>
      <c r="R1858" s="18" t="inlineStr">
        <is>
          <t>Identificador del usuario dueño del borrador; cada usuario tiene un solo borrador.</t>
        </is>
      </c>
      <c r="S1858" s="18" t="inlineStr">
        <is>
          <t>Alta</t>
        </is>
      </c>
      <c r="T1858" s="18" t="inlineStr">
        <is>
          <t>nombre + restricción única</t>
        </is>
      </c>
      <c r="U1858" s="18" t="inlineStr"/>
      <c r="V1858" s="19" t="inlineStr">
        <is>
          <t>Aprobada</t>
        </is>
      </c>
      <c r="W1858" s="19" t="inlineStr"/>
      <c r="X1858" s="19" t="inlineStr">
        <is>
          <t>Aldair González (aprobación en bloque)</t>
        </is>
      </c>
      <c r="Y1858" s="20" t="n">
        <v>46321</v>
      </c>
      <c r="Z1858" s="19" t="inlineStr">
        <is>
          <t>Nivel 1: propuesta del comentario del desarrollador o de confianza alta, o regla de fecha/responsable/motivo.</t>
        </is>
      </c>
      <c r="AA1858" s="18">
        <f>IF(OR(V1858="Aprobada"),R1858,IF(AND(OR(V1858="Aprobada con ajuste",V1858="Rechazada"),W1858&lt;&gt;""),W1858,""))</f>
        <v/>
      </c>
    </row>
    <row r="1859">
      <c r="A1859" s="18" t="inlineStr">
        <is>
          <t>C1858</t>
        </is>
      </c>
      <c r="B1859" s="18" t="inlineStr">
        <is>
          <t>Control interno</t>
        </is>
      </c>
      <c r="C1859" s="18" t="inlineStr">
        <is>
          <t>control_interno</t>
        </is>
      </c>
      <c r="D1859" s="18" t="inlineStr">
        <is>
          <t>plan_anual_wizard_borrador</t>
        </is>
      </c>
      <c r="E1859" s="18" t="n">
        <v>2</v>
      </c>
      <c r="F1859" s="18" t="inlineStr">
        <is>
          <t>payload</t>
        </is>
      </c>
      <c r="G1859" s="18" t="inlineStr">
        <is>
          <t>jsonb</t>
        </is>
      </c>
      <c r="H1859" s="18" t="inlineStr">
        <is>
          <t>No</t>
        </is>
      </c>
      <c r="I1859" s="18" t="inlineStr"/>
      <c r="J1859" s="18" t="inlineStr"/>
      <c r="K1859" s="18" t="inlineStr"/>
      <c r="L1859" s="18" t="inlineStr">
        <is>
          <t>Sí</t>
        </is>
      </c>
      <c r="M1859" s="18" t="inlineStr">
        <is>
          <t>No</t>
        </is>
      </c>
      <c r="N1859" s="18" t="inlineStr"/>
      <c r="O1859" s="18" t="inlineStr"/>
      <c r="P1859" s="18" t="inlineStr">
        <is>
          <t>Mapeada en internal-institutional-control-service/src/esap/plan-anual-5-roles/entities/plan-anual-wizard-borrador.entity.ts:19 (PlanAnualWizardBorrador.payload)</t>
        </is>
      </c>
      <c r="Q1859" s="18" t="inlineStr">
        <is>
          <t>Código fuente (verificado)</t>
        </is>
      </c>
      <c r="R1859" s="18" t="inlineStr">
        <is>
          <t>Estado del asistente de creación del plan anual guardado como borrador, en formato JSON; el backend agrega savedAt y timestamp. Hay un borrador por usuario.</t>
        </is>
      </c>
      <c r="S1859" s="18" t="inlineStr">
        <is>
          <t>Media</t>
        </is>
      </c>
      <c r="T1859" s="18" t="inlineStr">
        <is>
          <t>backend/internal-institutional-control-service/src/esap/plan-anual-5-roles/plan-anual-5-roles.service.ts:2606-2624: guarda el objeto recibido con savedAt y timestamp | backend/internal-institutional-control-service/src/esap/plan-anual-5-roles/entities/plan-anual-wizard-borrador.entity.ts:15-20: usuario_id único y payload {} por defecto | apps/mfe-control-interno/src/components/PlanAnualWizardDashboard.tsx:2662-2665: envía el borrador local completo</t>
        </is>
      </c>
      <c r="U1859" s="18" t="inlineStr">
        <is>
          <t>¿Qué campos del asistente se guardan en payload? El backend acepta cualquier objeto y el frontend envía el estado local completo.</t>
        </is>
      </c>
      <c r="V1859" s="19" t="inlineStr">
        <is>
          <t>Aprobada</t>
        </is>
      </c>
      <c r="W1859" s="19" t="inlineStr"/>
      <c r="X1859" s="19" t="inlineStr">
        <is>
          <t>Aldair González (validación del responsable de BD)</t>
        </is>
      </c>
      <c r="Y1859" s="20" t="n">
        <v>46321</v>
      </c>
      <c r="Z1859" s="19" t="inlineStr">
        <is>
          <t>Nivel 3: validada por decisión del responsable de la base de datos. Pregunta registrada para desarrollo: ¿Qué campos del asistente se guardan en payload? El backend acepta cualquier objeto y el frontend envía el estado local completo.</t>
        </is>
      </c>
      <c r="AA1859" s="18">
        <f>IF(OR(V1859="Aprobada"),R1859,IF(AND(OR(V1859="Aprobada con ajuste",V1859="Rechazada"),W1859&lt;&gt;""),W1859,""))</f>
        <v/>
      </c>
    </row>
    <row r="1860">
      <c r="A1860" s="18" t="inlineStr">
        <is>
          <t>C1859</t>
        </is>
      </c>
      <c r="B1860" s="18" t="inlineStr">
        <is>
          <t>Control interno</t>
        </is>
      </c>
      <c r="C1860" s="18" t="inlineStr">
        <is>
          <t>control_interno</t>
        </is>
      </c>
      <c r="D1860" s="18" t="inlineStr">
        <is>
          <t>plan_individual</t>
        </is>
      </c>
      <c r="E1860" s="18" t="n">
        <v>0</v>
      </c>
      <c r="F1860" s="18" t="inlineStr">
        <is>
          <t>codigo</t>
        </is>
      </c>
      <c r="G1860" s="18" t="inlineStr">
        <is>
          <t>character varying(255)</t>
        </is>
      </c>
      <c r="H1860" s="18" t="inlineStr">
        <is>
          <t>No</t>
        </is>
      </c>
      <c r="I1860" s="18" t="inlineStr">
        <is>
          <t>Única</t>
        </is>
      </c>
      <c r="J1860" s="18" t="inlineStr"/>
      <c r="K1860" s="18" t="inlineStr"/>
      <c r="L1860" s="18" t="inlineStr">
        <is>
          <t>No</t>
        </is>
      </c>
      <c r="M1860" s="18" t="inlineStr">
        <is>
          <t>No</t>
        </is>
      </c>
      <c r="N1860" s="18" t="inlineStr"/>
      <c r="O1860" s="18" t="inlineStr">
        <is>
          <t>plan_individual_codigo_key</t>
        </is>
      </c>
      <c r="P1860" s="18" t="inlineStr">
        <is>
          <t>Mapeada en internal-institutional-control-service/src/esap/plan-individual/entities/plan-individual.entity.ts:27 (PlanIndividual.codigo) | Validación: IsNotEmpty, IsOptional, IsString, Length(1, 50), MaxLength(80)</t>
        </is>
      </c>
      <c r="Q1860" s="18" t="inlineStr">
        <is>
          <t>Regla estructural (redacción revisada)</t>
        </is>
      </c>
      <c r="R1860" s="18" t="inlineStr">
        <is>
          <t>Código del plan individual de auditoría. Único en la tabla.</t>
        </is>
      </c>
      <c r="S1860" s="18" t="inlineStr">
        <is>
          <t>Alta</t>
        </is>
      </c>
      <c r="T1860" s="18" t="inlineStr">
        <is>
          <t>Convención de nombre, redactada con el contexto de la tabla y el código.</t>
        </is>
      </c>
      <c r="U1860" s="18" t="inlineStr"/>
      <c r="V1860" s="19" t="inlineStr">
        <is>
          <t>Aprobada</t>
        </is>
      </c>
      <c r="W1860" s="19" t="inlineStr"/>
      <c r="X1860" s="19" t="inlineStr">
        <is>
          <t>Aldair González (aprobación en bloque)</t>
        </is>
      </c>
      <c r="Y1860" s="20" t="n">
        <v>46321</v>
      </c>
      <c r="Z1860" s="19" t="inlineStr">
        <is>
          <t>Nivel 2: regla estructural con redacción revisada.</t>
        </is>
      </c>
      <c r="AA1860" s="18">
        <f>IF(OR(V1860="Aprobada"),R1860,IF(AND(OR(V1860="Aprobada con ajuste",V1860="Rechazada"),W1860&lt;&gt;""),W1860,""))</f>
        <v/>
      </c>
    </row>
    <row r="1861">
      <c r="A1861" s="18" t="inlineStr">
        <is>
          <t>C1860</t>
        </is>
      </c>
      <c r="B1861" s="18" t="inlineStr">
        <is>
          <t>Control interno</t>
        </is>
      </c>
      <c r="C1861" s="18" t="inlineStr">
        <is>
          <t>control_interno</t>
        </is>
      </c>
      <c r="D1861" s="18" t="inlineStr">
        <is>
          <t>plan_individual</t>
        </is>
      </c>
      <c r="E1861" s="18" t="n">
        <v>0</v>
      </c>
      <c r="F1861" s="18" t="inlineStr">
        <is>
          <t>auditoria_codigo</t>
        </is>
      </c>
      <c r="G1861" s="18" t="inlineStr">
        <is>
          <t>character varying(255)</t>
        </is>
      </c>
      <c r="H1861" s="18" t="inlineStr">
        <is>
          <t>No</t>
        </is>
      </c>
      <c r="I1861" s="18" t="inlineStr"/>
      <c r="J1861" s="18" t="inlineStr"/>
      <c r="K1861" s="18" t="inlineStr"/>
      <c r="L1861" s="18" t="inlineStr">
        <is>
          <t>No</t>
        </is>
      </c>
      <c r="M1861" s="18" t="inlineStr">
        <is>
          <t>No</t>
        </is>
      </c>
      <c r="N1861" s="18" t="inlineStr"/>
      <c r="O1861" s="18" t="inlineStr"/>
      <c r="P1861" s="18" t="inlineStr">
        <is>
          <t>Mapeada en internal-institutional-control-service/src/esap/plan-individual/entities/plan-individual.entity.ts:37 (PlanIndividual.auditoriaCodigo)</t>
        </is>
      </c>
      <c r="Q1861" s="18" t="inlineStr">
        <is>
          <t>Código fuente (verificado)</t>
        </is>
      </c>
      <c r="R1861" s="18" t="inlineStr">
        <is>
          <t>Código de la auditoría a la que corresponde el plan individual; se copia de auditoria_programada.codigo al crear el plan y no se actualiza después.</t>
        </is>
      </c>
      <c r="S1861" s="18" t="inlineStr">
        <is>
          <t>Alta</t>
        </is>
      </c>
      <c r="T1861" s="18" t="inlineStr">
        <is>
          <t>backend/internal-institutional-control-service/src/esap/plan-individual/plan-individual.service.ts:110-115: auditoriaCodigo = auditoria.codigo al crear | backend/internal-institutional-control-service/src/esap/plan-individual/entities/plan-individual.entity.ts:30-37: auditoria_id apunta a control_interno.auditoria_programada</t>
        </is>
      </c>
      <c r="U1861" s="18" t="inlineStr"/>
      <c r="V1861" s="19" t="inlineStr">
        <is>
          <t>Aprobada</t>
        </is>
      </c>
      <c r="W1861" s="19" t="inlineStr"/>
      <c r="X1861" s="19" t="inlineStr">
        <is>
          <t>Aldair González (aprobación en bloque)</t>
        </is>
      </c>
      <c r="Y1861" s="20" t="n">
        <v>46321</v>
      </c>
      <c r="Z1861" s="19" t="inlineStr">
        <is>
          <t>Nivel 3: verificada con el código de la aplicación.</t>
        </is>
      </c>
      <c r="AA1861" s="18">
        <f>IF(OR(V1861="Aprobada"),R1861,IF(AND(OR(V1861="Aprobada con ajuste",V1861="Rechazada"),W1861&lt;&gt;""),W1861,""))</f>
        <v/>
      </c>
    </row>
    <row r="1862">
      <c r="A1862" s="18" t="inlineStr">
        <is>
          <t>C1861</t>
        </is>
      </c>
      <c r="B1862" s="18" t="inlineStr">
        <is>
          <t>Control interno</t>
        </is>
      </c>
      <c r="C1862" s="18" t="inlineStr">
        <is>
          <t>control_interno</t>
        </is>
      </c>
      <c r="D1862" s="18" t="inlineStr">
        <is>
          <t>plan_individual</t>
        </is>
      </c>
      <c r="E1862" s="18" t="n">
        <v>0</v>
      </c>
      <c r="F1862" s="18" t="inlineStr">
        <is>
          <t>nombre</t>
        </is>
      </c>
      <c r="G1862" s="18" t="inlineStr">
        <is>
          <t>character varying(255)</t>
        </is>
      </c>
      <c r="H1862" s="18" t="inlineStr">
        <is>
          <t>No</t>
        </is>
      </c>
      <c r="I1862" s="18" t="inlineStr"/>
      <c r="J1862" s="18" t="inlineStr"/>
      <c r="K1862" s="18" t="inlineStr"/>
      <c r="L1862" s="18" t="inlineStr">
        <is>
          <t>No</t>
        </is>
      </c>
      <c r="M1862" s="18" t="inlineStr">
        <is>
          <t>No</t>
        </is>
      </c>
      <c r="N1862" s="18" t="inlineStr"/>
      <c r="O1862" s="18" t="inlineStr"/>
      <c r="P1862" s="18" t="inlineStr">
        <is>
          <t>Mapeada en internal-institutional-control-service/src/esap/plan-individual/entities/plan-individual.entity.ts:40 (PlanIndividual.nombre) | Validación: IsNotEmpty, IsNotEmpty({ message: 'El nombre del documento es obligatorio' }), IsOptional, IsString, Length(1, 500), MaxLength(120)</t>
        </is>
      </c>
      <c r="Q1862" s="18" t="inlineStr">
        <is>
          <t>Regla estructural (redacción revisada)</t>
        </is>
      </c>
      <c r="R1862" s="18" t="inlineStr">
        <is>
          <t>Nombre del plan individual de auditoría.</t>
        </is>
      </c>
      <c r="S1862" s="18" t="inlineStr">
        <is>
          <t>Alta</t>
        </is>
      </c>
      <c r="T1862" s="18" t="inlineStr">
        <is>
          <t>Convención de nombre, redactada con el contexto de la tabla y el código.</t>
        </is>
      </c>
      <c r="U1862" s="18" t="inlineStr"/>
      <c r="V1862" s="19" t="inlineStr">
        <is>
          <t>Aprobada</t>
        </is>
      </c>
      <c r="W1862" s="19" t="inlineStr"/>
      <c r="X1862" s="19" t="inlineStr">
        <is>
          <t>Aldair González (aprobación en bloque)</t>
        </is>
      </c>
      <c r="Y1862" s="20" t="n">
        <v>46321</v>
      </c>
      <c r="Z1862" s="19" t="inlineStr">
        <is>
          <t>Nivel 2: regla estructural con redacción revisada.</t>
        </is>
      </c>
      <c r="AA1862" s="18">
        <f>IF(OR(V1862="Aprobada"),R1862,IF(AND(OR(V1862="Aprobada con ajuste",V1862="Rechazada"),W1862&lt;&gt;""),W1862,""))</f>
        <v/>
      </c>
    </row>
    <row r="1863">
      <c r="A1863" s="18" t="inlineStr">
        <is>
          <t>C1862</t>
        </is>
      </c>
      <c r="B1863" s="18" t="inlineStr">
        <is>
          <t>Control interno</t>
        </is>
      </c>
      <c r="C1863" s="18" t="inlineStr">
        <is>
          <t>control_interno</t>
        </is>
      </c>
      <c r="D1863" s="18" t="inlineStr">
        <is>
          <t>plan_individual</t>
        </is>
      </c>
      <c r="E1863" s="18" t="n">
        <v>0</v>
      </c>
      <c r="F1863" s="18" t="inlineStr">
        <is>
          <t>alcance</t>
        </is>
      </c>
      <c r="G1863" s="18" t="inlineStr">
        <is>
          <t>text</t>
        </is>
      </c>
      <c r="H1863" s="18" t="inlineStr">
        <is>
          <t>No</t>
        </is>
      </c>
      <c r="I1863" s="18" t="inlineStr"/>
      <c r="J1863" s="18" t="inlineStr"/>
      <c r="K1863" s="18" t="inlineStr"/>
      <c r="L1863" s="18" t="inlineStr">
        <is>
          <t>No</t>
        </is>
      </c>
      <c r="M1863" s="18" t="inlineStr">
        <is>
          <t>No</t>
        </is>
      </c>
      <c r="N1863" s="18" t="inlineStr"/>
      <c r="O1863" s="18" t="inlineStr"/>
      <c r="P1863" s="18" t="inlineStr">
        <is>
          <t>Mapeada en internal-institutional-control-service/src/esap/plan-individual/entities/plan-individual.entity.ts:43 (PlanIndividual.alcance) | Validación: IsNotEmpty, IsOptional, IsString</t>
        </is>
      </c>
      <c r="Q1863" s="18" t="inlineStr">
        <is>
          <t>Propuesta semántica</t>
        </is>
      </c>
      <c r="R1863" s="18" t="inlineStr">
        <is>
          <t>Alcance de la auditoría descrito en el plan individual.</t>
        </is>
      </c>
      <c r="S1863" s="18" t="inlineStr">
        <is>
          <t>Alta</t>
        </is>
      </c>
      <c r="T1863" s="18" t="inlineStr">
        <is>
          <t>nombre + tipo + columnas vecinas</t>
        </is>
      </c>
      <c r="U1863" s="18" t="inlineStr"/>
      <c r="V1863" s="19" t="inlineStr">
        <is>
          <t>Aprobada</t>
        </is>
      </c>
      <c r="W1863" s="19" t="inlineStr"/>
      <c r="X1863" s="19" t="inlineStr">
        <is>
          <t>Aldair González (aprobación en bloque)</t>
        </is>
      </c>
      <c r="Y1863" s="20" t="n">
        <v>46321</v>
      </c>
      <c r="Z1863" s="19" t="inlineStr">
        <is>
          <t>Nivel 1: propuesta del comentario del desarrollador o de confianza alta, o regla de fecha/responsable/motivo.</t>
        </is>
      </c>
      <c r="AA1863" s="18">
        <f>IF(OR(V1863="Aprobada"),R1863,IF(AND(OR(V1863="Aprobada con ajuste",V1863="Rechazada"),W1863&lt;&gt;""),W1863,""))</f>
        <v/>
      </c>
    </row>
    <row r="1864">
      <c r="A1864" s="18" t="inlineStr">
        <is>
          <t>C1863</t>
        </is>
      </c>
      <c r="B1864" s="18" t="inlineStr">
        <is>
          <t>Control interno</t>
        </is>
      </c>
      <c r="C1864" s="18" t="inlineStr">
        <is>
          <t>control_interno</t>
        </is>
      </c>
      <c r="D1864" s="18" t="inlineStr">
        <is>
          <t>plan_individual</t>
        </is>
      </c>
      <c r="E1864" s="18" t="n">
        <v>0</v>
      </c>
      <c r="F1864" s="18" t="inlineStr">
        <is>
          <t>objetivo</t>
        </is>
      </c>
      <c r="G1864" s="18" t="inlineStr">
        <is>
          <t>text</t>
        </is>
      </c>
      <c r="H1864" s="18" t="inlineStr">
        <is>
          <t>No</t>
        </is>
      </c>
      <c r="I1864" s="18" t="inlineStr"/>
      <c r="J1864" s="18" t="inlineStr"/>
      <c r="K1864" s="18" t="inlineStr"/>
      <c r="L1864" s="18" t="inlineStr">
        <is>
          <t>No</t>
        </is>
      </c>
      <c r="M1864" s="18" t="inlineStr">
        <is>
          <t>No</t>
        </is>
      </c>
      <c r="N1864" s="18" t="inlineStr"/>
      <c r="O1864" s="18" t="inlineStr"/>
      <c r="P1864" s="18" t="inlineStr">
        <is>
          <t>Mapeada en internal-institutional-control-service/src/esap/plan-individual/entities/plan-individual.entity.ts:46 (PlanIndividual.objetivo) | Validación: IsNotEmpty, IsOptional, IsString</t>
        </is>
      </c>
      <c r="Q1864" s="18" t="inlineStr">
        <is>
          <t>Propuesta semántica</t>
        </is>
      </c>
      <c r="R1864" s="18" t="inlineStr">
        <is>
          <t>Objetivo de la auditoría descrito en el plan individual.</t>
        </is>
      </c>
      <c r="S1864" s="18" t="inlineStr">
        <is>
          <t>Alta</t>
        </is>
      </c>
      <c r="T1864" s="18" t="inlineStr">
        <is>
          <t>nombre + tipo + columnas vecinas</t>
        </is>
      </c>
      <c r="U1864" s="18" t="inlineStr"/>
      <c r="V1864" s="19" t="inlineStr">
        <is>
          <t>Aprobada</t>
        </is>
      </c>
      <c r="W1864" s="19" t="inlineStr"/>
      <c r="X1864" s="19" t="inlineStr">
        <is>
          <t>Aldair González (aprobación en bloque)</t>
        </is>
      </c>
      <c r="Y1864" s="20" t="n">
        <v>46321</v>
      </c>
      <c r="Z1864" s="19" t="inlineStr">
        <is>
          <t>Nivel 1: propuesta del comentario del desarrollador o de confianza alta, o regla de fecha/responsable/motivo.</t>
        </is>
      </c>
      <c r="AA1864" s="18">
        <f>IF(OR(V1864="Aprobada"),R1864,IF(AND(OR(V1864="Aprobada con ajuste",V1864="Rechazada"),W1864&lt;&gt;""),W1864,""))</f>
        <v/>
      </c>
    </row>
    <row r="1865">
      <c r="A1865" s="18" t="inlineStr">
        <is>
          <t>C1864</t>
        </is>
      </c>
      <c r="B1865" s="18" t="inlineStr">
        <is>
          <t>Control interno</t>
        </is>
      </c>
      <c r="C1865" s="18" t="inlineStr">
        <is>
          <t>control_interno</t>
        </is>
      </c>
      <c r="D1865" s="18" t="inlineStr">
        <is>
          <t>plan_individual</t>
        </is>
      </c>
      <c r="E1865" s="18" t="n">
        <v>0</v>
      </c>
      <c r="F1865" s="18" t="inlineStr">
        <is>
          <t>proceso_auditar</t>
        </is>
      </c>
      <c r="G1865" s="18" t="inlineStr">
        <is>
          <t>character varying(255)</t>
        </is>
      </c>
      <c r="H1865" s="18" t="inlineStr">
        <is>
          <t>No</t>
        </is>
      </c>
      <c r="I1865" s="18" t="inlineStr"/>
      <c r="J1865" s="18" t="inlineStr"/>
      <c r="K1865" s="18" t="inlineStr"/>
      <c r="L1865" s="18" t="inlineStr">
        <is>
          <t>No</t>
        </is>
      </c>
      <c r="M1865" s="18" t="inlineStr">
        <is>
          <t>No</t>
        </is>
      </c>
      <c r="N1865" s="18" t="inlineStr"/>
      <c r="O1865" s="18" t="inlineStr"/>
      <c r="P1865" s="18" t="inlineStr">
        <is>
          <t>Mapeada en internal-institutional-control-service/src/esap/plan-individual/entities/plan-individual.entity.ts:49 (PlanIndividual.procesoAuditar) | Validación: IsNotEmpty, IsOptional, IsString</t>
        </is>
      </c>
      <c r="Q1865" s="18" t="inlineStr">
        <is>
          <t>Código fuente (verificado)</t>
        </is>
      </c>
      <c r="R1865" s="18" t="inlineStr">
        <is>
          <t>Proceso de la entidad que se audita; obligatorio.</t>
        </is>
      </c>
      <c r="S1865" s="18" t="inlineStr">
        <is>
          <t>Media</t>
        </is>
      </c>
      <c r="T1865" s="18" t="inlineStr">
        <is>
          <t>backend/internal-institutional-control-service/src/esap/plan-individual/plan-individual.service.ts:119,141: se guarda el texto recibido | backend/internal-institutional-control-service/src/esap/plan-individual/dto/create-plan-individual.dto.ts:135: IsString; no se valida contra control_interno.proceso_auditable</t>
        </is>
      </c>
      <c r="U1865" s="18" t="inlineStr">
        <is>
          <t>¿El formulario toma proceso_auditar del catálogo control_interno.proceso_auditable? El backend lo recibe como texto libre.</t>
        </is>
      </c>
      <c r="V1865" s="19" t="inlineStr">
        <is>
          <t>Aprobada</t>
        </is>
      </c>
      <c r="W1865" s="19" t="inlineStr"/>
      <c r="X1865" s="19" t="inlineStr">
        <is>
          <t>Aldair González (validación del responsable de BD)</t>
        </is>
      </c>
      <c r="Y1865" s="20" t="n">
        <v>46321</v>
      </c>
      <c r="Z1865" s="19" t="inlineStr">
        <is>
          <t>Nivel 3: validada por decisión del responsable de la base de datos. Pregunta registrada para desarrollo: ¿El formulario toma proceso_auditar del catálogo control_interno.proceso_auditable? El backend lo recibe como texto libre.</t>
        </is>
      </c>
      <c r="AA1865" s="18">
        <f>IF(OR(V1865="Aprobada"),R1865,IF(AND(OR(V1865="Aprobada con ajuste",V1865="Rechazada"),W1865&lt;&gt;""),W1865,""))</f>
        <v/>
      </c>
    </row>
    <row r="1866">
      <c r="A1866" s="18" t="inlineStr">
        <is>
          <t>C1865</t>
        </is>
      </c>
      <c r="B1866" s="18" t="inlineStr">
        <is>
          <t>Control interno</t>
        </is>
      </c>
      <c r="C1866" s="18" t="inlineStr">
        <is>
          <t>control_interno</t>
        </is>
      </c>
      <c r="D1866" s="18" t="inlineStr">
        <is>
          <t>plan_individual</t>
        </is>
      </c>
      <c r="E1866" s="18" t="n">
        <v>0</v>
      </c>
      <c r="F1866" s="18" t="inlineStr">
        <is>
          <t>riesgos</t>
        </is>
      </c>
      <c r="G1866" s="18" t="inlineStr">
        <is>
          <t>jsonb</t>
        </is>
      </c>
      <c r="H1866" s="18" t="inlineStr">
        <is>
          <t>No</t>
        </is>
      </c>
      <c r="I1866" s="18" t="inlineStr"/>
      <c r="J1866" s="18" t="inlineStr"/>
      <c r="K1866" s="18" t="inlineStr"/>
      <c r="L1866" s="18" t="inlineStr">
        <is>
          <t>No</t>
        </is>
      </c>
      <c r="M1866" s="18" t="inlineStr">
        <is>
          <t>No</t>
        </is>
      </c>
      <c r="N1866" s="18" t="inlineStr"/>
      <c r="O1866" s="18" t="inlineStr"/>
      <c r="P1866" s="18" t="inlineStr">
        <is>
          <t>Mapeada en internal-institutional-control-service/src/esap/plan-individual/entities/plan-individual.entity.ts:52 (PlanIndividual.riesgos) | Validación: IsArray, IsOptional</t>
        </is>
      </c>
      <c r="Q1866" s="18" t="inlineStr">
        <is>
          <t>Código fuente (verificado)</t>
        </is>
      </c>
      <c r="R1866" s="18" t="inlineStr">
        <is>
          <t>Riesgos identificados para la auditoría, como arreglo JSON de objetos con descripción, probabilidad, impacto, nivel (alto, medio o bajo) y controles.</t>
        </is>
      </c>
      <c r="S1866" s="18" t="inlineStr">
        <is>
          <t>Alta</t>
        </is>
      </c>
      <c r="T1866" s="18" t="inlineStr">
        <is>
          <t>backend/internal-institutional-control-service/src/esap/plan-individual/entities/plan-individual.entity.ts:52-59: Array&lt;{descripcion, probabilidad, impacto, nivel, controles[]}&gt;</t>
        </is>
      </c>
      <c r="U1866" s="18" t="inlineStr"/>
      <c r="V1866" s="19" t="inlineStr">
        <is>
          <t>Aprobada</t>
        </is>
      </c>
      <c r="W1866" s="19" t="inlineStr"/>
      <c r="X1866" s="19" t="inlineStr">
        <is>
          <t>Aldair González (aprobación en bloque)</t>
        </is>
      </c>
      <c r="Y1866" s="20" t="n">
        <v>46321</v>
      </c>
      <c r="Z1866" s="19" t="inlineStr">
        <is>
          <t>Nivel 3: verificada con el código de la aplicación.</t>
        </is>
      </c>
      <c r="AA1866" s="18">
        <f>IF(OR(V1866="Aprobada"),R1866,IF(AND(OR(V1866="Aprobada con ajuste",V1866="Rechazada"),W1866&lt;&gt;""),W1866,""))</f>
        <v/>
      </c>
    </row>
    <row r="1867">
      <c r="A1867" s="18" t="inlineStr">
        <is>
          <t>C1866</t>
        </is>
      </c>
      <c r="B1867" s="18" t="inlineStr">
        <is>
          <t>Control interno</t>
        </is>
      </c>
      <c r="C1867" s="18" t="inlineStr">
        <is>
          <t>control_interno</t>
        </is>
      </c>
      <c r="D1867" s="18" t="inlineStr">
        <is>
          <t>plan_individual</t>
        </is>
      </c>
      <c r="E1867" s="18" t="n">
        <v>0</v>
      </c>
      <c r="F1867" s="18" t="inlineStr">
        <is>
          <t>criterios_auditoria</t>
        </is>
      </c>
      <c r="G1867" s="18" t="inlineStr">
        <is>
          <t>jsonb</t>
        </is>
      </c>
      <c r="H1867" s="18" t="inlineStr">
        <is>
          <t>No</t>
        </is>
      </c>
      <c r="I1867" s="18" t="inlineStr"/>
      <c r="J1867" s="18" t="inlineStr"/>
      <c r="K1867" s="18" t="inlineStr"/>
      <c r="L1867" s="18" t="inlineStr">
        <is>
          <t>No</t>
        </is>
      </c>
      <c r="M1867" s="18" t="inlineStr">
        <is>
          <t>No</t>
        </is>
      </c>
      <c r="N1867" s="18" t="inlineStr"/>
      <c r="O1867" s="18" t="inlineStr"/>
      <c r="P1867" s="18" t="inlineStr">
        <is>
          <t>Mapeada en internal-institutional-control-service/src/esap/plan-individual/entities/plan-individual.entity.ts:61 (PlanIndividual.criteriosAuditoria) | Validación: IsArray, IsOptional, IsString({ each: true })</t>
        </is>
      </c>
      <c r="Q1867" s="18" t="inlineStr">
        <is>
          <t>Propuesta semántica</t>
        </is>
      </c>
      <c r="R1867" s="18" t="inlineStr">
        <is>
          <t>Criterios de auditoría aplicables, como arreglo JSON de textos.</t>
        </is>
      </c>
      <c r="S1867" s="18" t="inlineStr">
        <is>
          <t>Alta</t>
        </is>
      </c>
      <c r="T1867" s="18" t="inlineStr">
        <is>
          <t>nombre + tipo + validaciones del DTO</t>
        </is>
      </c>
      <c r="U1867" s="18" t="inlineStr"/>
      <c r="V1867" s="19" t="inlineStr">
        <is>
          <t>Aprobada</t>
        </is>
      </c>
      <c r="W1867" s="19" t="inlineStr"/>
      <c r="X1867" s="19" t="inlineStr">
        <is>
          <t>Aldair González (aprobación en bloque)</t>
        </is>
      </c>
      <c r="Y1867" s="20" t="n">
        <v>46321</v>
      </c>
      <c r="Z1867" s="19" t="inlineStr">
        <is>
          <t>Nivel 1: propuesta del comentario del desarrollador o de confianza alta, o regla de fecha/responsable/motivo.</t>
        </is>
      </c>
      <c r="AA1867" s="18">
        <f>IF(OR(V1867="Aprobada"),R1867,IF(AND(OR(V1867="Aprobada con ajuste",V1867="Rechazada"),W1867&lt;&gt;""),W1867,""))</f>
        <v/>
      </c>
    </row>
    <row r="1868">
      <c r="A1868" s="18" t="inlineStr">
        <is>
          <t>C1867</t>
        </is>
      </c>
      <c r="B1868" s="18" t="inlineStr">
        <is>
          <t>Control interno</t>
        </is>
      </c>
      <c r="C1868" s="18" t="inlineStr">
        <is>
          <t>control_interno</t>
        </is>
      </c>
      <c r="D1868" s="18" t="inlineStr">
        <is>
          <t>plan_individual</t>
        </is>
      </c>
      <c r="E1868" s="18" t="n">
        <v>0</v>
      </c>
      <c r="F1868" s="18" t="inlineStr">
        <is>
          <t>normativa_aplicable</t>
        </is>
      </c>
      <c r="G1868" s="18" t="inlineStr">
        <is>
          <t>jsonb</t>
        </is>
      </c>
      <c r="H1868" s="18" t="inlineStr">
        <is>
          <t>No</t>
        </is>
      </c>
      <c r="I1868" s="18" t="inlineStr"/>
      <c r="J1868" s="18" t="inlineStr"/>
      <c r="K1868" s="18" t="inlineStr"/>
      <c r="L1868" s="18" t="inlineStr">
        <is>
          <t>No</t>
        </is>
      </c>
      <c r="M1868" s="18" t="inlineStr">
        <is>
          <t>No</t>
        </is>
      </c>
      <c r="N1868" s="18" t="inlineStr"/>
      <c r="O1868" s="18" t="inlineStr"/>
      <c r="P1868" s="18" t="inlineStr">
        <is>
          <t>Mapeada en internal-institutional-control-service/src/esap/plan-individual/entities/plan-individual.entity.ts:69 (PlanIndividual.normativaAplicable) | Validación: IsArray, IsOptional</t>
        </is>
      </c>
      <c r="Q1868" s="18" t="inlineStr">
        <is>
          <t>Código fuente (verificado)</t>
        </is>
      </c>
      <c r="R1868" s="18" t="inlineStr">
        <is>
          <t>Normas aplicables a la auditoría, como arreglo JSON de objetos con tipo, número, nombre y artículo opcional.</t>
        </is>
      </c>
      <c r="S1868" s="18" t="inlineStr">
        <is>
          <t>Alta</t>
        </is>
      </c>
      <c r="T1868" s="18" t="inlineStr">
        <is>
          <t>backend/internal-institutional-control-service/src/esap/plan-individual/entities/plan-individual.entity.ts:69-75: Array&lt;{tipo, numero, nombre, articulo?}&gt;</t>
        </is>
      </c>
      <c r="U1868" s="18" t="inlineStr"/>
      <c r="V1868" s="19" t="inlineStr">
        <is>
          <t>Aprobada</t>
        </is>
      </c>
      <c r="W1868" s="19" t="inlineStr"/>
      <c r="X1868" s="19" t="inlineStr">
        <is>
          <t>Aldair González (aprobación en bloque)</t>
        </is>
      </c>
      <c r="Y1868" s="20" t="n">
        <v>46321</v>
      </c>
      <c r="Z1868" s="19" t="inlineStr">
        <is>
          <t>Nivel 3: verificada con el código de la aplicación.</t>
        </is>
      </c>
      <c r="AA1868" s="18">
        <f>IF(OR(V1868="Aprobada"),R1868,IF(AND(OR(V1868="Aprobada con ajuste",V1868="Rechazada"),W1868&lt;&gt;""),W1868,""))</f>
        <v/>
      </c>
    </row>
    <row r="1869">
      <c r="A1869" s="18" t="inlineStr">
        <is>
          <t>C1868</t>
        </is>
      </c>
      <c r="B1869" s="18" t="inlineStr">
        <is>
          <t>Control interno</t>
        </is>
      </c>
      <c r="C1869" s="18" t="inlineStr">
        <is>
          <t>control_interno</t>
        </is>
      </c>
      <c r="D1869" s="18" t="inlineStr">
        <is>
          <t>plan_individual</t>
        </is>
      </c>
      <c r="E1869" s="18" t="n">
        <v>0</v>
      </c>
      <c r="F1869" s="18" t="inlineStr">
        <is>
          <t>equipo_auditor</t>
        </is>
      </c>
      <c r="G1869" s="18" t="inlineStr">
        <is>
          <t>jsonb</t>
        </is>
      </c>
      <c r="H1869" s="18" t="inlineStr">
        <is>
          <t>No</t>
        </is>
      </c>
      <c r="I1869" s="18" t="inlineStr"/>
      <c r="J1869" s="18" t="inlineStr"/>
      <c r="K1869" s="18" t="inlineStr"/>
      <c r="L1869" s="18" t="inlineStr">
        <is>
          <t>No</t>
        </is>
      </c>
      <c r="M1869" s="18" t="inlineStr">
        <is>
          <t>No</t>
        </is>
      </c>
      <c r="N1869" s="18" t="inlineStr"/>
      <c r="O1869" s="18" t="inlineStr"/>
      <c r="P1869" s="18" t="inlineStr">
        <is>
          <t>Mapeada en internal-institutional-control-service/src/esap/plan-individual/entities/plan-individual.entity.ts:77 (PlanIndividual.equipoAuditor) | Validación: IsObject, IsOptional</t>
        </is>
      </c>
      <c r="Q1869" s="18" t="inlineStr">
        <is>
          <t>Código fuente (verificado)</t>
        </is>
      </c>
      <c r="R1869" s="18" t="inlineStr">
        <is>
          <t>Equipo auditor asignado a la auditoría, como objeto JSON con el auditor líder, los auditores (nombre, cargo, correo y teléfono opcional) y, de forma opcional, los profesionales especializados (nombre, especialidad y correo).</t>
        </is>
      </c>
      <c r="S1869" s="18" t="inlineStr">
        <is>
          <t>Alta</t>
        </is>
      </c>
      <c r="T1869" s="18" t="inlineStr">
        <is>
          <t>backend/internal-institutional-control-service/src/esap/plan-individual/entities/plan-individual.entity.ts:77-96: {auditorLider, auditores[], profesionalesEspecializados?[]}</t>
        </is>
      </c>
      <c r="U1869" s="18" t="inlineStr"/>
      <c r="V1869" s="19" t="inlineStr">
        <is>
          <t>Aprobada</t>
        </is>
      </c>
      <c r="W1869" s="19" t="inlineStr"/>
      <c r="X1869" s="19" t="inlineStr">
        <is>
          <t>Aldair González (aprobación en bloque)</t>
        </is>
      </c>
      <c r="Y1869" s="20" t="n">
        <v>46321</v>
      </c>
      <c r="Z1869" s="19" t="inlineStr">
        <is>
          <t>Nivel 3: verificada con el código de la aplicación.</t>
        </is>
      </c>
      <c r="AA1869" s="18">
        <f>IF(OR(V1869="Aprobada"),R1869,IF(AND(OR(V1869="Aprobada con ajuste",V1869="Rechazada"),W1869&lt;&gt;""),W1869,""))</f>
        <v/>
      </c>
    </row>
    <row r="1870">
      <c r="A1870" s="18" t="inlineStr">
        <is>
          <t>C1869</t>
        </is>
      </c>
      <c r="B1870" s="18" t="inlineStr">
        <is>
          <t>Control interno</t>
        </is>
      </c>
      <c r="C1870" s="18" t="inlineStr">
        <is>
          <t>control_interno</t>
        </is>
      </c>
      <c r="D1870" s="18" t="inlineStr">
        <is>
          <t>plan_individual</t>
        </is>
      </c>
      <c r="E1870" s="18" t="n">
        <v>0</v>
      </c>
      <c r="F1870" s="18" t="inlineStr">
        <is>
          <t>documentos</t>
        </is>
      </c>
      <c r="G1870" s="18" t="inlineStr">
        <is>
          <t>jsonb</t>
        </is>
      </c>
      <c r="H1870" s="18" t="inlineStr">
        <is>
          <t>No</t>
        </is>
      </c>
      <c r="I1870" s="18" t="inlineStr"/>
      <c r="J1870" s="18" t="inlineStr"/>
      <c r="K1870" s="18" t="inlineStr"/>
      <c r="L1870" s="18" t="inlineStr">
        <is>
          <t>No</t>
        </is>
      </c>
      <c r="M1870" s="18" t="inlineStr">
        <is>
          <t>No</t>
        </is>
      </c>
      <c r="N1870" s="18" t="inlineStr"/>
      <c r="O1870" s="18" t="inlineStr"/>
      <c r="P1870" s="18" t="inlineStr">
        <is>
          <t>Mapeada en internal-institutional-control-service/src/esap/plan-individual/entities/plan-individual.entity.ts:98 (PlanIndividual.documentos) | Validación: IsArray, IsOptional</t>
        </is>
      </c>
      <c r="Q1870" s="18" t="inlineStr">
        <is>
          <t>Código fuente (verificado)</t>
        </is>
      </c>
      <c r="R1870" s="18" t="inlineStr">
        <is>
          <t>Documentos asociados al plan individual, como arreglo JSON de objetos con tipo, nombre, descripción opcional, fecha de generación opcional y estado (pendiente, generado o enviado).</t>
        </is>
      </c>
      <c r="S1870" s="18" t="inlineStr">
        <is>
          <t>Alta</t>
        </is>
      </c>
      <c r="T1870" s="18" t="inlineStr">
        <is>
          <t>backend/internal-institutional-control-service/src/esap/plan-individual/entities/plan-individual.entity.ts:98-105: Array&lt;{tipo, nombre, descripcion?, fechaGeneracion?, estado}&gt;</t>
        </is>
      </c>
      <c r="U1870" s="18" t="inlineStr"/>
      <c r="V1870" s="19" t="inlineStr">
        <is>
          <t>Aprobada</t>
        </is>
      </c>
      <c r="W1870" s="19" t="inlineStr"/>
      <c r="X1870" s="19" t="inlineStr">
        <is>
          <t>Aldair González (aprobación en bloque)</t>
        </is>
      </c>
      <c r="Y1870" s="20" t="n">
        <v>46321</v>
      </c>
      <c r="Z1870" s="19" t="inlineStr">
        <is>
          <t>Nivel 3: verificada con el código de la aplicación.</t>
        </is>
      </c>
      <c r="AA1870" s="18">
        <f>IF(OR(V1870="Aprobada"),R1870,IF(AND(OR(V1870="Aprobada con ajuste",V1870="Rechazada"),W1870&lt;&gt;""),W1870,""))</f>
        <v/>
      </c>
    </row>
    <row r="1871">
      <c r="A1871" s="18" t="inlineStr">
        <is>
          <t>C1870</t>
        </is>
      </c>
      <c r="B1871" s="18" t="inlineStr">
        <is>
          <t>Control interno</t>
        </is>
      </c>
      <c r="C1871" s="18" t="inlineStr">
        <is>
          <t>control_interno</t>
        </is>
      </c>
      <c r="D1871" s="18" t="inlineStr">
        <is>
          <t>plan_individual</t>
        </is>
      </c>
      <c r="E1871" s="18" t="n">
        <v>0</v>
      </c>
      <c r="F1871" s="18" t="inlineStr">
        <is>
          <t>estado</t>
        </is>
      </c>
      <c r="G1871" s="18" t="inlineStr">
        <is>
          <t>character varying(50)</t>
        </is>
      </c>
      <c r="H1871" s="18" t="inlineStr">
        <is>
          <t>No</t>
        </is>
      </c>
      <c r="I1871" s="18" t="inlineStr">
        <is>
          <t>CHECK</t>
        </is>
      </c>
      <c r="J1871" s="18" t="inlineStr">
        <is>
          <t>aceptado, borrador, enviado</t>
        </is>
      </c>
      <c r="K1871" s="18" t="inlineStr"/>
      <c r="L1871" s="18" t="inlineStr">
        <is>
          <t>Sí</t>
        </is>
      </c>
      <c r="M1871" s="18" t="inlineStr">
        <is>
          <t>No</t>
        </is>
      </c>
      <c r="N1871" s="18" t="inlineStr"/>
      <c r="O1871" s="18" t="inlineStr">
        <is>
          <t>idx_plan_individual_estado</t>
        </is>
      </c>
      <c r="P1871" s="18" t="inlineStr">
        <is>
          <t>Mapeada en internal-institutional-control-service/src/esap/plan-individual/entities/plan-individual.entity.ts:107 (PlanIndividual.estado) | Validación: IsEnum(AccionCorrectivaEstado), IsEnum(EstadoEtapa), IsEnum(EstadoPlanIndividual), IsEnum(EstadoTarea), IsEnum(HallazgoEstado), IsEnum(PlanMejoramientoEstado)</t>
        </is>
      </c>
      <c r="Q1871" s="18" t="inlineStr">
        <is>
          <t>Regla estructural (redacción revisada)</t>
        </is>
      </c>
      <c r="R1871" s="18" t="inlineStr">
        <is>
          <t>Estado del plan individual (borrador, enviado o aceptado).</t>
        </is>
      </c>
      <c r="S1871" s="18" t="inlineStr">
        <is>
          <t>Alta</t>
        </is>
      </c>
      <c r="T1871" s="18" t="inlineStr">
        <is>
          <t>Convención de nombre, redactada con el contexto de la tabla y el código.</t>
        </is>
      </c>
      <c r="U1871" s="18" t="inlineStr"/>
      <c r="V1871" s="19" t="inlineStr">
        <is>
          <t>Aprobada</t>
        </is>
      </c>
      <c r="W1871" s="19" t="inlineStr"/>
      <c r="X1871" s="19" t="inlineStr">
        <is>
          <t>Aldair González (aprobación en bloque)</t>
        </is>
      </c>
      <c r="Y1871" s="20" t="n">
        <v>46321</v>
      </c>
      <c r="Z1871" s="19" t="inlineStr">
        <is>
          <t>Nivel 2: regla estructural con redacción revisada.</t>
        </is>
      </c>
      <c r="AA1871" s="18">
        <f>IF(OR(V1871="Aprobada"),R1871,IF(AND(OR(V1871="Aprobada con ajuste",V1871="Rechazada"),W1871&lt;&gt;""),W1871,""))</f>
        <v/>
      </c>
    </row>
    <row r="1872">
      <c r="A1872" s="18" t="inlineStr">
        <is>
          <t>C1871</t>
        </is>
      </c>
      <c r="B1872" s="18" t="inlineStr">
        <is>
          <t>Control interno</t>
        </is>
      </c>
      <c r="C1872" s="18" t="inlineStr">
        <is>
          <t>control_interno</t>
        </is>
      </c>
      <c r="D1872" s="18" t="inlineStr">
        <is>
          <t>plan_individual</t>
        </is>
      </c>
      <c r="E1872" s="18" t="n">
        <v>0</v>
      </c>
      <c r="F1872" s="18" t="inlineStr">
        <is>
          <t>fecha_envio</t>
        </is>
      </c>
      <c r="G1872" s="18" t="inlineStr">
        <is>
          <t>date</t>
        </is>
      </c>
      <c r="H1872" s="18" t="inlineStr">
        <is>
          <t>Sí</t>
        </is>
      </c>
      <c r="I1872" s="18" t="inlineStr"/>
      <c r="J1872" s="18" t="inlineStr"/>
      <c r="K1872" s="18" t="inlineStr"/>
      <c r="L1872" s="18" t="inlineStr">
        <is>
          <t>No</t>
        </is>
      </c>
      <c r="M1872" s="18" t="inlineStr">
        <is>
          <t>No</t>
        </is>
      </c>
      <c r="N1872" s="18" t="inlineStr"/>
      <c r="O1872" s="18" t="inlineStr"/>
      <c r="P1872" s="18" t="inlineStr">
        <is>
          <t>Mapeada en internal-institutional-control-service/src/esap/plan-individual/entities/plan-individual.entity.ts:118 (PlanIndividual.fechaEnvio)</t>
        </is>
      </c>
      <c r="Q1872" s="18" t="inlineStr">
        <is>
          <t>Regla estructural (redacción revisada)</t>
        </is>
      </c>
      <c r="R1872" s="18" t="inlineStr">
        <is>
          <t>Fecha en que se envió el plan individual.</t>
        </is>
      </c>
      <c r="S1872" s="18" t="inlineStr">
        <is>
          <t>Alta</t>
        </is>
      </c>
      <c r="T1872" s="18" t="inlineStr">
        <is>
          <t>Convención de nombre, redactada con el contexto de la tabla y el código.</t>
        </is>
      </c>
      <c r="U1872" s="18" t="inlineStr"/>
      <c r="V1872" s="19" t="inlineStr">
        <is>
          <t>Aprobada</t>
        </is>
      </c>
      <c r="W1872" s="19" t="inlineStr"/>
      <c r="X1872" s="19" t="inlineStr">
        <is>
          <t>Aldair González (aprobación en bloque)</t>
        </is>
      </c>
      <c r="Y1872" s="20" t="n">
        <v>46321</v>
      </c>
      <c r="Z1872" s="19" t="inlineStr">
        <is>
          <t>Nivel 2: regla estructural con redacción revisada.</t>
        </is>
      </c>
      <c r="AA1872" s="18">
        <f>IF(OR(V1872="Aprobada"),R1872,IF(AND(OR(V1872="Aprobada con ajuste",V1872="Rechazada"),W1872&lt;&gt;""),W1872,""))</f>
        <v/>
      </c>
    </row>
    <row r="1873">
      <c r="A1873" s="18" t="inlineStr">
        <is>
          <t>C1872</t>
        </is>
      </c>
      <c r="B1873" s="18" t="inlineStr">
        <is>
          <t>Control interno</t>
        </is>
      </c>
      <c r="C1873" s="18" t="inlineStr">
        <is>
          <t>control_interno</t>
        </is>
      </c>
      <c r="D1873" s="18" t="inlineStr">
        <is>
          <t>plan_individual</t>
        </is>
      </c>
      <c r="E1873" s="18" t="n">
        <v>0</v>
      </c>
      <c r="F1873" s="18" t="inlineStr">
        <is>
          <t>enviado_por</t>
        </is>
      </c>
      <c r="G1873" s="18" t="inlineStr">
        <is>
          <t>character varying(255)</t>
        </is>
      </c>
      <c r="H1873" s="18" t="inlineStr">
        <is>
          <t>Sí</t>
        </is>
      </c>
      <c r="I1873" s="18" t="inlineStr"/>
      <c r="J1873" s="18" t="inlineStr"/>
      <c r="K1873" s="18" t="inlineStr"/>
      <c r="L1873" s="18" t="inlineStr">
        <is>
          <t>No</t>
        </is>
      </c>
      <c r="M1873" s="18" t="inlineStr">
        <is>
          <t>No</t>
        </is>
      </c>
      <c r="N1873" s="18" t="inlineStr"/>
      <c r="O1873" s="18" t="inlineStr"/>
      <c r="P1873" s="18" t="inlineStr">
        <is>
          <t>Mapeada en internal-institutional-control-service/src/esap/plan-individual/entities/plan-individual.entity.ts:121 (PlanIndividual.enviadoPor) | Validación: IsOptional, IsString, Length(0, 255)</t>
        </is>
      </c>
      <c r="Q1873" s="18" t="inlineStr">
        <is>
          <t>Regla estructural</t>
        </is>
      </c>
      <c r="R1873" s="18" t="inlineStr">
        <is>
          <t>Usuario que realizó el envío.</t>
        </is>
      </c>
      <c r="S1873" s="18" t="inlineStr">
        <is>
          <t>Media</t>
        </is>
      </c>
      <c r="T1873" s="18" t="inlineStr">
        <is>
          <t>Convención de nombre de la columna.</t>
        </is>
      </c>
      <c r="U1873" s="18" t="inlineStr"/>
      <c r="V1873" s="19" t="inlineStr">
        <is>
          <t>Aprobada</t>
        </is>
      </c>
      <c r="W1873" s="19" t="inlineStr"/>
      <c r="X1873" s="19" t="inlineStr">
        <is>
          <t>Aldair González (aprobación en bloque)</t>
        </is>
      </c>
      <c r="Y1873" s="20" t="n">
        <v>46321</v>
      </c>
      <c r="Z1873" s="19" t="inlineStr">
        <is>
          <t>Nivel 1: propuesta del comentario del desarrollador o de confianza alta, o regla de fecha/responsable/motivo.</t>
        </is>
      </c>
      <c r="AA1873" s="18">
        <f>IF(OR(V1873="Aprobada"),R1873,IF(AND(OR(V1873="Aprobada con ajuste",V1873="Rechazada"),W1873&lt;&gt;""),W1873,""))</f>
        <v/>
      </c>
    </row>
    <row r="1874">
      <c r="A1874" s="18" t="inlineStr">
        <is>
          <t>C1873</t>
        </is>
      </c>
      <c r="B1874" s="18" t="inlineStr">
        <is>
          <t>Control interno</t>
        </is>
      </c>
      <c r="C1874" s="18" t="inlineStr">
        <is>
          <t>control_interno</t>
        </is>
      </c>
      <c r="D1874" s="18" t="inlineStr">
        <is>
          <t>plan_mejoramiento</t>
        </is>
      </c>
      <c r="E1874" s="18" t="n">
        <v>14</v>
      </c>
      <c r="F1874" s="18" t="inlineStr">
        <is>
          <t>codigo</t>
        </is>
      </c>
      <c r="G1874" s="18" t="inlineStr">
        <is>
          <t>character varying(255)</t>
        </is>
      </c>
      <c r="H1874" s="18" t="inlineStr">
        <is>
          <t>No</t>
        </is>
      </c>
      <c r="I1874" s="18" t="inlineStr">
        <is>
          <t>Única</t>
        </is>
      </c>
      <c r="J1874" s="18" t="inlineStr"/>
      <c r="K1874" s="18" t="inlineStr"/>
      <c r="L1874" s="18" t="inlineStr">
        <is>
          <t>No</t>
        </is>
      </c>
      <c r="M1874" s="18" t="inlineStr">
        <is>
          <t>No</t>
        </is>
      </c>
      <c r="N1874" s="18" t="inlineStr"/>
      <c r="O1874" s="18" t="inlineStr">
        <is>
          <t>plan_mejoramiento_codigo_key</t>
        </is>
      </c>
      <c r="P1874" s="18" t="inlineStr">
        <is>
          <t>Mapeada en internal-institutional-control-service/src/esap/planes-mejoramiento/entities/plan-mejoramiento.entity.ts:31 (PlanMejoramiento.codigo) | Validación: IsNotEmpty, IsOptional, IsString, Length(1, 50), MaxLength(80)</t>
        </is>
      </c>
      <c r="Q1874" s="18" t="inlineStr">
        <is>
          <t>Regla estructural (redacción revisada)</t>
        </is>
      </c>
      <c r="R1874" s="18" t="inlineStr">
        <is>
          <t>Código del plan de mejoramiento. Único en la tabla.</t>
        </is>
      </c>
      <c r="S1874" s="18" t="inlineStr">
        <is>
          <t>Alta</t>
        </is>
      </c>
      <c r="T1874" s="18" t="inlineStr">
        <is>
          <t>Convención de nombre, redactada con el contexto de la tabla y el código.</t>
        </is>
      </c>
      <c r="U1874" s="18" t="inlineStr"/>
      <c r="V1874" s="19" t="inlineStr">
        <is>
          <t>Aprobada</t>
        </is>
      </c>
      <c r="W1874" s="19" t="inlineStr"/>
      <c r="X1874" s="19" t="inlineStr">
        <is>
          <t>Aldair González (aprobación en bloque)</t>
        </is>
      </c>
      <c r="Y1874" s="20" t="n">
        <v>46321</v>
      </c>
      <c r="Z1874" s="19" t="inlineStr">
        <is>
          <t>Nivel 2: regla estructural con redacción revisada.</t>
        </is>
      </c>
      <c r="AA1874" s="18">
        <f>IF(OR(V1874="Aprobada"),R1874,IF(AND(OR(V1874="Aprobada con ajuste",V1874="Rechazada"),W1874&lt;&gt;""),W1874,""))</f>
        <v/>
      </c>
    </row>
    <row r="1875">
      <c r="A1875" s="18" t="inlineStr">
        <is>
          <t>C1874</t>
        </is>
      </c>
      <c r="B1875" s="18" t="inlineStr">
        <is>
          <t>Control interno</t>
        </is>
      </c>
      <c r="C1875" s="18" t="inlineStr">
        <is>
          <t>control_interno</t>
        </is>
      </c>
      <c r="D1875" s="18" t="inlineStr">
        <is>
          <t>plan_mejoramiento</t>
        </is>
      </c>
      <c r="E1875" s="18" t="n">
        <v>14</v>
      </c>
      <c r="F1875" s="18" t="inlineStr">
        <is>
          <t>hallazgo_codigo</t>
        </is>
      </c>
      <c r="G1875" s="18" t="inlineStr">
        <is>
          <t>character varying(255)</t>
        </is>
      </c>
      <c r="H1875" s="18" t="inlineStr">
        <is>
          <t>Sí</t>
        </is>
      </c>
      <c r="I1875" s="18" t="inlineStr"/>
      <c r="J1875" s="18" t="inlineStr"/>
      <c r="K1875" s="18" t="inlineStr"/>
      <c r="L1875" s="18" t="inlineStr">
        <is>
          <t>No</t>
        </is>
      </c>
      <c r="M1875" s="18" t="inlineStr">
        <is>
          <t>No</t>
        </is>
      </c>
      <c r="N1875" s="18" t="inlineStr"/>
      <c r="O1875" s="18" t="inlineStr"/>
      <c r="P1875" s="18" t="inlineStr"/>
      <c r="Q1875" s="18" t="inlineStr">
        <is>
          <t>Código fuente (verificado)</t>
        </is>
      </c>
      <c r="R1875" s="18" t="inlineStr">
        <is>
          <t>Código del hallazgo que origina el plan de mejoramiento.</t>
        </is>
      </c>
      <c r="S1875" s="18" t="inlineStr">
        <is>
          <t>Media</t>
        </is>
      </c>
      <c r="T1875" s="18" t="inlineStr">
        <is>
          <t>backend/internal-institutional-control-service/db/fix_all_plan_mejoramiento_columns.sql:1-6: se volvió nula porque no está en la entidad TypeORM; la entidad PlanMejoramiento no mapea la columna y ningún servicio la escribe</t>
        </is>
      </c>
      <c r="U1875" s="18" t="inlineStr">
        <is>
          <t>¿hallazgo_codigo sigue en uso? El backend usa hallazgo_id y no escribe esta columna.</t>
        </is>
      </c>
      <c r="V1875" s="19" t="inlineStr">
        <is>
          <t>Aprobada</t>
        </is>
      </c>
      <c r="W1875" s="19" t="inlineStr"/>
      <c r="X1875" s="19" t="inlineStr">
        <is>
          <t>Aldair González (validación del responsable de BD)</t>
        </is>
      </c>
      <c r="Y1875" s="20" t="n">
        <v>46321</v>
      </c>
      <c r="Z1875" s="19" t="inlineStr">
        <is>
          <t>Nivel 3: validada por decisión del responsable de la base de datos. Pregunta registrada para desarrollo: ¿hallazgo_codigo sigue en uso? El backend usa hallazgo_id y no escribe esta columna.</t>
        </is>
      </c>
      <c r="AA1875" s="18">
        <f>IF(OR(V1875="Aprobada"),R1875,IF(AND(OR(V1875="Aprobada con ajuste",V1875="Rechazada"),W1875&lt;&gt;""),W1875,""))</f>
        <v/>
      </c>
    </row>
    <row r="1876">
      <c r="A1876" s="18" t="inlineStr">
        <is>
          <t>C1875</t>
        </is>
      </c>
      <c r="B1876" s="18" t="inlineStr">
        <is>
          <t>Control interno</t>
        </is>
      </c>
      <c r="C1876" s="18" t="inlineStr">
        <is>
          <t>control_interno</t>
        </is>
      </c>
      <c r="D1876" s="18" t="inlineStr">
        <is>
          <t>plan_mejoramiento</t>
        </is>
      </c>
      <c r="E1876" s="18" t="n">
        <v>14</v>
      </c>
      <c r="F1876" s="18" t="inlineStr">
        <is>
          <t>titulo</t>
        </is>
      </c>
      <c r="G1876" s="18" t="inlineStr">
        <is>
          <t>character varying(255)</t>
        </is>
      </c>
      <c r="H1876" s="18" t="inlineStr">
        <is>
          <t>No</t>
        </is>
      </c>
      <c r="I1876" s="18" t="inlineStr"/>
      <c r="J1876" s="18" t="inlineStr"/>
      <c r="K1876" s="18" t="inlineStr"/>
      <c r="L1876" s="18" t="inlineStr">
        <is>
          <t>No</t>
        </is>
      </c>
      <c r="M1876" s="18" t="inlineStr">
        <is>
          <t>No</t>
        </is>
      </c>
      <c r="N1876" s="18" t="inlineStr"/>
      <c r="O1876" s="18" t="inlineStr"/>
      <c r="P1876" s="18" t="inlineStr">
        <is>
          <t>Mapeada en internal-institutional-control-service/src/esap/planes-mejoramiento/entities/plan-mejoramiento.entity.ts:34 (PlanMejoramiento.titulo) | Validación: IsNotEmpty, IsOptional, IsString, MaxLength(255), MaxLength(500)</t>
        </is>
      </c>
      <c r="Q1876" s="18" t="inlineStr">
        <is>
          <t>Propuesta semántica</t>
        </is>
      </c>
      <c r="R1876" s="18" t="inlineStr">
        <is>
          <t>Título del plan de mejoramiento.</t>
        </is>
      </c>
      <c r="S1876" s="18" t="inlineStr">
        <is>
          <t>Alta</t>
        </is>
      </c>
      <c r="T1876" s="18" t="inlineStr">
        <is>
          <t>nombre + tipo + columnas vecinas</t>
        </is>
      </c>
      <c r="U1876" s="18" t="inlineStr"/>
      <c r="V1876" s="19" t="inlineStr">
        <is>
          <t>Aprobada</t>
        </is>
      </c>
      <c r="W1876" s="19" t="inlineStr"/>
      <c r="X1876" s="19" t="inlineStr">
        <is>
          <t>Aldair González (aprobación en bloque)</t>
        </is>
      </c>
      <c r="Y1876" s="20" t="n">
        <v>46321</v>
      </c>
      <c r="Z1876" s="19" t="inlineStr">
        <is>
          <t>Nivel 1: propuesta del comentario del desarrollador o de confianza alta, o regla de fecha/responsable/motivo.</t>
        </is>
      </c>
      <c r="AA1876" s="18">
        <f>IF(OR(V1876="Aprobada"),R1876,IF(AND(OR(V1876="Aprobada con ajuste",V1876="Rechazada"),W1876&lt;&gt;""),W1876,""))</f>
        <v/>
      </c>
    </row>
    <row r="1877">
      <c r="A1877" s="18" t="inlineStr">
        <is>
          <t>C1876</t>
        </is>
      </c>
      <c r="B1877" s="18" t="inlineStr">
        <is>
          <t>Control interno</t>
        </is>
      </c>
      <c r="C1877" s="18" t="inlineStr">
        <is>
          <t>control_interno</t>
        </is>
      </c>
      <c r="D1877" s="18" t="inlineStr">
        <is>
          <t>plan_mejoramiento</t>
        </is>
      </c>
      <c r="E1877" s="18" t="n">
        <v>14</v>
      </c>
      <c r="F1877" s="18" t="inlineStr">
        <is>
          <t>descripcion</t>
        </is>
      </c>
      <c r="G1877" s="18" t="inlineStr">
        <is>
          <t>text</t>
        </is>
      </c>
      <c r="H1877" s="18" t="inlineStr">
        <is>
          <t>Sí</t>
        </is>
      </c>
      <c r="I1877" s="18" t="inlineStr"/>
      <c r="J1877" s="18" t="inlineStr"/>
      <c r="K1877" s="18" t="inlineStr"/>
      <c r="L1877" s="18" t="inlineStr">
        <is>
          <t>No</t>
        </is>
      </c>
      <c r="M1877" s="18" t="inlineStr">
        <is>
          <t>No</t>
        </is>
      </c>
      <c r="N1877" s="18" t="inlineStr"/>
      <c r="O1877" s="18" t="inlineStr"/>
      <c r="P1877" s="18" t="inlineStr">
        <is>
          <t>Mapeada en internal-institutional-control-service/src/esap/planes-mejoramiento/entities/plan-mejoramiento.entity.ts:37 (PlanMejoramiento.descripcion) | Validación: IsNotEmpty, IsOptional, IsString</t>
        </is>
      </c>
      <c r="Q1877" s="18" t="inlineStr">
        <is>
          <t>Regla estructural (redacción revisada)</t>
        </is>
      </c>
      <c r="R1877" s="18" t="inlineStr">
        <is>
          <t>Descripción del plan de mejoramiento.</t>
        </is>
      </c>
      <c r="S1877" s="18" t="inlineStr">
        <is>
          <t>Alta</t>
        </is>
      </c>
      <c r="T1877" s="18" t="inlineStr">
        <is>
          <t>Convención de nombre, redactada con el contexto de la tabla y el código.</t>
        </is>
      </c>
      <c r="U1877" s="18" t="inlineStr"/>
      <c r="V1877" s="19" t="inlineStr">
        <is>
          <t>Aprobada</t>
        </is>
      </c>
      <c r="W1877" s="19" t="inlineStr"/>
      <c r="X1877" s="19" t="inlineStr">
        <is>
          <t>Aldair González (aprobación en bloque)</t>
        </is>
      </c>
      <c r="Y1877" s="20" t="n">
        <v>46321</v>
      </c>
      <c r="Z1877" s="19" t="inlineStr">
        <is>
          <t>Nivel 2: regla estructural con redacción revisada.</t>
        </is>
      </c>
      <c r="AA1877" s="18">
        <f>IF(OR(V1877="Aprobada"),R1877,IF(AND(OR(V1877="Aprobada con ajuste",V1877="Rechazada"),W1877&lt;&gt;""),W1877,""))</f>
        <v/>
      </c>
    </row>
    <row r="1878">
      <c r="A1878" s="18" t="inlineStr">
        <is>
          <t>C1877</t>
        </is>
      </c>
      <c r="B1878" s="18" t="inlineStr">
        <is>
          <t>Control interno</t>
        </is>
      </c>
      <c r="C1878" s="18" t="inlineStr">
        <is>
          <t>control_interno</t>
        </is>
      </c>
      <c r="D1878" s="18" t="inlineStr">
        <is>
          <t>plan_mejoramiento</t>
        </is>
      </c>
      <c r="E1878" s="18" t="n">
        <v>14</v>
      </c>
      <c r="F1878" s="18" t="inlineStr">
        <is>
          <t>objetivos</t>
        </is>
      </c>
      <c r="G1878" s="18" t="inlineStr">
        <is>
          <t>jsonb</t>
        </is>
      </c>
      <c r="H1878" s="18" t="inlineStr">
        <is>
          <t>No</t>
        </is>
      </c>
      <c r="I1878" s="18" t="inlineStr"/>
      <c r="J1878" s="18" t="inlineStr"/>
      <c r="K1878" s="18" t="inlineStr"/>
      <c r="L1878" s="18" t="inlineStr">
        <is>
          <t>No</t>
        </is>
      </c>
      <c r="M1878" s="18" t="inlineStr">
        <is>
          <t>No</t>
        </is>
      </c>
      <c r="N1878" s="18" t="inlineStr"/>
      <c r="O1878" s="18" t="inlineStr"/>
      <c r="P1878" s="18" t="inlineStr">
        <is>
          <t>Mapeada en internal-institutional-control-service/src/esap/planes-mejoramiento/entities/plan-mejoramiento.entity.ts:40 (PlanMejoramiento.objetivos) | Validación: IsArray, IsOptional, IsString({ each: true })</t>
        </is>
      </c>
      <c r="Q1878" s="18" t="inlineStr">
        <is>
          <t>Propuesta semántica</t>
        </is>
      </c>
      <c r="R1878" s="18" t="inlineStr">
        <is>
          <t>Objetivos del plan de mejoramiento, como arreglo JSON de textos.</t>
        </is>
      </c>
      <c r="S1878" s="18" t="inlineStr">
        <is>
          <t>Alta</t>
        </is>
      </c>
      <c r="T1878" s="18" t="inlineStr">
        <is>
          <t>nombre + tipo + validaciones del DTO</t>
        </is>
      </c>
      <c r="U1878" s="18" t="inlineStr"/>
      <c r="V1878" s="19" t="inlineStr">
        <is>
          <t>Aprobada</t>
        </is>
      </c>
      <c r="W1878" s="19" t="inlineStr"/>
      <c r="X1878" s="19" t="inlineStr">
        <is>
          <t>Aldair González (aprobación en bloque)</t>
        </is>
      </c>
      <c r="Y1878" s="20" t="n">
        <v>46321</v>
      </c>
      <c r="Z1878" s="19" t="inlineStr">
        <is>
          <t>Nivel 1: propuesta del comentario del desarrollador o de confianza alta, o regla de fecha/responsable/motivo.</t>
        </is>
      </c>
      <c r="AA1878" s="18">
        <f>IF(OR(V1878="Aprobada"),R1878,IF(AND(OR(V1878="Aprobada con ajuste",V1878="Rechazada"),W1878&lt;&gt;""),W1878,""))</f>
        <v/>
      </c>
    </row>
    <row r="1879">
      <c r="A1879" s="18" t="inlineStr">
        <is>
          <t>C1878</t>
        </is>
      </c>
      <c r="B1879" s="18" t="inlineStr">
        <is>
          <t>Control interno</t>
        </is>
      </c>
      <c r="C1879" s="18" t="inlineStr">
        <is>
          <t>control_interno</t>
        </is>
      </c>
      <c r="D1879" s="18" t="inlineStr">
        <is>
          <t>plan_mejoramiento</t>
        </is>
      </c>
      <c r="E1879" s="18" t="n">
        <v>14</v>
      </c>
      <c r="F1879" s="18" t="inlineStr">
        <is>
          <t>area_responsable</t>
        </is>
      </c>
      <c r="G1879" s="18" t="inlineStr">
        <is>
          <t>character varying(255)</t>
        </is>
      </c>
      <c r="H1879" s="18" t="inlineStr">
        <is>
          <t>No</t>
        </is>
      </c>
      <c r="I1879" s="18" t="inlineStr"/>
      <c r="J1879" s="18" t="inlineStr"/>
      <c r="K1879" s="18" t="inlineStr"/>
      <c r="L1879" s="18" t="inlineStr">
        <is>
          <t>No</t>
        </is>
      </c>
      <c r="M1879" s="18" t="inlineStr">
        <is>
          <t>Sí</t>
        </is>
      </c>
      <c r="N1879" s="18" t="inlineStr">
        <is>
          <t>Función control_interno.trigger_evento_creacion_plan — control_interno.trigger_evento_creacion_plan: 'area_responsable', NEW.area_responsable</t>
        </is>
      </c>
      <c r="O1879" s="18" t="inlineStr"/>
      <c r="P1879" s="18" t="inlineStr">
        <is>
          <t>Mapeada en internal-institutional-control-service/src/esap/planes-mejoramiento/entities/plan-mejoramiento.entity.ts:57 (PlanMejoramiento.areaResponsable) | Validación: IsNotEmpty, IsOptional, IsString, Length(1, 255), MaxLength(255)</t>
        </is>
      </c>
      <c r="Q1879" s="18" t="inlineStr">
        <is>
          <t>Propuesta semántica</t>
        </is>
      </c>
      <c r="R1879" s="18" t="inlineStr">
        <is>
          <t>Área responsable de implementar el plan de mejoramiento.</t>
        </is>
      </c>
      <c r="S1879" s="18" t="inlineStr">
        <is>
          <t>Alta</t>
        </is>
      </c>
      <c r="T1879" s="18" t="inlineStr">
        <is>
          <t>nombre + uso en trigger_evento_creacion_plan</t>
        </is>
      </c>
      <c r="U1879" s="18" t="inlineStr"/>
      <c r="V1879" s="19" t="inlineStr">
        <is>
          <t>Aprobada</t>
        </is>
      </c>
      <c r="W1879" s="19" t="inlineStr"/>
      <c r="X1879" s="19" t="inlineStr">
        <is>
          <t>Aldair González (aprobación en bloque)</t>
        </is>
      </c>
      <c r="Y1879" s="20" t="n">
        <v>46321</v>
      </c>
      <c r="Z1879" s="19" t="inlineStr">
        <is>
          <t>Nivel 1: propuesta del comentario del desarrollador o de confianza alta, o regla de fecha/responsable/motivo.</t>
        </is>
      </c>
      <c r="AA1879" s="18">
        <f>IF(OR(V1879="Aprobada"),R1879,IF(AND(OR(V1879="Aprobada con ajuste",V1879="Rechazada"),W1879&lt;&gt;""),W1879,""))</f>
        <v/>
      </c>
    </row>
    <row r="1880">
      <c r="A1880" s="18" t="inlineStr">
        <is>
          <t>C1879</t>
        </is>
      </c>
      <c r="B1880" s="18" t="inlineStr">
        <is>
          <t>Control interno</t>
        </is>
      </c>
      <c r="C1880" s="18" t="inlineStr">
        <is>
          <t>control_interno</t>
        </is>
      </c>
      <c r="D1880" s="18" t="inlineStr">
        <is>
          <t>plan_mejoramiento</t>
        </is>
      </c>
      <c r="E1880" s="18" t="n">
        <v>14</v>
      </c>
      <c r="F1880" s="18" t="inlineStr">
        <is>
          <t>responsable_implementacion</t>
        </is>
      </c>
      <c r="G1880" s="18" t="inlineStr">
        <is>
          <t>character varying(255)</t>
        </is>
      </c>
      <c r="H1880" s="18" t="inlineStr">
        <is>
          <t>No</t>
        </is>
      </c>
      <c r="I1880" s="18" t="inlineStr"/>
      <c r="J1880" s="18" t="inlineStr"/>
      <c r="K1880" s="18" t="inlineStr"/>
      <c r="L1880" s="18" t="inlineStr">
        <is>
          <t>No</t>
        </is>
      </c>
      <c r="M1880" s="18" t="inlineStr">
        <is>
          <t>Sí</t>
        </is>
      </c>
      <c r="N1880" s="18" t="inlineStr">
        <is>
          <t>Función control_interno.trigger_evento_actualizacion_plan; Función control_interno.trigger_evento_creacion_plan — control_interno.trigger_evento_actualizacion_plan: COALESCE(NEW.aprobado_por, NEW.responsable_implementacion),  -- usar aprobado_por si es aprobación, sino responsable_imp | control_interno.trigger_evento_creacion_plan: NEW.responsable_implementacion,  -- usar responsable_implementacion</t>
        </is>
      </c>
      <c r="O1880" s="18" t="inlineStr"/>
      <c r="P1880" s="18" t="inlineStr">
        <is>
          <t>Mapeada en internal-institutional-control-service/src/esap/planes-mejoramiento/entities/plan-mejoramiento.entity.ts:60 (PlanMejoramiento.responsableImplementacion) | Validación: IsNotEmpty, IsOptional, IsString, MaxLength(255)</t>
        </is>
      </c>
      <c r="Q1880" s="18" t="inlineStr">
        <is>
          <t>Código fuente (verificado)</t>
        </is>
      </c>
      <c r="R1880" s="18" t="inlineStr">
        <is>
          <t>Responsable de implementar el plan de mejoramiento, como texto (nombre, correo o usuario). Si no se envía, el backend usa el correo del responsable del área de la auditoría.</t>
        </is>
      </c>
      <c r="S1880" s="18" t="inlineStr">
        <is>
          <t>Alta</t>
        </is>
      </c>
      <c r="T1880" s="18" t="inlineStr">
        <is>
          <t>backend/internal-institutional-control-service/src/esap/planes-mejoramiento/planes-mejoramiento.service.ts:695-706: se completa con auditoria.responsable_area_email | backend/internal-institutional-control-service/src/esap/planes-mejoramiento/planes-mejoramiento.service.ts:1807-1817: se busca como nombre, correo o usuario en auth.personas y auth."user"</t>
        </is>
      </c>
      <c r="U1880" s="18" t="inlineStr"/>
      <c r="V1880" s="19" t="inlineStr">
        <is>
          <t>Aprobada</t>
        </is>
      </c>
      <c r="W1880" s="19" t="inlineStr"/>
      <c r="X1880" s="19" t="inlineStr">
        <is>
          <t>Aldair González (aprobación en bloque)</t>
        </is>
      </c>
      <c r="Y1880" s="20" t="n">
        <v>46321</v>
      </c>
      <c r="Z1880" s="19" t="inlineStr">
        <is>
          <t>Nivel 3: verificada con el código de la aplicación.</t>
        </is>
      </c>
      <c r="AA1880" s="18">
        <f>IF(OR(V1880="Aprobada"),R1880,IF(AND(OR(V1880="Aprobada con ajuste",V1880="Rechazada"),W1880&lt;&gt;""),W1880,""))</f>
        <v/>
      </c>
    </row>
    <row r="1881">
      <c r="A1881" s="18" t="inlineStr">
        <is>
          <t>C1880</t>
        </is>
      </c>
      <c r="B1881" s="18" t="inlineStr">
        <is>
          <t>Control interno</t>
        </is>
      </c>
      <c r="C1881" s="18" t="inlineStr">
        <is>
          <t>control_interno</t>
        </is>
      </c>
      <c r="D1881" s="18" t="inlineStr">
        <is>
          <t>plan_mejoramiento</t>
        </is>
      </c>
      <c r="E1881" s="18" t="n">
        <v>14</v>
      </c>
      <c r="F1881" s="18" t="inlineStr">
        <is>
          <t>estado</t>
        </is>
      </c>
      <c r="G1881" s="18" t="inlineStr">
        <is>
          <t>character varying(50)</t>
        </is>
      </c>
      <c r="H1881" s="18" t="inlineStr">
        <is>
          <t>No</t>
        </is>
      </c>
      <c r="I1881" s="18" t="inlineStr">
        <is>
          <t>CHECK</t>
        </is>
      </c>
      <c r="J1881" s="18" t="inlineStr">
        <is>
          <t>aprobado, borrador, completado, en_ejecucion, rechazado, revision, vencido</t>
        </is>
      </c>
      <c r="K1881" s="18" t="inlineStr"/>
      <c r="L1881" s="18" t="inlineStr">
        <is>
          <t>Sí</t>
        </is>
      </c>
      <c r="M1881" s="18" t="inlineStr">
        <is>
          <t>Sí</t>
        </is>
      </c>
      <c r="N1881" s="18" t="inlineStr">
        <is>
          <t>Función control_interno.trigger_evento_actualizacion_plan; Función control_interno.trigger_evento_creacion_plan — control_interno.trigger_evento_actualizacion_plan: -- Solo registrar si cambió el estado | control_interno.trigger_evento_creacion_plan: 'estado_inicial', NEW.estado,</t>
        </is>
      </c>
      <c r="O1881" s="18" t="inlineStr">
        <is>
          <t>idx_plan_mejoramiento_estado</t>
        </is>
      </c>
      <c r="P1881" s="18" t="inlineStr">
        <is>
          <t>Mapeada en internal-institutional-control-service/src/esap/planes-mejoramiento/entities/plan-mejoramiento.entity.ts:66 (PlanMejoramiento.estado) | Validación: IsEnum(AccionCorrectivaEstado), IsEnum(EstadoEtapa), IsEnum(EstadoPlanIndividual), IsEnum(EstadoTarea), IsEnum(HallazgoEstado), IsEnum(PlanMejoramientoEstado)</t>
        </is>
      </c>
      <c r="Q1881" s="18" t="inlineStr">
        <is>
          <t>Regla estructural (redacción revisada)</t>
        </is>
      </c>
      <c r="R1881" s="18" t="inlineStr">
        <is>
          <t>Estado del plan de mejoramiento (borrador, revisión, aprobado, rechazado, en ejecución, completado o vencido).</t>
        </is>
      </c>
      <c r="S1881" s="18" t="inlineStr">
        <is>
          <t>Alta</t>
        </is>
      </c>
      <c r="T1881" s="18" t="inlineStr">
        <is>
          <t>Convención de nombre, redactada con el contexto de la tabla y el código.</t>
        </is>
      </c>
      <c r="U1881" s="18" t="inlineStr"/>
      <c r="V1881" s="19" t="inlineStr">
        <is>
          <t>Aprobada</t>
        </is>
      </c>
      <c r="W1881" s="19" t="inlineStr"/>
      <c r="X1881" s="19" t="inlineStr">
        <is>
          <t>Aldair González (aprobación en bloque)</t>
        </is>
      </c>
      <c r="Y1881" s="20" t="n">
        <v>46321</v>
      </c>
      <c r="Z1881" s="19" t="inlineStr">
        <is>
          <t>Nivel 2: regla estructural con redacción revisada.</t>
        </is>
      </c>
      <c r="AA1881" s="18">
        <f>IF(OR(V1881="Aprobada"),R1881,IF(AND(OR(V1881="Aprobada con ajuste",V1881="Rechazada"),W1881&lt;&gt;""),W1881,""))</f>
        <v/>
      </c>
    </row>
    <row r="1882">
      <c r="A1882" s="18" t="inlineStr">
        <is>
          <t>C1881</t>
        </is>
      </c>
      <c r="B1882" s="18" t="inlineStr">
        <is>
          <t>Control interno</t>
        </is>
      </c>
      <c r="C1882" s="18" t="inlineStr">
        <is>
          <t>control_interno</t>
        </is>
      </c>
      <c r="D1882" s="18" t="inlineStr">
        <is>
          <t>plan_mejoramiento</t>
        </is>
      </c>
      <c r="E1882" s="18" t="n">
        <v>14</v>
      </c>
      <c r="F1882" s="18" t="inlineStr">
        <is>
          <t>fecha_aprobacion</t>
        </is>
      </c>
      <c r="G1882" s="18" t="inlineStr">
        <is>
          <t>date</t>
        </is>
      </c>
      <c r="H1882" s="18" t="inlineStr">
        <is>
          <t>Sí</t>
        </is>
      </c>
      <c r="I1882" s="18" t="inlineStr"/>
      <c r="J1882" s="18" t="inlineStr"/>
      <c r="K1882" s="18" t="inlineStr"/>
      <c r="L1882" s="18" t="inlineStr">
        <is>
          <t>No</t>
        </is>
      </c>
      <c r="M1882" s="18" t="inlineStr">
        <is>
          <t>No</t>
        </is>
      </c>
      <c r="N1882" s="18" t="inlineStr"/>
      <c r="O1882" s="18" t="inlineStr"/>
      <c r="P1882" s="18" t="inlineStr">
        <is>
          <t>Mapeada en internal-institutional-control-service/src/esap/planes-mejoramiento/entities/plan-mejoramiento.entity.ts:73 (PlanMejoramiento.fechaAprobacion) | Validación: IsDateString, IsOptional</t>
        </is>
      </c>
      <c r="Q1882" s="18" t="inlineStr">
        <is>
          <t>Regla estructural (redacción revisada)</t>
        </is>
      </c>
      <c r="R1882" s="18" t="inlineStr">
        <is>
          <t>Fecha en que se aprobó el plan de mejoramiento.</t>
        </is>
      </c>
      <c r="S1882" s="18" t="inlineStr">
        <is>
          <t>Alta</t>
        </is>
      </c>
      <c r="T1882" s="18" t="inlineStr">
        <is>
          <t>Convención de nombre, redactada con el contexto de la tabla y el código.</t>
        </is>
      </c>
      <c r="U1882" s="18" t="inlineStr"/>
      <c r="V1882" s="19" t="inlineStr">
        <is>
          <t>Aprobada</t>
        </is>
      </c>
      <c r="W1882" s="19" t="inlineStr"/>
      <c r="X1882" s="19" t="inlineStr">
        <is>
          <t>Aldair González (aprobación en bloque)</t>
        </is>
      </c>
      <c r="Y1882" s="20" t="n">
        <v>46321</v>
      </c>
      <c r="Z1882" s="19" t="inlineStr">
        <is>
          <t>Nivel 2: regla estructural con redacción revisada.</t>
        </is>
      </c>
      <c r="AA1882" s="18">
        <f>IF(OR(V1882="Aprobada"),R1882,IF(AND(OR(V1882="Aprobada con ajuste",V1882="Rechazada"),W1882&lt;&gt;""),W1882,""))</f>
        <v/>
      </c>
    </row>
    <row r="1883">
      <c r="A1883" s="18" t="inlineStr">
        <is>
          <t>C1882</t>
        </is>
      </c>
      <c r="B1883" s="18" t="inlineStr">
        <is>
          <t>Control interno</t>
        </is>
      </c>
      <c r="C1883" s="18" t="inlineStr">
        <is>
          <t>control_interno</t>
        </is>
      </c>
      <c r="D1883" s="18" t="inlineStr">
        <is>
          <t>plan_mejoramiento</t>
        </is>
      </c>
      <c r="E1883" s="18" t="n">
        <v>14</v>
      </c>
      <c r="F1883" s="18" t="inlineStr">
        <is>
          <t>fecha_inicio_ejecucion</t>
        </is>
      </c>
      <c r="G1883" s="18" t="inlineStr">
        <is>
          <t>date</t>
        </is>
      </c>
      <c r="H1883" s="18" t="inlineStr">
        <is>
          <t>Sí</t>
        </is>
      </c>
      <c r="I1883" s="18" t="inlineStr"/>
      <c r="J1883" s="18" t="inlineStr"/>
      <c r="K1883" s="18" t="inlineStr"/>
      <c r="L1883" s="18" t="inlineStr">
        <is>
          <t>No</t>
        </is>
      </c>
      <c r="M1883" s="18" t="inlineStr">
        <is>
          <t>No</t>
        </is>
      </c>
      <c r="N1883" s="18" t="inlineStr"/>
      <c r="O1883" s="18" t="inlineStr"/>
      <c r="P1883" s="18" t="inlineStr"/>
      <c r="Q1883" s="18" t="inlineStr">
        <is>
          <t>Regla estructural (redacción revisada)</t>
        </is>
      </c>
      <c r="R1883" s="18" t="inlineStr">
        <is>
          <t>Fecha en que inició la ejecución del plan de mejoramiento.</t>
        </is>
      </c>
      <c r="S1883" s="18" t="inlineStr">
        <is>
          <t>Alta</t>
        </is>
      </c>
      <c r="T1883" s="18" t="inlineStr">
        <is>
          <t>Convención de nombre, redactada con el contexto de la tabla y el código.</t>
        </is>
      </c>
      <c r="U1883" s="18" t="inlineStr"/>
      <c r="V1883" s="19" t="inlineStr">
        <is>
          <t>Aprobada</t>
        </is>
      </c>
      <c r="W1883" s="19" t="inlineStr"/>
      <c r="X1883" s="19" t="inlineStr">
        <is>
          <t>Aldair González (aprobación en bloque)</t>
        </is>
      </c>
      <c r="Y1883" s="20" t="n">
        <v>46321</v>
      </c>
      <c r="Z1883" s="19" t="inlineStr">
        <is>
          <t>Nivel 2: regla estructural con redacción revisada.</t>
        </is>
      </c>
      <c r="AA1883" s="18">
        <f>IF(OR(V1883="Aprobada"),R1883,IF(AND(OR(V1883="Aprobada con ajuste",V1883="Rechazada"),W1883&lt;&gt;""),W1883,""))</f>
        <v/>
      </c>
    </row>
    <row r="1884">
      <c r="A1884" s="18" t="inlineStr">
        <is>
          <t>C1883</t>
        </is>
      </c>
      <c r="B1884" s="18" t="inlineStr">
        <is>
          <t>Control interno</t>
        </is>
      </c>
      <c r="C1884" s="18" t="inlineStr">
        <is>
          <t>control_interno</t>
        </is>
      </c>
      <c r="D1884" s="18" t="inlineStr">
        <is>
          <t>plan_mejoramiento</t>
        </is>
      </c>
      <c r="E1884" s="18" t="n">
        <v>14</v>
      </c>
      <c r="F1884" s="18" t="inlineStr">
        <is>
          <t>fecha_limite</t>
        </is>
      </c>
      <c r="G1884" s="18" t="inlineStr">
        <is>
          <t>date</t>
        </is>
      </c>
      <c r="H1884" s="18" t="inlineStr">
        <is>
          <t>No</t>
        </is>
      </c>
      <c r="I1884" s="18" t="inlineStr"/>
      <c r="J1884" s="18" t="inlineStr"/>
      <c r="K1884" s="18" t="inlineStr"/>
      <c r="L1884" s="18" t="inlineStr">
        <is>
          <t>No</t>
        </is>
      </c>
      <c r="M1884" s="18" t="inlineStr">
        <is>
          <t>Sí</t>
        </is>
      </c>
      <c r="N1884" s="18" t="inlineStr">
        <is>
          <t>Función control_interno.trigger_evento_creacion_plan — control_interno.trigger_evento_creacion_plan: 'fecha_limite', NEW.fecha_limite,</t>
        </is>
      </c>
      <c r="O1884" s="18" t="inlineStr"/>
      <c r="P1884" s="18" t="inlineStr">
        <is>
          <t>Mapeada en internal-institutional-control-service/src/esap/planes-mejoramiento/entities/plan-mejoramiento.entity.ts:63 (PlanMejoramiento.fechaLimite) | Validación: IsDateString, IsOptional</t>
        </is>
      </c>
      <c r="Q1884" s="18" t="inlineStr">
        <is>
          <t>Regla estructural (redacción revisada)</t>
        </is>
      </c>
      <c r="R1884" s="18" t="inlineStr">
        <is>
          <t>Fecha límite del plan de mejoramiento.</t>
        </is>
      </c>
      <c r="S1884" s="18" t="inlineStr">
        <is>
          <t>Alta</t>
        </is>
      </c>
      <c r="T1884" s="18" t="inlineStr">
        <is>
          <t>Convención de nombre, redactada con el contexto de la tabla y el código.</t>
        </is>
      </c>
      <c r="U1884" s="18" t="inlineStr"/>
      <c r="V1884" s="19" t="inlineStr">
        <is>
          <t>Aprobada</t>
        </is>
      </c>
      <c r="W1884" s="19" t="inlineStr"/>
      <c r="X1884" s="19" t="inlineStr">
        <is>
          <t>Aldair González (aprobación en bloque)</t>
        </is>
      </c>
      <c r="Y1884" s="20" t="n">
        <v>46321</v>
      </c>
      <c r="Z1884" s="19" t="inlineStr">
        <is>
          <t>Nivel 2: regla estructural con redacción revisada.</t>
        </is>
      </c>
      <c r="AA1884" s="18">
        <f>IF(OR(V1884="Aprobada"),R1884,IF(AND(OR(V1884="Aprobada con ajuste",V1884="Rechazada"),W1884&lt;&gt;""),W1884,""))</f>
        <v/>
      </c>
    </row>
    <row r="1885">
      <c r="A1885" s="18" t="inlineStr">
        <is>
          <t>C1884</t>
        </is>
      </c>
      <c r="B1885" s="18" t="inlineStr">
        <is>
          <t>Control interno</t>
        </is>
      </c>
      <c r="C1885" s="18" t="inlineStr">
        <is>
          <t>control_interno</t>
        </is>
      </c>
      <c r="D1885" s="18" t="inlineStr">
        <is>
          <t>plan_mejoramiento</t>
        </is>
      </c>
      <c r="E1885" s="18" t="n">
        <v>14</v>
      </c>
      <c r="F1885" s="18" t="inlineStr">
        <is>
          <t>fecha_cierre</t>
        </is>
      </c>
      <c r="G1885" s="18" t="inlineStr">
        <is>
          <t>date</t>
        </is>
      </c>
      <c r="H1885" s="18" t="inlineStr">
        <is>
          <t>Sí</t>
        </is>
      </c>
      <c r="I1885" s="18" t="inlineStr"/>
      <c r="J1885" s="18" t="inlineStr"/>
      <c r="K1885" s="18" t="inlineStr"/>
      <c r="L1885" s="18" t="inlineStr">
        <is>
          <t>No</t>
        </is>
      </c>
      <c r="M1885" s="18" t="inlineStr">
        <is>
          <t>No</t>
        </is>
      </c>
      <c r="N1885" s="18" t="inlineStr"/>
      <c r="O1885" s="18" t="inlineStr"/>
      <c r="P1885" s="18" t="inlineStr"/>
      <c r="Q1885" s="18" t="inlineStr">
        <is>
          <t>Regla estructural (redacción revisada)</t>
        </is>
      </c>
      <c r="R1885" s="18" t="inlineStr">
        <is>
          <t>Fecha de cierre del plan de mejoramiento.</t>
        </is>
      </c>
      <c r="S1885" s="18" t="inlineStr">
        <is>
          <t>Alta</t>
        </is>
      </c>
      <c r="T1885" s="18" t="inlineStr">
        <is>
          <t>Convención de nombre, redactada con el contexto de la tabla y el código.</t>
        </is>
      </c>
      <c r="U1885" s="18" t="inlineStr"/>
      <c r="V1885" s="19" t="inlineStr">
        <is>
          <t>Aprobada</t>
        </is>
      </c>
      <c r="W1885" s="19" t="inlineStr"/>
      <c r="X1885" s="19" t="inlineStr">
        <is>
          <t>Aldair González (aprobación en bloque)</t>
        </is>
      </c>
      <c r="Y1885" s="20" t="n">
        <v>46321</v>
      </c>
      <c r="Z1885" s="19" t="inlineStr">
        <is>
          <t>Nivel 2: regla estructural con redacción revisada.</t>
        </is>
      </c>
      <c r="AA1885" s="18">
        <f>IF(OR(V1885="Aprobada"),R1885,IF(AND(OR(V1885="Aprobada con ajuste",V1885="Rechazada"),W1885&lt;&gt;""),W1885,""))</f>
        <v/>
      </c>
    </row>
    <row r="1886">
      <c r="A1886" s="18" t="inlineStr">
        <is>
          <t>C1885</t>
        </is>
      </c>
      <c r="B1886" s="18" t="inlineStr">
        <is>
          <t>Control interno</t>
        </is>
      </c>
      <c r="C1886" s="18" t="inlineStr">
        <is>
          <t>control_interno</t>
        </is>
      </c>
      <c r="D1886" s="18" t="inlineStr">
        <is>
          <t>plan_mejoramiento</t>
        </is>
      </c>
      <c r="E1886" s="18" t="n">
        <v>14</v>
      </c>
      <c r="F1886" s="18" t="inlineStr">
        <is>
          <t>recursos</t>
        </is>
      </c>
      <c r="G1886" s="18" t="inlineStr">
        <is>
          <t>jsonb</t>
        </is>
      </c>
      <c r="H1886" s="18" t="inlineStr">
        <is>
          <t>Sí</t>
        </is>
      </c>
      <c r="I1886" s="18" t="inlineStr"/>
      <c r="J1886" s="18" t="inlineStr"/>
      <c r="K1886" s="18" t="inlineStr"/>
      <c r="L1886" s="18" t="inlineStr">
        <is>
          <t>No</t>
        </is>
      </c>
      <c r="M1886" s="18" t="inlineStr">
        <is>
          <t>No</t>
        </is>
      </c>
      <c r="N1886" s="18" t="inlineStr"/>
      <c r="O1886" s="18" t="inlineStr"/>
      <c r="P1886" s="18" t="inlineStr"/>
      <c r="Q1886" s="18" t="inlineStr">
        <is>
          <t>Código fuente (verificado)</t>
        </is>
      </c>
      <c r="R1886" s="18" t="inlineStr">
        <is>
          <t>Recursos requeridos para ejecutar el plan de mejoramiento, en formato JSON.</t>
        </is>
      </c>
      <c r="S1886" s="18" t="inlineStr">
        <is>
          <t>Media</t>
        </is>
      </c>
      <c r="T1886" s="18" t="inlineStr">
        <is>
          <t>backend/internal-institutional-control-service/db/fix_all_plan_mejoramiento_columns.sql:23-25: «recursos (no está en la entidad)»; la entidad PlanMejoramiento no mapea la columna y ningún servicio la escribe; los recursos se registran por acción (accion_correctiva.recursos, planes-mejoramiento.service.ts:1231)</t>
        </is>
      </c>
      <c r="U1886" s="18" t="inlineStr">
        <is>
          <t>¿Qué estructura tiene el JSON de recursos y sigue en uso? El backend registra los recursos en cada acción correctiva.</t>
        </is>
      </c>
      <c r="V1886" s="19" t="inlineStr">
        <is>
          <t>Aprobada</t>
        </is>
      </c>
      <c r="W1886" s="19" t="inlineStr"/>
      <c r="X1886" s="19" t="inlineStr">
        <is>
          <t>Aldair González (validación del responsable de BD)</t>
        </is>
      </c>
      <c r="Y1886" s="20" t="n">
        <v>46321</v>
      </c>
      <c r="Z1886" s="19" t="inlineStr">
        <is>
          <t>Nivel 3: validada por decisión del responsable de la base de datos. Pregunta registrada para desarrollo: ¿Qué estructura tiene el JSON de recursos y sigue en uso? El backend registra los recursos en cada acción correctiva.</t>
        </is>
      </c>
      <c r="AA1886" s="18">
        <f>IF(OR(V1886="Aprobada"),R1886,IF(AND(OR(V1886="Aprobada con ajuste",V1886="Rechazada"),W1886&lt;&gt;""),W1886,""))</f>
        <v/>
      </c>
    </row>
    <row r="1887">
      <c r="A1887" s="18" t="inlineStr">
        <is>
          <t>C1886</t>
        </is>
      </c>
      <c r="B1887" s="18" t="inlineStr">
        <is>
          <t>Control interno</t>
        </is>
      </c>
      <c r="C1887" s="18" t="inlineStr">
        <is>
          <t>control_interno</t>
        </is>
      </c>
      <c r="D1887" s="18" t="inlineStr">
        <is>
          <t>plan_mejoramiento</t>
        </is>
      </c>
      <c r="E1887" s="18" t="n">
        <v>14</v>
      </c>
      <c r="F1887" s="18" t="inlineStr">
        <is>
          <t>indicadores</t>
        </is>
      </c>
      <c r="G1887" s="18" t="inlineStr">
        <is>
          <t>jsonb</t>
        </is>
      </c>
      <c r="H1887" s="18" t="inlineStr">
        <is>
          <t>Sí</t>
        </is>
      </c>
      <c r="I1887" s="18" t="inlineStr"/>
      <c r="J1887" s="18" t="inlineStr"/>
      <c r="K1887" s="18" t="inlineStr"/>
      <c r="L1887" s="18" t="inlineStr">
        <is>
          <t>No</t>
        </is>
      </c>
      <c r="M1887" s="18" t="inlineStr">
        <is>
          <t>No</t>
        </is>
      </c>
      <c r="N1887" s="18" t="inlineStr"/>
      <c r="O1887" s="18" t="inlineStr"/>
      <c r="P1887" s="18" t="inlineStr"/>
      <c r="Q1887" s="18" t="inlineStr">
        <is>
          <t>Código fuente (verificado)</t>
        </is>
      </c>
      <c r="R1887" s="18" t="inlineStr">
        <is>
          <t>Indicadores para medir el avance o la efectividad del plan de mejoramiento, en formato JSON.</t>
        </is>
      </c>
      <c r="S1887" s="18" t="inlineStr">
        <is>
          <t>Media</t>
        </is>
      </c>
      <c r="T1887" s="18" t="inlineStr">
        <is>
          <t>backend/internal-institutional-control-service/db/fix_all_plan_mejoramiento_columns.sql:27-29: «indicadores (no está en la entidad)»; la entidad PlanMejoramiento no mapea la columna y ningún servicio la escribe</t>
        </is>
      </c>
      <c r="U1887" s="18" t="inlineStr">
        <is>
          <t>¿Qué datos se guardan de cada indicador y sigue en uso? El backend no escribe esta columna.</t>
        </is>
      </c>
      <c r="V1887" s="19" t="inlineStr">
        <is>
          <t>Aprobada</t>
        </is>
      </c>
      <c r="W1887" s="19" t="inlineStr"/>
      <c r="X1887" s="19" t="inlineStr">
        <is>
          <t>Aldair González (validación del responsable de BD)</t>
        </is>
      </c>
      <c r="Y1887" s="20" t="n">
        <v>46321</v>
      </c>
      <c r="Z1887" s="19" t="inlineStr">
        <is>
          <t>Nivel 3: validada por decisión del responsable de la base de datos. Pregunta registrada para desarrollo: ¿Qué datos se guardan de cada indicador y sigue en uso? El backend no escribe esta columna.</t>
        </is>
      </c>
      <c r="AA1887" s="18">
        <f>IF(OR(V1887="Aprobada"),R1887,IF(AND(OR(V1887="Aprobada con ajuste",V1887="Rechazada"),W1887&lt;&gt;""),W1887,""))</f>
        <v/>
      </c>
    </row>
    <row r="1888">
      <c r="A1888" s="18" t="inlineStr">
        <is>
          <t>C1887</t>
        </is>
      </c>
      <c r="B1888" s="18" t="inlineStr">
        <is>
          <t>Control interno</t>
        </is>
      </c>
      <c r="C1888" s="18" t="inlineStr">
        <is>
          <t>control_interno</t>
        </is>
      </c>
      <c r="D1888" s="18" t="inlineStr">
        <is>
          <t>plan_mejoramiento</t>
        </is>
      </c>
      <c r="E1888" s="18" t="n">
        <v>14</v>
      </c>
      <c r="F1888" s="18" t="inlineStr">
        <is>
          <t>avance_global</t>
        </is>
      </c>
      <c r="G1888" s="18" t="inlineStr">
        <is>
          <t>integer</t>
        </is>
      </c>
      <c r="H1888" s="18" t="inlineStr">
        <is>
          <t>Sí</t>
        </is>
      </c>
      <c r="I1888" s="18" t="inlineStr"/>
      <c r="J1888" s="18" t="inlineStr"/>
      <c r="K1888" s="18" t="inlineStr"/>
      <c r="L1888" s="18" t="inlineStr">
        <is>
          <t>No</t>
        </is>
      </c>
      <c r="M1888" s="18" t="inlineStr">
        <is>
          <t>No</t>
        </is>
      </c>
      <c r="N1888" s="18" t="inlineStr"/>
      <c r="O1888" s="18" t="inlineStr"/>
      <c r="P1888" s="18" t="inlineStr"/>
      <c r="Q1888" s="18" t="inlineStr">
        <is>
          <t>Código fuente (verificado)</t>
        </is>
      </c>
      <c r="R1888" s="18" t="inlineStr">
        <is>
          <t>Avance global del plan de mejoramiento; 0 por defecto.</t>
        </is>
      </c>
      <c r="S1888" s="18" t="inlineStr">
        <is>
          <t>Media</t>
        </is>
      </c>
      <c r="T1888" s="18" t="inlineStr">
        <is>
          <t>db/init/005_control_interno_ddl_20260129_215540.sql:2578: integer DEFAULT 0; la entidad PlanMejoramiento no mapea la columna y ningún servicio la escribe | backend/internal-institutional-control-service/src/esap/planes-mejoramiento/planes-mejoramiento.service.ts:480: el avance del plan se calcula al consultar como promedio del porcentaje de avance de las acciones, sin guardarlo aquí</t>
        </is>
      </c>
      <c r="U1888" s="18" t="inlineStr">
        <is>
          <t>¿avance_global sigue en uso? El backend calcula el avance como promedio de las acciones y no escribe esta columna.</t>
        </is>
      </c>
      <c r="V1888" s="19" t="inlineStr">
        <is>
          <t>Aprobada</t>
        </is>
      </c>
      <c r="W1888" s="19" t="inlineStr"/>
      <c r="X1888" s="19" t="inlineStr">
        <is>
          <t>Aldair González (validación del responsable de BD)</t>
        </is>
      </c>
      <c r="Y1888" s="20" t="n">
        <v>46321</v>
      </c>
      <c r="Z1888" s="19" t="inlineStr">
        <is>
          <t>Nivel 3: validada por decisión del responsable de la base de datos. Pregunta registrada para desarrollo: ¿avance_global sigue en uso? El backend calcula el avance como promedio de las acciones y no escribe esta columna.</t>
        </is>
      </c>
      <c r="AA1888" s="18">
        <f>IF(OR(V1888="Aprobada"),R1888,IF(AND(OR(V1888="Aprobada con ajuste",V1888="Rechazada"),W1888&lt;&gt;""),W1888,""))</f>
        <v/>
      </c>
    </row>
    <row r="1889">
      <c r="A1889" s="18" t="inlineStr">
        <is>
          <t>C1888</t>
        </is>
      </c>
      <c r="B1889" s="18" t="inlineStr">
        <is>
          <t>Control interno</t>
        </is>
      </c>
      <c r="C1889" s="18" t="inlineStr">
        <is>
          <t>control_interno</t>
        </is>
      </c>
      <c r="D1889" s="18" t="inlineStr">
        <is>
          <t>plan_mejoramiento</t>
        </is>
      </c>
      <c r="E1889" s="18" t="n">
        <v>14</v>
      </c>
      <c r="F1889" s="18" t="inlineStr">
        <is>
          <t>aprobado_por</t>
        </is>
      </c>
      <c r="G1889" s="18" t="inlineStr">
        <is>
          <t>character varying(255)</t>
        </is>
      </c>
      <c r="H1889" s="18" t="inlineStr">
        <is>
          <t>Sí</t>
        </is>
      </c>
      <c r="I1889" s="18" t="inlineStr"/>
      <c r="J1889" s="18" t="inlineStr"/>
      <c r="K1889" s="18" t="inlineStr"/>
      <c r="L1889" s="18" t="inlineStr">
        <is>
          <t>No</t>
        </is>
      </c>
      <c r="M1889" s="18" t="inlineStr">
        <is>
          <t>Sí</t>
        </is>
      </c>
      <c r="N1889" s="18" t="inlineStr">
        <is>
          <t>Función control_interno.trigger_evento_actualizacion_plan — control_interno.trigger_evento_actualizacion_plan: COALESCE(NEW.aprobado_por, NEW.responsable_implementacion),  -- usar aprobado_por si es aprobación, sino responsable_imp</t>
        </is>
      </c>
      <c r="O1889" s="18" t="inlineStr"/>
      <c r="P1889" s="18" t="inlineStr">
        <is>
          <t>Mapeada en internal-institutional-control-service/src/esap/planes-mejoramiento/entities/plan-mejoramiento.entity.ts:76 (PlanMejoramiento.aprobadoPor) | Validación: IsOptional, IsString, Length(0, 255)</t>
        </is>
      </c>
      <c r="Q1889" s="18" t="inlineStr">
        <is>
          <t>Regla estructural</t>
        </is>
      </c>
      <c r="R1889" s="18" t="inlineStr">
        <is>
          <t>Usuario que realizó la aprobación.</t>
        </is>
      </c>
      <c r="S1889" s="18" t="inlineStr">
        <is>
          <t>Media</t>
        </is>
      </c>
      <c r="T1889" s="18" t="inlineStr">
        <is>
          <t>Convención de nombre de la columna.</t>
        </is>
      </c>
      <c r="U1889" s="18" t="inlineStr"/>
      <c r="V1889" s="19" t="inlineStr">
        <is>
          <t>Aprobada</t>
        </is>
      </c>
      <c r="W1889" s="19" t="inlineStr"/>
      <c r="X1889" s="19" t="inlineStr">
        <is>
          <t>Aldair González (aprobación en bloque)</t>
        </is>
      </c>
      <c r="Y1889" s="20" t="n">
        <v>46321</v>
      </c>
      <c r="Z1889" s="19" t="inlineStr">
        <is>
          <t>Nivel 1: propuesta del comentario del desarrollador o de confianza alta, o regla de fecha/responsable/motivo.</t>
        </is>
      </c>
      <c r="AA1889" s="18">
        <f>IF(OR(V1889="Aprobada"),R1889,IF(AND(OR(V1889="Aprobada con ajuste",V1889="Rechazada"),W1889&lt;&gt;""),W1889,""))</f>
        <v/>
      </c>
    </row>
    <row r="1890">
      <c r="A1890" s="18" t="inlineStr">
        <is>
          <t>C1889</t>
        </is>
      </c>
      <c r="B1890" s="18" t="inlineStr">
        <is>
          <t>Control interno</t>
        </is>
      </c>
      <c r="C1890" s="18" t="inlineStr">
        <is>
          <t>control_interno</t>
        </is>
      </c>
      <c r="D1890" s="18" t="inlineStr">
        <is>
          <t>plan_mejoramiento</t>
        </is>
      </c>
      <c r="E1890" s="18" t="n">
        <v>14</v>
      </c>
      <c r="F1890" s="18" t="inlineStr">
        <is>
          <t>observaciones</t>
        </is>
      </c>
      <c r="G1890" s="18" t="inlineStr">
        <is>
          <t>text</t>
        </is>
      </c>
      <c r="H1890" s="18" t="inlineStr">
        <is>
          <t>Sí</t>
        </is>
      </c>
      <c r="I1890" s="18" t="inlineStr"/>
      <c r="J1890" s="18" t="inlineStr"/>
      <c r="K1890" s="18" t="inlineStr"/>
      <c r="L1890" s="18" t="inlineStr">
        <is>
          <t>No</t>
        </is>
      </c>
      <c r="M1890" s="18" t="inlineStr">
        <is>
          <t>No</t>
        </is>
      </c>
      <c r="N1890" s="18" t="inlineStr"/>
      <c r="O1890" s="18" t="inlineStr"/>
      <c r="P1890" s="18" t="inlineStr"/>
      <c r="Q1890" s="18" t="inlineStr">
        <is>
          <t>Regla estructural (redacción revisada)</t>
        </is>
      </c>
      <c r="R1890" s="18" t="inlineStr">
        <is>
          <t>Observaciones sobre el plan de mejoramiento.</t>
        </is>
      </c>
      <c r="S1890" s="18" t="inlineStr">
        <is>
          <t>Alta</t>
        </is>
      </c>
      <c r="T1890" s="18" t="inlineStr">
        <is>
          <t>Convención de nombre, redactada con el contexto de la tabla y el código.</t>
        </is>
      </c>
      <c r="U1890" s="18" t="inlineStr"/>
      <c r="V1890" s="19" t="inlineStr">
        <is>
          <t>Aprobada</t>
        </is>
      </c>
      <c r="W1890" s="19" t="inlineStr"/>
      <c r="X1890" s="19" t="inlineStr">
        <is>
          <t>Aldair González (aprobación en bloque)</t>
        </is>
      </c>
      <c r="Y1890" s="20" t="n">
        <v>46321</v>
      </c>
      <c r="Z1890" s="19" t="inlineStr">
        <is>
          <t>Nivel 2: regla estructural con redacción revisada.</t>
        </is>
      </c>
      <c r="AA1890" s="18">
        <f>IF(OR(V1890="Aprobada"),R1890,IF(AND(OR(V1890="Aprobada con ajuste",V1890="Rechazada"),W1890&lt;&gt;""),W1890,""))</f>
        <v/>
      </c>
    </row>
    <row r="1891">
      <c r="A1891" s="18" t="inlineStr">
        <is>
          <t>C1890</t>
        </is>
      </c>
      <c r="B1891" s="18" t="inlineStr">
        <is>
          <t>Control interno</t>
        </is>
      </c>
      <c r="C1891" s="18" t="inlineStr">
        <is>
          <t>control_interno</t>
        </is>
      </c>
      <c r="D1891" s="18" t="inlineStr">
        <is>
          <t>plan_mejoramiento</t>
        </is>
      </c>
      <c r="E1891" s="18" t="n">
        <v>14</v>
      </c>
      <c r="F1891" s="18" t="inlineStr">
        <is>
          <t>observaciones_aprobacion</t>
        </is>
      </c>
      <c r="G1891" s="18" t="inlineStr">
        <is>
          <t>text</t>
        </is>
      </c>
      <c r="H1891" s="18" t="inlineStr">
        <is>
          <t>Sí</t>
        </is>
      </c>
      <c r="I1891" s="18" t="inlineStr"/>
      <c r="J1891" s="18" t="inlineStr"/>
      <c r="K1891" s="18" t="inlineStr"/>
      <c r="L1891" s="18" t="inlineStr">
        <is>
          <t>No</t>
        </is>
      </c>
      <c r="M1891" s="18" t="inlineStr">
        <is>
          <t>No</t>
        </is>
      </c>
      <c r="N1891" s="18" t="inlineStr"/>
      <c r="O1891" s="18" t="inlineStr"/>
      <c r="P1891" s="18" t="inlineStr">
        <is>
          <t>Mapeada en internal-institutional-control-service/src/esap/planes-mejoramiento/entities/plan-mejoramiento.entity.ts:79 (PlanMejoramiento.observacionesAprobacion) | Validación: IsOptional, IsString</t>
        </is>
      </c>
      <c r="Q1891" s="18" t="inlineStr">
        <is>
          <t>Propuesta semántica</t>
        </is>
      </c>
      <c r="R1891" s="18" t="inlineStr">
        <is>
          <t>Observaciones registradas al aprobar el plan de mejoramiento.</t>
        </is>
      </c>
      <c r="S1891" s="18" t="inlineStr">
        <is>
          <t>Alta</t>
        </is>
      </c>
      <c r="T1891" s="18" t="inlineStr">
        <is>
          <t>nombre + tipo + columnas vecinas</t>
        </is>
      </c>
      <c r="U1891" s="18" t="inlineStr"/>
      <c r="V1891" s="19" t="inlineStr">
        <is>
          <t>Aprobada</t>
        </is>
      </c>
      <c r="W1891" s="19" t="inlineStr"/>
      <c r="X1891" s="19" t="inlineStr">
        <is>
          <t>Aldair González (aprobación en bloque)</t>
        </is>
      </c>
      <c r="Y1891" s="20" t="n">
        <v>46321</v>
      </c>
      <c r="Z1891" s="19" t="inlineStr">
        <is>
          <t>Nivel 1: propuesta del comentario del desarrollador o de confianza alta, o regla de fecha/responsable/motivo.</t>
        </is>
      </c>
      <c r="AA1891" s="18">
        <f>IF(OR(V1891="Aprobada"),R1891,IF(AND(OR(V1891="Aprobada con ajuste",V1891="Rechazada"),W1891&lt;&gt;""),W1891,""))</f>
        <v/>
      </c>
    </row>
    <row r="1892">
      <c r="A1892" s="18" t="inlineStr">
        <is>
          <t>C1891</t>
        </is>
      </c>
      <c r="B1892" s="18" t="inlineStr">
        <is>
          <t>Control interno</t>
        </is>
      </c>
      <c r="C1892" s="18" t="inlineStr">
        <is>
          <t>control_interno</t>
        </is>
      </c>
      <c r="D1892" s="18" t="inlineStr">
        <is>
          <t>plan_mejoramiento</t>
        </is>
      </c>
      <c r="E1892" s="18" t="n">
        <v>14</v>
      </c>
      <c r="F1892" s="18" t="inlineStr">
        <is>
          <t>motivo_rechazo</t>
        </is>
      </c>
      <c r="G1892" s="18" t="inlineStr">
        <is>
          <t>text</t>
        </is>
      </c>
      <c r="H1892" s="18" t="inlineStr">
        <is>
          <t>Sí</t>
        </is>
      </c>
      <c r="I1892" s="18" t="inlineStr"/>
      <c r="J1892" s="18" t="inlineStr"/>
      <c r="K1892" s="18" t="inlineStr"/>
      <c r="L1892" s="18" t="inlineStr">
        <is>
          <t>No</t>
        </is>
      </c>
      <c r="M1892" s="18" t="inlineStr">
        <is>
          <t>No</t>
        </is>
      </c>
      <c r="N1892" s="18" t="inlineStr"/>
      <c r="O1892" s="18" t="inlineStr"/>
      <c r="P1892" s="18" t="inlineStr">
        <is>
          <t>Mapeada en internal-institutional-control-service/src/esap/planes-mejoramiento/entities/plan-mejoramiento.entity.ts:82 (PlanMejoramiento.motivoRechazo) | Validación: IsNotEmpty, IsOptional, IsString</t>
        </is>
      </c>
      <c r="Q1892" s="18" t="inlineStr">
        <is>
          <t>Regla estructural</t>
        </is>
      </c>
      <c r="R1892" s="18" t="inlineStr">
        <is>
          <t>Motivo del rechazo.</t>
        </is>
      </c>
      <c r="S1892" s="18" t="inlineStr">
        <is>
          <t>Media</t>
        </is>
      </c>
      <c r="T1892" s="18" t="inlineStr">
        <is>
          <t>Convención de nombre de la columna.</t>
        </is>
      </c>
      <c r="U1892" s="18" t="inlineStr"/>
      <c r="V1892" s="19" t="inlineStr">
        <is>
          <t>Aprobada</t>
        </is>
      </c>
      <c r="W1892" s="19" t="inlineStr"/>
      <c r="X1892" s="19" t="inlineStr">
        <is>
          <t>Aldair González (aprobación en bloque)</t>
        </is>
      </c>
      <c r="Y1892" s="20" t="n">
        <v>46321</v>
      </c>
      <c r="Z1892" s="19" t="inlineStr">
        <is>
          <t>Nivel 1: propuesta del comentario del desarrollador o de confianza alta, o regla de fecha/responsable/motivo.</t>
        </is>
      </c>
      <c r="AA1892" s="18">
        <f>IF(OR(V1892="Aprobada"),R1892,IF(AND(OR(V1892="Aprobada con ajuste",V1892="Rechazada"),W1892&lt;&gt;""),W1892,""))</f>
        <v/>
      </c>
    </row>
    <row r="1893">
      <c r="A1893" s="18" t="inlineStr">
        <is>
          <t>C1892</t>
        </is>
      </c>
      <c r="B1893" s="18" t="inlineStr">
        <is>
          <t>Control interno</t>
        </is>
      </c>
      <c r="C1893" s="18" t="inlineStr">
        <is>
          <t>control_interno</t>
        </is>
      </c>
      <c r="D1893" s="18" t="inlineStr">
        <is>
          <t>plan_mejoramiento</t>
        </is>
      </c>
      <c r="E1893" s="18" t="n">
        <v>14</v>
      </c>
      <c r="F1893" s="18" t="inlineStr">
        <is>
          <t>seguimientos</t>
        </is>
      </c>
      <c r="G1893" s="18" t="inlineStr">
        <is>
          <t>jsonb</t>
        </is>
      </c>
      <c r="H1893" s="18" t="inlineStr">
        <is>
          <t>Sí</t>
        </is>
      </c>
      <c r="I1893" s="18" t="inlineStr"/>
      <c r="J1893" s="18" t="inlineStr"/>
      <c r="K1893" s="18" t="inlineStr"/>
      <c r="L1893" s="18" t="inlineStr">
        <is>
          <t>No</t>
        </is>
      </c>
      <c r="M1893" s="18" t="inlineStr">
        <is>
          <t>No</t>
        </is>
      </c>
      <c r="N1893" s="18" t="inlineStr"/>
      <c r="O1893" s="18" t="inlineStr"/>
      <c r="P1893" s="18" t="inlineStr"/>
      <c r="Q1893" s="18" t="inlineStr">
        <is>
          <t>Código fuente (verificado)</t>
        </is>
      </c>
      <c r="R1893" s="18" t="inlineStr">
        <is>
          <t>Seguimientos realizados al plan de mejoramiento, en formato JSON.</t>
        </is>
      </c>
      <c r="S1893" s="18" t="inlineStr">
        <is>
          <t>Media</t>
        </is>
      </c>
      <c r="T1893" s="18" t="inlineStr">
        <is>
          <t>backend/internal-institutional-control-service/db/fix_all_plan_mejoramiento_columns.sql:31-33: «seguimientos (no está en la entidad, se maneja con relaciones)» | backend/internal-institutional-control-service/src/esap/planes-mejoramiento/entities/plan-mejoramiento.entity.ts:88-89: los seguimientos se guardan en seguimiento_trimestral</t>
        </is>
      </c>
      <c r="U1893" s="18" t="inlineStr">
        <is>
          <t>¿Se puede retirar la columna seguimientos? El backend usa la tabla control_interno.seguimiento_trimestral como fuente.</t>
        </is>
      </c>
      <c r="V1893" s="19" t="inlineStr">
        <is>
          <t>Aprobada</t>
        </is>
      </c>
      <c r="W1893" s="19" t="inlineStr"/>
      <c r="X1893" s="19" t="inlineStr">
        <is>
          <t>Aldair González (validación del responsable de BD)</t>
        </is>
      </c>
      <c r="Y1893" s="20" t="n">
        <v>46321</v>
      </c>
      <c r="Z1893" s="19" t="inlineStr">
        <is>
          <t>Nivel 3: validada por decisión del responsable de la base de datos. Pregunta registrada para desarrollo: ¿Se puede retirar la columna seguimientos? El backend usa la tabla control_interno.seguimiento_trimestral como fuente.</t>
        </is>
      </c>
      <c r="AA1893" s="18">
        <f>IF(OR(V1893="Aprobada"),R1893,IF(AND(OR(V1893="Aprobada con ajuste",V1893="Rechazada"),W1893&lt;&gt;""),W1893,""))</f>
        <v/>
      </c>
    </row>
    <row r="1894">
      <c r="A1894" s="18" t="inlineStr">
        <is>
          <t>C1893</t>
        </is>
      </c>
      <c r="B1894" s="18" t="inlineStr">
        <is>
          <t>Control interno</t>
        </is>
      </c>
      <c r="C1894" s="18" t="inlineStr">
        <is>
          <t>control_interno</t>
        </is>
      </c>
      <c r="D1894" s="18" t="inlineStr">
        <is>
          <t>plan_mejoramiento</t>
        </is>
      </c>
      <c r="E1894" s="18" t="n">
        <v>14</v>
      </c>
      <c r="F1894" s="18" t="inlineStr">
        <is>
          <t>codigo_auditoria</t>
        </is>
      </c>
      <c r="G1894" s="18" t="inlineStr">
        <is>
          <t>character varying(255)</t>
        </is>
      </c>
      <c r="H1894" s="18" t="inlineStr">
        <is>
          <t>Sí</t>
        </is>
      </c>
      <c r="I1894" s="18" t="inlineStr"/>
      <c r="J1894" s="18" t="inlineStr"/>
      <c r="K1894" s="18" t="inlineStr"/>
      <c r="L1894" s="18" t="inlineStr">
        <is>
          <t>No</t>
        </is>
      </c>
      <c r="M1894" s="18" t="inlineStr">
        <is>
          <t>No</t>
        </is>
      </c>
      <c r="N1894" s="18" t="inlineStr"/>
      <c r="O1894" s="18" t="inlineStr"/>
      <c r="P1894" s="18" t="inlineStr"/>
      <c r="Q1894" s="18" t="inlineStr">
        <is>
          <t>Código fuente (verificado)</t>
        </is>
      </c>
      <c r="R1894" s="18" t="inlineStr">
        <is>
          <t>Código de la auditoría de la que proviene el plan de mejoramiento.</t>
        </is>
      </c>
      <c r="S1894" s="18" t="inlineStr">
        <is>
          <t>Media</t>
        </is>
      </c>
      <c r="T1894" s="18" t="inlineStr">
        <is>
          <t>db/init/005_control_interno_ddl_20260129_215540.sql:2584: varchar(255); la entidad PlanMejoramiento no mapea la columna y ningún servicio la escribe | backend/internal-institutional-control-service/src/esap/planes-mejoramiento/entities/plan-mejoramiento.entity.ts:50-55: auditoria_id con relación a control_interno.auditoria</t>
        </is>
      </c>
      <c r="U1894" s="18" t="inlineStr">
        <is>
          <t>¿codigo_auditoria sigue en uso? El backend usa auditoria_id y no escribe esta columna.</t>
        </is>
      </c>
      <c r="V1894" s="19" t="inlineStr">
        <is>
          <t>Aprobada</t>
        </is>
      </c>
      <c r="W1894" s="19" t="inlineStr"/>
      <c r="X1894" s="19" t="inlineStr">
        <is>
          <t>Aldair González (validación del responsable de BD)</t>
        </is>
      </c>
      <c r="Y1894" s="20" t="n">
        <v>46321</v>
      </c>
      <c r="Z1894" s="19" t="inlineStr">
        <is>
          <t>Nivel 3: validada por decisión del responsable de la base de datos. Pregunta registrada para desarrollo: ¿codigo_auditoria sigue en uso? El backend usa auditoria_id y no escribe esta columna.</t>
        </is>
      </c>
      <c r="AA1894" s="18">
        <f>IF(OR(V1894="Aprobada"),R1894,IF(AND(OR(V1894="Aprobada con ajuste",V1894="Rechazada"),W1894&lt;&gt;""),W1894,""))</f>
        <v/>
      </c>
    </row>
    <row r="1895">
      <c r="A1895" s="18" t="inlineStr">
        <is>
          <t>C1894</t>
        </is>
      </c>
      <c r="B1895" s="18" t="inlineStr">
        <is>
          <t>Control interno</t>
        </is>
      </c>
      <c r="C1895" s="18" t="inlineStr">
        <is>
          <t>control_interno</t>
        </is>
      </c>
      <c r="D1895" s="18" t="inlineStr">
        <is>
          <t>plan_mejoramiento</t>
        </is>
      </c>
      <c r="E1895" s="18" t="n">
        <v>14</v>
      </c>
      <c r="F1895" s="18" t="inlineStr">
        <is>
          <t>porcentaje_efectividad</t>
        </is>
      </c>
      <c r="G1895" s="18" t="inlineStr">
        <is>
          <t>integer</t>
        </is>
      </c>
      <c r="H1895" s="18" t="inlineStr">
        <is>
          <t>Sí</t>
        </is>
      </c>
      <c r="I1895" s="18" t="inlineStr">
        <is>
          <t>CHECK</t>
        </is>
      </c>
      <c r="J1895" s="18" t="inlineStr"/>
      <c r="K1895" s="18" t="inlineStr"/>
      <c r="L1895" s="18" t="inlineStr">
        <is>
          <t>No</t>
        </is>
      </c>
      <c r="M1895" s="18" t="inlineStr">
        <is>
          <t>No</t>
        </is>
      </c>
      <c r="N1895" s="18" t="inlineStr"/>
      <c r="O1895" s="18" t="inlineStr"/>
      <c r="P1895" s="18" t="inlineStr"/>
      <c r="Q1895" s="18" t="inlineStr">
        <is>
          <t>Código fuente (verificado)</t>
        </is>
      </c>
      <c r="R1895" s="18" t="inlineStr">
        <is>
          <t>Porcentaje de efectividad del plan de mejoramiento, de 0 a 100; 0 por defecto.</t>
        </is>
      </c>
      <c r="S1895" s="18" t="inlineStr">
        <is>
          <t>Media</t>
        </is>
      </c>
      <c r="T1895" s="18" t="inlineStr">
        <is>
          <t>db/init/005_control_interno_ddl_20260129_215540.sql:2585,2592: DEFAULT 0 y CHECK entre 0 y 100; la entidad PlanMejoramiento no mapea la columna y ningún servicio la escribe</t>
        </is>
      </c>
      <c r="U1895" s="18" t="inlineStr">
        <is>
          <t>¿Cómo se calcula la efectividad y quién la registra? El backend no escribe esta columna.</t>
        </is>
      </c>
      <c r="V1895" s="19" t="inlineStr">
        <is>
          <t>Aprobada</t>
        </is>
      </c>
      <c r="W1895" s="19" t="inlineStr"/>
      <c r="X1895" s="19" t="inlineStr">
        <is>
          <t>Aldair González (validación del responsable de BD)</t>
        </is>
      </c>
      <c r="Y1895" s="20" t="n">
        <v>46321</v>
      </c>
      <c r="Z1895" s="19" t="inlineStr">
        <is>
          <t>Nivel 3: validada por decisión del responsable de la base de datos. Pregunta registrada para desarrollo: ¿Cómo se calcula la efectividad y quién la registra? El backend no escribe esta columna.</t>
        </is>
      </c>
      <c r="AA1895" s="18">
        <f>IF(OR(V1895="Aprobada"),R1895,IF(AND(OR(V1895="Aprobada con ajuste",V1895="Rechazada"),W1895&lt;&gt;""),W1895,""))</f>
        <v/>
      </c>
    </row>
    <row r="1896">
      <c r="A1896" s="18" t="inlineStr">
        <is>
          <t>C1895</t>
        </is>
      </c>
      <c r="B1896" s="18" t="inlineStr">
        <is>
          <t>Control interno</t>
        </is>
      </c>
      <c r="C1896" s="18" t="inlineStr">
        <is>
          <t>control_interno</t>
        </is>
      </c>
      <c r="D1896" s="18" t="inlineStr">
        <is>
          <t>plan_mejoramiento</t>
        </is>
      </c>
      <c r="E1896" s="18" t="n">
        <v>14</v>
      </c>
      <c r="F1896" s="18" t="inlineStr">
        <is>
          <t>seguimientos_realizados</t>
        </is>
      </c>
      <c r="G1896" s="18" t="inlineStr">
        <is>
          <t>integer</t>
        </is>
      </c>
      <c r="H1896" s="18" t="inlineStr">
        <is>
          <t>Sí</t>
        </is>
      </c>
      <c r="I1896" s="18" t="inlineStr"/>
      <c r="J1896" s="18" t="inlineStr"/>
      <c r="K1896" s="18" t="inlineStr"/>
      <c r="L1896" s="18" t="inlineStr">
        <is>
          <t>No</t>
        </is>
      </c>
      <c r="M1896" s="18" t="inlineStr">
        <is>
          <t>No</t>
        </is>
      </c>
      <c r="N1896" s="18" t="inlineStr"/>
      <c r="O1896" s="18" t="inlineStr"/>
      <c r="P1896" s="18" t="inlineStr"/>
      <c r="Q1896" s="18" t="inlineStr">
        <is>
          <t>Propuesta semántica</t>
        </is>
      </c>
      <c r="R1896" s="18" t="inlineStr">
        <is>
          <t>Cantidad de seguimientos realizados al plan de mejoramiento.</t>
        </is>
      </c>
      <c r="S1896" s="18" t="inlineStr">
        <is>
          <t>Alta</t>
        </is>
      </c>
      <c r="T1896" s="18" t="inlineStr">
        <is>
          <t>nombre + tipo + columnas vecinas</t>
        </is>
      </c>
      <c r="U1896" s="18" t="inlineStr"/>
      <c r="V1896" s="19" t="inlineStr">
        <is>
          <t>Aprobada</t>
        </is>
      </c>
      <c r="W1896" s="19" t="inlineStr"/>
      <c r="X1896" s="19" t="inlineStr">
        <is>
          <t>Aldair González (aprobación en bloque)</t>
        </is>
      </c>
      <c r="Y1896" s="20" t="n">
        <v>46321</v>
      </c>
      <c r="Z1896" s="19" t="inlineStr">
        <is>
          <t>Nivel 1: propuesta del comentario del desarrollador o de confianza alta, o regla de fecha/responsable/motivo.</t>
        </is>
      </c>
      <c r="AA1896" s="18">
        <f>IF(OR(V1896="Aprobada"),R1896,IF(AND(OR(V1896="Aprobada con ajuste",V1896="Rechazada"),W1896&lt;&gt;""),W1896,""))</f>
        <v/>
      </c>
    </row>
    <row r="1897">
      <c r="A1897" s="18" t="inlineStr">
        <is>
          <t>C1896</t>
        </is>
      </c>
      <c r="B1897" s="18" t="inlineStr">
        <is>
          <t>Control interno</t>
        </is>
      </c>
      <c r="C1897" s="18" t="inlineStr">
        <is>
          <t>control_interno</t>
        </is>
      </c>
      <c r="D1897" s="18" t="inlineStr">
        <is>
          <t>plan_mejoramiento</t>
        </is>
      </c>
      <c r="E1897" s="18" t="n">
        <v>14</v>
      </c>
      <c r="F1897" s="18" t="inlineStr">
        <is>
          <t>seguimientos_totales</t>
        </is>
      </c>
      <c r="G1897" s="18" t="inlineStr">
        <is>
          <t>integer</t>
        </is>
      </c>
      <c r="H1897" s="18" t="inlineStr">
        <is>
          <t>Sí</t>
        </is>
      </c>
      <c r="I1897" s="18" t="inlineStr"/>
      <c r="J1897" s="18" t="inlineStr"/>
      <c r="K1897" s="18" t="inlineStr"/>
      <c r="L1897" s="18" t="inlineStr">
        <is>
          <t>No</t>
        </is>
      </c>
      <c r="M1897" s="18" t="inlineStr">
        <is>
          <t>No</t>
        </is>
      </c>
      <c r="N1897" s="18" t="inlineStr"/>
      <c r="O1897" s="18" t="inlineStr"/>
      <c r="P1897" s="18" t="inlineStr"/>
      <c r="Q1897" s="18" t="inlineStr">
        <is>
          <t>Propuesta semántica</t>
        </is>
      </c>
      <c r="R1897" s="18" t="inlineStr">
        <is>
          <t>Cantidad total de seguimientos programados para el plan de mejoramiento. Valor por defecto: 4.</t>
        </is>
      </c>
      <c r="S1897" s="18" t="inlineStr">
        <is>
          <t>Alta</t>
        </is>
      </c>
      <c r="T1897" s="18" t="inlineStr">
        <is>
          <t>nombre + defecto + seguimientos trimestrales</t>
        </is>
      </c>
      <c r="U1897" s="18" t="inlineStr"/>
      <c r="V1897" s="19" t="inlineStr">
        <is>
          <t>Aprobada</t>
        </is>
      </c>
      <c r="W1897" s="19" t="inlineStr"/>
      <c r="X1897" s="19" t="inlineStr">
        <is>
          <t>Aldair González (aprobación en bloque)</t>
        </is>
      </c>
      <c r="Y1897" s="20" t="n">
        <v>46321</v>
      </c>
      <c r="Z1897" s="19" t="inlineStr">
        <is>
          <t>Nivel 1: propuesta del comentario del desarrollador o de confianza alta, o regla de fecha/responsable/motivo.</t>
        </is>
      </c>
      <c r="AA1897" s="18">
        <f>IF(OR(V1897="Aprobada"),R1897,IF(AND(OR(V1897="Aprobada con ajuste",V1897="Rechazada"),W1897&lt;&gt;""),W1897,""))</f>
        <v/>
      </c>
    </row>
    <row r="1898">
      <c r="A1898" s="18" t="inlineStr">
        <is>
          <t>C1897</t>
        </is>
      </c>
      <c r="B1898" s="18" t="inlineStr">
        <is>
          <t>Control interno</t>
        </is>
      </c>
      <c r="C1898" s="18" t="inlineStr">
        <is>
          <t>control_interno</t>
        </is>
      </c>
      <c r="D1898" s="18" t="inlineStr">
        <is>
          <t>plan_mejoramiento</t>
        </is>
      </c>
      <c r="E1898" s="18" t="n">
        <v>14</v>
      </c>
      <c r="F1898" s="18" t="inlineStr">
        <is>
          <t>proximo_seguimiento</t>
        </is>
      </c>
      <c r="G1898" s="18" t="inlineStr">
        <is>
          <t>date</t>
        </is>
      </c>
      <c r="H1898" s="18" t="inlineStr">
        <is>
          <t>Sí</t>
        </is>
      </c>
      <c r="I1898" s="18" t="inlineStr"/>
      <c r="J1898" s="18" t="inlineStr"/>
      <c r="K1898" s="18" t="inlineStr"/>
      <c r="L1898" s="18" t="inlineStr">
        <is>
          <t>No</t>
        </is>
      </c>
      <c r="M1898" s="18" t="inlineStr">
        <is>
          <t>No</t>
        </is>
      </c>
      <c r="N1898" s="18" t="inlineStr"/>
      <c r="O1898" s="18" t="inlineStr"/>
      <c r="P1898" s="18" t="inlineStr"/>
      <c r="Q1898" s="18" t="inlineStr">
        <is>
          <t>Propuesta semántica</t>
        </is>
      </c>
      <c r="R1898" s="18" t="inlineStr">
        <is>
          <t>Fecha programada para el próximo seguimiento del plan de mejoramiento.</t>
        </is>
      </c>
      <c r="S1898" s="18" t="inlineStr">
        <is>
          <t>Alta</t>
        </is>
      </c>
      <c r="T1898" s="18" t="inlineStr">
        <is>
          <t>nombre + tipo + columnas vecinas</t>
        </is>
      </c>
      <c r="U1898" s="18" t="inlineStr"/>
      <c r="V1898" s="19" t="inlineStr">
        <is>
          <t>Aprobada</t>
        </is>
      </c>
      <c r="W1898" s="19" t="inlineStr"/>
      <c r="X1898" s="19" t="inlineStr">
        <is>
          <t>Aldair González (aprobación en bloque)</t>
        </is>
      </c>
      <c r="Y1898" s="20" t="n">
        <v>46321</v>
      </c>
      <c r="Z1898" s="19" t="inlineStr">
        <is>
          <t>Nivel 1: propuesta del comentario del desarrollador o de confianza alta, o regla de fecha/responsable/motivo.</t>
        </is>
      </c>
      <c r="AA1898" s="18">
        <f>IF(OR(V1898="Aprobada"),R1898,IF(AND(OR(V1898="Aprobada con ajuste",V1898="Rechazada"),W1898&lt;&gt;""),W1898,""))</f>
        <v/>
      </c>
    </row>
    <row r="1899">
      <c r="A1899" s="18" t="inlineStr">
        <is>
          <t>C1898</t>
        </is>
      </c>
      <c r="B1899" s="18" t="inlineStr">
        <is>
          <t>Control interno</t>
        </is>
      </c>
      <c r="C1899" s="18" t="inlineStr">
        <is>
          <t>control_interno</t>
        </is>
      </c>
      <c r="D1899" s="18" t="inlineStr">
        <is>
          <t>plantilla_email</t>
        </is>
      </c>
      <c r="E1899" s="18" t="n">
        <v>0</v>
      </c>
      <c r="F1899" s="18" t="inlineStr">
        <is>
          <t>codigo</t>
        </is>
      </c>
      <c r="G1899" s="18" t="inlineStr">
        <is>
          <t>character varying(255)</t>
        </is>
      </c>
      <c r="H1899" s="18" t="inlineStr">
        <is>
          <t>No</t>
        </is>
      </c>
      <c r="I1899" s="18" t="inlineStr">
        <is>
          <t>Única</t>
        </is>
      </c>
      <c r="J1899" s="18" t="inlineStr"/>
      <c r="K1899" s="18" t="inlineStr"/>
      <c r="L1899" s="18" t="inlineStr">
        <is>
          <t>No</t>
        </is>
      </c>
      <c r="M1899" s="18" t="inlineStr">
        <is>
          <t>No</t>
        </is>
      </c>
      <c r="N1899" s="18" t="inlineStr"/>
      <c r="O1899" s="18" t="inlineStr">
        <is>
          <t>idx_plantilla_codigo, plantilla_email_codigo_key</t>
        </is>
      </c>
      <c r="P1899" s="18" t="inlineStr"/>
      <c r="Q1899" s="18" t="inlineStr">
        <is>
          <t>Regla estructural (redacción revisada)</t>
        </is>
      </c>
      <c r="R1899" s="18" t="inlineStr">
        <is>
          <t>Código de la plantilla de correo electrónico. Único en la tabla.</t>
        </is>
      </c>
      <c r="S1899" s="18" t="inlineStr">
        <is>
          <t>Alta</t>
        </is>
      </c>
      <c r="T1899" s="18" t="inlineStr">
        <is>
          <t>Convención de nombre, redactada con el contexto de la tabla y el código.</t>
        </is>
      </c>
      <c r="U1899" s="18" t="inlineStr"/>
      <c r="V1899" s="19" t="inlineStr">
        <is>
          <t>Aprobada</t>
        </is>
      </c>
      <c r="W1899" s="19" t="inlineStr"/>
      <c r="X1899" s="19" t="inlineStr">
        <is>
          <t>Aldair González (aprobación en bloque)</t>
        </is>
      </c>
      <c r="Y1899" s="20" t="n">
        <v>46321</v>
      </c>
      <c r="Z1899" s="19" t="inlineStr">
        <is>
          <t>Nivel 2: regla estructural con redacción revisada.</t>
        </is>
      </c>
      <c r="AA1899" s="18">
        <f>IF(OR(V1899="Aprobada"),R1899,IF(AND(OR(V1899="Aprobada con ajuste",V1899="Rechazada"),W1899&lt;&gt;""),W1899,""))</f>
        <v/>
      </c>
    </row>
    <row r="1900">
      <c r="A1900" s="18" t="inlineStr">
        <is>
          <t>C1899</t>
        </is>
      </c>
      <c r="B1900" s="18" t="inlineStr">
        <is>
          <t>Control interno</t>
        </is>
      </c>
      <c r="C1900" s="18" t="inlineStr">
        <is>
          <t>control_interno</t>
        </is>
      </c>
      <c r="D1900" s="18" t="inlineStr">
        <is>
          <t>plantilla_email</t>
        </is>
      </c>
      <c r="E1900" s="18" t="n">
        <v>0</v>
      </c>
      <c r="F1900" s="18" t="inlineStr">
        <is>
          <t>nombre</t>
        </is>
      </c>
      <c r="G1900" s="18" t="inlineStr">
        <is>
          <t>character varying(255)</t>
        </is>
      </c>
      <c r="H1900" s="18" t="inlineStr">
        <is>
          <t>No</t>
        </is>
      </c>
      <c r="I1900" s="18" t="inlineStr"/>
      <c r="J1900" s="18" t="inlineStr"/>
      <c r="K1900" s="18" t="inlineStr"/>
      <c r="L1900" s="18" t="inlineStr">
        <is>
          <t>No</t>
        </is>
      </c>
      <c r="M1900" s="18" t="inlineStr">
        <is>
          <t>No</t>
        </is>
      </c>
      <c r="N1900" s="18" t="inlineStr"/>
      <c r="O1900" s="18" t="inlineStr"/>
      <c r="P1900" s="18" t="inlineStr"/>
      <c r="Q1900" s="18" t="inlineStr">
        <is>
          <t>Regla estructural (redacción revisada)</t>
        </is>
      </c>
      <c r="R1900" s="18" t="inlineStr">
        <is>
          <t>Nombre de la plantilla de correo electrónico.</t>
        </is>
      </c>
      <c r="S1900" s="18" t="inlineStr">
        <is>
          <t>Alta</t>
        </is>
      </c>
      <c r="T1900" s="18" t="inlineStr">
        <is>
          <t>Convención de nombre, redactada con el contexto de la tabla y el código.</t>
        </is>
      </c>
      <c r="U1900" s="18" t="inlineStr"/>
      <c r="V1900" s="19" t="inlineStr">
        <is>
          <t>Aprobada</t>
        </is>
      </c>
      <c r="W1900" s="19" t="inlineStr"/>
      <c r="X1900" s="19" t="inlineStr">
        <is>
          <t>Aldair González (aprobación en bloque)</t>
        </is>
      </c>
      <c r="Y1900" s="20" t="n">
        <v>46321</v>
      </c>
      <c r="Z1900" s="19" t="inlineStr">
        <is>
          <t>Nivel 2: regla estructural con redacción revisada.</t>
        </is>
      </c>
      <c r="AA1900" s="18">
        <f>IF(OR(V1900="Aprobada"),R1900,IF(AND(OR(V1900="Aprobada con ajuste",V1900="Rechazada"),W1900&lt;&gt;""),W1900,""))</f>
        <v/>
      </c>
    </row>
    <row r="1901">
      <c r="A1901" s="18" t="inlineStr">
        <is>
          <t>C1900</t>
        </is>
      </c>
      <c r="B1901" s="18" t="inlineStr">
        <is>
          <t>Control interno</t>
        </is>
      </c>
      <c r="C1901" s="18" t="inlineStr">
        <is>
          <t>control_interno</t>
        </is>
      </c>
      <c r="D1901" s="18" t="inlineStr">
        <is>
          <t>plantilla_email</t>
        </is>
      </c>
      <c r="E1901" s="18" t="n">
        <v>0</v>
      </c>
      <c r="F1901" s="18" t="inlineStr">
        <is>
          <t>asunto</t>
        </is>
      </c>
      <c r="G1901" s="18" t="inlineStr">
        <is>
          <t>character varying(500)</t>
        </is>
      </c>
      <c r="H1901" s="18" t="inlineStr">
        <is>
          <t>No</t>
        </is>
      </c>
      <c r="I1901" s="18" t="inlineStr"/>
      <c r="J1901" s="18" t="inlineStr"/>
      <c r="K1901" s="18" t="inlineStr"/>
      <c r="L1901" s="18" t="inlineStr">
        <is>
          <t>No</t>
        </is>
      </c>
      <c r="M1901" s="18" t="inlineStr">
        <is>
          <t>No</t>
        </is>
      </c>
      <c r="N1901" s="18" t="inlineStr"/>
      <c r="O1901" s="18" t="inlineStr"/>
      <c r="P1901" s="18" t="inlineStr"/>
      <c r="Q1901" s="18" t="inlineStr">
        <is>
          <t>Propuesta semántica</t>
        </is>
      </c>
      <c r="R1901" s="18" t="inlineStr">
        <is>
          <t>Asunto del correo electrónico de la plantilla.</t>
        </is>
      </c>
      <c r="S1901" s="18" t="inlineStr">
        <is>
          <t>Alta</t>
        </is>
      </c>
      <c r="T1901" s="18" t="inlineStr">
        <is>
          <t>nombre + tipo + columnas vecinas</t>
        </is>
      </c>
      <c r="U1901" s="18" t="inlineStr"/>
      <c r="V1901" s="19" t="inlineStr">
        <is>
          <t>Aprobada</t>
        </is>
      </c>
      <c r="W1901" s="19" t="inlineStr"/>
      <c r="X1901" s="19" t="inlineStr">
        <is>
          <t>Aldair González (aprobación en bloque)</t>
        </is>
      </c>
      <c r="Y1901" s="20" t="n">
        <v>46321</v>
      </c>
      <c r="Z1901" s="19" t="inlineStr">
        <is>
          <t>Nivel 1: propuesta del comentario del desarrollador o de confianza alta, o regla de fecha/responsable/motivo.</t>
        </is>
      </c>
      <c r="AA1901" s="18">
        <f>IF(OR(V1901="Aprobada"),R1901,IF(AND(OR(V1901="Aprobada con ajuste",V1901="Rechazada"),W1901&lt;&gt;""),W1901,""))</f>
        <v/>
      </c>
    </row>
    <row r="1902">
      <c r="A1902" s="18" t="inlineStr">
        <is>
          <t>C1901</t>
        </is>
      </c>
      <c r="B1902" s="18" t="inlineStr">
        <is>
          <t>Control interno</t>
        </is>
      </c>
      <c r="C1902" s="18" t="inlineStr">
        <is>
          <t>control_interno</t>
        </is>
      </c>
      <c r="D1902" s="18" t="inlineStr">
        <is>
          <t>plantilla_email</t>
        </is>
      </c>
      <c r="E1902" s="18" t="n">
        <v>0</v>
      </c>
      <c r="F1902" s="18" t="inlineStr">
        <is>
          <t>cuerpo</t>
        </is>
      </c>
      <c r="G1902" s="18" t="inlineStr">
        <is>
          <t>text</t>
        </is>
      </c>
      <c r="H1902" s="18" t="inlineStr">
        <is>
          <t>No</t>
        </is>
      </c>
      <c r="I1902" s="18" t="inlineStr"/>
      <c r="J1902" s="18" t="inlineStr"/>
      <c r="K1902" s="18" t="inlineStr"/>
      <c r="L1902" s="18" t="inlineStr">
        <is>
          <t>No</t>
        </is>
      </c>
      <c r="M1902" s="18" t="inlineStr">
        <is>
          <t>No</t>
        </is>
      </c>
      <c r="N1902" s="18" t="inlineStr"/>
      <c r="O1902" s="18" t="inlineStr"/>
      <c r="P1902" s="18" t="inlineStr"/>
      <c r="Q1902" s="18" t="inlineStr">
        <is>
          <t>Código fuente (verificado)</t>
        </is>
      </c>
      <c r="R1902" s="18" t="inlineStr">
        <is>
          <t>Cuerpo del correo electrónico de la plantilla.</t>
        </is>
      </c>
      <c r="S1902" s="18" t="inlineStr">
        <is>
          <t>Media</t>
        </is>
      </c>
      <c r="T1902" s="18" t="inlineStr">
        <is>
          <t>internal-institutional-control-service/schema.sql:884: cuerpo TEXT NOT NULL en control_interno.plantilla_email (RF020); no hay entidad ni servicio que lea o escriba la tabla</t>
        </is>
      </c>
      <c r="U1902" s="18" t="inlineStr">
        <is>
          <t>¿El cuerpo de la plantilla de correo se guarda en HTML o en texto plano? La tabla no se usa en el código del servicio.</t>
        </is>
      </c>
      <c r="V1902" s="19" t="inlineStr">
        <is>
          <t>Aprobada</t>
        </is>
      </c>
      <c r="W1902" s="19" t="inlineStr"/>
      <c r="X1902" s="19" t="inlineStr">
        <is>
          <t>Aldair González (validación del responsable de BD)</t>
        </is>
      </c>
      <c r="Y1902" s="20" t="n">
        <v>46321</v>
      </c>
      <c r="Z1902" s="19" t="inlineStr">
        <is>
          <t>Nivel 3: validada por decisión del responsable de la base de datos. Pregunta registrada para desarrollo: ¿El cuerpo de la plantilla de correo se guarda en HTML o en texto plano? La tabla no se usa en el código del servicio.</t>
        </is>
      </c>
      <c r="AA1902" s="18">
        <f>IF(OR(V1902="Aprobada"),R1902,IF(AND(OR(V1902="Aprobada con ajuste",V1902="Rechazada"),W1902&lt;&gt;""),W1902,""))</f>
        <v/>
      </c>
    </row>
    <row r="1903">
      <c r="A1903" s="18" t="inlineStr">
        <is>
          <t>C1902</t>
        </is>
      </c>
      <c r="B1903" s="18" t="inlineStr">
        <is>
          <t>Control interno</t>
        </is>
      </c>
      <c r="C1903" s="18" t="inlineStr">
        <is>
          <t>control_interno</t>
        </is>
      </c>
      <c r="D1903" s="18" t="inlineStr">
        <is>
          <t>plantilla_email</t>
        </is>
      </c>
      <c r="E1903" s="18" t="n">
        <v>0</v>
      </c>
      <c r="F1903" s="18" t="inlineStr">
        <is>
          <t>variables_disponibles</t>
        </is>
      </c>
      <c r="G1903" s="18" t="inlineStr">
        <is>
          <t>jsonb</t>
        </is>
      </c>
      <c r="H1903" s="18" t="inlineStr">
        <is>
          <t>Sí</t>
        </is>
      </c>
      <c r="I1903" s="18" t="inlineStr"/>
      <c r="J1903" s="18" t="inlineStr"/>
      <c r="K1903" s="18" t="inlineStr"/>
      <c r="L1903" s="18" t="inlineStr">
        <is>
          <t>No</t>
        </is>
      </c>
      <c r="M1903" s="18" t="inlineStr">
        <is>
          <t>No</t>
        </is>
      </c>
      <c r="N1903" s="18" t="inlineStr"/>
      <c r="O1903" s="18" t="inlineStr"/>
      <c r="P1903" s="18" t="inlineStr"/>
      <c r="Q1903" s="18" t="inlineStr">
        <is>
          <t>Código fuente (verificado)</t>
        </is>
      </c>
      <c r="R1903" s="18" t="inlineStr">
        <is>
          <t>Variables que se pueden usar en el asunto y el cuerpo de la plantilla de correo, en formato JSON.</t>
        </is>
      </c>
      <c r="S1903" s="18" t="inlineStr">
        <is>
          <t>Media</t>
        </is>
      </c>
      <c r="T1903" s="18" t="inlineStr">
        <is>
          <t>internal-institutional-control-service/schema.sql:885: variables_disponibles JSONB; no hay entidad ni servicio que use control_interno.plantilla_email</t>
        </is>
      </c>
      <c r="U1903" s="18" t="inlineStr">
        <is>
          <t>¿Con qué sintaxis se insertan las variables en la plantilla de correo? La tabla no se usa en el código del servicio.</t>
        </is>
      </c>
      <c r="V1903" s="19" t="inlineStr">
        <is>
          <t>Aprobada</t>
        </is>
      </c>
      <c r="W1903" s="19" t="inlineStr"/>
      <c r="X1903" s="19" t="inlineStr">
        <is>
          <t>Aldair González (validación del responsable de BD)</t>
        </is>
      </c>
      <c r="Y1903" s="20" t="n">
        <v>46321</v>
      </c>
      <c r="Z1903" s="19" t="inlineStr">
        <is>
          <t>Nivel 3: validada por decisión del responsable de la base de datos. Pregunta registrada para desarrollo: ¿Con qué sintaxis se insertan las variables en la plantilla de correo? La tabla no se usa en el código del servicio.</t>
        </is>
      </c>
      <c r="AA1903" s="18">
        <f>IF(OR(V1903="Aprobada"),R1903,IF(AND(OR(V1903="Aprobada con ajuste",V1903="Rechazada"),W1903&lt;&gt;""),W1903,""))</f>
        <v/>
      </c>
    </row>
    <row r="1904">
      <c r="A1904" s="18" t="inlineStr">
        <is>
          <t>C1903</t>
        </is>
      </c>
      <c r="B1904" s="18" t="inlineStr">
        <is>
          <t>Control interno</t>
        </is>
      </c>
      <c r="C1904" s="18" t="inlineStr">
        <is>
          <t>control_interno</t>
        </is>
      </c>
      <c r="D1904" s="18" t="inlineStr">
        <is>
          <t>plantilla_email</t>
        </is>
      </c>
      <c r="E1904" s="18" t="n">
        <v>0</v>
      </c>
      <c r="F1904" s="18" t="inlineStr">
        <is>
          <t>activa</t>
        </is>
      </c>
      <c r="G1904" s="18" t="inlineStr">
        <is>
          <t>boolean</t>
        </is>
      </c>
      <c r="H1904" s="18" t="inlineStr">
        <is>
          <t>Sí</t>
        </is>
      </c>
      <c r="I1904" s="18" t="inlineStr"/>
      <c r="J1904" s="18" t="inlineStr"/>
      <c r="K1904" s="18" t="inlineStr"/>
      <c r="L1904" s="18" t="inlineStr">
        <is>
          <t>No</t>
        </is>
      </c>
      <c r="M1904" s="18" t="inlineStr">
        <is>
          <t>No</t>
        </is>
      </c>
      <c r="N1904" s="18" t="inlineStr"/>
      <c r="O1904" s="18" t="inlineStr">
        <is>
          <t>idx_plantilla_activa</t>
        </is>
      </c>
      <c r="P1904" s="18" t="inlineStr"/>
      <c r="Q1904" s="18" t="inlineStr">
        <is>
          <t>Regla estructural (redacción revisada)</t>
        </is>
      </c>
      <c r="R1904" s="18" t="inlineStr">
        <is>
          <t>Indica si la plantilla de correo electrónico está activa.</t>
        </is>
      </c>
      <c r="S1904" s="18" t="inlineStr">
        <is>
          <t>Alta</t>
        </is>
      </c>
      <c r="T1904" s="18" t="inlineStr">
        <is>
          <t>Convención de nombre, redactada con el contexto de la tabla y el código.</t>
        </is>
      </c>
      <c r="U1904" s="18" t="inlineStr"/>
      <c r="V1904" s="19" t="inlineStr">
        <is>
          <t>Aprobada</t>
        </is>
      </c>
      <c r="W1904" s="19" t="inlineStr"/>
      <c r="X1904" s="19" t="inlineStr">
        <is>
          <t>Aldair González (aprobación en bloque)</t>
        </is>
      </c>
      <c r="Y1904" s="20" t="n">
        <v>46321</v>
      </c>
      <c r="Z1904" s="19" t="inlineStr">
        <is>
          <t>Nivel 2: regla estructural con redacción revisada.</t>
        </is>
      </c>
      <c r="AA1904" s="18">
        <f>IF(OR(V1904="Aprobada"),R1904,IF(AND(OR(V1904="Aprobada con ajuste",V1904="Rechazada"),W1904&lt;&gt;""),W1904,""))</f>
        <v/>
      </c>
    </row>
    <row r="1905">
      <c r="A1905" s="18" t="inlineStr">
        <is>
          <t>C1904</t>
        </is>
      </c>
      <c r="B1905" s="18" t="inlineStr">
        <is>
          <t>Control interno</t>
        </is>
      </c>
      <c r="C1905" s="18" t="inlineStr">
        <is>
          <t>control_interno</t>
        </is>
      </c>
      <c r="D1905" s="18" t="inlineStr">
        <is>
          <t>plantilla_informe_ley</t>
        </is>
      </c>
      <c r="E1905" s="18" t="n">
        <v>16</v>
      </c>
      <c r="F1905" s="18" t="inlineStr">
        <is>
          <t>codigo</t>
        </is>
      </c>
      <c r="G1905" s="18" t="inlineStr">
        <is>
          <t>character varying(255)</t>
        </is>
      </c>
      <c r="H1905" s="18" t="inlineStr">
        <is>
          <t>No</t>
        </is>
      </c>
      <c r="I1905" s="18" t="inlineStr">
        <is>
          <t>Única</t>
        </is>
      </c>
      <c r="J1905" s="18" t="inlineStr"/>
      <c r="K1905" s="18" t="inlineStr"/>
      <c r="L1905" s="18" t="inlineStr">
        <is>
          <t>No</t>
        </is>
      </c>
      <c r="M1905" s="18" t="inlineStr">
        <is>
          <t>No</t>
        </is>
      </c>
      <c r="N1905" s="18" t="inlineStr"/>
      <c r="O1905" s="18" t="inlineStr">
        <is>
          <t>plantilla_informe_ley_codigo_key</t>
        </is>
      </c>
      <c r="P1905" s="18" t="inlineStr">
        <is>
          <t>Mapeada en internal-institutional-control-service/src/esap/informes-ley/entities/plantilla-informe-ley.entity.ts:17 (PlantillaInformeLey.codigo) | Validación: IsNotEmpty, IsOptional, IsString, Length(1, 50), MaxLength(80)</t>
        </is>
      </c>
      <c r="Q1905" s="18" t="inlineStr">
        <is>
          <t>Regla estructural (redacción revisada)</t>
        </is>
      </c>
      <c r="R1905" s="18" t="inlineStr">
        <is>
          <t>Código de la plantilla de informe de ley. Único en la tabla.</t>
        </is>
      </c>
      <c r="S1905" s="18" t="inlineStr">
        <is>
          <t>Alta</t>
        </is>
      </c>
      <c r="T1905" s="18" t="inlineStr">
        <is>
          <t>Convención de nombre, redactada con el contexto de la tabla y el código.</t>
        </is>
      </c>
      <c r="U1905" s="18" t="inlineStr"/>
      <c r="V1905" s="19" t="inlineStr">
        <is>
          <t>Aprobada</t>
        </is>
      </c>
      <c r="W1905" s="19" t="inlineStr"/>
      <c r="X1905" s="19" t="inlineStr">
        <is>
          <t>Aldair González (aprobación en bloque)</t>
        </is>
      </c>
      <c r="Y1905" s="20" t="n">
        <v>46321</v>
      </c>
      <c r="Z1905" s="19" t="inlineStr">
        <is>
          <t>Nivel 2: regla estructural con redacción revisada.</t>
        </is>
      </c>
      <c r="AA1905" s="18">
        <f>IF(OR(V1905="Aprobada"),R1905,IF(AND(OR(V1905="Aprobada con ajuste",V1905="Rechazada"),W1905&lt;&gt;""),W1905,""))</f>
        <v/>
      </c>
    </row>
    <row r="1906">
      <c r="A1906" s="18" t="inlineStr">
        <is>
          <t>C1905</t>
        </is>
      </c>
      <c r="B1906" s="18" t="inlineStr">
        <is>
          <t>Control interno</t>
        </is>
      </c>
      <c r="C1906" s="18" t="inlineStr">
        <is>
          <t>control_interno</t>
        </is>
      </c>
      <c r="D1906" s="18" t="inlineStr">
        <is>
          <t>plantilla_informe_ley</t>
        </is>
      </c>
      <c r="E1906" s="18" t="n">
        <v>16</v>
      </c>
      <c r="F1906" s="18" t="inlineStr">
        <is>
          <t>nombre</t>
        </is>
      </c>
      <c r="G1906" s="18" t="inlineStr">
        <is>
          <t>character varying(255)</t>
        </is>
      </c>
      <c r="H1906" s="18" t="inlineStr">
        <is>
          <t>No</t>
        </is>
      </c>
      <c r="I1906" s="18" t="inlineStr"/>
      <c r="J1906" s="18" t="inlineStr"/>
      <c r="K1906" s="18" t="inlineStr"/>
      <c r="L1906" s="18" t="inlineStr">
        <is>
          <t>No</t>
        </is>
      </c>
      <c r="M1906" s="18" t="inlineStr">
        <is>
          <t>No</t>
        </is>
      </c>
      <c r="N1906" s="18" t="inlineStr"/>
      <c r="O1906" s="18" t="inlineStr"/>
      <c r="P1906" s="18" t="inlineStr">
        <is>
          <t>Mapeada en internal-institutional-control-service/src/esap/informes-ley/entities/plantilla-informe-ley.entity.ts:20 (PlantillaInformeLey.nombre) | Validación: IsNotEmpty, IsNotEmpty({ message: 'El nombre del documento es obligatorio' }), IsOptional, IsString, Length(1, 500), MaxLength(120)</t>
        </is>
      </c>
      <c r="Q1906" s="18" t="inlineStr">
        <is>
          <t>Regla estructural (redacción revisada)</t>
        </is>
      </c>
      <c r="R1906" s="18" t="inlineStr">
        <is>
          <t>Nombre de la plantilla de informe de ley.</t>
        </is>
      </c>
      <c r="S1906" s="18" t="inlineStr">
        <is>
          <t>Alta</t>
        </is>
      </c>
      <c r="T1906" s="18" t="inlineStr">
        <is>
          <t>Convención de nombre, redactada con el contexto de la tabla y el código.</t>
        </is>
      </c>
      <c r="U1906" s="18" t="inlineStr"/>
      <c r="V1906" s="19" t="inlineStr">
        <is>
          <t>Aprobada</t>
        </is>
      </c>
      <c r="W1906" s="19" t="inlineStr"/>
      <c r="X1906" s="19" t="inlineStr">
        <is>
          <t>Aldair González (aprobación en bloque)</t>
        </is>
      </c>
      <c r="Y1906" s="20" t="n">
        <v>46321</v>
      </c>
      <c r="Z1906" s="19" t="inlineStr">
        <is>
          <t>Nivel 2: regla estructural con redacción revisada.</t>
        </is>
      </c>
      <c r="AA1906" s="18">
        <f>IF(OR(V1906="Aprobada"),R1906,IF(AND(OR(V1906="Aprobada con ajuste",V1906="Rechazada"),W1906&lt;&gt;""),W1906,""))</f>
        <v/>
      </c>
    </row>
    <row r="1907">
      <c r="A1907" s="18" t="inlineStr">
        <is>
          <t>C1906</t>
        </is>
      </c>
      <c r="B1907" s="18" t="inlineStr">
        <is>
          <t>Control interno</t>
        </is>
      </c>
      <c r="C1907" s="18" t="inlineStr">
        <is>
          <t>control_interno</t>
        </is>
      </c>
      <c r="D1907" s="18" t="inlineStr">
        <is>
          <t>plantilla_informe_ley</t>
        </is>
      </c>
      <c r="E1907" s="18" t="n">
        <v>16</v>
      </c>
      <c r="F1907" s="18" t="inlineStr">
        <is>
          <t>descripcion</t>
        </is>
      </c>
      <c r="G1907" s="18" t="inlineStr">
        <is>
          <t>text</t>
        </is>
      </c>
      <c r="H1907" s="18" t="inlineStr">
        <is>
          <t>Sí</t>
        </is>
      </c>
      <c r="I1907" s="18" t="inlineStr"/>
      <c r="J1907" s="18" t="inlineStr"/>
      <c r="K1907" s="18" t="inlineStr"/>
      <c r="L1907" s="18" t="inlineStr">
        <is>
          <t>No</t>
        </is>
      </c>
      <c r="M1907" s="18" t="inlineStr">
        <is>
          <t>No</t>
        </is>
      </c>
      <c r="N1907" s="18" t="inlineStr"/>
      <c r="O1907" s="18" t="inlineStr"/>
      <c r="P1907" s="18" t="inlineStr">
        <is>
          <t>Mapeada en internal-institutional-control-service/src/esap/informes-ley/entities/plantilla-informe-ley.entity.ts:23 (PlantillaInformeLey.descripcion) | Validación: IsNotEmpty, IsOptional, IsString</t>
        </is>
      </c>
      <c r="Q1907" s="18" t="inlineStr">
        <is>
          <t>Regla estructural (redacción revisada)</t>
        </is>
      </c>
      <c r="R1907" s="18" t="inlineStr">
        <is>
          <t>Descripción de la plantilla de informe de ley.</t>
        </is>
      </c>
      <c r="S1907" s="18" t="inlineStr">
        <is>
          <t>Alta</t>
        </is>
      </c>
      <c r="T1907" s="18" t="inlineStr">
        <is>
          <t>Convención de nombre, redactada con el contexto de la tabla y el código.</t>
        </is>
      </c>
      <c r="U1907" s="18" t="inlineStr"/>
      <c r="V1907" s="19" t="inlineStr">
        <is>
          <t>Aprobada</t>
        </is>
      </c>
      <c r="W1907" s="19" t="inlineStr"/>
      <c r="X1907" s="19" t="inlineStr">
        <is>
          <t>Aldair González (aprobación en bloque)</t>
        </is>
      </c>
      <c r="Y1907" s="20" t="n">
        <v>46321</v>
      </c>
      <c r="Z1907" s="19" t="inlineStr">
        <is>
          <t>Nivel 2: regla estructural con redacción revisada.</t>
        </is>
      </c>
      <c r="AA1907" s="18">
        <f>IF(OR(V1907="Aprobada"),R1907,IF(AND(OR(V1907="Aprobada con ajuste",V1907="Rechazada"),W1907&lt;&gt;""),W1907,""))</f>
        <v/>
      </c>
    </row>
    <row r="1908">
      <c r="A1908" s="18" t="inlineStr">
        <is>
          <t>C1907</t>
        </is>
      </c>
      <c r="B1908" s="18" t="inlineStr">
        <is>
          <t>Control interno</t>
        </is>
      </c>
      <c r="C1908" s="18" t="inlineStr">
        <is>
          <t>control_interno</t>
        </is>
      </c>
      <c r="D1908" s="18" t="inlineStr">
        <is>
          <t>plantilla_informe_ley</t>
        </is>
      </c>
      <c r="E1908" s="18" t="n">
        <v>16</v>
      </c>
      <c r="F1908" s="18" t="inlineStr">
        <is>
          <t>tipo_formato</t>
        </is>
      </c>
      <c r="G1908" s="18" t="inlineStr">
        <is>
          <t>character varying(50)</t>
        </is>
      </c>
      <c r="H1908" s="18" t="inlineStr">
        <is>
          <t>No</t>
        </is>
      </c>
      <c r="I1908" s="18" t="inlineStr">
        <is>
          <t>CHECK</t>
        </is>
      </c>
      <c r="J1908" s="18" t="inlineStr">
        <is>
          <t>Excel, HTML, PDF, Word</t>
        </is>
      </c>
      <c r="K1908" s="18" t="inlineStr"/>
      <c r="L1908" s="18" t="inlineStr">
        <is>
          <t>Sí</t>
        </is>
      </c>
      <c r="M1908" s="18" t="inlineStr">
        <is>
          <t>No</t>
        </is>
      </c>
      <c r="N1908" s="18" t="inlineStr"/>
      <c r="O1908" s="18" t="inlineStr"/>
      <c r="P1908" s="18" t="inlineStr">
        <is>
          <t>Mapeada en internal-institutional-control-service/src/esap/informes-ley/entities/plantilla-informe-ley.entity.ts:26 (PlantillaInformeLey.tipoFormato)</t>
        </is>
      </c>
      <c r="Q1908" s="18" t="inlineStr">
        <is>
          <t>Propuesta semántica</t>
        </is>
      </c>
      <c r="R1908" s="18" t="inlineStr">
        <is>
          <t>Formato del archivo de la plantilla del informe de ley. Valores permitidos: Word, Excel, PDF, HTML.</t>
        </is>
      </c>
      <c r="S1908" s="18" t="inlineStr">
        <is>
          <t>Alta</t>
        </is>
      </c>
      <c r="T1908" s="18" t="inlineStr">
        <is>
          <t>valores permitidos del CHECK</t>
        </is>
      </c>
      <c r="U1908" s="18" t="inlineStr"/>
      <c r="V1908" s="19" t="inlineStr">
        <is>
          <t>Aprobada</t>
        </is>
      </c>
      <c r="W1908" s="19" t="inlineStr"/>
      <c r="X1908" s="19" t="inlineStr">
        <is>
          <t>Aldair González (aprobación en bloque)</t>
        </is>
      </c>
      <c r="Y1908" s="20" t="n">
        <v>46321</v>
      </c>
      <c r="Z1908" s="19" t="inlineStr">
        <is>
          <t>Nivel 1: propuesta del comentario del desarrollador o de confianza alta, o regla de fecha/responsable/motivo.</t>
        </is>
      </c>
      <c r="AA1908" s="18">
        <f>IF(OR(V1908="Aprobada"),R1908,IF(AND(OR(V1908="Aprobada con ajuste",V1908="Rechazada"),W1908&lt;&gt;""),W1908,""))</f>
        <v/>
      </c>
    </row>
    <row r="1909">
      <c r="A1909" s="18" t="inlineStr">
        <is>
          <t>C1908</t>
        </is>
      </c>
      <c r="B1909" s="18" t="inlineStr">
        <is>
          <t>Control interno</t>
        </is>
      </c>
      <c r="C1909" s="18" t="inlineStr">
        <is>
          <t>control_interno</t>
        </is>
      </c>
      <c r="D1909" s="18" t="inlineStr">
        <is>
          <t>plantilla_informe_ley</t>
        </is>
      </c>
      <c r="E1909" s="18" t="n">
        <v>16</v>
      </c>
      <c r="F1909" s="18" t="inlineStr">
        <is>
          <t>ruta_plantilla</t>
        </is>
      </c>
      <c r="G1909" s="18" t="inlineStr">
        <is>
          <t>character varying(500)</t>
        </is>
      </c>
      <c r="H1909" s="18" t="inlineStr">
        <is>
          <t>No</t>
        </is>
      </c>
      <c r="I1909" s="18" t="inlineStr"/>
      <c r="J1909" s="18" t="inlineStr"/>
      <c r="K1909" s="18" t="inlineStr"/>
      <c r="L1909" s="18" t="inlineStr">
        <is>
          <t>No</t>
        </is>
      </c>
      <c r="M1909" s="18" t="inlineStr">
        <is>
          <t>No</t>
        </is>
      </c>
      <c r="N1909" s="18" t="inlineStr"/>
      <c r="O1909" s="18" t="inlineStr"/>
      <c r="P1909" s="18" t="inlineStr">
        <is>
          <t>Mapeada en internal-institutional-control-service/src/esap/informes-ley/entities/plantilla-informe-ley.entity.ts:34 (PlantillaInformeLey.rutaPlantilla)</t>
        </is>
      </c>
      <c r="Q1909" s="18" t="inlineStr">
        <is>
          <t>Código fuente (verificado)</t>
        </is>
      </c>
      <c r="R1909" s="18" t="inlineStr">
        <is>
          <t>Ruta relativa del archivo de la plantilla del informe de ley (Handlebars.hbs) dentro de la carpeta templates del módulo de informes de ley del servicio; el servicio lee el archivo del sistema de archivos local.</t>
        </is>
      </c>
      <c r="S1909" s="18" t="inlineStr">
        <is>
          <t>Alta</t>
        </is>
      </c>
      <c r="T1909" s="18" t="inlineStr">
        <is>
          <t>internal-institutional-control-service/src/esap/informes-ley/entities/plantilla-informe-ley.entity.ts:34: ruta_plantilla varchar(500) not null | internal-institutional-control-service/src/esap/informes-ley/services/plantillas.service.ts:44: ejemplo de ruta en BD templates/informes-ley/&lt;archivo&gt;.hbs | internal-institutional-control-service/src/esap/informes-ley/services/plantillas.service.ts:64-80: resuelve la ruta bajo src/ o dist/esap/informes-ley y la lee con fs.readFileSync | internal-institutional-control-service/src/esap/informes-ley/services/plantillas.service.ts:85: si es Excel .xlsx y no existe, busca la versión .hbs</t>
        </is>
      </c>
      <c r="U1909" s="18" t="inlineStr"/>
      <c r="V1909" s="19" t="inlineStr">
        <is>
          <t>Aprobada</t>
        </is>
      </c>
      <c r="W1909" s="19" t="inlineStr"/>
      <c r="X1909" s="19" t="inlineStr">
        <is>
          <t>Aldair González (aprobación en bloque)</t>
        </is>
      </c>
      <c r="Y1909" s="20" t="n">
        <v>46321</v>
      </c>
      <c r="Z1909" s="19" t="inlineStr">
        <is>
          <t>Nivel 3: verificada con el código de la aplicación.</t>
        </is>
      </c>
      <c r="AA1909" s="18">
        <f>IF(OR(V1909="Aprobada"),R1909,IF(AND(OR(V1909="Aprobada con ajuste",V1909="Rechazada"),W1909&lt;&gt;""),W1909,""))</f>
        <v/>
      </c>
    </row>
    <row r="1910">
      <c r="A1910" s="18" t="inlineStr">
        <is>
          <t>C1909</t>
        </is>
      </c>
      <c r="B1910" s="18" t="inlineStr">
        <is>
          <t>Control interno</t>
        </is>
      </c>
      <c r="C1910" s="18" t="inlineStr">
        <is>
          <t>control_interno</t>
        </is>
      </c>
      <c r="D1910" s="18" t="inlineStr">
        <is>
          <t>plantilla_informe_ley</t>
        </is>
      </c>
      <c r="E1910" s="18" t="n">
        <v>16</v>
      </c>
      <c r="F1910" s="18" t="inlineStr">
        <is>
          <t>activa</t>
        </is>
      </c>
      <c r="G1910" s="18" t="inlineStr">
        <is>
          <t>boolean</t>
        </is>
      </c>
      <c r="H1910" s="18" t="inlineStr">
        <is>
          <t>Sí</t>
        </is>
      </c>
      <c r="I1910" s="18" t="inlineStr"/>
      <c r="J1910" s="18" t="inlineStr"/>
      <c r="K1910" s="18" t="inlineStr"/>
      <c r="L1910" s="18" t="inlineStr">
        <is>
          <t>No</t>
        </is>
      </c>
      <c r="M1910" s="18" t="inlineStr">
        <is>
          <t>No</t>
        </is>
      </c>
      <c r="N1910" s="18" t="inlineStr"/>
      <c r="O1910" s="18" t="inlineStr"/>
      <c r="P1910" s="18" t="inlineStr">
        <is>
          <t>Mapeada en internal-institutional-control-service/src/esap/informes-ley/entities/plantilla-informe-ley.entity.ts:43 (PlantillaInformeLey.activa) | Validación: IsBoolean, IsOptional</t>
        </is>
      </c>
      <c r="Q1910" s="18" t="inlineStr">
        <is>
          <t>Regla estructural (redacción revisada)</t>
        </is>
      </c>
      <c r="R1910" s="18" t="inlineStr">
        <is>
          <t>Indica si la plantilla de informe de ley está activa.</t>
        </is>
      </c>
      <c r="S1910" s="18" t="inlineStr">
        <is>
          <t>Alta</t>
        </is>
      </c>
      <c r="T1910" s="18" t="inlineStr">
        <is>
          <t>Convención de nombre, redactada con el contexto de la tabla y el código.</t>
        </is>
      </c>
      <c r="U1910" s="18" t="inlineStr"/>
      <c r="V1910" s="19" t="inlineStr">
        <is>
          <t>Aprobada</t>
        </is>
      </c>
      <c r="W1910" s="19" t="inlineStr"/>
      <c r="X1910" s="19" t="inlineStr">
        <is>
          <t>Aldair González (aprobación en bloque)</t>
        </is>
      </c>
      <c r="Y1910" s="20" t="n">
        <v>46321</v>
      </c>
      <c r="Z1910" s="19" t="inlineStr">
        <is>
          <t>Nivel 2: regla estructural con redacción revisada.</t>
        </is>
      </c>
      <c r="AA1910" s="18">
        <f>IF(OR(V1910="Aprobada"),R1910,IF(AND(OR(V1910="Aprobada con ajuste",V1910="Rechazada"),W1910&lt;&gt;""),W1910,""))</f>
        <v/>
      </c>
    </row>
    <row r="1911">
      <c r="A1911" s="18" t="inlineStr">
        <is>
          <t>C1910</t>
        </is>
      </c>
      <c r="B1911" s="18" t="inlineStr">
        <is>
          <t>Control interno</t>
        </is>
      </c>
      <c r="C1911" s="18" t="inlineStr">
        <is>
          <t>control_interno</t>
        </is>
      </c>
      <c r="D1911" s="18" t="inlineStr">
        <is>
          <t>plantilla_informe_ley</t>
        </is>
      </c>
      <c r="E1911" s="18" t="n">
        <v>16</v>
      </c>
      <c r="F1911" s="18" t="inlineStr">
        <is>
          <t>version</t>
        </is>
      </c>
      <c r="G1911" s="18" t="inlineStr">
        <is>
          <t>character varying(50)</t>
        </is>
      </c>
      <c r="H1911" s="18" t="inlineStr">
        <is>
          <t>Sí</t>
        </is>
      </c>
      <c r="I1911" s="18" t="inlineStr"/>
      <c r="J1911" s="18" t="inlineStr"/>
      <c r="K1911" s="18" t="inlineStr"/>
      <c r="L1911" s="18" t="inlineStr">
        <is>
          <t>No</t>
        </is>
      </c>
      <c r="M1911" s="18" t="inlineStr">
        <is>
          <t>No</t>
        </is>
      </c>
      <c r="N1911" s="18" t="inlineStr"/>
      <c r="O1911" s="18" t="inlineStr"/>
      <c r="P1911" s="18" t="inlineStr">
        <is>
          <t>Mapeada en internal-institutional-control-service/src/esap/informes-ley/entities/plantilla-informe-ley.entity.ts:46 (PlantillaInformeLey.version) | Validación: IsOptional, IsString</t>
        </is>
      </c>
      <c r="Q1911" s="18" t="inlineStr">
        <is>
          <t>Regla estructural (redacción revisada)</t>
        </is>
      </c>
      <c r="R1911" s="18" t="inlineStr">
        <is>
          <t>Versión de la plantilla de informe de ley.</t>
        </is>
      </c>
      <c r="S1911" s="18" t="inlineStr">
        <is>
          <t>Alta</t>
        </is>
      </c>
      <c r="T1911" s="18" t="inlineStr">
        <is>
          <t>Convención de nombre, redactada con el contexto de la tabla y el código.</t>
        </is>
      </c>
      <c r="U1911" s="18" t="inlineStr"/>
      <c r="V1911" s="19" t="inlineStr">
        <is>
          <t>Aprobada</t>
        </is>
      </c>
      <c r="W1911" s="19" t="inlineStr"/>
      <c r="X1911" s="19" t="inlineStr">
        <is>
          <t>Aldair González (aprobación en bloque)</t>
        </is>
      </c>
      <c r="Y1911" s="20" t="n">
        <v>46321</v>
      </c>
      <c r="Z1911" s="19" t="inlineStr">
        <is>
          <t>Nivel 2: regla estructural con redacción revisada.</t>
        </is>
      </c>
      <c r="AA1911" s="18">
        <f>IF(OR(V1911="Aprobada"),R1911,IF(AND(OR(V1911="Aprobada con ajuste",V1911="Rechazada"),W1911&lt;&gt;""),W1911,""))</f>
        <v/>
      </c>
    </row>
    <row r="1912">
      <c r="A1912" s="18" t="inlineStr">
        <is>
          <t>C1911</t>
        </is>
      </c>
      <c r="B1912" s="18" t="inlineStr">
        <is>
          <t>Control interno</t>
        </is>
      </c>
      <c r="C1912" s="18" t="inlineStr">
        <is>
          <t>control_interno</t>
        </is>
      </c>
      <c r="D1912" s="18" t="inlineStr">
        <is>
          <t>plantilla_reporte</t>
        </is>
      </c>
      <c r="E1912" s="18" t="n">
        <v>0</v>
      </c>
      <c r="F1912" s="18" t="inlineStr">
        <is>
          <t>codigo</t>
        </is>
      </c>
      <c r="G1912" s="18" t="inlineStr">
        <is>
          <t>character varying(255)</t>
        </is>
      </c>
      <c r="H1912" s="18" t="inlineStr">
        <is>
          <t>No</t>
        </is>
      </c>
      <c r="I1912" s="18" t="inlineStr">
        <is>
          <t>Única</t>
        </is>
      </c>
      <c r="J1912" s="18" t="inlineStr"/>
      <c r="K1912" s="18" t="inlineStr"/>
      <c r="L1912" s="18" t="inlineStr">
        <is>
          <t>No</t>
        </is>
      </c>
      <c r="M1912" s="18" t="inlineStr">
        <is>
          <t>No</t>
        </is>
      </c>
      <c r="N1912" s="18" t="inlineStr"/>
      <c r="O1912" s="18" t="inlineStr">
        <is>
          <t>plantilla_reporte_codigo_key</t>
        </is>
      </c>
      <c r="P1912" s="18" t="inlineStr"/>
      <c r="Q1912" s="18" t="inlineStr">
        <is>
          <t>Regla estructural (redacción revisada)</t>
        </is>
      </c>
      <c r="R1912" s="18" t="inlineStr">
        <is>
          <t>Código de la plantilla de reporte. Único en la tabla.</t>
        </is>
      </c>
      <c r="S1912" s="18" t="inlineStr">
        <is>
          <t>Alta</t>
        </is>
      </c>
      <c r="T1912" s="18" t="inlineStr">
        <is>
          <t>Convención de nombre, redactada con el contexto de la tabla y el código.</t>
        </is>
      </c>
      <c r="U1912" s="18" t="inlineStr"/>
      <c r="V1912" s="19" t="inlineStr">
        <is>
          <t>Aprobada</t>
        </is>
      </c>
      <c r="W1912" s="19" t="inlineStr"/>
      <c r="X1912" s="19" t="inlineStr">
        <is>
          <t>Aldair González (aprobación en bloque)</t>
        </is>
      </c>
      <c r="Y1912" s="20" t="n">
        <v>46321</v>
      </c>
      <c r="Z1912" s="19" t="inlineStr">
        <is>
          <t>Nivel 2: regla estructural con redacción revisada.</t>
        </is>
      </c>
      <c r="AA1912" s="18">
        <f>IF(OR(V1912="Aprobada"),R1912,IF(AND(OR(V1912="Aprobada con ajuste",V1912="Rechazada"),W1912&lt;&gt;""),W1912,""))</f>
        <v/>
      </c>
    </row>
    <row r="1913">
      <c r="A1913" s="18" t="inlineStr">
        <is>
          <t>C1912</t>
        </is>
      </c>
      <c r="B1913" s="18" t="inlineStr">
        <is>
          <t>Control interno</t>
        </is>
      </c>
      <c r="C1913" s="18" t="inlineStr">
        <is>
          <t>control_interno</t>
        </is>
      </c>
      <c r="D1913" s="18" t="inlineStr">
        <is>
          <t>plantilla_reporte</t>
        </is>
      </c>
      <c r="E1913" s="18" t="n">
        <v>0</v>
      </c>
      <c r="F1913" s="18" t="inlineStr">
        <is>
          <t>nombre</t>
        </is>
      </c>
      <c r="G1913" s="18" t="inlineStr">
        <is>
          <t>character varying(255)</t>
        </is>
      </c>
      <c r="H1913" s="18" t="inlineStr">
        <is>
          <t>No</t>
        </is>
      </c>
      <c r="I1913" s="18" t="inlineStr"/>
      <c r="J1913" s="18" t="inlineStr"/>
      <c r="K1913" s="18" t="inlineStr"/>
      <c r="L1913" s="18" t="inlineStr">
        <is>
          <t>No</t>
        </is>
      </c>
      <c r="M1913" s="18" t="inlineStr">
        <is>
          <t>No</t>
        </is>
      </c>
      <c r="N1913" s="18" t="inlineStr"/>
      <c r="O1913" s="18" t="inlineStr"/>
      <c r="P1913" s="18" t="inlineStr"/>
      <c r="Q1913" s="18" t="inlineStr">
        <is>
          <t>Regla estructural (redacción revisada)</t>
        </is>
      </c>
      <c r="R1913" s="18" t="inlineStr">
        <is>
          <t>Nombre de la plantilla de reporte.</t>
        </is>
      </c>
      <c r="S1913" s="18" t="inlineStr">
        <is>
          <t>Alta</t>
        </is>
      </c>
      <c r="T1913" s="18" t="inlineStr">
        <is>
          <t>Convención de nombre, redactada con el contexto de la tabla y el código.</t>
        </is>
      </c>
      <c r="U1913" s="18" t="inlineStr"/>
      <c r="V1913" s="19" t="inlineStr">
        <is>
          <t>Aprobada</t>
        </is>
      </c>
      <c r="W1913" s="19" t="inlineStr"/>
      <c r="X1913" s="19" t="inlineStr">
        <is>
          <t>Aldair González (aprobación en bloque)</t>
        </is>
      </c>
      <c r="Y1913" s="20" t="n">
        <v>46321</v>
      </c>
      <c r="Z1913" s="19" t="inlineStr">
        <is>
          <t>Nivel 2: regla estructural con redacción revisada.</t>
        </is>
      </c>
      <c r="AA1913" s="18">
        <f>IF(OR(V1913="Aprobada"),R1913,IF(AND(OR(V1913="Aprobada con ajuste",V1913="Rechazada"),W1913&lt;&gt;""),W1913,""))</f>
        <v/>
      </c>
    </row>
    <row r="1914">
      <c r="A1914" s="18" t="inlineStr">
        <is>
          <t>C1913</t>
        </is>
      </c>
      <c r="B1914" s="18" t="inlineStr">
        <is>
          <t>Control interno</t>
        </is>
      </c>
      <c r="C1914" s="18" t="inlineStr">
        <is>
          <t>control_interno</t>
        </is>
      </c>
      <c r="D1914" s="18" t="inlineStr">
        <is>
          <t>plantilla_reporte</t>
        </is>
      </c>
      <c r="E1914" s="18" t="n">
        <v>0</v>
      </c>
      <c r="F1914" s="18" t="inlineStr">
        <is>
          <t>tipo</t>
        </is>
      </c>
      <c r="G1914" s="18" t="inlineStr">
        <is>
          <t>character varying(100)</t>
        </is>
      </c>
      <c r="H1914" s="18" t="inlineStr">
        <is>
          <t>No</t>
        </is>
      </c>
      <c r="I1914" s="18" t="inlineStr"/>
      <c r="J1914" s="18" t="inlineStr"/>
      <c r="K1914" s="18" t="inlineStr"/>
      <c r="L1914" s="18" t="inlineStr">
        <is>
          <t>No</t>
        </is>
      </c>
      <c r="M1914" s="18" t="inlineStr">
        <is>
          <t>No</t>
        </is>
      </c>
      <c r="N1914" s="18" t="inlineStr"/>
      <c r="O1914" s="18" t="inlineStr">
        <is>
          <t>idx_plantilla_tipo</t>
        </is>
      </c>
      <c r="P1914" s="18" t="inlineStr"/>
      <c r="Q1914" s="18" t="inlineStr">
        <is>
          <t>Regla estructural (redacción revisada)</t>
        </is>
      </c>
      <c r="R1914" s="18" t="inlineStr">
        <is>
          <t>Tipo de plantilla de reporte.</t>
        </is>
      </c>
      <c r="S1914" s="18" t="inlineStr">
        <is>
          <t>Alta</t>
        </is>
      </c>
      <c r="T1914" s="18" t="inlineStr">
        <is>
          <t>Convención de nombre, redactada con el contexto de la tabla y el código.</t>
        </is>
      </c>
      <c r="U1914" s="18" t="inlineStr"/>
      <c r="V1914" s="19" t="inlineStr">
        <is>
          <t>Aprobada</t>
        </is>
      </c>
      <c r="W1914" s="19" t="inlineStr"/>
      <c r="X1914" s="19" t="inlineStr">
        <is>
          <t>Aldair González (aprobación en bloque)</t>
        </is>
      </c>
      <c r="Y1914" s="20" t="n">
        <v>46321</v>
      </c>
      <c r="Z1914" s="19" t="inlineStr">
        <is>
          <t>Nivel 2: regla estructural con redacción revisada.</t>
        </is>
      </c>
      <c r="AA1914" s="18">
        <f>IF(OR(V1914="Aprobada"),R1914,IF(AND(OR(V1914="Aprobada con ajuste",V1914="Rechazada"),W1914&lt;&gt;""),W1914,""))</f>
        <v/>
      </c>
    </row>
    <row r="1915">
      <c r="A1915" s="18" t="inlineStr">
        <is>
          <t>C1914</t>
        </is>
      </c>
      <c r="B1915" s="18" t="inlineStr">
        <is>
          <t>Control interno</t>
        </is>
      </c>
      <c r="C1915" s="18" t="inlineStr">
        <is>
          <t>control_interno</t>
        </is>
      </c>
      <c r="D1915" s="18" t="inlineStr">
        <is>
          <t>plantilla_reporte</t>
        </is>
      </c>
      <c r="E1915" s="18" t="n">
        <v>0</v>
      </c>
      <c r="F1915" s="18" t="inlineStr">
        <is>
          <t>descripcion</t>
        </is>
      </c>
      <c r="G1915" s="18" t="inlineStr">
        <is>
          <t>text</t>
        </is>
      </c>
      <c r="H1915" s="18" t="inlineStr">
        <is>
          <t>Sí</t>
        </is>
      </c>
      <c r="I1915" s="18" t="inlineStr"/>
      <c r="J1915" s="18" t="inlineStr"/>
      <c r="K1915" s="18" t="inlineStr"/>
      <c r="L1915" s="18" t="inlineStr">
        <is>
          <t>No</t>
        </is>
      </c>
      <c r="M1915" s="18" t="inlineStr">
        <is>
          <t>No</t>
        </is>
      </c>
      <c r="N1915" s="18" t="inlineStr"/>
      <c r="O1915" s="18" t="inlineStr"/>
      <c r="P1915" s="18" t="inlineStr"/>
      <c r="Q1915" s="18" t="inlineStr">
        <is>
          <t>Regla estructural (redacción revisada)</t>
        </is>
      </c>
      <c r="R1915" s="18" t="inlineStr">
        <is>
          <t>Descripción de la plantilla de reporte.</t>
        </is>
      </c>
      <c r="S1915" s="18" t="inlineStr">
        <is>
          <t>Alta</t>
        </is>
      </c>
      <c r="T1915" s="18" t="inlineStr">
        <is>
          <t>Convención de nombre, redactada con el contexto de la tabla y el código.</t>
        </is>
      </c>
      <c r="U1915" s="18" t="inlineStr"/>
      <c r="V1915" s="19" t="inlineStr">
        <is>
          <t>Aprobada</t>
        </is>
      </c>
      <c r="W1915" s="19" t="inlineStr"/>
      <c r="X1915" s="19" t="inlineStr">
        <is>
          <t>Aldair González (aprobación en bloque)</t>
        </is>
      </c>
      <c r="Y1915" s="20" t="n">
        <v>46321</v>
      </c>
      <c r="Z1915" s="19" t="inlineStr">
        <is>
          <t>Nivel 2: regla estructural con redacción revisada.</t>
        </is>
      </c>
      <c r="AA1915" s="18">
        <f>IF(OR(V1915="Aprobada"),R1915,IF(AND(OR(V1915="Aprobada con ajuste",V1915="Rechazada"),W1915&lt;&gt;""),W1915,""))</f>
        <v/>
      </c>
    </row>
    <row r="1916">
      <c r="A1916" s="18" t="inlineStr">
        <is>
          <t>C1915</t>
        </is>
      </c>
      <c r="B1916" s="18" t="inlineStr">
        <is>
          <t>Control interno</t>
        </is>
      </c>
      <c r="C1916" s="18" t="inlineStr">
        <is>
          <t>control_interno</t>
        </is>
      </c>
      <c r="D1916" s="18" t="inlineStr">
        <is>
          <t>plantilla_reporte</t>
        </is>
      </c>
      <c r="E1916" s="18" t="n">
        <v>0</v>
      </c>
      <c r="F1916" s="18" t="inlineStr">
        <is>
          <t>formato</t>
        </is>
      </c>
      <c r="G1916" s="18" t="inlineStr">
        <is>
          <t>character varying(50)</t>
        </is>
      </c>
      <c r="H1916" s="18" t="inlineStr">
        <is>
          <t>No</t>
        </is>
      </c>
      <c r="I1916" s="18" t="inlineStr">
        <is>
          <t>CHECK</t>
        </is>
      </c>
      <c r="J1916" s="18" t="inlineStr">
        <is>
          <t>Excel, PDF, PowerPoint, Word</t>
        </is>
      </c>
      <c r="K1916" s="18" t="inlineStr"/>
      <c r="L1916" s="18" t="inlineStr">
        <is>
          <t>Sí</t>
        </is>
      </c>
      <c r="M1916" s="18" t="inlineStr">
        <is>
          <t>No</t>
        </is>
      </c>
      <c r="N1916" s="18" t="inlineStr"/>
      <c r="O1916" s="18" t="inlineStr"/>
      <c r="P1916" s="18" t="inlineStr"/>
      <c r="Q1916" s="18" t="inlineStr">
        <is>
          <t>Propuesta semántica</t>
        </is>
      </c>
      <c r="R1916" s="18" t="inlineStr">
        <is>
          <t>Formato del reporte generado. Valores permitidos: PDF, Excel, Word, PowerPoint.</t>
        </is>
      </c>
      <c r="S1916" s="18" t="inlineStr">
        <is>
          <t>Alta</t>
        </is>
      </c>
      <c r="T1916" s="18" t="inlineStr">
        <is>
          <t>valores permitidos del CHECK</t>
        </is>
      </c>
      <c r="U1916" s="18" t="inlineStr"/>
      <c r="V1916" s="19" t="inlineStr">
        <is>
          <t>Aprobada</t>
        </is>
      </c>
      <c r="W1916" s="19" t="inlineStr"/>
      <c r="X1916" s="19" t="inlineStr">
        <is>
          <t>Aldair González (aprobación en bloque)</t>
        </is>
      </c>
      <c r="Y1916" s="20" t="n">
        <v>46321</v>
      </c>
      <c r="Z1916" s="19" t="inlineStr">
        <is>
          <t>Nivel 1: propuesta del comentario del desarrollador o de confianza alta, o regla de fecha/responsable/motivo.</t>
        </is>
      </c>
      <c r="AA1916" s="18">
        <f>IF(OR(V1916="Aprobada"),R1916,IF(AND(OR(V1916="Aprobada con ajuste",V1916="Rechazada"),W1916&lt;&gt;""),W1916,""))</f>
        <v/>
      </c>
    </row>
    <row r="1917">
      <c r="A1917" s="18" t="inlineStr">
        <is>
          <t>C1916</t>
        </is>
      </c>
      <c r="B1917" s="18" t="inlineStr">
        <is>
          <t>Control interno</t>
        </is>
      </c>
      <c r="C1917" s="18" t="inlineStr">
        <is>
          <t>control_interno</t>
        </is>
      </c>
      <c r="D1917" s="18" t="inlineStr">
        <is>
          <t>plantilla_reporte</t>
        </is>
      </c>
      <c r="E1917" s="18" t="n">
        <v>0</v>
      </c>
      <c r="F1917" s="18" t="inlineStr">
        <is>
          <t>ruta_template</t>
        </is>
      </c>
      <c r="G1917" s="18" t="inlineStr">
        <is>
          <t>character varying(500)</t>
        </is>
      </c>
      <c r="H1917" s="18" t="inlineStr">
        <is>
          <t>Sí</t>
        </is>
      </c>
      <c r="I1917" s="18" t="inlineStr"/>
      <c r="J1917" s="18" t="inlineStr"/>
      <c r="K1917" s="18" t="inlineStr"/>
      <c r="L1917" s="18" t="inlineStr">
        <is>
          <t>No</t>
        </is>
      </c>
      <c r="M1917" s="18" t="inlineStr">
        <is>
          <t>No</t>
        </is>
      </c>
      <c r="N1917" s="18" t="inlineStr"/>
      <c r="O1917" s="18" t="inlineStr"/>
      <c r="P1917" s="18" t="inlineStr"/>
      <c r="Q1917" s="18" t="inlineStr">
        <is>
          <t>Código fuente (verificado)</t>
        </is>
      </c>
      <c r="R1917" s="18" t="inlineStr">
        <is>
          <t>Ruta del archivo de la plantilla del reporte.</t>
        </is>
      </c>
      <c r="S1917" s="18" t="inlineStr">
        <is>
          <t>Media</t>
        </is>
      </c>
      <c r="T1917" s="18" t="inlineStr">
        <is>
          <t>internal-institutional-control-service/schema.sql:651: ruta_template VARCHAR(500) en control_interno.plantilla_reporte; no hay entidad ni servicio que use la tabla</t>
        </is>
      </c>
      <c r="U1917" s="18" t="inlineStr">
        <is>
          <t>¿ruta_template es una ruta local, de almacenamiento en la nube o una URL? La tabla no se usa en el código del servicio.</t>
        </is>
      </c>
      <c r="V1917" s="19" t="inlineStr">
        <is>
          <t>Aprobada</t>
        </is>
      </c>
      <c r="W1917" s="19" t="inlineStr"/>
      <c r="X1917" s="19" t="inlineStr">
        <is>
          <t>Aldair González (validación del responsable de BD)</t>
        </is>
      </c>
      <c r="Y1917" s="20" t="n">
        <v>46321</v>
      </c>
      <c r="Z1917" s="19" t="inlineStr">
        <is>
          <t>Nivel 3: validada por decisión del responsable de la base de datos. Pregunta registrada para desarrollo: ¿ruta_template es una ruta local, de almacenamiento en la nube o una URL? La tabla no se usa en el código del servicio.</t>
        </is>
      </c>
      <c r="AA1917" s="18">
        <f>IF(OR(V1917="Aprobada"),R1917,IF(AND(OR(V1917="Aprobada con ajuste",V1917="Rechazada"),W1917&lt;&gt;""),W1917,""))</f>
        <v/>
      </c>
    </row>
    <row r="1918">
      <c r="A1918" s="18" t="inlineStr">
        <is>
          <t>C1917</t>
        </is>
      </c>
      <c r="B1918" s="18" t="inlineStr">
        <is>
          <t>Control interno</t>
        </is>
      </c>
      <c r="C1918" s="18" t="inlineStr">
        <is>
          <t>control_interno</t>
        </is>
      </c>
      <c r="D1918" s="18" t="inlineStr">
        <is>
          <t>plantilla_reporte</t>
        </is>
      </c>
      <c r="E1918" s="18" t="n">
        <v>0</v>
      </c>
      <c r="F1918" s="18" t="inlineStr">
        <is>
          <t>variables_disponibles</t>
        </is>
      </c>
      <c r="G1918" s="18" t="inlineStr">
        <is>
          <t>jsonb</t>
        </is>
      </c>
      <c r="H1918" s="18" t="inlineStr">
        <is>
          <t>Sí</t>
        </is>
      </c>
      <c r="I1918" s="18" t="inlineStr"/>
      <c r="J1918" s="18" t="inlineStr"/>
      <c r="K1918" s="18" t="inlineStr"/>
      <c r="L1918" s="18" t="inlineStr">
        <is>
          <t>No</t>
        </is>
      </c>
      <c r="M1918" s="18" t="inlineStr">
        <is>
          <t>No</t>
        </is>
      </c>
      <c r="N1918" s="18" t="inlineStr"/>
      <c r="O1918" s="18" t="inlineStr"/>
      <c r="P1918" s="18" t="inlineStr"/>
      <c r="Q1918" s="18" t="inlineStr">
        <is>
          <t>Código fuente (verificado)</t>
        </is>
      </c>
      <c r="R1918" s="18" t="inlineStr">
        <is>
          <t>Variables que se pueden usar en la plantilla del reporte, en formato JSON.</t>
        </is>
      </c>
      <c r="S1918" s="18" t="inlineStr">
        <is>
          <t>Media</t>
        </is>
      </c>
      <c r="T1918" s="18" t="inlineStr">
        <is>
          <t>internal-institutional-control-service/schema.sql:652: variables_disponibles JSONB en control_interno.plantilla_reporte; no hay entidad ni servicio que use la tabla</t>
        </is>
      </c>
      <c r="U1918" s="18" t="inlineStr">
        <is>
          <t>¿Qué estructura tiene el JSON de variables de plantilla_reporte? La tabla no se usa en el código del servicio.</t>
        </is>
      </c>
      <c r="V1918" s="19" t="inlineStr">
        <is>
          <t>Aprobada</t>
        </is>
      </c>
      <c r="W1918" s="19" t="inlineStr"/>
      <c r="X1918" s="19" t="inlineStr">
        <is>
          <t>Aldair González (validación del responsable de BD)</t>
        </is>
      </c>
      <c r="Y1918" s="20" t="n">
        <v>46321</v>
      </c>
      <c r="Z1918" s="19" t="inlineStr">
        <is>
          <t>Nivel 3: validada por decisión del responsable de la base de datos. Pregunta registrada para desarrollo: ¿Qué estructura tiene el JSON de variables de plantilla_reporte? La tabla no se usa en el código del servicio.</t>
        </is>
      </c>
      <c r="AA1918" s="18">
        <f>IF(OR(V1918="Aprobada"),R1918,IF(AND(OR(V1918="Aprobada con ajuste",V1918="Rechazada"),W1918&lt;&gt;""),W1918,""))</f>
        <v/>
      </c>
    </row>
    <row r="1919">
      <c r="A1919" s="18" t="inlineStr">
        <is>
          <t>C1918</t>
        </is>
      </c>
      <c r="B1919" s="18" t="inlineStr">
        <is>
          <t>Control interno</t>
        </is>
      </c>
      <c r="C1919" s="18" t="inlineStr">
        <is>
          <t>control_interno</t>
        </is>
      </c>
      <c r="D1919" s="18" t="inlineStr">
        <is>
          <t>plantilla_reporte</t>
        </is>
      </c>
      <c r="E1919" s="18" t="n">
        <v>0</v>
      </c>
      <c r="F1919" s="18" t="inlineStr">
        <is>
          <t>activa</t>
        </is>
      </c>
      <c r="G1919" s="18" t="inlineStr">
        <is>
          <t>boolean</t>
        </is>
      </c>
      <c r="H1919" s="18" t="inlineStr">
        <is>
          <t>Sí</t>
        </is>
      </c>
      <c r="I1919" s="18" t="inlineStr"/>
      <c r="J1919" s="18" t="inlineStr"/>
      <c r="K1919" s="18" t="inlineStr"/>
      <c r="L1919" s="18" t="inlineStr">
        <is>
          <t>No</t>
        </is>
      </c>
      <c r="M1919" s="18" t="inlineStr">
        <is>
          <t>No</t>
        </is>
      </c>
      <c r="N1919" s="18" t="inlineStr"/>
      <c r="O1919" s="18" t="inlineStr"/>
      <c r="P1919" s="18" t="inlineStr"/>
      <c r="Q1919" s="18" t="inlineStr">
        <is>
          <t>Regla estructural (redacción revisada)</t>
        </is>
      </c>
      <c r="R1919" s="18" t="inlineStr">
        <is>
          <t>Indica si la plantilla de reporte está activa.</t>
        </is>
      </c>
      <c r="S1919" s="18" t="inlineStr">
        <is>
          <t>Alta</t>
        </is>
      </c>
      <c r="T1919" s="18" t="inlineStr">
        <is>
          <t>Convención de nombre, redactada con el contexto de la tabla y el código.</t>
        </is>
      </c>
      <c r="U1919" s="18" t="inlineStr"/>
      <c r="V1919" s="19" t="inlineStr">
        <is>
          <t>Aprobada</t>
        </is>
      </c>
      <c r="W1919" s="19" t="inlineStr"/>
      <c r="X1919" s="19" t="inlineStr">
        <is>
          <t>Aldair González (aprobación en bloque)</t>
        </is>
      </c>
      <c r="Y1919" s="20" t="n">
        <v>46321</v>
      </c>
      <c r="Z1919" s="19" t="inlineStr">
        <is>
          <t>Nivel 2: regla estructural con redacción revisada.</t>
        </is>
      </c>
      <c r="AA1919" s="18">
        <f>IF(OR(V1919="Aprobada"),R1919,IF(AND(OR(V1919="Aprobada con ajuste",V1919="Rechazada"),W1919&lt;&gt;""),W1919,""))</f>
        <v/>
      </c>
    </row>
    <row r="1920">
      <c r="A1920" s="18" t="inlineStr">
        <is>
          <t>C1919</t>
        </is>
      </c>
      <c r="B1920" s="18" t="inlineStr">
        <is>
          <t>Control interno</t>
        </is>
      </c>
      <c r="C1920" s="18" t="inlineStr">
        <is>
          <t>control_interno</t>
        </is>
      </c>
      <c r="D1920" s="18" t="inlineStr">
        <is>
          <t>plantillas_documentos_esap</t>
        </is>
      </c>
      <c r="E1920" s="18" t="n">
        <v>0</v>
      </c>
      <c r="F1920" s="18" t="inlineStr">
        <is>
          <t>codigo</t>
        </is>
      </c>
      <c r="G1920" s="18" t="inlineStr">
        <is>
          <t>character varying(255)</t>
        </is>
      </c>
      <c r="H1920" s="18" t="inlineStr">
        <is>
          <t>No</t>
        </is>
      </c>
      <c r="I1920" s="18" t="inlineStr">
        <is>
          <t>Única</t>
        </is>
      </c>
      <c r="J1920" s="18" t="inlineStr"/>
      <c r="K1920" s="18" t="inlineStr"/>
      <c r="L1920" s="18" t="inlineStr">
        <is>
          <t>No</t>
        </is>
      </c>
      <c r="M1920" s="18" t="inlineStr">
        <is>
          <t>No</t>
        </is>
      </c>
      <c r="N1920" s="18" t="inlineStr"/>
      <c r="O1920" s="18" t="inlineStr">
        <is>
          <t>idx_plantillas_codigo, plantillas_documentos_esap_codigo_key</t>
        </is>
      </c>
      <c r="P1920" s="18" t="inlineStr"/>
      <c r="Q1920" s="18" t="inlineStr">
        <is>
          <t>Regla estructural (redacción revisada)</t>
        </is>
      </c>
      <c r="R1920" s="18" t="inlineStr">
        <is>
          <t>Código de la plantilla de documento. Único en la tabla.</t>
        </is>
      </c>
      <c r="S1920" s="18" t="inlineStr">
        <is>
          <t>Alta</t>
        </is>
      </c>
      <c r="T1920" s="18" t="inlineStr">
        <is>
          <t>Convención de nombre, redactada con el contexto de la tabla y el código.</t>
        </is>
      </c>
      <c r="U1920" s="18" t="inlineStr"/>
      <c r="V1920" s="19" t="inlineStr">
        <is>
          <t>Aprobada</t>
        </is>
      </c>
      <c r="W1920" s="19" t="inlineStr"/>
      <c r="X1920" s="19" t="inlineStr">
        <is>
          <t>Aldair González (aprobación en bloque)</t>
        </is>
      </c>
      <c r="Y1920" s="20" t="n">
        <v>46321</v>
      </c>
      <c r="Z1920" s="19" t="inlineStr">
        <is>
          <t>Nivel 2: regla estructural con redacción revisada.</t>
        </is>
      </c>
      <c r="AA1920" s="18">
        <f>IF(OR(V1920="Aprobada"),R1920,IF(AND(OR(V1920="Aprobada con ajuste",V1920="Rechazada"),W1920&lt;&gt;""),W1920,""))</f>
        <v/>
      </c>
    </row>
    <row r="1921">
      <c r="A1921" s="18" t="inlineStr">
        <is>
          <t>C1920</t>
        </is>
      </c>
      <c r="B1921" s="18" t="inlineStr">
        <is>
          <t>Control interno</t>
        </is>
      </c>
      <c r="C1921" s="18" t="inlineStr">
        <is>
          <t>control_interno</t>
        </is>
      </c>
      <c r="D1921" s="18" t="inlineStr">
        <is>
          <t>plantillas_documentos_esap</t>
        </is>
      </c>
      <c r="E1921" s="18" t="n">
        <v>0</v>
      </c>
      <c r="F1921" s="18" t="inlineStr">
        <is>
          <t>nombre</t>
        </is>
      </c>
      <c r="G1921" s="18" t="inlineStr">
        <is>
          <t>character varying(255)</t>
        </is>
      </c>
      <c r="H1921" s="18" t="inlineStr">
        <is>
          <t>No</t>
        </is>
      </c>
      <c r="I1921" s="18" t="inlineStr"/>
      <c r="J1921" s="18" t="inlineStr"/>
      <c r="K1921" s="18" t="inlineStr"/>
      <c r="L1921" s="18" t="inlineStr">
        <is>
          <t>No</t>
        </is>
      </c>
      <c r="M1921" s="18" t="inlineStr">
        <is>
          <t>No</t>
        </is>
      </c>
      <c r="N1921" s="18" t="inlineStr"/>
      <c r="O1921" s="18" t="inlineStr"/>
      <c r="P1921" s="18" t="inlineStr"/>
      <c r="Q1921" s="18" t="inlineStr">
        <is>
          <t>Regla estructural (redacción revisada)</t>
        </is>
      </c>
      <c r="R1921" s="18" t="inlineStr">
        <is>
          <t>Nombre de la plantilla de documento.</t>
        </is>
      </c>
      <c r="S1921" s="18" t="inlineStr">
        <is>
          <t>Alta</t>
        </is>
      </c>
      <c r="T1921" s="18" t="inlineStr">
        <is>
          <t>Convención de nombre, redactada con el contexto de la tabla y el código.</t>
        </is>
      </c>
      <c r="U1921" s="18" t="inlineStr"/>
      <c r="V1921" s="19" t="inlineStr">
        <is>
          <t>Aprobada</t>
        </is>
      </c>
      <c r="W1921" s="19" t="inlineStr"/>
      <c r="X1921" s="19" t="inlineStr">
        <is>
          <t>Aldair González (aprobación en bloque)</t>
        </is>
      </c>
      <c r="Y1921" s="20" t="n">
        <v>46321</v>
      </c>
      <c r="Z1921" s="19" t="inlineStr">
        <is>
          <t>Nivel 2: regla estructural con redacción revisada.</t>
        </is>
      </c>
      <c r="AA1921" s="18">
        <f>IF(OR(V1921="Aprobada"),R1921,IF(AND(OR(V1921="Aprobada con ajuste",V1921="Rechazada"),W1921&lt;&gt;""),W1921,""))</f>
        <v/>
      </c>
    </row>
    <row r="1922">
      <c r="A1922" s="18" t="inlineStr">
        <is>
          <t>C1921</t>
        </is>
      </c>
      <c r="B1922" s="18" t="inlineStr">
        <is>
          <t>Control interno</t>
        </is>
      </c>
      <c r="C1922" s="18" t="inlineStr">
        <is>
          <t>control_interno</t>
        </is>
      </c>
      <c r="D1922" s="18" t="inlineStr">
        <is>
          <t>plantillas_documentos_esap</t>
        </is>
      </c>
      <c r="E1922" s="18" t="n">
        <v>0</v>
      </c>
      <c r="F1922" s="18" t="inlineStr">
        <is>
          <t>descripcion</t>
        </is>
      </c>
      <c r="G1922" s="18" t="inlineStr">
        <is>
          <t>text</t>
        </is>
      </c>
      <c r="H1922" s="18" t="inlineStr">
        <is>
          <t>Sí</t>
        </is>
      </c>
      <c r="I1922" s="18" t="inlineStr"/>
      <c r="J1922" s="18" t="inlineStr"/>
      <c r="K1922" s="18" t="inlineStr"/>
      <c r="L1922" s="18" t="inlineStr">
        <is>
          <t>No</t>
        </is>
      </c>
      <c r="M1922" s="18" t="inlineStr">
        <is>
          <t>No</t>
        </is>
      </c>
      <c r="N1922" s="18" t="inlineStr"/>
      <c r="O1922" s="18" t="inlineStr"/>
      <c r="P1922" s="18" t="inlineStr"/>
      <c r="Q1922" s="18" t="inlineStr">
        <is>
          <t>Regla estructural (redacción revisada)</t>
        </is>
      </c>
      <c r="R1922" s="18" t="inlineStr">
        <is>
          <t>Descripción de la plantilla de documento.</t>
        </is>
      </c>
      <c r="S1922" s="18" t="inlineStr">
        <is>
          <t>Alta</t>
        </is>
      </c>
      <c r="T1922" s="18" t="inlineStr">
        <is>
          <t>Convención de nombre, redactada con el contexto de la tabla y el código.</t>
        </is>
      </c>
      <c r="U1922" s="18" t="inlineStr"/>
      <c r="V1922" s="19" t="inlineStr">
        <is>
          <t>Aprobada</t>
        </is>
      </c>
      <c r="W1922" s="19" t="inlineStr"/>
      <c r="X1922" s="19" t="inlineStr">
        <is>
          <t>Aldair González (aprobación en bloque)</t>
        </is>
      </c>
      <c r="Y1922" s="20" t="n">
        <v>46321</v>
      </c>
      <c r="Z1922" s="19" t="inlineStr">
        <is>
          <t>Nivel 2: regla estructural con redacción revisada.</t>
        </is>
      </c>
      <c r="AA1922" s="18">
        <f>IF(OR(V1922="Aprobada"),R1922,IF(AND(OR(V1922="Aprobada con ajuste",V1922="Rechazada"),W1922&lt;&gt;""),W1922,""))</f>
        <v/>
      </c>
    </row>
    <row r="1923">
      <c r="A1923" s="18" t="inlineStr">
        <is>
          <t>C1922</t>
        </is>
      </c>
      <c r="B1923" s="18" t="inlineStr">
        <is>
          <t>Control interno</t>
        </is>
      </c>
      <c r="C1923" s="18" t="inlineStr">
        <is>
          <t>control_interno</t>
        </is>
      </c>
      <c r="D1923" s="18" t="inlineStr">
        <is>
          <t>plantillas_documentos_esap</t>
        </is>
      </c>
      <c r="E1923" s="18" t="n">
        <v>0</v>
      </c>
      <c r="F1923" s="18" t="inlineStr">
        <is>
          <t>tipo_documento</t>
        </is>
      </c>
      <c r="G1923" s="18" t="inlineStr">
        <is>
          <t>character varying(100)</t>
        </is>
      </c>
      <c r="H1923" s="18" t="inlineStr">
        <is>
          <t>No</t>
        </is>
      </c>
      <c r="I1923" s="18" t="inlineStr"/>
      <c r="J1923" s="18" t="inlineStr"/>
      <c r="K1923" s="18" t="inlineStr"/>
      <c r="L1923" s="18" t="inlineStr">
        <is>
          <t>No</t>
        </is>
      </c>
      <c r="M1923" s="18" t="inlineStr">
        <is>
          <t>No</t>
        </is>
      </c>
      <c r="N1923" s="18" t="inlineStr"/>
      <c r="O1923" s="18" t="inlineStr">
        <is>
          <t>idx_plantillas_tipo</t>
        </is>
      </c>
      <c r="P1923" s="18" t="inlineStr"/>
      <c r="Q1923" s="18" t="inlineStr">
        <is>
          <t>Código fuente (verificado)</t>
        </is>
      </c>
      <c r="R1923" s="18" t="inlineStr">
        <is>
          <t>Tipo de documento que genera la plantilla.</t>
        </is>
      </c>
      <c r="S1923" s="18" t="inlineStr">
        <is>
          <t>Media</t>
        </is>
      </c>
      <c r="T1923" s="18" t="inlineStr">
        <is>
          <t>internal-institutional-control-service/schema.sql:1176: tipo_documento VARCHAR(100) NOT NULL, sin CHECK; no hay entidad ni servicio que use control_interno.plantillas_documentos_esap</t>
        </is>
      </c>
      <c r="U1923" s="18" t="inlineStr">
        <is>
          <t>¿Qué tipos de documento admite plantillas_documentos_esap? La tabla no se usa en el código del servicio y la columna no tiene CHECK.</t>
        </is>
      </c>
      <c r="V1923" s="19" t="inlineStr">
        <is>
          <t>Aprobada</t>
        </is>
      </c>
      <c r="W1923" s="19" t="inlineStr"/>
      <c r="X1923" s="19" t="inlineStr">
        <is>
          <t>Aldair González (validación del responsable de BD)</t>
        </is>
      </c>
      <c r="Y1923" s="20" t="n">
        <v>46321</v>
      </c>
      <c r="Z1923" s="19" t="inlineStr">
        <is>
          <t>Nivel 3: validada por decisión del responsable de la base de datos. Pregunta registrada para desarrollo: ¿Qué tipos de documento admite plantillas_documentos_esap? La tabla no se usa en el código del servicio y la columna no tiene CHECK.</t>
        </is>
      </c>
      <c r="AA1923" s="18">
        <f>IF(OR(V1923="Aprobada"),R1923,IF(AND(OR(V1923="Aprobada con ajuste",V1923="Rechazada"),W1923&lt;&gt;""),W1923,""))</f>
        <v/>
      </c>
    </row>
    <row r="1924">
      <c r="A1924" s="18" t="inlineStr">
        <is>
          <t>C1923</t>
        </is>
      </c>
      <c r="B1924" s="18" t="inlineStr">
        <is>
          <t>Control interno</t>
        </is>
      </c>
      <c r="C1924" s="18" t="inlineStr">
        <is>
          <t>control_interno</t>
        </is>
      </c>
      <c r="D1924" s="18" t="inlineStr">
        <is>
          <t>plantillas_documentos_esap</t>
        </is>
      </c>
      <c r="E1924" s="18" t="n">
        <v>0</v>
      </c>
      <c r="F1924" s="18" t="inlineStr">
        <is>
          <t>contenido</t>
        </is>
      </c>
      <c r="G1924" s="18" t="inlineStr">
        <is>
          <t>text</t>
        </is>
      </c>
      <c r="H1924" s="18" t="inlineStr">
        <is>
          <t>No</t>
        </is>
      </c>
      <c r="I1924" s="18" t="inlineStr"/>
      <c r="J1924" s="18" t="inlineStr"/>
      <c r="K1924" s="18" t="inlineStr"/>
      <c r="L1924" s="18" t="inlineStr">
        <is>
          <t>No</t>
        </is>
      </c>
      <c r="M1924" s="18" t="inlineStr">
        <is>
          <t>No</t>
        </is>
      </c>
      <c r="N1924" s="18" t="inlineStr"/>
      <c r="O1924" s="18" t="inlineStr"/>
      <c r="P1924" s="18" t="inlineStr"/>
      <c r="Q1924" s="18" t="inlineStr">
        <is>
          <t>Código fuente (verificado)</t>
        </is>
      </c>
      <c r="R1924" s="18" t="inlineStr">
        <is>
          <t>Contenido de la plantilla del documento.</t>
        </is>
      </c>
      <c r="S1924" s="18" t="inlineStr">
        <is>
          <t>Media</t>
        </is>
      </c>
      <c r="T1924" s="18" t="inlineStr">
        <is>
          <t>internal-institutional-control-service/schema.sql:1177: contenido TEXT NOT NULL; no hay entidad ni servicio que use control_interno.plantillas_documentos_esap</t>
        </is>
      </c>
      <c r="U1924" s="18" t="inlineStr">
        <is>
          <t>¿El contenido de plantillas_documentos_esap está en HTML, Markdown o texto plano? La tabla no se usa en el código del servicio.</t>
        </is>
      </c>
      <c r="V1924" s="19" t="inlineStr">
        <is>
          <t>Aprobada</t>
        </is>
      </c>
      <c r="W1924" s="19" t="inlineStr"/>
      <c r="X1924" s="19" t="inlineStr">
        <is>
          <t>Aldair González (validación del responsable de BD)</t>
        </is>
      </c>
      <c r="Y1924" s="20" t="n">
        <v>46321</v>
      </c>
      <c r="Z1924" s="19" t="inlineStr">
        <is>
          <t>Nivel 3: validada por decisión del responsable de la base de datos. Pregunta registrada para desarrollo: ¿El contenido de plantillas_documentos_esap está en HTML, Markdown o texto plano? La tabla no se usa en el código del servicio.</t>
        </is>
      </c>
      <c r="AA1924" s="18">
        <f>IF(OR(V1924="Aprobada"),R1924,IF(AND(OR(V1924="Aprobada con ajuste",V1924="Rechazada"),W1924&lt;&gt;""),W1924,""))</f>
        <v/>
      </c>
    </row>
    <row r="1925">
      <c r="A1925" s="18" t="inlineStr">
        <is>
          <t>C1924</t>
        </is>
      </c>
      <c r="B1925" s="18" t="inlineStr">
        <is>
          <t>Control interno</t>
        </is>
      </c>
      <c r="C1925" s="18" t="inlineStr">
        <is>
          <t>control_interno</t>
        </is>
      </c>
      <c r="D1925" s="18" t="inlineStr">
        <is>
          <t>plantillas_documentos_esap</t>
        </is>
      </c>
      <c r="E1925" s="18" t="n">
        <v>0</v>
      </c>
      <c r="F1925" s="18" t="inlineStr">
        <is>
          <t>variables_disponibles</t>
        </is>
      </c>
      <c r="G1925" s="18" t="inlineStr">
        <is>
          <t>jsonb</t>
        </is>
      </c>
      <c r="H1925" s="18" t="inlineStr">
        <is>
          <t>Sí</t>
        </is>
      </c>
      <c r="I1925" s="18" t="inlineStr"/>
      <c r="J1925" s="18" t="inlineStr"/>
      <c r="K1925" s="18" t="inlineStr"/>
      <c r="L1925" s="18" t="inlineStr">
        <is>
          <t>No</t>
        </is>
      </c>
      <c r="M1925" s="18" t="inlineStr">
        <is>
          <t>No</t>
        </is>
      </c>
      <c r="N1925" s="18" t="inlineStr"/>
      <c r="O1925" s="18" t="inlineStr"/>
      <c r="P1925" s="18" t="inlineStr"/>
      <c r="Q1925" s="18" t="inlineStr">
        <is>
          <t>Código fuente (verificado)</t>
        </is>
      </c>
      <c r="R1925" s="18" t="inlineStr">
        <is>
          <t>Variables que se pueden usar en la plantilla del documento, en formato JSON.</t>
        </is>
      </c>
      <c r="S1925" s="18" t="inlineStr">
        <is>
          <t>Media</t>
        </is>
      </c>
      <c r="T1925" s="18" t="inlineStr">
        <is>
          <t>internal-institutional-control-service/schema.sql:1178: variables_disponibles JSONB; no hay entidad ni servicio que use control_interno.plantillas_documentos_esap</t>
        </is>
      </c>
      <c r="U1925" s="18" t="inlineStr">
        <is>
          <t>¿Qué estructura tiene el JSON de variables de plantillas_documentos_esap? La tabla no se usa en el código del servicio.</t>
        </is>
      </c>
      <c r="V1925" s="19" t="inlineStr">
        <is>
          <t>Aprobada</t>
        </is>
      </c>
      <c r="W1925" s="19" t="inlineStr"/>
      <c r="X1925" s="19" t="inlineStr">
        <is>
          <t>Aldair González (validación del responsable de BD)</t>
        </is>
      </c>
      <c r="Y1925" s="20" t="n">
        <v>46321</v>
      </c>
      <c r="Z1925" s="19" t="inlineStr">
        <is>
          <t>Nivel 3: validada por decisión del responsable de la base de datos. Pregunta registrada para desarrollo: ¿Qué estructura tiene el JSON de variables de plantillas_documentos_esap? La tabla no se usa en el código del servicio.</t>
        </is>
      </c>
      <c r="AA1925" s="18">
        <f>IF(OR(V1925="Aprobada"),R1925,IF(AND(OR(V1925="Aprobada con ajuste",V1925="Rechazada"),W1925&lt;&gt;""),W1925,""))</f>
        <v/>
      </c>
    </row>
    <row r="1926">
      <c r="A1926" s="18" t="inlineStr">
        <is>
          <t>C1925</t>
        </is>
      </c>
      <c r="B1926" s="18" t="inlineStr">
        <is>
          <t>Control interno</t>
        </is>
      </c>
      <c r="C1926" s="18" t="inlineStr">
        <is>
          <t>control_interno</t>
        </is>
      </c>
      <c r="D1926" s="18" t="inlineStr">
        <is>
          <t>plantillas_documentos_esap</t>
        </is>
      </c>
      <c r="E1926" s="18" t="n">
        <v>0</v>
      </c>
      <c r="F1926" s="18" t="inlineStr">
        <is>
          <t>activa</t>
        </is>
      </c>
      <c r="G1926" s="18" t="inlineStr">
        <is>
          <t>boolean</t>
        </is>
      </c>
      <c r="H1926" s="18" t="inlineStr">
        <is>
          <t>Sí</t>
        </is>
      </c>
      <c r="I1926" s="18" t="inlineStr"/>
      <c r="J1926" s="18" t="inlineStr"/>
      <c r="K1926" s="18" t="inlineStr"/>
      <c r="L1926" s="18" t="inlineStr">
        <is>
          <t>No</t>
        </is>
      </c>
      <c r="M1926" s="18" t="inlineStr">
        <is>
          <t>No</t>
        </is>
      </c>
      <c r="N1926" s="18" t="inlineStr"/>
      <c r="O1926" s="18" t="inlineStr">
        <is>
          <t>idx_plantillas_activa</t>
        </is>
      </c>
      <c r="P1926" s="18" t="inlineStr"/>
      <c r="Q1926" s="18" t="inlineStr">
        <is>
          <t>Regla estructural (redacción revisada)</t>
        </is>
      </c>
      <c r="R1926" s="18" t="inlineStr">
        <is>
          <t>Indica si la plantilla de documento está activa.</t>
        </is>
      </c>
      <c r="S1926" s="18" t="inlineStr">
        <is>
          <t>Alta</t>
        </is>
      </c>
      <c r="T1926" s="18" t="inlineStr">
        <is>
          <t>Convención de nombre, redactada con el contexto de la tabla y el código.</t>
        </is>
      </c>
      <c r="U1926" s="18" t="inlineStr"/>
      <c r="V1926" s="19" t="inlineStr">
        <is>
          <t>Aprobada</t>
        </is>
      </c>
      <c r="W1926" s="19" t="inlineStr"/>
      <c r="X1926" s="19" t="inlineStr">
        <is>
          <t>Aldair González (aprobación en bloque)</t>
        </is>
      </c>
      <c r="Y1926" s="20" t="n">
        <v>46321</v>
      </c>
      <c r="Z1926" s="19" t="inlineStr">
        <is>
          <t>Nivel 2: regla estructural con redacción revisada.</t>
        </is>
      </c>
      <c r="AA1926" s="18">
        <f>IF(OR(V1926="Aprobada"),R1926,IF(AND(OR(V1926="Aprobada con ajuste",V1926="Rechazada"),W1926&lt;&gt;""),W1926,""))</f>
        <v/>
      </c>
    </row>
    <row r="1927">
      <c r="A1927" s="18" t="inlineStr">
        <is>
          <t>C1926</t>
        </is>
      </c>
      <c r="B1927" s="18" t="inlineStr">
        <is>
          <t>Control interno</t>
        </is>
      </c>
      <c r="C1927" s="18" t="inlineStr">
        <is>
          <t>control_interno</t>
        </is>
      </c>
      <c r="D1927" s="18" t="inlineStr">
        <is>
          <t>plantillas_documentos_esap</t>
        </is>
      </c>
      <c r="E1927" s="18" t="n">
        <v>0</v>
      </c>
      <c r="F1927" s="18" t="inlineStr">
        <is>
          <t>version</t>
        </is>
      </c>
      <c r="G1927" s="18" t="inlineStr">
        <is>
          <t>integer</t>
        </is>
      </c>
      <c r="H1927" s="18" t="inlineStr">
        <is>
          <t>Sí</t>
        </is>
      </c>
      <c r="I1927" s="18" t="inlineStr"/>
      <c r="J1927" s="18" t="inlineStr"/>
      <c r="K1927" s="18" t="inlineStr"/>
      <c r="L1927" s="18" t="inlineStr">
        <is>
          <t>No</t>
        </is>
      </c>
      <c r="M1927" s="18" t="inlineStr">
        <is>
          <t>No</t>
        </is>
      </c>
      <c r="N1927" s="18" t="inlineStr"/>
      <c r="O1927" s="18" t="inlineStr"/>
      <c r="P1927" s="18" t="inlineStr"/>
      <c r="Q1927" s="18" t="inlineStr">
        <is>
          <t>Regla estructural (redacción revisada)</t>
        </is>
      </c>
      <c r="R1927" s="18" t="inlineStr">
        <is>
          <t>Número de versión de la plantilla de documento.</t>
        </is>
      </c>
      <c r="S1927" s="18" t="inlineStr">
        <is>
          <t>Alta</t>
        </is>
      </c>
      <c r="T1927" s="18" t="inlineStr">
        <is>
          <t>Convención de nombre, redactada con el contexto de la tabla y el código.</t>
        </is>
      </c>
      <c r="U1927" s="18" t="inlineStr"/>
      <c r="V1927" s="19" t="inlineStr">
        <is>
          <t>Aprobada</t>
        </is>
      </c>
      <c r="W1927" s="19" t="inlineStr"/>
      <c r="X1927" s="19" t="inlineStr">
        <is>
          <t>Aldair González (aprobación en bloque)</t>
        </is>
      </c>
      <c r="Y1927" s="20" t="n">
        <v>46321</v>
      </c>
      <c r="Z1927" s="19" t="inlineStr">
        <is>
          <t>Nivel 2: regla estructural con redacción revisada.</t>
        </is>
      </c>
      <c r="AA1927" s="18">
        <f>IF(OR(V1927="Aprobada"),R1927,IF(AND(OR(V1927="Aprobada con ajuste",V1927="Rechazada"),W1927&lt;&gt;""),W1927,""))</f>
        <v/>
      </c>
    </row>
    <row r="1928">
      <c r="A1928" s="18" t="inlineStr">
        <is>
          <t>C1927</t>
        </is>
      </c>
      <c r="B1928" s="18" t="inlineStr">
        <is>
          <t>Control interno</t>
        </is>
      </c>
      <c r="C1928" s="18" t="inlineStr">
        <is>
          <t>control_interno</t>
        </is>
      </c>
      <c r="D1928" s="18" t="inlineStr">
        <is>
          <t>preferencia_notificacion</t>
        </is>
      </c>
      <c r="E1928" s="18" t="n">
        <v>1</v>
      </c>
      <c r="F1928" s="18" t="inlineStr">
        <is>
          <t>usuario_id</t>
        </is>
      </c>
      <c r="G1928" s="18" t="inlineStr">
        <is>
          <t>character varying(255)</t>
        </is>
      </c>
      <c r="H1928" s="18" t="inlineStr">
        <is>
          <t>No</t>
        </is>
      </c>
      <c r="I1928" s="18" t="inlineStr">
        <is>
          <t>Única</t>
        </is>
      </c>
      <c r="J1928" s="18" t="inlineStr"/>
      <c r="K1928" s="18" t="inlineStr"/>
      <c r="L1928" s="18" t="inlineStr">
        <is>
          <t>No</t>
        </is>
      </c>
      <c r="M1928" s="18" t="inlineStr">
        <is>
          <t>No</t>
        </is>
      </c>
      <c r="N1928" s="18" t="inlineStr"/>
      <c r="O1928" s="18" t="inlineStr">
        <is>
          <t>idx_preferencia_usuario, preferencia_notificacion_usuario_id_key</t>
        </is>
      </c>
      <c r="P1928" s="18" t="inlineStr">
        <is>
          <t>Mapeada en internal-institutional-control-service/src/esap/notificaciones/entities/preferencia-notificacion.entity.ts:16 (PreferenciaNotificacion.usuarioId) | Validación: IsNotEmpty, IsOptional, IsString, IsUUID</t>
        </is>
      </c>
      <c r="Q1928" s="18" t="inlineStr">
        <is>
          <t>Propuesta semántica</t>
        </is>
      </c>
      <c r="R1928" s="18" t="inlineStr">
        <is>
          <t>Identificador del usuario al que pertenecen las preferencias; cada usuario tiene un solo registro.</t>
        </is>
      </c>
      <c r="S1928" s="18" t="inlineStr">
        <is>
          <t>Alta</t>
        </is>
      </c>
      <c r="T1928" s="18" t="inlineStr">
        <is>
          <t>nombre + restricción única</t>
        </is>
      </c>
      <c r="U1928" s="18" t="inlineStr"/>
      <c r="V1928" s="19" t="inlineStr">
        <is>
          <t>Aprobada</t>
        </is>
      </c>
      <c r="W1928" s="19" t="inlineStr"/>
      <c r="X1928" s="19" t="inlineStr">
        <is>
          <t>Aldair González (aprobación en bloque)</t>
        </is>
      </c>
      <c r="Y1928" s="20" t="n">
        <v>46321</v>
      </c>
      <c r="Z1928" s="19" t="inlineStr">
        <is>
          <t>Nivel 1: propuesta del comentario del desarrollador o de confianza alta, o regla de fecha/responsable/motivo.</t>
        </is>
      </c>
      <c r="AA1928" s="18">
        <f>IF(OR(V1928="Aprobada"),R1928,IF(AND(OR(V1928="Aprobada con ajuste",V1928="Rechazada"),W1928&lt;&gt;""),W1928,""))</f>
        <v/>
      </c>
    </row>
    <row r="1929">
      <c r="A1929" s="18" t="inlineStr">
        <is>
          <t>C1928</t>
        </is>
      </c>
      <c r="B1929" s="18" t="inlineStr">
        <is>
          <t>Control interno</t>
        </is>
      </c>
      <c r="C1929" s="18" t="inlineStr">
        <is>
          <t>control_interno</t>
        </is>
      </c>
      <c r="D1929" s="18" t="inlineStr">
        <is>
          <t>preferencia_notificacion</t>
        </is>
      </c>
      <c r="E1929" s="18" t="n">
        <v>1</v>
      </c>
      <c r="F1929" s="18" t="inlineStr">
        <is>
          <t>notificaciones_email</t>
        </is>
      </c>
      <c r="G1929" s="18" t="inlineStr">
        <is>
          <t>boolean</t>
        </is>
      </c>
      <c r="H1929" s="18" t="inlineStr">
        <is>
          <t>Sí</t>
        </is>
      </c>
      <c r="I1929" s="18" t="inlineStr"/>
      <c r="J1929" s="18" t="inlineStr"/>
      <c r="K1929" s="18" t="inlineStr"/>
      <c r="L1929" s="18" t="inlineStr">
        <is>
          <t>No</t>
        </is>
      </c>
      <c r="M1929" s="18" t="inlineStr">
        <is>
          <t>No</t>
        </is>
      </c>
      <c r="N1929" s="18" t="inlineStr"/>
      <c r="O1929" s="18" t="inlineStr"/>
      <c r="P1929" s="18" t="inlineStr">
        <is>
          <t>Mapeada en internal-institutional-control-service/src/esap/notificaciones/entities/preferencia-notificacion.entity.ts:19 (PreferenciaNotificacion.recibirEmail)</t>
        </is>
      </c>
      <c r="Q1929" s="18" t="inlineStr">
        <is>
          <t>Regla estructural (redacción revisada)</t>
        </is>
      </c>
      <c r="R1929" s="18" t="inlineStr">
        <is>
          <t>Indica si el usuario recibe notificaciones por correo electrónico.</t>
        </is>
      </c>
      <c r="S1929" s="18" t="inlineStr">
        <is>
          <t>Alta</t>
        </is>
      </c>
      <c r="T1929" s="18" t="inlineStr">
        <is>
          <t>Convención de nombre, redactada con el contexto de la tabla y el código.</t>
        </is>
      </c>
      <c r="U1929" s="18" t="inlineStr"/>
      <c r="V1929" s="19" t="inlineStr">
        <is>
          <t>Aprobada</t>
        </is>
      </c>
      <c r="W1929" s="19" t="inlineStr"/>
      <c r="X1929" s="19" t="inlineStr">
        <is>
          <t>Aldair González (aprobación en bloque)</t>
        </is>
      </c>
      <c r="Y1929" s="20" t="n">
        <v>46321</v>
      </c>
      <c r="Z1929" s="19" t="inlineStr">
        <is>
          <t>Nivel 2: regla estructural con redacción revisada.</t>
        </is>
      </c>
      <c r="AA1929" s="18">
        <f>IF(OR(V1929="Aprobada"),R1929,IF(AND(OR(V1929="Aprobada con ajuste",V1929="Rechazada"),W1929&lt;&gt;""),W1929,""))</f>
        <v/>
      </c>
    </row>
    <row r="1930">
      <c r="A1930" s="18" t="inlineStr">
        <is>
          <t>C1929</t>
        </is>
      </c>
      <c r="B1930" s="18" t="inlineStr">
        <is>
          <t>Control interno</t>
        </is>
      </c>
      <c r="C1930" s="18" t="inlineStr">
        <is>
          <t>control_interno</t>
        </is>
      </c>
      <c r="D1930" s="18" t="inlineStr">
        <is>
          <t>preferencia_notificacion</t>
        </is>
      </c>
      <c r="E1930" s="18" t="n">
        <v>1</v>
      </c>
      <c r="F1930" s="18" t="inlineStr">
        <is>
          <t>notificaciones_sistema</t>
        </is>
      </c>
      <c r="G1930" s="18" t="inlineStr">
        <is>
          <t>boolean</t>
        </is>
      </c>
      <c r="H1930" s="18" t="inlineStr">
        <is>
          <t>Sí</t>
        </is>
      </c>
      <c r="I1930" s="18" t="inlineStr"/>
      <c r="J1930" s="18" t="inlineStr"/>
      <c r="K1930" s="18" t="inlineStr"/>
      <c r="L1930" s="18" t="inlineStr">
        <is>
          <t>No</t>
        </is>
      </c>
      <c r="M1930" s="18" t="inlineStr">
        <is>
          <t>No</t>
        </is>
      </c>
      <c r="N1930" s="18" t="inlineStr"/>
      <c r="O1930" s="18" t="inlineStr"/>
      <c r="P1930" s="18" t="inlineStr">
        <is>
          <t>Mapeada en internal-institutional-control-service/src/esap/notificaciones/entities/preferencia-notificacion.entity.ts:22 (PreferenciaNotificacion.recibirSistema)</t>
        </is>
      </c>
      <c r="Q1930" s="18" t="inlineStr">
        <is>
          <t>Regla estructural (redacción revisada)</t>
        </is>
      </c>
      <c r="R1930" s="18" t="inlineStr">
        <is>
          <t>Indica si el usuario recibe notificaciones en el sistema.</t>
        </is>
      </c>
      <c r="S1930" s="18" t="inlineStr">
        <is>
          <t>Alta</t>
        </is>
      </c>
      <c r="T1930" s="18" t="inlineStr">
        <is>
          <t>Convención de nombre, redactada con el contexto de la tabla y el código.</t>
        </is>
      </c>
      <c r="U1930" s="18" t="inlineStr"/>
      <c r="V1930" s="19" t="inlineStr">
        <is>
          <t>Aprobada</t>
        </is>
      </c>
      <c r="W1930" s="19" t="inlineStr"/>
      <c r="X1930" s="19" t="inlineStr">
        <is>
          <t>Aldair González (aprobación en bloque)</t>
        </is>
      </c>
      <c r="Y1930" s="20" t="n">
        <v>46321</v>
      </c>
      <c r="Z1930" s="19" t="inlineStr">
        <is>
          <t>Nivel 2: regla estructural con redacción revisada.</t>
        </is>
      </c>
      <c r="AA1930" s="18">
        <f>IF(OR(V1930="Aprobada"),R1930,IF(AND(OR(V1930="Aprobada con ajuste",V1930="Rechazada"),W1930&lt;&gt;""),W1930,""))</f>
        <v/>
      </c>
    </row>
    <row r="1931">
      <c r="A1931" s="18" t="inlineStr">
        <is>
          <t>C1930</t>
        </is>
      </c>
      <c r="B1931" s="18" t="inlineStr">
        <is>
          <t>Control interno</t>
        </is>
      </c>
      <c r="C1931" s="18" t="inlineStr">
        <is>
          <t>control_interno</t>
        </is>
      </c>
      <c r="D1931" s="18" t="inlineStr">
        <is>
          <t>preferencia_notificacion</t>
        </is>
      </c>
      <c r="E1931" s="18" t="n">
        <v>1</v>
      </c>
      <c r="F1931" s="18" t="inlineStr">
        <is>
          <t>tipos_notificacion</t>
        </is>
      </c>
      <c r="G1931" s="18" t="inlineStr">
        <is>
          <t>jsonb</t>
        </is>
      </c>
      <c r="H1931" s="18" t="inlineStr">
        <is>
          <t>Sí</t>
        </is>
      </c>
      <c r="I1931" s="18" t="inlineStr"/>
      <c r="J1931" s="18" t="inlineStr"/>
      <c r="K1931" s="18" t="inlineStr"/>
      <c r="L1931" s="18" t="inlineStr">
        <is>
          <t>No</t>
        </is>
      </c>
      <c r="M1931" s="18" t="inlineStr">
        <is>
          <t>No</t>
        </is>
      </c>
      <c r="N1931" s="18" t="inlineStr"/>
      <c r="O1931" s="18" t="inlineStr"/>
      <c r="P1931" s="18" t="inlineStr">
        <is>
          <t>Mapeada en internal-institutional-control-service/src/esap/notificaciones/entities/preferencia-notificacion.entity.ts:28 (PreferenciaNotificacion.tiposNotificacion)</t>
        </is>
      </c>
      <c r="Q1931" s="18" t="inlineStr">
        <is>
          <t>Código fuente (verificado)</t>
        </is>
      </c>
      <c r="R1931" s="18" t="inlineStr">
        <is>
          <t>Configuración por tipo de notificación, como objeto JSON cuya clave es el código del evento y cuyo valor indica los canales email y sistema y si está activo. En el registro de configuración global (usuario_id GLOBAL_CONFIG) cada evento lleva además la condición de disparo y los roles destinatarios.</t>
        </is>
      </c>
      <c r="S1931" s="18" t="inlineStr">
        <is>
          <t>Alta</t>
        </is>
      </c>
      <c r="T1931" s="18" t="inlineStr">
        <is>
          <t>internal-institutional-control-service/src/esap/notificaciones/entities/preferencia-notificacion.entity.ts:28-35: tiposNotificacion { [codigo]: { email, sistema, activo } } | internal-institutional-control-service/src/esap/notificaciones/notificaciones.service.ts:262: configuración global con usuarioId GLOBAL_CONFIG | internal-institutional-control-service/src/esap/notificaciones/notificaciones.service.ts:232-240: recorre los eventos, omite los inactivos y compara config.condicion | internal-institutional-control-service/src/esap/notificaciones/notificaciones-automaticas.service.ts:141-143: lee tiposNotificacion['EVT-AUD-002'].destinatarios</t>
        </is>
      </c>
      <c r="U1931" s="18" t="inlineStr"/>
      <c r="V1931" s="19" t="inlineStr">
        <is>
          <t>Aprobada</t>
        </is>
      </c>
      <c r="W1931" s="19" t="inlineStr"/>
      <c r="X1931" s="19" t="inlineStr">
        <is>
          <t>Aldair González (aprobación en bloque)</t>
        </is>
      </c>
      <c r="Y1931" s="20" t="n">
        <v>46321</v>
      </c>
      <c r="Z1931" s="19" t="inlineStr">
        <is>
          <t>Nivel 3: verificada con el código de la aplicación.</t>
        </is>
      </c>
      <c r="AA1931" s="18">
        <f>IF(OR(V1931="Aprobada"),R1931,IF(AND(OR(V1931="Aprobada con ajuste",V1931="Rechazada"),W1931&lt;&gt;""),W1931,""))</f>
        <v/>
      </c>
    </row>
    <row r="1932">
      <c r="A1932" s="18" t="inlineStr">
        <is>
          <t>C1931</t>
        </is>
      </c>
      <c r="B1932" s="18" t="inlineStr">
        <is>
          <t>Control interno</t>
        </is>
      </c>
      <c r="C1932" s="18" t="inlineStr">
        <is>
          <t>control_interno</t>
        </is>
      </c>
      <c r="D1932" s="18" t="inlineStr">
        <is>
          <t>preferencia_notificacion</t>
        </is>
      </c>
      <c r="E1932" s="18" t="n">
        <v>1</v>
      </c>
      <c r="F1932" s="18" t="inlineStr">
        <is>
          <t>frecuencia_recordatorios</t>
        </is>
      </c>
      <c r="G1932" s="18" t="inlineStr">
        <is>
          <t>character varying(50)</t>
        </is>
      </c>
      <c r="H1932" s="18" t="inlineStr">
        <is>
          <t>Sí</t>
        </is>
      </c>
      <c r="I1932" s="18" t="inlineStr"/>
      <c r="J1932" s="18" t="inlineStr"/>
      <c r="K1932" s="18" t="inlineStr"/>
      <c r="L1932" s="18" t="inlineStr">
        <is>
          <t>No</t>
        </is>
      </c>
      <c r="M1932" s="18" t="inlineStr">
        <is>
          <t>No</t>
        </is>
      </c>
      <c r="N1932" s="18" t="inlineStr"/>
      <c r="O1932" s="18" t="inlineStr"/>
      <c r="P1932" s="18" t="inlineStr">
        <is>
          <t>Mapeada en internal-institutional-control-service/src/esap/notificaciones/entities/preferencia-notificacion.entity.ts:25 (PreferenciaNotificacion.diasAnticipacion)</t>
        </is>
      </c>
      <c r="Q1932" s="18" t="inlineStr">
        <is>
          <t>Código fuente (verificado)</t>
        </is>
      </c>
      <c r="R1932" s="18" t="inlineStr">
        <is>
          <t>Número de días de anticipación de los recordatorios al usuario, guardado como texto. Valor por defecto: 7.</t>
        </is>
      </c>
      <c r="S1932" s="18" t="inlineStr">
        <is>
          <t>Media</t>
        </is>
      </c>
      <c r="T1932" s="18" t="inlineStr">
        <is>
          <t>internal-institutional-control-service/src/esap/notificaciones/entities/preferencia-notificacion.entity.ts:25-26: columna varchar(50) default '7' mapeada a la propiedad numérica diasAnticipacion | internal-institutional-control-service/src/esap/notificaciones/notificaciones.service.ts:1136: preferencias por defecto con diasAnticipacion 7 | internal-institutional-control-service/src/esap/notificaciones/notificaciones-automaticas.service.ts:15: los recordatorios automáticos usan la constante DIAS_ANTICIPACION [7, 3, 1], no la preferencia</t>
        </is>
      </c>
      <c r="U1932" s="18" t="inlineStr">
        <is>
          <t>La propiedad es numérica (días de anticipación) pero la columna es texto y los recordatorios automáticos usan una constante [7, 3, 1]: ¿se usa este valor de la preferencia y por qué se guarda como texto?</t>
        </is>
      </c>
      <c r="V1932" s="19" t="inlineStr">
        <is>
          <t>Aprobada</t>
        </is>
      </c>
      <c r="W1932" s="19" t="inlineStr"/>
      <c r="X1932" s="19" t="inlineStr">
        <is>
          <t>Aldair González (validación del responsable de BD)</t>
        </is>
      </c>
      <c r="Y1932" s="20" t="n">
        <v>46321</v>
      </c>
      <c r="Z1932" s="19" t="inlineStr">
        <is>
          <t>Nivel 3: validada por decisión del responsable de la base de datos. Pregunta registrada para desarrollo: La propiedad es numérica (días de anticipación) pero la columna es texto y los recordatorios automáticos usan una constante [7, 3, 1]: ¿se usa este valor de la preferencia y por qué se guarda como texto?</t>
        </is>
      </c>
      <c r="AA1932" s="18">
        <f>IF(OR(V1932="Aprobada"),R1932,IF(AND(OR(V1932="Aprobada con ajuste",V1932="Rechazada"),W1932&lt;&gt;""),W1932,""))</f>
        <v/>
      </c>
    </row>
    <row r="1933">
      <c r="A1933" s="18" t="inlineStr">
        <is>
          <t>C1932</t>
        </is>
      </c>
      <c r="B1933" s="18" t="inlineStr">
        <is>
          <t>Control interno</t>
        </is>
      </c>
      <c r="C1933" s="18" t="inlineStr">
        <is>
          <t>control_interno</t>
        </is>
      </c>
      <c r="D1933" s="18" t="inlineStr">
        <is>
          <t>proceso_auditable</t>
        </is>
      </c>
      <c r="E1933" s="18" t="n">
        <v>36</v>
      </c>
      <c r="F1933" s="18" t="inlineStr">
        <is>
          <t>codigo</t>
        </is>
      </c>
      <c r="G1933" s="18" t="inlineStr">
        <is>
          <t>character varying(255)</t>
        </is>
      </c>
      <c r="H1933" s="18" t="inlineStr">
        <is>
          <t>No</t>
        </is>
      </c>
      <c r="I1933" s="18" t="inlineStr">
        <is>
          <t>Única</t>
        </is>
      </c>
      <c r="J1933" s="18" t="inlineStr"/>
      <c r="K1933" s="18" t="inlineStr"/>
      <c r="L1933" s="18" t="inlineStr">
        <is>
          <t>No</t>
        </is>
      </c>
      <c r="M1933" s="18" t="inlineStr">
        <is>
          <t>No</t>
        </is>
      </c>
      <c r="N1933" s="18" t="inlineStr"/>
      <c r="O1933" s="18" t="inlineStr">
        <is>
          <t>idx_proceso_auditable_codigo, proceso_auditable_codigo_key</t>
        </is>
      </c>
      <c r="P1933" s="18" t="inlineStr">
        <is>
          <t>Mapeada en internal-institutional-control-service/src/esap/universo-auditorias/entities/proceso-auditable.entity.ts:30 (ProcesoAuditable.codigo) | Validación: IsNotEmpty, IsOptional, IsString, Length(1, 50), MaxLength(80)</t>
        </is>
      </c>
      <c r="Q1933" s="18" t="inlineStr">
        <is>
          <t>Regla estructural (redacción revisada)</t>
        </is>
      </c>
      <c r="R1933" s="18" t="inlineStr">
        <is>
          <t>Código del proceso auditable. Único en la tabla.</t>
        </is>
      </c>
      <c r="S1933" s="18" t="inlineStr">
        <is>
          <t>Alta</t>
        </is>
      </c>
      <c r="T1933" s="18" t="inlineStr">
        <is>
          <t>Convención de nombre, redactada con el contexto de la tabla y el código.</t>
        </is>
      </c>
      <c r="U1933" s="18" t="inlineStr"/>
      <c r="V1933" s="19" t="inlineStr">
        <is>
          <t>Aprobada</t>
        </is>
      </c>
      <c r="W1933" s="19" t="inlineStr"/>
      <c r="X1933" s="19" t="inlineStr">
        <is>
          <t>Aldair González (aprobación en bloque)</t>
        </is>
      </c>
      <c r="Y1933" s="20" t="n">
        <v>46321</v>
      </c>
      <c r="Z1933" s="19" t="inlineStr">
        <is>
          <t>Nivel 2: regla estructural con redacción revisada.</t>
        </is>
      </c>
      <c r="AA1933" s="18">
        <f>IF(OR(V1933="Aprobada"),R1933,IF(AND(OR(V1933="Aprobada con ajuste",V1933="Rechazada"),W1933&lt;&gt;""),W1933,""))</f>
        <v/>
      </c>
    </row>
    <row r="1934">
      <c r="A1934" s="18" t="inlineStr">
        <is>
          <t>C1933</t>
        </is>
      </c>
      <c r="B1934" s="18" t="inlineStr">
        <is>
          <t>Control interno</t>
        </is>
      </c>
      <c r="C1934" s="18" t="inlineStr">
        <is>
          <t>control_interno</t>
        </is>
      </c>
      <c r="D1934" s="18" t="inlineStr">
        <is>
          <t>proceso_auditable</t>
        </is>
      </c>
      <c r="E1934" s="18" t="n">
        <v>36</v>
      </c>
      <c r="F1934" s="18" t="inlineStr">
        <is>
          <t>nombre</t>
        </is>
      </c>
      <c r="G1934" s="18" t="inlineStr">
        <is>
          <t>character varying(255)</t>
        </is>
      </c>
      <c r="H1934" s="18" t="inlineStr">
        <is>
          <t>No</t>
        </is>
      </c>
      <c r="I1934" s="18" t="inlineStr"/>
      <c r="J1934" s="18" t="inlineStr"/>
      <c r="K1934" s="18" t="inlineStr"/>
      <c r="L1934" s="18" t="inlineStr">
        <is>
          <t>No</t>
        </is>
      </c>
      <c r="M1934" s="18" t="inlineStr">
        <is>
          <t>No</t>
        </is>
      </c>
      <c r="N1934" s="18" t="inlineStr"/>
      <c r="O1934" s="18" t="inlineStr"/>
      <c r="P1934" s="18" t="inlineStr">
        <is>
          <t>Mapeada en internal-institutional-control-service/src/esap/universo-auditorias/entities/proceso-auditable.entity.ts:33 (ProcesoAuditable.nombre) | Validación: IsNotEmpty, IsNotEmpty({ message: 'El nombre del documento es obligatorio' }), IsOptional, IsString, Length(1, 500), MaxLength(120)</t>
        </is>
      </c>
      <c r="Q1934" s="18" t="inlineStr">
        <is>
          <t>Regla estructural (redacción revisada)</t>
        </is>
      </c>
      <c r="R1934" s="18" t="inlineStr">
        <is>
          <t>Nombre del proceso auditable.</t>
        </is>
      </c>
      <c r="S1934" s="18" t="inlineStr">
        <is>
          <t>Alta</t>
        </is>
      </c>
      <c r="T1934" s="18" t="inlineStr">
        <is>
          <t>Convención de nombre, redactada con el contexto de la tabla y el código.</t>
        </is>
      </c>
      <c r="U1934" s="18" t="inlineStr"/>
      <c r="V1934" s="19" t="inlineStr">
        <is>
          <t>Aprobada</t>
        </is>
      </c>
      <c r="W1934" s="19" t="inlineStr"/>
      <c r="X1934" s="19" t="inlineStr">
        <is>
          <t>Aldair González (aprobación en bloque)</t>
        </is>
      </c>
      <c r="Y1934" s="20" t="n">
        <v>46321</v>
      </c>
      <c r="Z1934" s="19" t="inlineStr">
        <is>
          <t>Nivel 2: regla estructural con redacción revisada.</t>
        </is>
      </c>
      <c r="AA1934" s="18">
        <f>IF(OR(V1934="Aprobada"),R1934,IF(AND(OR(V1934="Aprobada con ajuste",V1934="Rechazada"),W1934&lt;&gt;""),W1934,""))</f>
        <v/>
      </c>
    </row>
    <row r="1935">
      <c r="A1935" s="18" t="inlineStr">
        <is>
          <t>C1934</t>
        </is>
      </c>
      <c r="B1935" s="18" t="inlineStr">
        <is>
          <t>Control interno</t>
        </is>
      </c>
      <c r="C1935" s="18" t="inlineStr">
        <is>
          <t>control_interno</t>
        </is>
      </c>
      <c r="D1935" s="18" t="inlineStr">
        <is>
          <t>proceso_auditable</t>
        </is>
      </c>
      <c r="E1935" s="18" t="n">
        <v>36</v>
      </c>
      <c r="F1935" s="18" t="inlineStr">
        <is>
          <t>descripcion</t>
        </is>
      </c>
      <c r="G1935" s="18" t="inlineStr">
        <is>
          <t>text</t>
        </is>
      </c>
      <c r="H1935" s="18" t="inlineStr">
        <is>
          <t>No</t>
        </is>
      </c>
      <c r="I1935" s="18" t="inlineStr"/>
      <c r="J1935" s="18" t="inlineStr"/>
      <c r="K1935" s="18" t="inlineStr"/>
      <c r="L1935" s="18" t="inlineStr">
        <is>
          <t>No</t>
        </is>
      </c>
      <c r="M1935" s="18" t="inlineStr">
        <is>
          <t>No</t>
        </is>
      </c>
      <c r="N1935" s="18" t="inlineStr"/>
      <c r="O1935" s="18" t="inlineStr"/>
      <c r="P1935" s="18" t="inlineStr">
        <is>
          <t>Mapeada en internal-institutional-control-service/src/esap/universo-auditorias/entities/proceso-auditable.entity.ts:36 (ProcesoAuditable.descripcion) | Validación: IsNotEmpty, IsOptional, IsString</t>
        </is>
      </c>
      <c r="Q1935" s="18" t="inlineStr">
        <is>
          <t>Regla estructural (redacción revisada)</t>
        </is>
      </c>
      <c r="R1935" s="18" t="inlineStr">
        <is>
          <t>Descripción del proceso auditable.</t>
        </is>
      </c>
      <c r="S1935" s="18" t="inlineStr">
        <is>
          <t>Alta</t>
        </is>
      </c>
      <c r="T1935" s="18" t="inlineStr">
        <is>
          <t>Convención de nombre, redactada con el contexto de la tabla y el código.</t>
        </is>
      </c>
      <c r="U1935" s="18" t="inlineStr"/>
      <c r="V1935" s="19" t="inlineStr">
        <is>
          <t>Aprobada</t>
        </is>
      </c>
      <c r="W1935" s="19" t="inlineStr"/>
      <c r="X1935" s="19" t="inlineStr">
        <is>
          <t>Aldair González (aprobación en bloque)</t>
        </is>
      </c>
      <c r="Y1935" s="20" t="n">
        <v>46321</v>
      </c>
      <c r="Z1935" s="19" t="inlineStr">
        <is>
          <t>Nivel 2: regla estructural con redacción revisada.</t>
        </is>
      </c>
      <c r="AA1935" s="18">
        <f>IF(OR(V1935="Aprobada"),R1935,IF(AND(OR(V1935="Aprobada con ajuste",V1935="Rechazada"),W1935&lt;&gt;""),W1935,""))</f>
        <v/>
      </c>
    </row>
    <row r="1936">
      <c r="A1936" s="18" t="inlineStr">
        <is>
          <t>C1935</t>
        </is>
      </c>
      <c r="B1936" s="18" t="inlineStr">
        <is>
          <t>Control interno</t>
        </is>
      </c>
      <c r="C1936" s="18" t="inlineStr">
        <is>
          <t>control_interno</t>
        </is>
      </c>
      <c r="D1936" s="18" t="inlineStr">
        <is>
          <t>proceso_auditable</t>
        </is>
      </c>
      <c r="E1936" s="18" t="n">
        <v>36</v>
      </c>
      <c r="F1936" s="18" t="inlineStr">
        <is>
          <t>tipo</t>
        </is>
      </c>
      <c r="G1936" s="18" t="inlineStr">
        <is>
          <t>character varying(50)</t>
        </is>
      </c>
      <c r="H1936" s="18" t="inlineStr">
        <is>
          <t>No</t>
        </is>
      </c>
      <c r="I1936" s="18" t="inlineStr"/>
      <c r="J1936" s="18" t="inlineStr"/>
      <c r="K1936" s="18" t="inlineStr"/>
      <c r="L1936" s="18" t="inlineStr">
        <is>
          <t>No</t>
        </is>
      </c>
      <c r="M1936" s="18" t="inlineStr">
        <is>
          <t>No</t>
        </is>
      </c>
      <c r="N1936" s="18" t="inlineStr"/>
      <c r="O1936" s="18" t="inlineStr">
        <is>
          <t>idx_proceso_auditable_tipo</t>
        </is>
      </c>
      <c r="P1936" s="18" t="inlineStr">
        <is>
          <t>Mapeada en internal-institutional-control-service/src/esap/universo-auditorias/entities/proceso-auditable.entity.ts:39 (ProcesoAuditable.tipo) | Validación: IsEnum(AccionCorrectivaTipo), IsEnum(TipoAuditoriaProgramada), IsEnum(TipoEventoTimeline), IsEnum(TipoTablero), IsEnum(['cumplimiento', 'eficiencia', 'eficacia', 'economia']), IsEnum(['plan-auditoria', 'plan-mejora', 'informe', 'documento'])</t>
        </is>
      </c>
      <c r="Q1936" s="18" t="inlineStr">
        <is>
          <t>Regla estructural (redacción revisada)</t>
        </is>
      </c>
      <c r="R1936" s="18" t="inlineStr">
        <is>
          <t>Tipo de proceso auditable.</t>
        </is>
      </c>
      <c r="S1936" s="18" t="inlineStr">
        <is>
          <t>Alta</t>
        </is>
      </c>
      <c r="T1936" s="18" t="inlineStr">
        <is>
          <t>Convención de nombre, redactada con el contexto de la tabla y el código.</t>
        </is>
      </c>
      <c r="U1936" s="18" t="inlineStr"/>
      <c r="V1936" s="19" t="inlineStr">
        <is>
          <t>Aprobada</t>
        </is>
      </c>
      <c r="W1936" s="19" t="inlineStr"/>
      <c r="X1936" s="19" t="inlineStr">
        <is>
          <t>Aldair González (aprobación en bloque)</t>
        </is>
      </c>
      <c r="Y1936" s="20" t="n">
        <v>46321</v>
      </c>
      <c r="Z1936" s="19" t="inlineStr">
        <is>
          <t>Nivel 2: regla estructural con redacción revisada.</t>
        </is>
      </c>
      <c r="AA1936" s="18">
        <f>IF(OR(V1936="Aprobada"),R1936,IF(AND(OR(V1936="Aprobada con ajuste",V1936="Rechazada"),W1936&lt;&gt;""),W1936,""))</f>
        <v/>
      </c>
    </row>
    <row r="1937">
      <c r="A1937" s="18" t="inlineStr">
        <is>
          <t>C1936</t>
        </is>
      </c>
      <c r="B1937" s="18" t="inlineStr">
        <is>
          <t>Control interno</t>
        </is>
      </c>
      <c r="C1937" s="18" t="inlineStr">
        <is>
          <t>control_interno</t>
        </is>
      </c>
      <c r="D1937" s="18" t="inlineStr">
        <is>
          <t>proceso_auditable</t>
        </is>
      </c>
      <c r="E1937" s="18" t="n">
        <v>36</v>
      </c>
      <c r="F1937" s="18" t="inlineStr">
        <is>
          <t>macroproceso</t>
        </is>
      </c>
      <c r="G1937" s="18" t="inlineStr">
        <is>
          <t>character varying(255)</t>
        </is>
      </c>
      <c r="H1937" s="18" t="inlineStr">
        <is>
          <t>Sí</t>
        </is>
      </c>
      <c r="I1937" s="18" t="inlineStr"/>
      <c r="J1937" s="18" t="inlineStr"/>
      <c r="K1937" s="18" t="inlineStr"/>
      <c r="L1937" s="18" t="inlineStr">
        <is>
          <t>No</t>
        </is>
      </c>
      <c r="M1937" s="18" t="inlineStr">
        <is>
          <t>No</t>
        </is>
      </c>
      <c r="N1937" s="18" t="inlineStr"/>
      <c r="O1937" s="18" t="inlineStr">
        <is>
          <t>idx_proceso_auditable_macroproceso</t>
        </is>
      </c>
      <c r="P1937" s="18" t="inlineStr">
        <is>
          <t>Mapeada en internal-institutional-control-service/src/esap/universo-auditorias/entities/proceso-auditable.entity.ts:59 (ProcesoAuditable.macroproceso) | Validación: IsNotEmpty, IsOptional, IsString</t>
        </is>
      </c>
      <c r="Q1937" s="18" t="inlineStr">
        <is>
          <t>Propuesta semántica</t>
        </is>
      </c>
      <c r="R1937" s="18" t="inlineStr">
        <is>
          <t>Macroproceso al que pertenece el proceso auditable.</t>
        </is>
      </c>
      <c r="S1937" s="18" t="inlineStr">
        <is>
          <t>Alta</t>
        </is>
      </c>
      <c r="T1937" s="18" t="inlineStr">
        <is>
          <t>nombre + tipo + columnas vecinas</t>
        </is>
      </c>
      <c r="U1937" s="18" t="inlineStr"/>
      <c r="V1937" s="19" t="inlineStr">
        <is>
          <t>Aprobada</t>
        </is>
      </c>
      <c r="W1937" s="19" t="inlineStr"/>
      <c r="X1937" s="19" t="inlineStr">
        <is>
          <t>Aldair González (aprobación en bloque)</t>
        </is>
      </c>
      <c r="Y1937" s="20" t="n">
        <v>46321</v>
      </c>
      <c r="Z1937" s="19" t="inlineStr">
        <is>
          <t>Nivel 1: propuesta del comentario del desarrollador o de confianza alta, o regla de fecha/responsable/motivo.</t>
        </is>
      </c>
      <c r="AA1937" s="18">
        <f>IF(OR(V1937="Aprobada"),R1937,IF(AND(OR(V1937="Aprobada con ajuste",V1937="Rechazada"),W1937&lt;&gt;""),W1937,""))</f>
        <v/>
      </c>
    </row>
    <row r="1938">
      <c r="A1938" s="18" t="inlineStr">
        <is>
          <t>C1937</t>
        </is>
      </c>
      <c r="B1938" s="18" t="inlineStr">
        <is>
          <t>Control interno</t>
        </is>
      </c>
      <c r="C1938" s="18" t="inlineStr">
        <is>
          <t>control_interno</t>
        </is>
      </c>
      <c r="D1938" s="18" t="inlineStr">
        <is>
          <t>proceso_auditable</t>
        </is>
      </c>
      <c r="E1938" s="18" t="n">
        <v>36</v>
      </c>
      <c r="F1938" s="18" t="inlineStr">
        <is>
          <t>responsable</t>
        </is>
      </c>
      <c r="G1938" s="18" t="inlineStr">
        <is>
          <t>character varying(255)</t>
        </is>
      </c>
      <c r="H1938" s="18" t="inlineStr">
        <is>
          <t>No</t>
        </is>
      </c>
      <c r="I1938" s="18" t="inlineStr"/>
      <c r="J1938" s="18" t="inlineStr"/>
      <c r="K1938" s="18" t="inlineStr"/>
      <c r="L1938" s="18" t="inlineStr">
        <is>
          <t>No</t>
        </is>
      </c>
      <c r="M1938" s="18" t="inlineStr">
        <is>
          <t>No</t>
        </is>
      </c>
      <c r="N1938" s="18" t="inlineStr"/>
      <c r="O1938" s="18" t="inlineStr"/>
      <c r="P1938" s="18" t="inlineStr">
        <is>
          <t>Mapeada en internal-institutional-control-service/src/esap/universo-auditorias/entities/proceso-auditable.entity.ts:65 (ProcesoAuditable.responsable) | Validación: IsNotEmpty, IsOptional, IsString, Length(1, 255)</t>
        </is>
      </c>
      <c r="Q1938" s="18" t="inlineStr">
        <is>
          <t>Código fuente (verificado)</t>
        </is>
      </c>
      <c r="R1938" s="18" t="inlineStr">
        <is>
          <t>Responsable del proceso auditable, en texto libre; si no se informa se guarda «Sin asignar».</t>
        </is>
      </c>
      <c r="S1938" s="18" t="inlineStr">
        <is>
          <t>Media</t>
        </is>
      </c>
      <c r="T1938" s="18" t="inlineStr">
        <is>
          <t>internal-institutional-control-service/src/esap/universo-auditorias/entities/proceso-auditable.entity.ts:65: responsable varchar(255) not null | internal-institutional-control-service/src/esap/universo-auditorias/dto/create-proceso-auditable.dto.ts:136-138: opcional, IsString | internal-institutional-control-service/src/esap/universo-auditorias/universo-auditorias.service.ts:432: responsable: createDto.responsable || 'Sin asignar'</t>
        </is>
      </c>
      <c r="U1938" s="18" t="inlineStr">
        <is>
          <t>¿El campo responsable guarda el nombre, el cargo o el identificador del responsable? El código lo trata como texto libre.</t>
        </is>
      </c>
      <c r="V1938" s="19" t="inlineStr">
        <is>
          <t>Aprobada</t>
        </is>
      </c>
      <c r="W1938" s="19" t="inlineStr"/>
      <c r="X1938" s="19" t="inlineStr">
        <is>
          <t>Aldair González (validación del responsable de BD)</t>
        </is>
      </c>
      <c r="Y1938" s="20" t="n">
        <v>46321</v>
      </c>
      <c r="Z1938" s="19" t="inlineStr">
        <is>
          <t>Nivel 3: validada por decisión del responsable de la base de datos. Pregunta registrada para desarrollo: ¿El campo responsable guarda el nombre, el cargo o el identificador del responsable? El código lo trata como texto libre.</t>
        </is>
      </c>
      <c r="AA1938" s="18">
        <f>IF(OR(V1938="Aprobada"),R1938,IF(AND(OR(V1938="Aprobada con ajuste",V1938="Rechazada"),W1938&lt;&gt;""),W1938,""))</f>
        <v/>
      </c>
    </row>
    <row r="1939">
      <c r="A1939" s="18" t="inlineStr">
        <is>
          <t>C1938</t>
        </is>
      </c>
      <c r="B1939" s="18" t="inlineStr">
        <is>
          <t>Control interno</t>
        </is>
      </c>
      <c r="C1939" s="18" t="inlineStr">
        <is>
          <t>control_interno</t>
        </is>
      </c>
      <c r="D1939" s="18" t="inlineStr">
        <is>
          <t>proceso_auditable</t>
        </is>
      </c>
      <c r="E1939" s="18" t="n">
        <v>36</v>
      </c>
      <c r="F1939" s="18" t="inlineStr">
        <is>
          <t>dependencia</t>
        </is>
      </c>
      <c r="G1939" s="18" t="inlineStr">
        <is>
          <t>character varying(255)</t>
        </is>
      </c>
      <c r="H1939" s="18" t="inlineStr">
        <is>
          <t>No</t>
        </is>
      </c>
      <c r="I1939" s="18" t="inlineStr"/>
      <c r="J1939" s="18" t="inlineStr"/>
      <c r="K1939" s="18" t="inlineStr"/>
      <c r="L1939" s="18" t="inlineStr">
        <is>
          <t>No</t>
        </is>
      </c>
      <c r="M1939" s="18" t="inlineStr">
        <is>
          <t>No</t>
        </is>
      </c>
      <c r="N1939" s="18" t="inlineStr"/>
      <c r="O1939" s="18" t="inlineStr"/>
      <c r="P1939" s="18" t="inlineStr">
        <is>
          <t>Mapeada en internal-institutional-control-service/src/esap/universo-auditorias/entities/proceso-auditable.entity.ts:68 (ProcesoAuditable.dependencia) | Validación: IsNotEmpty, IsOptional, IsString</t>
        </is>
      </c>
      <c r="Q1939" s="18" t="inlineStr">
        <is>
          <t>Propuesta semántica</t>
        </is>
      </c>
      <c r="R1939" s="18" t="inlineStr">
        <is>
          <t>Dependencia de la ESAP a cargo del proceso auditable.</t>
        </is>
      </c>
      <c r="S1939" s="18" t="inlineStr">
        <is>
          <t>Alta</t>
        </is>
      </c>
      <c r="T1939" s="18" t="inlineStr">
        <is>
          <t>nombre + tipo + columnas vecinas</t>
        </is>
      </c>
      <c r="U1939" s="18" t="inlineStr"/>
      <c r="V1939" s="19" t="inlineStr">
        <is>
          <t>Aprobada</t>
        </is>
      </c>
      <c r="W1939" s="19" t="inlineStr"/>
      <c r="X1939" s="19" t="inlineStr">
        <is>
          <t>Aldair González (aprobación en bloque)</t>
        </is>
      </c>
      <c r="Y1939" s="20" t="n">
        <v>46321</v>
      </c>
      <c r="Z1939" s="19" t="inlineStr">
        <is>
          <t>Nivel 1: propuesta del comentario del desarrollador o de confianza alta, o regla de fecha/responsable/motivo.</t>
        </is>
      </c>
      <c r="AA1939" s="18">
        <f>IF(OR(V1939="Aprobada"),R1939,IF(AND(OR(V1939="Aprobada con ajuste",V1939="Rechazada"),W1939&lt;&gt;""),W1939,""))</f>
        <v/>
      </c>
    </row>
    <row r="1940">
      <c r="A1940" s="18" t="inlineStr">
        <is>
          <t>C1939</t>
        </is>
      </c>
      <c r="B1940" s="18" t="inlineStr">
        <is>
          <t>Control interno</t>
        </is>
      </c>
      <c r="C1940" s="18" t="inlineStr">
        <is>
          <t>control_interno</t>
        </is>
      </c>
      <c r="D1940" s="18" t="inlineStr">
        <is>
          <t>proceso_auditable</t>
        </is>
      </c>
      <c r="E1940" s="18" t="n">
        <v>36</v>
      </c>
      <c r="F1940" s="18" t="inlineStr">
        <is>
          <t>territorial</t>
        </is>
      </c>
      <c r="G1940" s="18" t="inlineStr">
        <is>
          <t>character varying(255)</t>
        </is>
      </c>
      <c r="H1940" s="18" t="inlineStr">
        <is>
          <t>Sí</t>
        </is>
      </c>
      <c r="I1940" s="18" t="inlineStr"/>
      <c r="J1940" s="18" t="inlineStr"/>
      <c r="K1940" s="18" t="inlineStr"/>
      <c r="L1940" s="18" t="inlineStr">
        <is>
          <t>No</t>
        </is>
      </c>
      <c r="M1940" s="18" t="inlineStr">
        <is>
          <t>No</t>
        </is>
      </c>
      <c r="N1940" s="18" t="inlineStr"/>
      <c r="O1940" s="18" t="inlineStr"/>
      <c r="P1940" s="18" t="inlineStr">
        <is>
          <t>Mapeada en internal-institutional-control-service/src/esap/universo-auditorias/entities/proceso-auditable.entity.ts:71 (ProcesoAuditable.territorial) | Validación: IsNotEmpty, IsOptional, IsString</t>
        </is>
      </c>
      <c r="Q1940" s="18" t="inlineStr">
        <is>
          <t>Código fuente (verificado)</t>
        </is>
      </c>
      <c r="R1940" s="18" t="inlineStr">
        <is>
          <t>Dirección territorial a la que corresponde el proceso auditable, en texto libre y opcional; se usa como filtro del universo de auditorías.</t>
        </is>
      </c>
      <c r="S1940" s="18" t="inlineStr">
        <is>
          <t>Media</t>
        </is>
      </c>
      <c r="T1940" s="18" t="inlineStr">
        <is>
          <t>internal-institutional-control-service/src/esap/universo-auditorias/entities/proceso-auditable.entity.ts:71: territorial varchar(255) nullable | internal-institutional-control-service/src/esap/universo-auditorias/dto/create-proceso-auditable.dto.ts:144-146: opcional, IsString | internal-institutional-control-service/src/esap/universo-auditorias/universo-auditorias.service.ts:359-360: filtro por territorial</t>
        </is>
      </c>
      <c r="U1940" s="18" t="inlineStr">
        <is>
          <t>¿La territorial se toma de un catálogo de territoriales y queda vacía para procesos del nivel central? El código no valida contra un catálogo.</t>
        </is>
      </c>
      <c r="V1940" s="19" t="inlineStr">
        <is>
          <t>Aprobada</t>
        </is>
      </c>
      <c r="W1940" s="19" t="inlineStr"/>
      <c r="X1940" s="19" t="inlineStr">
        <is>
          <t>Aldair González (validación del responsable de BD)</t>
        </is>
      </c>
      <c r="Y1940" s="20" t="n">
        <v>46321</v>
      </c>
      <c r="Z1940" s="19" t="inlineStr">
        <is>
          <t>Nivel 3: validada por decisión del responsable de la base de datos. Pregunta registrada para desarrollo: ¿La territorial se toma de un catálogo de territoriales y queda vacía para procesos del nivel central? El código no valida contra un catálogo.</t>
        </is>
      </c>
      <c r="AA1940" s="18">
        <f>IF(OR(V1940="Aprobada"),R1940,IF(AND(OR(V1940="Aprobada con ajuste",V1940="Rechazada"),W1940&lt;&gt;""),W1940,""))</f>
        <v/>
      </c>
    </row>
    <row r="1941">
      <c r="A1941" s="18" t="inlineStr">
        <is>
          <t>C1940</t>
        </is>
      </c>
      <c r="B1941" s="18" t="inlineStr">
        <is>
          <t>Control interno</t>
        </is>
      </c>
      <c r="C1941" s="18" t="inlineStr">
        <is>
          <t>control_interno</t>
        </is>
      </c>
      <c r="D1941" s="18" t="inlineStr">
        <is>
          <t>proceso_auditable</t>
        </is>
      </c>
      <c r="E1941" s="18" t="n">
        <v>36</v>
      </c>
      <c r="F1941" s="18" t="inlineStr">
        <is>
          <t>evaluacion_riesgo</t>
        </is>
      </c>
      <c r="G1941" s="18" t="inlineStr">
        <is>
          <t>jsonb</t>
        </is>
      </c>
      <c r="H1941" s="18" t="inlineStr">
        <is>
          <t>No</t>
        </is>
      </c>
      <c r="I1941" s="18" t="inlineStr"/>
      <c r="J1941" s="18" t="inlineStr"/>
      <c r="K1941" s="18" t="inlineStr"/>
      <c r="L1941" s="18" t="inlineStr">
        <is>
          <t>No</t>
        </is>
      </c>
      <c r="M1941" s="18" t="inlineStr">
        <is>
          <t>No</t>
        </is>
      </c>
      <c r="N1941" s="18" t="inlineStr"/>
      <c r="O1941" s="18" t="inlineStr"/>
      <c r="P1941" s="18" t="inlineStr">
        <is>
          <t>Mapeada en internal-institutional-control-service/src/esap/universo-auditorias/entities/proceso-auditable.entity.ts:74 (ProcesoAuditable.evaluacionRiesgo) | Validación: IsObject</t>
        </is>
      </c>
      <c r="Q1941" s="18" t="inlineStr">
        <is>
          <t>Código fuente (verificado)</t>
        </is>
      </c>
      <c r="R1941" s="18" t="inlineStr">
        <is>
          <t>Evaluación de riesgo del proceso auditable, como objeto JSON con probabilidad, impacto y nivel de control (1 a 3), riesgo inherente (probabilidad × impacto), riesgo residual (inherente ÷ nivel de control), nivel de riesgo (bajo, medio, alto) y campos opcionales de controles, factores de riesgo, distribución de riesgos DAFP, decisión de rotación e inclusión en el plan anual y puntaje C+E-M. El servicio calcula los valores derivados al crear o actualizar el proceso.</t>
        </is>
      </c>
      <c r="S1941" s="18" t="inlineStr">
        <is>
          <t>Alta</t>
        </is>
      </c>
      <c r="T1941" s="18" t="inlineStr">
        <is>
          <t>internal-institutional-control-service/src/esap/universo-auditorias/entities/proceso-auditable.entity.ts:79-118: estructura del JSON con comentarios de escala | internal-institutional-control-service/src/esap/universo-auditorias/universo-auditorias.service.ts:255-270: procesarEvaluacionRiesgo calcula riesgo inherente, residual, nivel, priorización y prioridad</t>
        </is>
      </c>
      <c r="U1941" s="18" t="inlineStr"/>
      <c r="V1941" s="19" t="inlineStr">
        <is>
          <t>Aprobada</t>
        </is>
      </c>
      <c r="W1941" s="19" t="inlineStr"/>
      <c r="X1941" s="19" t="inlineStr">
        <is>
          <t>Aldair González (aprobación en bloque)</t>
        </is>
      </c>
      <c r="Y1941" s="20" t="n">
        <v>46321</v>
      </c>
      <c r="Z1941" s="19" t="inlineStr">
        <is>
          <t>Nivel 3: verificada con el código de la aplicación.</t>
        </is>
      </c>
      <c r="AA1941" s="18">
        <f>IF(OR(V1941="Aprobada"),R1941,IF(AND(OR(V1941="Aprobada con ajuste",V1941="Rechazada"),W1941&lt;&gt;""),W1941,""))</f>
        <v/>
      </c>
    </row>
    <row r="1942">
      <c r="A1942" s="18" t="inlineStr">
        <is>
          <t>C1941</t>
        </is>
      </c>
      <c r="B1942" s="18" t="inlineStr">
        <is>
          <t>Control interno</t>
        </is>
      </c>
      <c r="C1942" s="18" t="inlineStr">
        <is>
          <t>control_interno</t>
        </is>
      </c>
      <c r="D1942" s="18" t="inlineStr">
        <is>
          <t>proceso_auditable</t>
        </is>
      </c>
      <c r="E1942" s="18" t="n">
        <v>36</v>
      </c>
      <c r="F1942" s="18" t="inlineStr">
        <is>
          <t>frecuencia_auditoria</t>
        </is>
      </c>
      <c r="G1942" s="18" t="inlineStr">
        <is>
          <t>character varying(255)</t>
        </is>
      </c>
      <c r="H1942" s="18" t="inlineStr">
        <is>
          <t>No</t>
        </is>
      </c>
      <c r="I1942" s="18" t="inlineStr"/>
      <c r="J1942" s="18" t="inlineStr"/>
      <c r="K1942" s="18" t="inlineStr"/>
      <c r="L1942" s="18" t="inlineStr">
        <is>
          <t>No</t>
        </is>
      </c>
      <c r="M1942" s="18" t="inlineStr">
        <is>
          <t>No</t>
        </is>
      </c>
      <c r="N1942" s="18" t="inlineStr"/>
      <c r="O1942" s="18" t="inlineStr"/>
      <c r="P1942" s="18" t="inlineStr">
        <is>
          <t>Mapeada en internal-institutional-control-service/src/esap/universo-auditorias/entities/proceso-auditable.entity.ts:120 (ProcesoAuditable.frecuenciaAuditoria) | Validación: IsOptional, IsString</t>
        </is>
      </c>
      <c r="Q1942" s="18" t="inlineStr">
        <is>
          <t>Código fuente (verificado)</t>
        </is>
      </c>
      <c r="R1942" s="18" t="inlineStr">
        <is>
          <t>Frecuencia con que debe auditarse el proceso, en texto: anual (valor por defecto), bienal, trienal, cuatrienal o «Cada N años». Se usa para calcular la fecha de la próxima auditoría a partir de la última.</t>
        </is>
      </c>
      <c r="S1942" s="18" t="inlineStr">
        <is>
          <t>Alta</t>
        </is>
      </c>
      <c r="T1942" s="18" t="inlineStr">
        <is>
          <t>internal-institutional-control-service/src/esap/universo-auditorias/entities/proceso-auditable.entity.ts:120: frecuencia_auditoria varchar(255) not null | internal-institutional-control-service/src/esap/universo-auditorias/universo-auditorias.service.ts:217-248: calcularProximaAuditoria reconoce anual, bienal, trienal, cuatrienal o un número de años | internal-institutional-control-service/src/esap/universo-auditorias/universo-auditorias.service.ts:436: valor por defecto 'anual'</t>
        </is>
      </c>
      <c r="U1942" s="18" t="inlineStr"/>
      <c r="V1942" s="19" t="inlineStr">
        <is>
          <t>Aprobada</t>
        </is>
      </c>
      <c r="W1942" s="19" t="inlineStr"/>
      <c r="X1942" s="19" t="inlineStr">
        <is>
          <t>Aldair González (aprobación en bloque)</t>
        </is>
      </c>
      <c r="Y1942" s="20" t="n">
        <v>46321</v>
      </c>
      <c r="Z1942" s="19" t="inlineStr">
        <is>
          <t>Nivel 3: verificada con el código de la aplicación.</t>
        </is>
      </c>
      <c r="AA1942" s="18">
        <f>IF(OR(V1942="Aprobada"),R1942,IF(AND(OR(V1942="Aprobada con ajuste",V1942="Rechazada"),W1942&lt;&gt;""),W1942,""))</f>
        <v/>
      </c>
    </row>
    <row r="1943">
      <c r="A1943" s="18" t="inlineStr">
        <is>
          <t>C1942</t>
        </is>
      </c>
      <c r="B1943" s="18" t="inlineStr">
        <is>
          <t>Control interno</t>
        </is>
      </c>
      <c r="C1943" s="18" t="inlineStr">
        <is>
          <t>control_interno</t>
        </is>
      </c>
      <c r="D1943" s="18" t="inlineStr">
        <is>
          <t>proceso_auditable</t>
        </is>
      </c>
      <c r="E1943" s="18" t="n">
        <v>36</v>
      </c>
      <c r="F1943" s="18" t="inlineStr">
        <is>
          <t>ultima_auditoria</t>
        </is>
      </c>
      <c r="G1943" s="18" t="inlineStr">
        <is>
          <t>date</t>
        </is>
      </c>
      <c r="H1943" s="18" t="inlineStr">
        <is>
          <t>Sí</t>
        </is>
      </c>
      <c r="I1943" s="18" t="inlineStr"/>
      <c r="J1943" s="18" t="inlineStr"/>
      <c r="K1943" s="18" t="inlineStr"/>
      <c r="L1943" s="18" t="inlineStr">
        <is>
          <t>No</t>
        </is>
      </c>
      <c r="M1943" s="18" t="inlineStr">
        <is>
          <t>No</t>
        </is>
      </c>
      <c r="N1943" s="18" t="inlineStr"/>
      <c r="O1943" s="18" t="inlineStr"/>
      <c r="P1943" s="18" t="inlineStr">
        <is>
          <t>Mapeada en internal-institutional-control-service/src/esap/universo-auditorias/entities/proceso-auditable.entity.ts:123 (ProcesoAuditable.ultimaAuditoria) | Validación: IsOptional</t>
        </is>
      </c>
      <c r="Q1943" s="18" t="inlineStr">
        <is>
          <t>Propuesta semántica</t>
        </is>
      </c>
      <c r="R1943" s="18" t="inlineStr">
        <is>
          <t>Fecha de la última auditoría realizada al proceso.</t>
        </is>
      </c>
      <c r="S1943" s="18" t="inlineStr">
        <is>
          <t>Alta</t>
        </is>
      </c>
      <c r="T1943" s="18" t="inlineStr">
        <is>
          <t>nombre + tipo + columnas vecinas</t>
        </is>
      </c>
      <c r="U1943" s="18" t="inlineStr"/>
      <c r="V1943" s="19" t="inlineStr">
        <is>
          <t>Aprobada</t>
        </is>
      </c>
      <c r="W1943" s="19" t="inlineStr"/>
      <c r="X1943" s="19" t="inlineStr">
        <is>
          <t>Aldair González (aprobación en bloque)</t>
        </is>
      </c>
      <c r="Y1943" s="20" t="n">
        <v>46321</v>
      </c>
      <c r="Z1943" s="19" t="inlineStr">
        <is>
          <t>Nivel 1: propuesta del comentario del desarrollador o de confianza alta, o regla de fecha/responsable/motivo.</t>
        </is>
      </c>
      <c r="AA1943" s="18">
        <f>IF(OR(V1943="Aprobada"),R1943,IF(AND(OR(V1943="Aprobada con ajuste",V1943="Rechazada"),W1943&lt;&gt;""),W1943,""))</f>
        <v/>
      </c>
    </row>
    <row r="1944">
      <c r="A1944" s="18" t="inlineStr">
        <is>
          <t>C1943</t>
        </is>
      </c>
      <c r="B1944" s="18" t="inlineStr">
        <is>
          <t>Control interno</t>
        </is>
      </c>
      <c r="C1944" s="18" t="inlineStr">
        <is>
          <t>control_interno</t>
        </is>
      </c>
      <c r="D1944" s="18" t="inlineStr">
        <is>
          <t>proceso_auditable</t>
        </is>
      </c>
      <c r="E1944" s="18" t="n">
        <v>36</v>
      </c>
      <c r="F1944" s="18" t="inlineStr">
        <is>
          <t>proxima_auditoria</t>
        </is>
      </c>
      <c r="G1944" s="18" t="inlineStr">
        <is>
          <t>date</t>
        </is>
      </c>
      <c r="H1944" s="18" t="inlineStr">
        <is>
          <t>Sí</t>
        </is>
      </c>
      <c r="I1944" s="18" t="inlineStr"/>
      <c r="J1944" s="18" t="inlineStr"/>
      <c r="K1944" s="18" t="inlineStr"/>
      <c r="L1944" s="18" t="inlineStr">
        <is>
          <t>No</t>
        </is>
      </c>
      <c r="M1944" s="18" t="inlineStr">
        <is>
          <t>No</t>
        </is>
      </c>
      <c r="N1944" s="18" t="inlineStr"/>
      <c r="O1944" s="18" t="inlineStr"/>
      <c r="P1944" s="18" t="inlineStr">
        <is>
          <t>Mapeada en internal-institutional-control-service/src/esap/universo-auditorias/entities/proceso-auditable.entity.ts:129 (ProcesoAuditable.proximaAuditoria) | Validación: IsOptional</t>
        </is>
      </c>
      <c r="Q1944" s="18" t="inlineStr">
        <is>
          <t>Propuesta semántica</t>
        </is>
      </c>
      <c r="R1944" s="18" t="inlineStr">
        <is>
          <t>Fecha programada para la próxima auditoría del proceso.</t>
        </is>
      </c>
      <c r="S1944" s="18" t="inlineStr">
        <is>
          <t>Alta</t>
        </is>
      </c>
      <c r="T1944" s="18" t="inlineStr">
        <is>
          <t>nombre + tipo + columnas vecinas</t>
        </is>
      </c>
      <c r="U1944" s="18" t="inlineStr"/>
      <c r="V1944" s="19" t="inlineStr">
        <is>
          <t>Aprobada</t>
        </is>
      </c>
      <c r="W1944" s="19" t="inlineStr"/>
      <c r="X1944" s="19" t="inlineStr">
        <is>
          <t>Aldair González (aprobación en bloque)</t>
        </is>
      </c>
      <c r="Y1944" s="20" t="n">
        <v>46321</v>
      </c>
      <c r="Z1944" s="19" t="inlineStr">
        <is>
          <t>Nivel 1: propuesta del comentario del desarrollador o de confianza alta, o regla de fecha/responsable/motivo.</t>
        </is>
      </c>
      <c r="AA1944" s="18">
        <f>IF(OR(V1944="Aprobada"),R1944,IF(AND(OR(V1944="Aprobada con ajuste",V1944="Rechazada"),W1944&lt;&gt;""),W1944,""))</f>
        <v/>
      </c>
    </row>
    <row r="1945">
      <c r="A1945" s="18" t="inlineStr">
        <is>
          <t>C1944</t>
        </is>
      </c>
      <c r="B1945" s="18" t="inlineStr">
        <is>
          <t>Control interno</t>
        </is>
      </c>
      <c r="C1945" s="18" t="inlineStr">
        <is>
          <t>control_interno</t>
        </is>
      </c>
      <c r="D1945" s="18" t="inlineStr">
        <is>
          <t>proceso_auditable</t>
        </is>
      </c>
      <c r="E1945" s="18" t="n">
        <v>36</v>
      </c>
      <c r="F1945" s="18" t="inlineStr">
        <is>
          <t>prioridad</t>
        </is>
      </c>
      <c r="G1945" s="18" t="inlineStr">
        <is>
          <t>integer</t>
        </is>
      </c>
      <c r="H1945" s="18" t="inlineStr">
        <is>
          <t>No</t>
        </is>
      </c>
      <c r="I1945" s="18" t="inlineStr"/>
      <c r="J1945" s="18" t="inlineStr"/>
      <c r="K1945" s="18" t="inlineStr"/>
      <c r="L1945" s="18" t="inlineStr">
        <is>
          <t>No</t>
        </is>
      </c>
      <c r="M1945" s="18" t="inlineStr">
        <is>
          <t>No</t>
        </is>
      </c>
      <c r="N1945" s="18" t="inlineStr"/>
      <c r="O1945" s="18" t="inlineStr">
        <is>
          <t>idx_proceso_auditable_prioridad</t>
        </is>
      </c>
      <c r="P1945" s="18" t="inlineStr">
        <is>
          <t>Mapeada en internal-institutional-control-service/src/esap/universo-auditorias/entities/proceso-auditable.entity.ts:132 (ProcesoAuditable.prioridad) | Validación: IsEnum(PrioridadAuditoria), IsEnum(PrioridadAuditoriaProgramada), IsEnum(PrioridadNotificacion), IsEnum(PrioridadTarea), IsEnum(['Alta', 'Media', 'Baja']), IsInt</t>
        </is>
      </c>
      <c r="Q1945" s="18" t="inlineStr">
        <is>
          <t>Código fuente (verificado)</t>
        </is>
      </c>
      <c r="R1945" s="18" t="inlineStr">
        <is>
          <t>Prioridad del proceso auditable, número entero de 1 a 4 calculado como 5 menos los años de priorización: nivel de riesgo alto = 4, medio = 3, bajo = 2, otro = 1. Puede fijarse directamente al actualizar, y entonces se recalculan los años de priorización.</t>
        </is>
      </c>
      <c r="S1945" s="18" t="inlineStr">
        <is>
          <t>Alta</t>
        </is>
      </c>
      <c r="T1945" s="18" t="inlineStr">
        <is>
          <t>internal-institutional-control-service/src/esap/universo-auditorias/universo-auditorias.service.ts:194-205: calcularPriorizacionAnos alto 1, medio 2, bajo 3, otro 4 | internal-institutional-control-service/src/esap/universo-auditorias/universo-auditorias.service.ts:210-211: prioridad = 5 - priorizacionAnos | internal-institutional-control-service/src/esap/universo-auditorias/universo-auditorias.service.ts:522-524: prioridad fijada a mano y priorizacionAnos = 5 - prioridad</t>
        </is>
      </c>
      <c r="U1945" s="18" t="inlineStr"/>
      <c r="V1945" s="19" t="inlineStr">
        <is>
          <t>Aprobada</t>
        </is>
      </c>
      <c r="W1945" s="19" t="inlineStr"/>
      <c r="X1945" s="19" t="inlineStr">
        <is>
          <t>Aldair González (aprobación en bloque)</t>
        </is>
      </c>
      <c r="Y1945" s="20" t="n">
        <v>46321</v>
      </c>
      <c r="Z1945" s="19" t="inlineStr">
        <is>
          <t>Nivel 3: verificada con el código de la aplicación.</t>
        </is>
      </c>
      <c r="AA1945" s="18">
        <f>IF(OR(V1945="Aprobada"),R1945,IF(AND(OR(V1945="Aprobada con ajuste",V1945="Rechazada"),W1945&lt;&gt;""),W1945,""))</f>
        <v/>
      </c>
    </row>
    <row r="1946">
      <c r="A1946" s="18" t="inlineStr">
        <is>
          <t>C1945</t>
        </is>
      </c>
      <c r="B1946" s="18" t="inlineStr">
        <is>
          <t>Control interno</t>
        </is>
      </c>
      <c r="C1946" s="18" t="inlineStr">
        <is>
          <t>control_interno</t>
        </is>
      </c>
      <c r="D1946" s="18" t="inlineStr">
        <is>
          <t>proceso_auditable</t>
        </is>
      </c>
      <c r="E1946" s="18" t="n">
        <v>36</v>
      </c>
      <c r="F1946" s="18" t="inlineStr">
        <is>
          <t>priorizacion_anos</t>
        </is>
      </c>
      <c r="G1946" s="18" t="inlineStr">
        <is>
          <t>integer</t>
        </is>
      </c>
      <c r="H1946" s="18" t="inlineStr">
        <is>
          <t>No</t>
        </is>
      </c>
      <c r="I1946" s="18" t="inlineStr"/>
      <c r="J1946" s="18" t="inlineStr"/>
      <c r="K1946" s="18" t="inlineStr"/>
      <c r="L1946" s="18" t="inlineStr">
        <is>
          <t>No</t>
        </is>
      </c>
      <c r="M1946" s="18" t="inlineStr">
        <is>
          <t>No</t>
        </is>
      </c>
      <c r="N1946" s="18" t="inlineStr"/>
      <c r="O1946" s="18" t="inlineStr"/>
      <c r="P1946" s="18" t="inlineStr">
        <is>
          <t>internal-institutional-control-service/src/esap/universo-auditorias/entities/proceso-auditable.entity.ts:135: 1-4 años según nivel de riesgo</t>
        </is>
      </c>
      <c r="Q1946" s="18" t="inlineStr">
        <is>
          <t>Código fuente</t>
        </is>
      </c>
      <c r="R1946" s="18" t="inlineStr">
        <is>
          <t>Periodicidad de auditoría del proceso, en años (1 a 4), según su nivel de riesgo.</t>
        </is>
      </c>
      <c r="S1946" s="18" t="inlineStr">
        <is>
          <t>Alta</t>
        </is>
      </c>
      <c r="T1946" s="18" t="inlineStr">
        <is>
          <t>código: internal-institutional-control-service/src/esap/universo-auditorias/entities/proceso-auditable.entity.ts:135</t>
        </is>
      </c>
      <c r="U1946" s="18" t="inlineStr"/>
      <c r="V1946" s="19" t="inlineStr">
        <is>
          <t>Aprobada</t>
        </is>
      </c>
      <c r="W1946" s="19" t="inlineStr"/>
      <c r="X1946" s="19" t="inlineStr">
        <is>
          <t>Aldair González (aprobación en bloque)</t>
        </is>
      </c>
      <c r="Y1946" s="20" t="n">
        <v>46321</v>
      </c>
      <c r="Z1946" s="19" t="inlineStr">
        <is>
          <t>Nivel 1: propuesta del comentario del desarrollador o de confianza alta, o regla de fecha/responsable/motivo.</t>
        </is>
      </c>
      <c r="AA1946" s="18">
        <f>IF(OR(V1946="Aprobada"),R1946,IF(AND(OR(V1946="Aprobada con ajuste",V1946="Rechazada"),W1946&lt;&gt;""),W1946,""))</f>
        <v/>
      </c>
    </row>
    <row r="1947">
      <c r="A1947" s="18" t="inlineStr">
        <is>
          <t>C1946</t>
        </is>
      </c>
      <c r="B1947" s="18" t="inlineStr">
        <is>
          <t>Control interno</t>
        </is>
      </c>
      <c r="C1947" s="18" t="inlineStr">
        <is>
          <t>control_interno</t>
        </is>
      </c>
      <c r="D1947" s="18" t="inlineStr">
        <is>
          <t>proceso_auditable</t>
        </is>
      </c>
      <c r="E1947" s="18" t="n">
        <v>36</v>
      </c>
      <c r="F1947" s="18" t="inlineStr">
        <is>
          <t>activo</t>
        </is>
      </c>
      <c r="G1947" s="18" t="inlineStr">
        <is>
          <t>boolean</t>
        </is>
      </c>
      <c r="H1947" s="18" t="inlineStr">
        <is>
          <t>Sí</t>
        </is>
      </c>
      <c r="I1947" s="18" t="inlineStr"/>
      <c r="J1947" s="18" t="inlineStr"/>
      <c r="K1947" s="18" t="inlineStr"/>
      <c r="L1947" s="18" t="inlineStr">
        <is>
          <t>No</t>
        </is>
      </c>
      <c r="M1947" s="18" t="inlineStr">
        <is>
          <t>No</t>
        </is>
      </c>
      <c r="N1947" s="18" t="inlineStr"/>
      <c r="O1947" s="18" t="inlineStr"/>
      <c r="P1947" s="18" t="inlineStr">
        <is>
          <t>Mapeada en internal-institutional-control-service/src/esap/universo-auditorias/entities/proceso-auditable.entity.ts:138 (ProcesoAuditable.activo) | Validación: IsBoolean, IsOptional</t>
        </is>
      </c>
      <c r="Q1947" s="18" t="inlineStr">
        <is>
          <t>Regla estructural (redacción revisada)</t>
        </is>
      </c>
      <c r="R1947" s="18" t="inlineStr">
        <is>
          <t>Indica si el proceso auditable está activo.</t>
        </is>
      </c>
      <c r="S1947" s="18" t="inlineStr">
        <is>
          <t>Alta</t>
        </is>
      </c>
      <c r="T1947" s="18" t="inlineStr">
        <is>
          <t>Convención de nombre, redactada con el contexto de la tabla y el código.</t>
        </is>
      </c>
      <c r="U1947" s="18" t="inlineStr"/>
      <c r="V1947" s="19" t="inlineStr">
        <is>
          <t>Aprobada</t>
        </is>
      </c>
      <c r="W1947" s="19" t="inlineStr"/>
      <c r="X1947" s="19" t="inlineStr">
        <is>
          <t>Aldair González (aprobación en bloque)</t>
        </is>
      </c>
      <c r="Y1947" s="20" t="n">
        <v>46321</v>
      </c>
      <c r="Z1947" s="19" t="inlineStr">
        <is>
          <t>Nivel 2: regla estructural con redacción revisada.</t>
        </is>
      </c>
      <c r="AA1947" s="18">
        <f>IF(OR(V1947="Aprobada"),R1947,IF(AND(OR(V1947="Aprobada con ajuste",V1947="Rechazada"),W1947&lt;&gt;""),W1947,""))</f>
        <v/>
      </c>
    </row>
    <row r="1948">
      <c r="A1948" s="18" t="inlineStr">
        <is>
          <t>C1947</t>
        </is>
      </c>
      <c r="B1948" s="18" t="inlineStr">
        <is>
          <t>Control interno</t>
        </is>
      </c>
      <c r="C1948" s="18" t="inlineStr">
        <is>
          <t>control_interno</t>
        </is>
      </c>
      <c r="D1948" s="18" t="inlineStr">
        <is>
          <t>proceso_auditable</t>
        </is>
      </c>
      <c r="E1948" s="18" t="n">
        <v>36</v>
      </c>
      <c r="F1948" s="18" t="inlineStr">
        <is>
          <t>unidades_auditables</t>
        </is>
      </c>
      <c r="G1948" s="18" t="inlineStr">
        <is>
          <t>jsonb</t>
        </is>
      </c>
      <c r="H1948" s="18" t="inlineStr">
        <is>
          <t>Sí</t>
        </is>
      </c>
      <c r="I1948" s="18" t="inlineStr"/>
      <c r="J1948" s="18" t="inlineStr"/>
      <c r="K1948" s="18" t="inlineStr"/>
      <c r="L1948" s="18" t="inlineStr">
        <is>
          <t>No</t>
        </is>
      </c>
      <c r="M1948" s="18" t="inlineStr">
        <is>
          <t>No</t>
        </is>
      </c>
      <c r="N1948" s="18" t="inlineStr"/>
      <c r="O1948" s="18" t="inlineStr"/>
      <c r="P1948" s="18" t="inlineStr">
        <is>
          <t>Mapeada en internal-institutional-control-service/src/esap/universo-auditorias/entities/proceso-auditable.entity.ts:62 (ProcesoAuditable.unidadesAuditables) | Validación: IsArray, IsOptional, IsString({ each: true })</t>
        </is>
      </c>
      <c r="Q1948" s="18" t="inlineStr">
        <is>
          <t>Propuesta semántica</t>
        </is>
      </c>
      <c r="R1948" s="18" t="inlineStr">
        <is>
          <t>Unidades auditables que componen el proceso, como arreglo JSON de textos.</t>
        </is>
      </c>
      <c r="S1948" s="18" t="inlineStr">
        <is>
          <t>Alta</t>
        </is>
      </c>
      <c r="T1948" s="18" t="inlineStr">
        <is>
          <t>nombre + tipo + validaciones del DTO</t>
        </is>
      </c>
      <c r="U1948" s="18" t="inlineStr"/>
      <c r="V1948" s="19" t="inlineStr">
        <is>
          <t>Aprobada</t>
        </is>
      </c>
      <c r="W1948" s="19" t="inlineStr"/>
      <c r="X1948" s="19" t="inlineStr">
        <is>
          <t>Aldair González (aprobación en bloque)</t>
        </is>
      </c>
      <c r="Y1948" s="20" t="n">
        <v>46321</v>
      </c>
      <c r="Z1948" s="19" t="inlineStr">
        <is>
          <t>Nivel 1: propuesta del comentario del desarrollador o de confianza alta, o regla de fecha/responsable/motivo.</t>
        </is>
      </c>
      <c r="AA1948" s="18">
        <f>IF(OR(V1948="Aprobada"),R1948,IF(AND(OR(V1948="Aprobada con ajuste",V1948="Rechazada"),W1948&lt;&gt;""),W1948,""))</f>
        <v/>
      </c>
    </row>
    <row r="1949">
      <c r="A1949" s="18" t="inlineStr">
        <is>
          <t>C1948</t>
        </is>
      </c>
      <c r="B1949" s="18" t="inlineStr">
        <is>
          <t>Control interno</t>
        </is>
      </c>
      <c r="C1949" s="18" t="inlineStr">
        <is>
          <t>control_interno</t>
        </is>
      </c>
      <c r="D1949" s="18" t="inlineStr">
        <is>
          <t>programa_anual_ajuste</t>
        </is>
      </c>
      <c r="E1949" s="18" t="n">
        <v>3</v>
      </c>
      <c r="F1949" s="18" t="inlineStr">
        <is>
          <t>vigencia</t>
        </is>
      </c>
      <c r="G1949" s="18" t="inlineStr">
        <is>
          <t>integer</t>
        </is>
      </c>
      <c r="H1949" s="18" t="inlineStr">
        <is>
          <t>No</t>
        </is>
      </c>
      <c r="I1949" s="18" t="inlineStr"/>
      <c r="J1949" s="18" t="inlineStr"/>
      <c r="K1949" s="18" t="inlineStr"/>
      <c r="L1949" s="18" t="inlineStr">
        <is>
          <t>No</t>
        </is>
      </c>
      <c r="M1949" s="18" t="inlineStr">
        <is>
          <t>No</t>
        </is>
      </c>
      <c r="N1949" s="18" t="inlineStr"/>
      <c r="O1949" s="18" t="inlineStr">
        <is>
          <t>uq_programa_anual_ajuste_abierto</t>
        </is>
      </c>
      <c r="P1949" s="18" t="inlineStr"/>
      <c r="Q1949" s="18" t="inlineStr">
        <is>
          <t>Regla estructural (redacción revisada)</t>
        </is>
      </c>
      <c r="R1949" s="18" t="inlineStr">
        <is>
          <t>Vigencia (año) del programa anual que se ajusta.</t>
        </is>
      </c>
      <c r="S1949" s="18" t="inlineStr">
        <is>
          <t>Alta</t>
        </is>
      </c>
      <c r="T1949" s="18" t="inlineStr">
        <is>
          <t>Convención de nombre, redactada con el contexto de la tabla y el código.</t>
        </is>
      </c>
      <c r="U1949" s="18" t="inlineStr"/>
      <c r="V1949" s="19" t="inlineStr">
        <is>
          <t>Aprobada</t>
        </is>
      </c>
      <c r="W1949" s="19" t="inlineStr"/>
      <c r="X1949" s="19" t="inlineStr">
        <is>
          <t>Aldair González (aprobación en bloque)</t>
        </is>
      </c>
      <c r="Y1949" s="20" t="n">
        <v>46321</v>
      </c>
      <c r="Z1949" s="19" t="inlineStr">
        <is>
          <t>Nivel 2: regla estructural con redacción revisada.</t>
        </is>
      </c>
      <c r="AA1949" s="18">
        <f>IF(OR(V1949="Aprobada"),R1949,IF(AND(OR(V1949="Aprobada con ajuste",V1949="Rechazada"),W1949&lt;&gt;""),W1949,""))</f>
        <v/>
      </c>
    </row>
    <row r="1950">
      <c r="A1950" s="18" t="inlineStr">
        <is>
          <t>C1949</t>
        </is>
      </c>
      <c r="B1950" s="18" t="inlineStr">
        <is>
          <t>Control interno</t>
        </is>
      </c>
      <c r="C1950" s="18" t="inlineStr">
        <is>
          <t>control_interno</t>
        </is>
      </c>
      <c r="D1950" s="18" t="inlineStr">
        <is>
          <t>programa_anual_ajuste</t>
        </is>
      </c>
      <c r="E1950" s="18" t="n">
        <v>3</v>
      </c>
      <c r="F1950" s="18" t="inlineStr">
        <is>
          <t>iniciado_por</t>
        </is>
      </c>
      <c r="G1950" s="18" t="inlineStr">
        <is>
          <t>character varying(255)</t>
        </is>
      </c>
      <c r="H1950" s="18" t="inlineStr">
        <is>
          <t>No</t>
        </is>
      </c>
      <c r="I1950" s="18" t="inlineStr"/>
      <c r="J1950" s="18" t="inlineStr"/>
      <c r="K1950" s="18" t="inlineStr"/>
      <c r="L1950" s="18" t="inlineStr">
        <is>
          <t>No</t>
        </is>
      </c>
      <c r="M1950" s="18" t="inlineStr">
        <is>
          <t>No</t>
        </is>
      </c>
      <c r="N1950" s="18" t="inlineStr"/>
      <c r="O1950" s="18" t="inlineStr"/>
      <c r="P1950" s="18" t="inlineStr"/>
      <c r="Q1950" s="18" t="inlineStr">
        <is>
          <t>Regla estructural</t>
        </is>
      </c>
      <c r="R1950" s="18" t="inlineStr">
        <is>
          <t>Usuario que realizó el inicio.</t>
        </is>
      </c>
      <c r="S1950" s="18" t="inlineStr">
        <is>
          <t>Media</t>
        </is>
      </c>
      <c r="T1950" s="18" t="inlineStr">
        <is>
          <t>Convención de nombre de la columna.</t>
        </is>
      </c>
      <c r="U1950" s="18" t="inlineStr"/>
      <c r="V1950" s="19" t="inlineStr">
        <is>
          <t>Aprobada</t>
        </is>
      </c>
      <c r="W1950" s="19" t="inlineStr"/>
      <c r="X1950" s="19" t="inlineStr">
        <is>
          <t>Aldair González (aprobación en bloque)</t>
        </is>
      </c>
      <c r="Y1950" s="20" t="n">
        <v>46321</v>
      </c>
      <c r="Z1950" s="19" t="inlineStr">
        <is>
          <t>Nivel 1: propuesta del comentario del desarrollador o de confianza alta, o regla de fecha/responsable/motivo.</t>
        </is>
      </c>
      <c r="AA1950" s="18">
        <f>IF(OR(V1950="Aprobada"),R1950,IF(AND(OR(V1950="Aprobada con ajuste",V1950="Rechazada"),W1950&lt;&gt;""),W1950,""))</f>
        <v/>
      </c>
    </row>
    <row r="1951">
      <c r="A1951" s="18" t="inlineStr">
        <is>
          <t>C1950</t>
        </is>
      </c>
      <c r="B1951" s="18" t="inlineStr">
        <is>
          <t>Control interno</t>
        </is>
      </c>
      <c r="C1951" s="18" t="inlineStr">
        <is>
          <t>control_interno</t>
        </is>
      </c>
      <c r="D1951" s="18" t="inlineStr">
        <is>
          <t>programa_anual_ajuste</t>
        </is>
      </c>
      <c r="E1951" s="18" t="n">
        <v>3</v>
      </c>
      <c r="F1951" s="18" t="inlineStr">
        <is>
          <t>iniciado_por_id</t>
        </is>
      </c>
      <c r="G1951" s="18" t="inlineStr">
        <is>
          <t>character varying(64)</t>
        </is>
      </c>
      <c r="H1951" s="18" t="inlineStr">
        <is>
          <t>Sí</t>
        </is>
      </c>
      <c r="I1951" s="18" t="inlineStr"/>
      <c r="J1951" s="18" t="inlineStr"/>
      <c r="K1951" s="18" t="inlineStr"/>
      <c r="L1951" s="18" t="inlineStr">
        <is>
          <t>No</t>
        </is>
      </c>
      <c r="M1951" s="18" t="inlineStr">
        <is>
          <t>No</t>
        </is>
      </c>
      <c r="N1951" s="18" t="inlineStr"/>
      <c r="O1951" s="18" t="inlineStr"/>
      <c r="P1951" s="18" t="inlineStr"/>
      <c r="Q1951" s="18" t="inlineStr">
        <is>
          <t>Código fuente (verificado)</t>
        </is>
      </c>
      <c r="R1951" s="18" t="inlineStr">
        <is>
          <t>Identificador del usuario que inició el ajuste del Programa Anual (EFDS-1919): el id_user de auth."user" tomado del token de sesión; queda vacío si lo inicia el sistema.</t>
        </is>
      </c>
      <c r="S1951" s="18" t="inlineStr">
        <is>
          <t>Alta</t>
        </is>
      </c>
      <c r="T1951" s="18" t="inlineStr">
        <is>
          <t>internal-institutional-control-service/src/esap/programa-anual-versiones/programa-anual-versiones.service.ts:236-238: INSERT en programa_anual_ajuste con usuario?.id | internal-institutional-control-service/src/esap/programa-anual-versiones/programa-anual-versiones.controller.ts:94: id = req.user.userId | internal-institutional-control-service/src/auth/strategies/jwt.strategy.ts:46: userId = payload.sub | auth-service/src/auth/auth.service.ts:403: sub = user.id_user (entidad user de auth)</t>
        </is>
      </c>
      <c r="U1951" s="18" t="inlineStr"/>
      <c r="V1951" s="19" t="inlineStr">
        <is>
          <t>Aprobada</t>
        </is>
      </c>
      <c r="W1951" s="19" t="inlineStr"/>
      <c r="X1951" s="19" t="inlineStr">
        <is>
          <t>Aldair González (aprobación en bloque)</t>
        </is>
      </c>
      <c r="Y1951" s="20" t="n">
        <v>46321</v>
      </c>
      <c r="Z1951" s="19" t="inlineStr">
        <is>
          <t>Nivel 3: verificada con el código de la aplicación.</t>
        </is>
      </c>
      <c r="AA1951" s="18">
        <f>IF(OR(V1951="Aprobada"),R1951,IF(AND(OR(V1951="Aprobada con ajuste",V1951="Rechazada"),W1951&lt;&gt;""),W1951,""))</f>
        <v/>
      </c>
    </row>
    <row r="1952">
      <c r="A1952" s="18" t="inlineStr">
        <is>
          <t>C1951</t>
        </is>
      </c>
      <c r="B1952" s="18" t="inlineStr">
        <is>
          <t>Control interno</t>
        </is>
      </c>
      <c r="C1952" s="18" t="inlineStr">
        <is>
          <t>control_interno</t>
        </is>
      </c>
      <c r="D1952" s="18" t="inlineStr">
        <is>
          <t>programa_anual_ajuste</t>
        </is>
      </c>
      <c r="E1952" s="18" t="n">
        <v>3</v>
      </c>
      <c r="F1952" s="18" t="inlineStr">
        <is>
          <t>iniciado_at</t>
        </is>
      </c>
      <c r="G1952" s="18" t="inlineStr">
        <is>
          <t>timestamp with time zone</t>
        </is>
      </c>
      <c r="H1952" s="18" t="inlineStr">
        <is>
          <t>No</t>
        </is>
      </c>
      <c r="I1952" s="18" t="inlineStr"/>
      <c r="J1952" s="18" t="inlineStr"/>
      <c r="K1952" s="18" t="inlineStr"/>
      <c r="L1952" s="18" t="inlineStr">
        <is>
          <t>No</t>
        </is>
      </c>
      <c r="M1952" s="18" t="inlineStr">
        <is>
          <t>No</t>
        </is>
      </c>
      <c r="N1952" s="18" t="inlineStr"/>
      <c r="O1952" s="18" t="inlineStr"/>
      <c r="P1952" s="18" t="inlineStr"/>
      <c r="Q1952" s="18" t="inlineStr">
        <is>
          <t>Regla estructural</t>
        </is>
      </c>
      <c r="R1952" s="18" t="inlineStr">
        <is>
          <t>Fecha y hora del inicio.</t>
        </is>
      </c>
      <c r="S1952" s="18" t="inlineStr">
        <is>
          <t>Media</t>
        </is>
      </c>
      <c r="T1952" s="18" t="inlineStr">
        <is>
          <t>Convención de nombre de la columna.</t>
        </is>
      </c>
      <c r="U1952" s="18" t="inlineStr"/>
      <c r="V1952" s="19" t="inlineStr">
        <is>
          <t>Aprobada</t>
        </is>
      </c>
      <c r="W1952" s="19" t="inlineStr"/>
      <c r="X1952" s="19" t="inlineStr">
        <is>
          <t>Aldair González (aprobación en bloque)</t>
        </is>
      </c>
      <c r="Y1952" s="20" t="n">
        <v>46321</v>
      </c>
      <c r="Z1952" s="19" t="inlineStr">
        <is>
          <t>Nivel 1: propuesta del comentario del desarrollador o de confianza alta, o regla de fecha/responsable/motivo.</t>
        </is>
      </c>
      <c r="AA1952" s="18">
        <f>IF(OR(V1952="Aprobada"),R1952,IF(AND(OR(V1952="Aprobada con ajuste",V1952="Rechazada"),W1952&lt;&gt;""),W1952,""))</f>
        <v/>
      </c>
    </row>
    <row r="1953">
      <c r="A1953" s="18" t="inlineStr">
        <is>
          <t>C1952</t>
        </is>
      </c>
      <c r="B1953" s="18" t="inlineStr">
        <is>
          <t>Control interno</t>
        </is>
      </c>
      <c r="C1953" s="18" t="inlineStr">
        <is>
          <t>control_interno</t>
        </is>
      </c>
      <c r="D1953" s="18" t="inlineStr">
        <is>
          <t>programa_anual_ajuste</t>
        </is>
      </c>
      <c r="E1953" s="18" t="n">
        <v>3</v>
      </c>
      <c r="F1953" s="18" t="inlineStr">
        <is>
          <t>cerrado_at</t>
        </is>
      </c>
      <c r="G1953" s="18" t="inlineStr">
        <is>
          <t>timestamp with time zone</t>
        </is>
      </c>
      <c r="H1953" s="18" t="inlineStr">
        <is>
          <t>Sí</t>
        </is>
      </c>
      <c r="I1953" s="18" t="inlineStr"/>
      <c r="J1953" s="18" t="inlineStr"/>
      <c r="K1953" s="18" t="inlineStr"/>
      <c r="L1953" s="18" t="inlineStr">
        <is>
          <t>No</t>
        </is>
      </c>
      <c r="M1953" s="18" t="inlineStr">
        <is>
          <t>No</t>
        </is>
      </c>
      <c r="N1953" s="18" t="inlineStr"/>
      <c r="O1953" s="18" t="inlineStr"/>
      <c r="P1953" s="18" t="inlineStr"/>
      <c r="Q1953" s="18" t="inlineStr">
        <is>
          <t>Regla estructural</t>
        </is>
      </c>
      <c r="R1953" s="18" t="inlineStr">
        <is>
          <t>Fecha y hora del cierre.</t>
        </is>
      </c>
      <c r="S1953" s="18" t="inlineStr">
        <is>
          <t>Media</t>
        </is>
      </c>
      <c r="T1953" s="18" t="inlineStr">
        <is>
          <t>Convención de nombre de la columna.</t>
        </is>
      </c>
      <c r="U1953" s="18" t="inlineStr"/>
      <c r="V1953" s="19" t="inlineStr">
        <is>
          <t>Aprobada</t>
        </is>
      </c>
      <c r="W1953" s="19" t="inlineStr"/>
      <c r="X1953" s="19" t="inlineStr">
        <is>
          <t>Aldair González (aprobación en bloque)</t>
        </is>
      </c>
      <c r="Y1953" s="20" t="n">
        <v>46321</v>
      </c>
      <c r="Z1953" s="19" t="inlineStr">
        <is>
          <t>Nivel 1: propuesta del comentario del desarrollador o de confianza alta, o regla de fecha/responsable/motivo.</t>
        </is>
      </c>
      <c r="AA1953" s="18">
        <f>IF(OR(V1953="Aprobada"),R1953,IF(AND(OR(V1953="Aprobada con ajuste",V1953="Rechazada"),W1953&lt;&gt;""),W1953,""))</f>
        <v/>
      </c>
    </row>
    <row r="1954">
      <c r="A1954" s="18" t="inlineStr">
        <is>
          <t>C1953</t>
        </is>
      </c>
      <c r="B1954" s="18" t="inlineStr">
        <is>
          <t>Control interno</t>
        </is>
      </c>
      <c r="C1954" s="18" t="inlineStr">
        <is>
          <t>control_interno</t>
        </is>
      </c>
      <c r="D1954" s="18" t="inlineStr">
        <is>
          <t>programa_anual_ajuste</t>
        </is>
      </c>
      <c r="E1954" s="18" t="n">
        <v>3</v>
      </c>
      <c r="F1954" s="18" t="inlineStr">
        <is>
          <t>version_resultante</t>
        </is>
      </c>
      <c r="G1954" s="18" t="inlineStr">
        <is>
          <t>integer</t>
        </is>
      </c>
      <c r="H1954" s="18" t="inlineStr">
        <is>
          <t>Sí</t>
        </is>
      </c>
      <c r="I1954" s="18" t="inlineStr"/>
      <c r="J1954" s="18" t="inlineStr"/>
      <c r="K1954" s="18" t="inlineStr"/>
      <c r="L1954" s="18" t="inlineStr">
        <is>
          <t>No</t>
        </is>
      </c>
      <c r="M1954" s="18" t="inlineStr">
        <is>
          <t>No</t>
        </is>
      </c>
      <c r="N1954" s="18" t="inlineStr"/>
      <c r="O1954" s="18" t="inlineStr"/>
      <c r="P1954" s="18" t="inlineStr">
        <is>
          <t>db/migrations/657_ajustes_programa_anual.sql:19: Versión que cerró el ajuste; vacío si se cerró sin cambios.</t>
        </is>
      </c>
      <c r="Q1954" s="18" t="inlineStr">
        <is>
          <t>Código fuente</t>
        </is>
      </c>
      <c r="R1954" s="18" t="inlineStr">
        <is>
          <t>Número de la versión del Programa Anual con la que se cerró el ajuste; vacío si el ajuste se cerró sin cambios (EFDS-1919).</t>
        </is>
      </c>
      <c r="S1954" s="18" t="inlineStr">
        <is>
          <t>Alta</t>
        </is>
      </c>
      <c r="T1954" s="18" t="inlineStr">
        <is>
          <t>código: db/migrations/657_ajustes_programa_anual.sql:19</t>
        </is>
      </c>
      <c r="U1954" s="18" t="inlineStr"/>
      <c r="V1954" s="19" t="inlineStr">
        <is>
          <t>Aprobada</t>
        </is>
      </c>
      <c r="W1954" s="19" t="inlineStr"/>
      <c r="X1954" s="19" t="inlineStr">
        <is>
          <t>Aldair González (aprobación en bloque)</t>
        </is>
      </c>
      <c r="Y1954" s="20" t="n">
        <v>46321</v>
      </c>
      <c r="Z1954" s="19" t="inlineStr">
        <is>
          <t>Nivel 1: propuesta del comentario del desarrollador o de confianza alta, o regla de fecha/responsable/motivo.</t>
        </is>
      </c>
      <c r="AA1954" s="18">
        <f>IF(OR(V1954="Aprobada"),R1954,IF(AND(OR(V1954="Aprobada con ajuste",V1954="Rechazada"),W1954&lt;&gt;""),W1954,""))</f>
        <v/>
      </c>
    </row>
    <row r="1955">
      <c r="A1955" s="18" t="inlineStr">
        <is>
          <t>C1954</t>
        </is>
      </c>
      <c r="B1955" s="18" t="inlineStr">
        <is>
          <t>Control interno</t>
        </is>
      </c>
      <c r="C1955" s="18" t="inlineStr">
        <is>
          <t>control_interno</t>
        </is>
      </c>
      <c r="D1955" s="18" t="inlineStr">
        <is>
          <t>registro_seguimiento</t>
        </is>
      </c>
      <c r="E1955" s="18" t="n">
        <v>0</v>
      </c>
      <c r="F1955" s="18" t="inlineStr">
        <is>
          <t>accion_descripcion</t>
        </is>
      </c>
      <c r="G1955" s="18" t="inlineStr">
        <is>
          <t>text</t>
        </is>
      </c>
      <c r="H1955" s="18" t="inlineStr">
        <is>
          <t>No</t>
        </is>
      </c>
      <c r="I1955" s="18" t="inlineStr"/>
      <c r="J1955" s="18" t="inlineStr"/>
      <c r="K1955" s="18" t="inlineStr"/>
      <c r="L1955" s="18" t="inlineStr">
        <is>
          <t>No</t>
        </is>
      </c>
      <c r="M1955" s="18" t="inlineStr">
        <is>
          <t>No</t>
        </is>
      </c>
      <c r="N1955" s="18" t="inlineStr"/>
      <c r="O1955" s="18" t="inlineStr"/>
      <c r="P1955" s="18" t="inlineStr">
        <is>
          <t>Mapeada en internal-institutional-control-service/src/esap/planes-mejoramiento/entities/registro-seguimiento.entity.ts:32 (RegistroSeguimiento.accionDescripcion) | Validación: IsNotEmpty, IsString</t>
        </is>
      </c>
      <c r="Q1955" s="18" t="inlineStr">
        <is>
          <t>Propuesta semántica</t>
        </is>
      </c>
      <c r="R1955" s="18" t="inlineStr">
        <is>
          <t>Descripción de la acción de mejora objeto del seguimiento.</t>
        </is>
      </c>
      <c r="S1955" s="18" t="inlineStr">
        <is>
          <t>Alta</t>
        </is>
      </c>
      <c r="T1955" s="18" t="inlineStr">
        <is>
          <t>nombre + tipo + columnas vecinas</t>
        </is>
      </c>
      <c r="U1955" s="18" t="inlineStr"/>
      <c r="V1955" s="19" t="inlineStr">
        <is>
          <t>Aprobada</t>
        </is>
      </c>
      <c r="W1955" s="19" t="inlineStr"/>
      <c r="X1955" s="19" t="inlineStr">
        <is>
          <t>Aldair González (aprobación en bloque)</t>
        </is>
      </c>
      <c r="Y1955" s="20" t="n">
        <v>46321</v>
      </c>
      <c r="Z1955" s="19" t="inlineStr">
        <is>
          <t>Nivel 1: propuesta del comentario del desarrollador o de confianza alta, o regla de fecha/responsable/motivo.</t>
        </is>
      </c>
      <c r="AA1955" s="18">
        <f>IF(OR(V1955="Aprobada"),R1955,IF(AND(OR(V1955="Aprobada con ajuste",V1955="Rechazada"),W1955&lt;&gt;""),W1955,""))</f>
        <v/>
      </c>
    </row>
    <row r="1956">
      <c r="A1956" s="18" t="inlineStr">
        <is>
          <t>C1955</t>
        </is>
      </c>
      <c r="B1956" s="18" t="inlineStr">
        <is>
          <t>Control interno</t>
        </is>
      </c>
      <c r="C1956" s="18" t="inlineStr">
        <is>
          <t>control_interno</t>
        </is>
      </c>
      <c r="D1956" s="18" t="inlineStr">
        <is>
          <t>registro_seguimiento</t>
        </is>
      </c>
      <c r="E1956" s="18" t="n">
        <v>0</v>
      </c>
      <c r="F1956" s="18" t="inlineStr">
        <is>
          <t>acciones_programadas</t>
        </is>
      </c>
      <c r="G1956" s="18" t="inlineStr">
        <is>
          <t>integer</t>
        </is>
      </c>
      <c r="H1956" s="18" t="inlineStr">
        <is>
          <t>Sí</t>
        </is>
      </c>
      <c r="I1956" s="18" t="inlineStr"/>
      <c r="J1956" s="18" t="inlineStr"/>
      <c r="K1956" s="18" t="inlineStr"/>
      <c r="L1956" s="18" t="inlineStr">
        <is>
          <t>No</t>
        </is>
      </c>
      <c r="M1956" s="18" t="inlineStr">
        <is>
          <t>No</t>
        </is>
      </c>
      <c r="N1956" s="18" t="inlineStr"/>
      <c r="O1956" s="18" t="inlineStr"/>
      <c r="P1956" s="18" t="inlineStr">
        <is>
          <t>Mapeada en internal-institutional-control-service/src/esap/planes-mejoramiento/entities/registro-seguimiento.entity.ts:35 (RegistroSeguimiento.accionesProgramadas) | Validación: IsInt, Min(1)</t>
        </is>
      </c>
      <c r="Q1956" s="18" t="inlineStr">
        <is>
          <t>Propuesta semántica</t>
        </is>
      </c>
      <c r="R1956" s="18" t="inlineStr">
        <is>
          <t>Cantidad de acciones programadas, mínimo 1.</t>
        </is>
      </c>
      <c r="S1956" s="18" t="inlineStr">
        <is>
          <t>Alta</t>
        </is>
      </c>
      <c r="T1956" s="18" t="inlineStr">
        <is>
          <t>nombre + validación Min(1)</t>
        </is>
      </c>
      <c r="U1956" s="18" t="inlineStr"/>
      <c r="V1956" s="19" t="inlineStr">
        <is>
          <t>Aprobada</t>
        </is>
      </c>
      <c r="W1956" s="19" t="inlineStr"/>
      <c r="X1956" s="19" t="inlineStr">
        <is>
          <t>Aldair González (aprobación en bloque)</t>
        </is>
      </c>
      <c r="Y1956" s="20" t="n">
        <v>46321</v>
      </c>
      <c r="Z1956" s="19" t="inlineStr">
        <is>
          <t>Nivel 1: propuesta del comentario del desarrollador o de confianza alta, o regla de fecha/responsable/motivo.</t>
        </is>
      </c>
      <c r="AA1956" s="18">
        <f>IF(OR(V1956="Aprobada"),R1956,IF(AND(OR(V1956="Aprobada con ajuste",V1956="Rechazada"),W1956&lt;&gt;""),W1956,""))</f>
        <v/>
      </c>
    </row>
    <row r="1957">
      <c r="A1957" s="18" t="inlineStr">
        <is>
          <t>C1956</t>
        </is>
      </c>
      <c r="B1957" s="18" t="inlineStr">
        <is>
          <t>Control interno</t>
        </is>
      </c>
      <c r="C1957" s="18" t="inlineStr">
        <is>
          <t>control_interno</t>
        </is>
      </c>
      <c r="D1957" s="18" t="inlineStr">
        <is>
          <t>registro_seguimiento</t>
        </is>
      </c>
      <c r="E1957" s="18" t="n">
        <v>0</v>
      </c>
      <c r="F1957" s="18" t="inlineStr">
        <is>
          <t>acciones_implementadas</t>
        </is>
      </c>
      <c r="G1957" s="18" t="inlineStr">
        <is>
          <t>integer</t>
        </is>
      </c>
      <c r="H1957" s="18" t="inlineStr">
        <is>
          <t>Sí</t>
        </is>
      </c>
      <c r="I1957" s="18" t="inlineStr"/>
      <c r="J1957" s="18" t="inlineStr"/>
      <c r="K1957" s="18" t="inlineStr"/>
      <c r="L1957" s="18" t="inlineStr">
        <is>
          <t>No</t>
        </is>
      </c>
      <c r="M1957" s="18" t="inlineStr">
        <is>
          <t>No</t>
        </is>
      </c>
      <c r="N1957" s="18" t="inlineStr"/>
      <c r="O1957" s="18" t="inlineStr"/>
      <c r="P1957" s="18" t="inlineStr">
        <is>
          <t>Mapeada en internal-institutional-control-service/src/esap/planes-mejoramiento/entities/registro-seguimiento.entity.ts:38 (RegistroSeguimiento.accionesImplementadas) | Validación: IsInt, Min(0)</t>
        </is>
      </c>
      <c r="Q1957" s="18" t="inlineStr">
        <is>
          <t>Propuesta semántica</t>
        </is>
      </c>
      <c r="R1957" s="18" t="inlineStr">
        <is>
          <t>Cantidad de acciones implementadas.</t>
        </is>
      </c>
      <c r="S1957" s="18" t="inlineStr">
        <is>
          <t>Alta</t>
        </is>
      </c>
      <c r="T1957" s="18" t="inlineStr">
        <is>
          <t>nombre + validación Min(0)</t>
        </is>
      </c>
      <c r="U1957" s="18" t="inlineStr"/>
      <c r="V1957" s="19" t="inlineStr">
        <is>
          <t>Aprobada</t>
        </is>
      </c>
      <c r="W1957" s="19" t="inlineStr"/>
      <c r="X1957" s="19" t="inlineStr">
        <is>
          <t>Aldair González (aprobación en bloque)</t>
        </is>
      </c>
      <c r="Y1957" s="20" t="n">
        <v>46321</v>
      </c>
      <c r="Z1957" s="19" t="inlineStr">
        <is>
          <t>Nivel 1: propuesta del comentario del desarrollador o de confianza alta, o regla de fecha/responsable/motivo.</t>
        </is>
      </c>
      <c r="AA1957" s="18">
        <f>IF(OR(V1957="Aprobada"),R1957,IF(AND(OR(V1957="Aprobada con ajuste",V1957="Rechazada"),W1957&lt;&gt;""),W1957,""))</f>
        <v/>
      </c>
    </row>
    <row r="1958">
      <c r="A1958" s="18" t="inlineStr">
        <is>
          <t>C1957</t>
        </is>
      </c>
      <c r="B1958" s="18" t="inlineStr">
        <is>
          <t>Control interno</t>
        </is>
      </c>
      <c r="C1958" s="18" t="inlineStr">
        <is>
          <t>control_interno</t>
        </is>
      </c>
      <c r="D1958" s="18" t="inlineStr">
        <is>
          <t>registro_seguimiento</t>
        </is>
      </c>
      <c r="E1958" s="18" t="n">
        <v>0</v>
      </c>
      <c r="F1958" s="18" t="inlineStr">
        <is>
          <t>puntaje_cumplimiento</t>
        </is>
      </c>
      <c r="G1958" s="18" t="inlineStr">
        <is>
          <t>integer</t>
        </is>
      </c>
      <c r="H1958" s="18" t="inlineStr">
        <is>
          <t>Sí</t>
        </is>
      </c>
      <c r="I1958" s="18" t="inlineStr">
        <is>
          <t>CHECK</t>
        </is>
      </c>
      <c r="J1958" s="18" t="inlineStr"/>
      <c r="K1958" s="18" t="inlineStr"/>
      <c r="L1958" s="18" t="inlineStr">
        <is>
          <t>No</t>
        </is>
      </c>
      <c r="M1958" s="18" t="inlineStr">
        <is>
          <t>No</t>
        </is>
      </c>
      <c r="N1958" s="18" t="inlineStr"/>
      <c r="O1958" s="18" t="inlineStr"/>
      <c r="P1958" s="18" t="inlineStr">
        <is>
          <t>Mapeada en internal-institutional-control-service/src/esap/planes-mejoramiento/entities/registro-seguimiento.entity.ts:41 (RegistroSeguimiento.puntajeCumplimiento)</t>
        </is>
      </c>
      <c r="Q1958" s="18" t="inlineStr">
        <is>
          <t>Código fuente (verificado)</t>
        </is>
      </c>
      <c r="R1958" s="18" t="inlineStr">
        <is>
          <t>Puntaje de cumplimiento de la acción en el seguimiento, en escala de 0 a 2, calculado por el servicio: 2 si las acciones implementadas igualan o superan las programadas, 1 si hay al menos una implementada y 0 si no hay ninguna. Valor por defecto: 0.</t>
        </is>
      </c>
      <c r="S1958" s="18" t="inlineStr">
        <is>
          <t>Alta</t>
        </is>
      </c>
      <c r="T1958" s="18" t="inlineStr">
        <is>
          <t>internal-institutional-control-service/src/esap/planes-mejoramiento/planes-mejoramiento.service.ts:244-248: calcularPuntajeCumplimiento devuelve 0, 1 o 2 | internal-institutional-control-service/src/esap/planes-mejoramiento/planes-mejoramiento.service.ts:1517-1520: se calcula con accionesImplementadas y accionesProgramadas | internal-institutional-control-service/src/esap/planes-mejoramiento/planes-mejoramiento.service.ts:1469-1472: el porcentaje del seguimiento es el promedio de puntajes ÷ 2 × 100</t>
        </is>
      </c>
      <c r="U1958" s="18" t="inlineStr"/>
      <c r="V1958" s="19" t="inlineStr">
        <is>
          <t>Aprobada</t>
        </is>
      </c>
      <c r="W1958" s="19" t="inlineStr"/>
      <c r="X1958" s="19" t="inlineStr">
        <is>
          <t>Aldair González (aprobación en bloque)</t>
        </is>
      </c>
      <c r="Y1958" s="20" t="n">
        <v>46321</v>
      </c>
      <c r="Z1958" s="19" t="inlineStr">
        <is>
          <t>Nivel 3: verificada con el código de la aplicación.</t>
        </is>
      </c>
      <c r="AA1958" s="18">
        <f>IF(OR(V1958="Aprobada"),R1958,IF(AND(OR(V1958="Aprobada con ajuste",V1958="Rechazada"),W1958&lt;&gt;""),W1958,""))</f>
        <v/>
      </c>
    </row>
    <row r="1959">
      <c r="A1959" s="18" t="inlineStr">
        <is>
          <t>C1958</t>
        </is>
      </c>
      <c r="B1959" s="18" t="inlineStr">
        <is>
          <t>Control interno</t>
        </is>
      </c>
      <c r="C1959" s="18" t="inlineStr">
        <is>
          <t>control_interno</t>
        </is>
      </c>
      <c r="D1959" s="18" t="inlineStr">
        <is>
          <t>registro_seguimiento</t>
        </is>
      </c>
      <c r="E1959" s="18" t="n">
        <v>0</v>
      </c>
      <c r="F1959" s="18" t="inlineStr">
        <is>
          <t>controles_implementados</t>
        </is>
      </c>
      <c r="G1959" s="18" t="inlineStr">
        <is>
          <t>character varying(20)</t>
        </is>
      </c>
      <c r="H1959" s="18" t="inlineStr">
        <is>
          <t>No</t>
        </is>
      </c>
      <c r="I1959" s="18" t="inlineStr">
        <is>
          <t>CHECK</t>
        </is>
      </c>
      <c r="J1959" s="18" t="inlineStr">
        <is>
          <t>NO, PARCIAL, SI</t>
        </is>
      </c>
      <c r="K1959" s="18" t="inlineStr"/>
      <c r="L1959" s="18" t="inlineStr">
        <is>
          <t>Sí</t>
        </is>
      </c>
      <c r="M1959" s="18" t="inlineStr">
        <is>
          <t>No</t>
        </is>
      </c>
      <c r="N1959" s="18" t="inlineStr"/>
      <c r="O1959" s="18" t="inlineStr"/>
      <c r="P1959" s="18" t="inlineStr">
        <is>
          <t>Mapeada en internal-institutional-control-service/src/esap/planes-mejoramiento/entities/registro-seguimiento.entity.ts:44 (RegistroSeguimiento.controlesImplementados) | Validación: IsEnum(['SI', 'NO', 'PARCIAL'])</t>
        </is>
      </c>
      <c r="Q1959" s="18" t="inlineStr">
        <is>
          <t>Propuesta semántica</t>
        </is>
      </c>
      <c r="R1959" s="18" t="inlineStr">
        <is>
          <t>Indica si se implementaron los controles. Valores permitidos: SI, NO, PARCIAL.</t>
        </is>
      </c>
      <c r="S1959" s="18" t="inlineStr">
        <is>
          <t>Alta</t>
        </is>
      </c>
      <c r="T1959" s="18" t="inlineStr">
        <is>
          <t>valores permitidos del CHECK</t>
        </is>
      </c>
      <c r="U1959" s="18" t="inlineStr"/>
      <c r="V1959" s="19" t="inlineStr">
        <is>
          <t>Aprobada</t>
        </is>
      </c>
      <c r="W1959" s="19" t="inlineStr"/>
      <c r="X1959" s="19" t="inlineStr">
        <is>
          <t>Aldair González (aprobación en bloque)</t>
        </is>
      </c>
      <c r="Y1959" s="20" t="n">
        <v>46321</v>
      </c>
      <c r="Z1959" s="19" t="inlineStr">
        <is>
          <t>Nivel 1: propuesta del comentario del desarrollador o de confianza alta, o regla de fecha/responsable/motivo.</t>
        </is>
      </c>
      <c r="AA1959" s="18">
        <f>IF(OR(V1959="Aprobada"),R1959,IF(AND(OR(V1959="Aprobada con ajuste",V1959="Rechazada"),W1959&lt;&gt;""),W1959,""))</f>
        <v/>
      </c>
    </row>
    <row r="1960">
      <c r="A1960" s="18" t="inlineStr">
        <is>
          <t>C1959</t>
        </is>
      </c>
      <c r="B1960" s="18" t="inlineStr">
        <is>
          <t>Control interno</t>
        </is>
      </c>
      <c r="C1960" s="18" t="inlineStr">
        <is>
          <t>control_interno</t>
        </is>
      </c>
      <c r="D1960" s="18" t="inlineStr">
        <is>
          <t>registro_seguimiento</t>
        </is>
      </c>
      <c r="E1960" s="18" t="n">
        <v>0</v>
      </c>
      <c r="F1960" s="18" t="inlineStr">
        <is>
          <t>hallazgo_se_repite</t>
        </is>
      </c>
      <c r="G1960" s="18" t="inlineStr">
        <is>
          <t>character varying(20)</t>
        </is>
      </c>
      <c r="H1960" s="18" t="inlineStr">
        <is>
          <t>No</t>
        </is>
      </c>
      <c r="I1960" s="18" t="inlineStr">
        <is>
          <t>CHECK</t>
        </is>
      </c>
      <c r="J1960" s="18" t="inlineStr">
        <is>
          <t>NO, SI</t>
        </is>
      </c>
      <c r="K1960" s="18" t="inlineStr"/>
      <c r="L1960" s="18" t="inlineStr">
        <is>
          <t>Sí</t>
        </is>
      </c>
      <c r="M1960" s="18" t="inlineStr">
        <is>
          <t>No</t>
        </is>
      </c>
      <c r="N1960" s="18" t="inlineStr"/>
      <c r="O1960" s="18" t="inlineStr"/>
      <c r="P1960" s="18" t="inlineStr">
        <is>
          <t>Mapeada en internal-institutional-control-service/src/esap/planes-mejoramiento/entities/registro-seguimiento.entity.ts:47 (RegistroSeguimiento.hallazgoSeRepite) | Validación: IsEnum(['SI', 'NO'])</t>
        </is>
      </c>
      <c r="Q1960" s="18" t="inlineStr">
        <is>
          <t>Propuesta semántica</t>
        </is>
      </c>
      <c r="R1960" s="18" t="inlineStr">
        <is>
          <t>Indica si el hallazgo se repite. Valores permitidos: SI, NO.</t>
        </is>
      </c>
      <c r="S1960" s="18" t="inlineStr">
        <is>
          <t>Alta</t>
        </is>
      </c>
      <c r="T1960" s="18" t="inlineStr">
        <is>
          <t>valores permitidos del CHECK</t>
        </is>
      </c>
      <c r="U1960" s="18" t="inlineStr"/>
      <c r="V1960" s="19" t="inlineStr">
        <is>
          <t>Aprobada</t>
        </is>
      </c>
      <c r="W1960" s="19" t="inlineStr"/>
      <c r="X1960" s="19" t="inlineStr">
        <is>
          <t>Aldair González (aprobación en bloque)</t>
        </is>
      </c>
      <c r="Y1960" s="20" t="n">
        <v>46321</v>
      </c>
      <c r="Z1960" s="19" t="inlineStr">
        <is>
          <t>Nivel 1: propuesta del comentario del desarrollador o de confianza alta, o regla de fecha/responsable/motivo.</t>
        </is>
      </c>
      <c r="AA1960" s="18">
        <f>IF(OR(V1960="Aprobada"),R1960,IF(AND(OR(V1960="Aprobada con ajuste",V1960="Rechazada"),W1960&lt;&gt;""),W1960,""))</f>
        <v/>
      </c>
    </row>
    <row r="1961">
      <c r="A1961" s="18" t="inlineStr">
        <is>
          <t>C1960</t>
        </is>
      </c>
      <c r="B1961" s="18" t="inlineStr">
        <is>
          <t>Control interno</t>
        </is>
      </c>
      <c r="C1961" s="18" t="inlineStr">
        <is>
          <t>control_interno</t>
        </is>
      </c>
      <c r="D1961" s="18" t="inlineStr">
        <is>
          <t>registro_seguimiento</t>
        </is>
      </c>
      <c r="E1961" s="18" t="n">
        <v>0</v>
      </c>
      <c r="F1961" s="18" t="inlineStr">
        <is>
          <t>puntaje_efectividad</t>
        </is>
      </c>
      <c r="G1961" s="18" t="inlineStr">
        <is>
          <t>integer</t>
        </is>
      </c>
      <c r="H1961" s="18" t="inlineStr">
        <is>
          <t>Sí</t>
        </is>
      </c>
      <c r="I1961" s="18" t="inlineStr">
        <is>
          <t>CHECK</t>
        </is>
      </c>
      <c r="J1961" s="18" t="inlineStr"/>
      <c r="K1961" s="18" t="inlineStr"/>
      <c r="L1961" s="18" t="inlineStr">
        <is>
          <t>No</t>
        </is>
      </c>
      <c r="M1961" s="18" t="inlineStr">
        <is>
          <t>No</t>
        </is>
      </c>
      <c r="N1961" s="18" t="inlineStr"/>
      <c r="O1961" s="18" t="inlineStr"/>
      <c r="P1961" s="18" t="inlineStr">
        <is>
          <t>Mapeada en internal-institutional-control-service/src/esap/planes-mejoramiento/entities/registro-seguimiento.entity.ts:50 (RegistroSeguimiento.puntajeEfectividad)</t>
        </is>
      </c>
      <c r="Q1961" s="18" t="inlineStr">
        <is>
          <t>Código fuente (verificado)</t>
        </is>
      </c>
      <c r="R1961" s="18" t="inlineStr">
        <is>
          <t>Puntaje de efectividad de la acción en el seguimiento, en escala de 0 a 2, calculado por el servicio: 0 si el hallazgo se repite, 2 si los controles están implementados y el hallazgo no se repite, 1 en los demás casos. Valor por defecto: 0.</t>
        </is>
      </c>
      <c r="S1961" s="18" t="inlineStr">
        <is>
          <t>Alta</t>
        </is>
      </c>
      <c r="T1961" s="18" t="inlineStr">
        <is>
          <t>internal-institutional-control-service/src/esap/planes-mejoramiento/planes-mejoramiento.service.ts:257-275: calcularPuntajeEfectividad con controles SI/NO/PARCIAL y repetición SI/NO | internal-institutional-control-service/src/esap/planes-mejoramiento/planes-mejoramiento.service.ts:1521-1524: se calcula con controlesImplementados y hallazgoSeRepite | internal-institutional-control-service/src/esap/planes-mejoramiento/planes-mejoramiento.service.ts:1475-1478: el porcentaje del seguimiento es el promedio ÷ 2 × 100</t>
        </is>
      </c>
      <c r="U1961" s="18" t="inlineStr"/>
      <c r="V1961" s="19" t="inlineStr">
        <is>
          <t>Aprobada</t>
        </is>
      </c>
      <c r="W1961" s="19" t="inlineStr"/>
      <c r="X1961" s="19" t="inlineStr">
        <is>
          <t>Aldair González (aprobación en bloque)</t>
        </is>
      </c>
      <c r="Y1961" s="20" t="n">
        <v>46321</v>
      </c>
      <c r="Z1961" s="19" t="inlineStr">
        <is>
          <t>Nivel 3: verificada con el código de la aplicación.</t>
        </is>
      </c>
      <c r="AA1961" s="18">
        <f>IF(OR(V1961="Aprobada"),R1961,IF(AND(OR(V1961="Aprobada con ajuste",V1961="Rechazada"),W1961&lt;&gt;""),W1961,""))</f>
        <v/>
      </c>
    </row>
    <row r="1962">
      <c r="A1962" s="18" t="inlineStr">
        <is>
          <t>C1961</t>
        </is>
      </c>
      <c r="B1962" s="18" t="inlineStr">
        <is>
          <t>Control interno</t>
        </is>
      </c>
      <c r="C1962" s="18" t="inlineStr">
        <is>
          <t>control_interno</t>
        </is>
      </c>
      <c r="D1962" s="18" t="inlineStr">
        <is>
          <t>registro_seguimiento</t>
        </is>
      </c>
      <c r="E1962" s="18" t="n">
        <v>0</v>
      </c>
      <c r="F1962" s="18" t="inlineStr">
        <is>
          <t>observaciones</t>
        </is>
      </c>
      <c r="G1962" s="18" t="inlineStr">
        <is>
          <t>text</t>
        </is>
      </c>
      <c r="H1962" s="18" t="inlineStr">
        <is>
          <t>Sí</t>
        </is>
      </c>
      <c r="I1962" s="18" t="inlineStr"/>
      <c r="J1962" s="18" t="inlineStr"/>
      <c r="K1962" s="18" t="inlineStr"/>
      <c r="L1962" s="18" t="inlineStr">
        <is>
          <t>No</t>
        </is>
      </c>
      <c r="M1962" s="18" t="inlineStr">
        <is>
          <t>No</t>
        </is>
      </c>
      <c r="N1962" s="18" t="inlineStr"/>
      <c r="O1962" s="18" t="inlineStr"/>
      <c r="P1962" s="18" t="inlineStr">
        <is>
          <t>Mapeada en internal-institutional-control-service/src/esap/planes-mejoramiento/entities/registro-seguimiento.entity.ts:53 (RegistroSeguimiento.observaciones) | Validación: IsOptional, IsString</t>
        </is>
      </c>
      <c r="Q1962" s="18" t="inlineStr">
        <is>
          <t>Regla estructural (redacción revisada)</t>
        </is>
      </c>
      <c r="R1962" s="18" t="inlineStr">
        <is>
          <t>Observaciones sobre el seguimiento de la acción.</t>
        </is>
      </c>
      <c r="S1962" s="18" t="inlineStr">
        <is>
          <t>Alta</t>
        </is>
      </c>
      <c r="T1962" s="18" t="inlineStr">
        <is>
          <t>Convención de nombre, redactada con el contexto de la tabla y el código.</t>
        </is>
      </c>
      <c r="U1962" s="18" t="inlineStr"/>
      <c r="V1962" s="19" t="inlineStr">
        <is>
          <t>Aprobada</t>
        </is>
      </c>
      <c r="W1962" s="19" t="inlineStr"/>
      <c r="X1962" s="19" t="inlineStr">
        <is>
          <t>Aldair González (aprobación en bloque)</t>
        </is>
      </c>
      <c r="Y1962" s="20" t="n">
        <v>46321</v>
      </c>
      <c r="Z1962" s="19" t="inlineStr">
        <is>
          <t>Nivel 2: regla estructural con redacción revisada.</t>
        </is>
      </c>
      <c r="AA1962" s="18">
        <f>IF(OR(V1962="Aprobada"),R1962,IF(AND(OR(V1962="Aprobada con ajuste",V1962="Rechazada"),W1962&lt;&gt;""),W1962,""))</f>
        <v/>
      </c>
    </row>
    <row r="1963">
      <c r="A1963" s="18" t="inlineStr">
        <is>
          <t>C1962</t>
        </is>
      </c>
      <c r="B1963" s="18" t="inlineStr">
        <is>
          <t>Control interno</t>
        </is>
      </c>
      <c r="C1963" s="18" t="inlineStr">
        <is>
          <t>control_interno</t>
        </is>
      </c>
      <c r="D1963" s="18" t="inlineStr">
        <is>
          <t>registro_seguimiento</t>
        </is>
      </c>
      <c r="E1963" s="18" t="n">
        <v>0</v>
      </c>
      <c r="F1963" s="18" t="inlineStr">
        <is>
          <t>evidencias</t>
        </is>
      </c>
      <c r="G1963" s="18" t="inlineStr">
        <is>
          <t>jsonb</t>
        </is>
      </c>
      <c r="H1963" s="18" t="inlineStr">
        <is>
          <t>Sí</t>
        </is>
      </c>
      <c r="I1963" s="18" t="inlineStr"/>
      <c r="J1963" s="18" t="inlineStr"/>
      <c r="K1963" s="18" t="inlineStr"/>
      <c r="L1963" s="18" t="inlineStr">
        <is>
          <t>No</t>
        </is>
      </c>
      <c r="M1963" s="18" t="inlineStr">
        <is>
          <t>No</t>
        </is>
      </c>
      <c r="N1963" s="18" t="inlineStr"/>
      <c r="O1963" s="18" t="inlineStr"/>
      <c r="P1963" s="18" t="inlineStr">
        <is>
          <t>Mapeada en internal-institutional-control-service/src/esap/planes-mejoramiento/entities/registro-seguimiento.entity.ts:56 (RegistroSeguimiento.evidencias) | Validación: IsArray, IsOptional, IsString({ each: true })</t>
        </is>
      </c>
      <c r="Q1963" s="18" t="inlineStr">
        <is>
          <t>Código fuente (verificado)</t>
        </is>
      </c>
      <c r="R1963" s="18" t="inlineStr">
        <is>
          <t>Evidencias del registro de seguimiento, como arreglo JSON de textos. Por defecto, arreglo vacío.</t>
        </is>
      </c>
      <c r="S1963" s="18" t="inlineStr">
        <is>
          <t>Media</t>
        </is>
      </c>
      <c r="T1963" s="18" t="inlineStr">
        <is>
          <t>internal-institutional-control-service/src/esap/planes-mejoramiento/entities/registro-seguimiento.entity.ts:56-60: jsonb default '[]', string[] | internal-institutional-control-service/src/esap/planes-mejoramiento/dto/create-registro-seguimiento.dto.ts:35-38: IsArray, IsString each | internal-institutional-control-service/src/esap/planes-mejoramiento/planes-mejoramiento.service.ts:1537: se guarda lo que llega en el DTO</t>
        </is>
      </c>
      <c r="U1963" s="18" t="inlineStr">
        <is>
          <t>¿Cada elemento de registro_seguimiento.evidencias es una ruta, una URL o un identificador de documento? El servicio guarda los textos tal como llegan.</t>
        </is>
      </c>
      <c r="V1963" s="19" t="inlineStr">
        <is>
          <t>Aprobada</t>
        </is>
      </c>
      <c r="W1963" s="19" t="inlineStr"/>
      <c r="X1963" s="19" t="inlineStr">
        <is>
          <t>Aldair González (validación del responsable de BD)</t>
        </is>
      </c>
      <c r="Y1963" s="20" t="n">
        <v>46321</v>
      </c>
      <c r="Z1963" s="19" t="inlineStr">
        <is>
          <t>Nivel 3: validada por decisión del responsable de la base de datos. Pregunta registrada para desarrollo: ¿Cada elemento de registro_seguimiento.evidencias es una ruta, una URL o un identificador de documento? El servicio guarda los textos tal como llegan.</t>
        </is>
      </c>
      <c r="AA1963" s="18">
        <f>IF(OR(V1963="Aprobada"),R1963,IF(AND(OR(V1963="Aprobada con ajuste",V1963="Rechazada"),W1963&lt;&gt;""),W1963,""))</f>
        <v/>
      </c>
    </row>
    <row r="1964">
      <c r="A1964" s="18" t="inlineStr">
        <is>
          <t>C1963</t>
        </is>
      </c>
      <c r="B1964" s="18" t="inlineStr">
        <is>
          <t>Control interno</t>
        </is>
      </c>
      <c r="C1964" s="18" t="inlineStr">
        <is>
          <t>control_interno</t>
        </is>
      </c>
      <c r="D1964" s="18" t="inlineStr">
        <is>
          <t>reunion_apertura</t>
        </is>
      </c>
      <c r="E1964" s="18" t="n">
        <v>15</v>
      </c>
      <c r="F1964" s="18" t="inlineStr">
        <is>
          <t>fecha</t>
        </is>
      </c>
      <c r="G1964" s="18" t="inlineStr">
        <is>
          <t>timestamp without time zone</t>
        </is>
      </c>
      <c r="H1964" s="18" t="inlineStr">
        <is>
          <t>No</t>
        </is>
      </c>
      <c r="I1964" s="18" t="inlineStr"/>
      <c r="J1964" s="18" t="inlineStr"/>
      <c r="K1964" s="18" t="inlineStr"/>
      <c r="L1964" s="18" t="inlineStr">
        <is>
          <t>No</t>
        </is>
      </c>
      <c r="M1964" s="18" t="inlineStr">
        <is>
          <t>No</t>
        </is>
      </c>
      <c r="N1964" s="18" t="inlineStr"/>
      <c r="O1964" s="18" t="inlineStr">
        <is>
          <t>idx_reunion_fecha</t>
        </is>
      </c>
      <c r="P1964" s="18" t="inlineStr">
        <is>
          <t>Mapeada en internal-institutional-control-service/src/esap/auditorias/entities/reunion-apertura.entity.ts:30 (ReunionApertura.fecha) | Validación: IsDateString, IsString</t>
        </is>
      </c>
      <c r="Q1964" s="18" t="inlineStr">
        <is>
          <t>Propuesta semántica</t>
        </is>
      </c>
      <c r="R1964" s="18" t="inlineStr">
        <is>
          <t>Fecha y hora de la reunión de apertura de la auditoría.</t>
        </is>
      </c>
      <c r="S1964" s="18" t="inlineStr">
        <is>
          <t>Alta</t>
        </is>
      </c>
      <c r="T1964" s="18" t="inlineStr">
        <is>
          <t>nombre + tipo + columnas vecinas</t>
        </is>
      </c>
      <c r="U1964" s="18" t="inlineStr"/>
      <c r="V1964" s="19" t="inlineStr">
        <is>
          <t>Aprobada</t>
        </is>
      </c>
      <c r="W1964" s="19" t="inlineStr"/>
      <c r="X1964" s="19" t="inlineStr">
        <is>
          <t>Aldair González (aprobación en bloque)</t>
        </is>
      </c>
      <c r="Y1964" s="20" t="n">
        <v>46321</v>
      </c>
      <c r="Z1964" s="19" t="inlineStr">
        <is>
          <t>Nivel 1: propuesta del comentario del desarrollador o de confianza alta, o regla de fecha/responsable/motivo.</t>
        </is>
      </c>
      <c r="AA1964" s="18">
        <f>IF(OR(V1964="Aprobada"),R1964,IF(AND(OR(V1964="Aprobada con ajuste",V1964="Rechazada"),W1964&lt;&gt;""),W1964,""))</f>
        <v/>
      </c>
    </row>
    <row r="1965">
      <c r="A1965" s="18" t="inlineStr">
        <is>
          <t>C1964</t>
        </is>
      </c>
      <c r="B1965" s="18" t="inlineStr">
        <is>
          <t>Control interno</t>
        </is>
      </c>
      <c r="C1965" s="18" t="inlineStr">
        <is>
          <t>control_interno</t>
        </is>
      </c>
      <c r="D1965" s="18" t="inlineStr">
        <is>
          <t>reunion_apertura</t>
        </is>
      </c>
      <c r="E1965" s="18" t="n">
        <v>15</v>
      </c>
      <c r="F1965" s="18" t="inlineStr">
        <is>
          <t>modalidad</t>
        </is>
      </c>
      <c r="G1965" s="18" t="inlineStr">
        <is>
          <t>character varying(50)</t>
        </is>
      </c>
      <c r="H1965" s="18" t="inlineStr">
        <is>
          <t>No</t>
        </is>
      </c>
      <c r="I1965" s="18" t="inlineStr">
        <is>
          <t>CHECK</t>
        </is>
      </c>
      <c r="J1965" s="18" t="inlineStr">
        <is>
          <t>hibrida, presencial, virtual</t>
        </is>
      </c>
      <c r="K1965" s="18" t="inlineStr"/>
      <c r="L1965" s="18" t="inlineStr">
        <is>
          <t>Sí</t>
        </is>
      </c>
      <c r="M1965" s="18" t="inlineStr">
        <is>
          <t>Sí</t>
        </is>
      </c>
      <c r="N1965" s="18" t="inlineStr">
        <is>
          <t>Vista control_interno.v_auditorias_kanban_completo</t>
        </is>
      </c>
      <c r="O1965" s="18" t="inlineStr"/>
      <c r="P1965" s="18" t="inlineStr">
        <is>
          <t>Mapeada en internal-institutional-control-service/src/esap/auditorias/entities/reunion-apertura.entity.ts:33 (ReunionApertura.modalidad) | Validación: IsIn(['presencial', 'virtual', 'hibrida']), IsString</t>
        </is>
      </c>
      <c r="Q1965" s="18" t="inlineStr">
        <is>
          <t>Propuesta semántica</t>
        </is>
      </c>
      <c r="R1965" s="18" t="inlineStr">
        <is>
          <t>Modalidad de la reunión de apertura. Valores permitidos: presencial, virtual, hibrida.</t>
        </is>
      </c>
      <c r="S1965" s="18" t="inlineStr">
        <is>
          <t>Alta</t>
        </is>
      </c>
      <c r="T1965" s="18" t="inlineStr">
        <is>
          <t>valores permitidos del CHECK</t>
        </is>
      </c>
      <c r="U1965" s="18" t="inlineStr"/>
      <c r="V1965" s="19" t="inlineStr">
        <is>
          <t>Aprobada</t>
        </is>
      </c>
      <c r="W1965" s="19" t="inlineStr"/>
      <c r="X1965" s="19" t="inlineStr">
        <is>
          <t>Aldair González (aprobación en bloque)</t>
        </is>
      </c>
      <c r="Y1965" s="20" t="n">
        <v>46321</v>
      </c>
      <c r="Z1965" s="19" t="inlineStr">
        <is>
          <t>Nivel 1: propuesta del comentario del desarrollador o de confianza alta, o regla de fecha/responsable/motivo.</t>
        </is>
      </c>
      <c r="AA1965" s="18">
        <f>IF(OR(V1965="Aprobada"),R1965,IF(AND(OR(V1965="Aprobada con ajuste",V1965="Rechazada"),W1965&lt;&gt;""),W1965,""))</f>
        <v/>
      </c>
    </row>
    <row r="1966">
      <c r="A1966" s="18" t="inlineStr">
        <is>
          <t>C1965</t>
        </is>
      </c>
      <c r="B1966" s="18" t="inlineStr">
        <is>
          <t>Control interno</t>
        </is>
      </c>
      <c r="C1966" s="18" t="inlineStr">
        <is>
          <t>control_interno</t>
        </is>
      </c>
      <c r="D1966" s="18" t="inlineStr">
        <is>
          <t>reunion_apertura</t>
        </is>
      </c>
      <c r="E1966" s="18" t="n">
        <v>15</v>
      </c>
      <c r="F1966" s="18" t="inlineStr">
        <is>
          <t>lugar</t>
        </is>
      </c>
      <c r="G1966" s="18" t="inlineStr">
        <is>
          <t>character varying(255)</t>
        </is>
      </c>
      <c r="H1966" s="18" t="inlineStr">
        <is>
          <t>Sí</t>
        </is>
      </c>
      <c r="I1966" s="18" t="inlineStr"/>
      <c r="J1966" s="18" t="inlineStr"/>
      <c r="K1966" s="18" t="inlineStr"/>
      <c r="L1966" s="18" t="inlineStr">
        <is>
          <t>No</t>
        </is>
      </c>
      <c r="M1966" s="18" t="inlineStr">
        <is>
          <t>No</t>
        </is>
      </c>
      <c r="N1966" s="18" t="inlineStr"/>
      <c r="O1966" s="18" t="inlineStr"/>
      <c r="P1966" s="18" t="inlineStr">
        <is>
          <t>db/migrations/old/036_add_auditorias_kanban_completo.sql:929: Para presencial | Validación: IsOptional, IsString</t>
        </is>
      </c>
      <c r="Q1966" s="18" t="inlineStr">
        <is>
          <t>Código fuente</t>
        </is>
      </c>
      <c r="R1966" s="18" t="inlineStr">
        <is>
          <t>Lugar de la reunión de apertura cuando la modalidad es presencial.</t>
        </is>
      </c>
      <c r="S1966" s="18" t="inlineStr">
        <is>
          <t>Alta</t>
        </is>
      </c>
      <c r="T1966" s="18" t="inlineStr">
        <is>
          <t>código: db/migrations/old/036_add_auditorias_kanban_completo.sql:929</t>
        </is>
      </c>
      <c r="U1966" s="18" t="inlineStr"/>
      <c r="V1966" s="19" t="inlineStr">
        <is>
          <t>Aprobada</t>
        </is>
      </c>
      <c r="W1966" s="19" t="inlineStr"/>
      <c r="X1966" s="19" t="inlineStr">
        <is>
          <t>Aldair González (aprobación en bloque)</t>
        </is>
      </c>
      <c r="Y1966" s="20" t="n">
        <v>46321</v>
      </c>
      <c r="Z1966" s="19" t="inlineStr">
        <is>
          <t>Nivel 1: propuesta del comentario del desarrollador o de confianza alta, o regla de fecha/responsable/motivo.</t>
        </is>
      </c>
      <c r="AA1966" s="18">
        <f>IF(OR(V1966="Aprobada"),R1966,IF(AND(OR(V1966="Aprobada con ajuste",V1966="Rechazada"),W1966&lt;&gt;""),W1966,""))</f>
        <v/>
      </c>
    </row>
    <row r="1967">
      <c r="A1967" s="18" t="inlineStr">
        <is>
          <t>C1966</t>
        </is>
      </c>
      <c r="B1967" s="18" t="inlineStr">
        <is>
          <t>Control interno</t>
        </is>
      </c>
      <c r="C1967" s="18" t="inlineStr">
        <is>
          <t>control_interno</t>
        </is>
      </c>
      <c r="D1967" s="18" t="inlineStr">
        <is>
          <t>reunion_apertura</t>
        </is>
      </c>
      <c r="E1967" s="18" t="n">
        <v>15</v>
      </c>
      <c r="F1967" s="18" t="inlineStr">
        <is>
          <t>enlace_virtual</t>
        </is>
      </c>
      <c r="G1967" s="18" t="inlineStr">
        <is>
          <t>character varying(500)</t>
        </is>
      </c>
      <c r="H1967" s="18" t="inlineStr">
        <is>
          <t>Sí</t>
        </is>
      </c>
      <c r="I1967" s="18" t="inlineStr"/>
      <c r="J1967" s="18" t="inlineStr"/>
      <c r="K1967" s="18" t="inlineStr"/>
      <c r="L1967" s="18" t="inlineStr">
        <is>
          <t>No</t>
        </is>
      </c>
      <c r="M1967" s="18" t="inlineStr">
        <is>
          <t>No</t>
        </is>
      </c>
      <c r="N1967" s="18" t="inlineStr"/>
      <c r="O1967" s="18" t="inlineStr"/>
      <c r="P1967" s="18" t="inlineStr">
        <is>
          <t>db/migrations/old/036_add_auditorias_kanban_completo.sql:930: Para virtual/híbrida</t>
        </is>
      </c>
      <c r="Q1967" s="18" t="inlineStr">
        <is>
          <t>Código fuente</t>
        </is>
      </c>
      <c r="R1967" s="18" t="inlineStr">
        <is>
          <t>Enlace de conexión a la reunión de apertura cuando la modalidad es virtual o híbrida.</t>
        </is>
      </c>
      <c r="S1967" s="18" t="inlineStr">
        <is>
          <t>Alta</t>
        </is>
      </c>
      <c r="T1967" s="18" t="inlineStr">
        <is>
          <t>código: db/migrations/old/036_add_auditorias_kanban_completo.sql:930</t>
        </is>
      </c>
      <c r="U1967" s="18" t="inlineStr"/>
      <c r="V1967" s="19" t="inlineStr">
        <is>
          <t>Aprobada</t>
        </is>
      </c>
      <c r="W1967" s="19" t="inlineStr"/>
      <c r="X1967" s="19" t="inlineStr">
        <is>
          <t>Aldair González (aprobación en bloque)</t>
        </is>
      </c>
      <c r="Y1967" s="20" t="n">
        <v>46321</v>
      </c>
      <c r="Z1967" s="19" t="inlineStr">
        <is>
          <t>Nivel 1: propuesta del comentario del desarrollador o de confianza alta, o regla de fecha/responsable/motivo.</t>
        </is>
      </c>
      <c r="AA1967" s="18">
        <f>IF(OR(V1967="Aprobada"),R1967,IF(AND(OR(V1967="Aprobada con ajuste",V1967="Rechazada"),W1967&lt;&gt;""),W1967,""))</f>
        <v/>
      </c>
    </row>
    <row r="1968">
      <c r="A1968" s="18" t="inlineStr">
        <is>
          <t>C1967</t>
        </is>
      </c>
      <c r="B1968" s="18" t="inlineStr">
        <is>
          <t>Control interno</t>
        </is>
      </c>
      <c r="C1968" s="18" t="inlineStr">
        <is>
          <t>control_interno</t>
        </is>
      </c>
      <c r="D1968" s="18" t="inlineStr">
        <is>
          <t>reunion_apertura</t>
        </is>
      </c>
      <c r="E1968" s="18" t="n">
        <v>15</v>
      </c>
      <c r="F1968" s="18" t="inlineStr">
        <is>
          <t>agenda</t>
        </is>
      </c>
      <c r="G1968" s="18" t="inlineStr">
        <is>
          <t>jsonb</t>
        </is>
      </c>
      <c r="H1968" s="18" t="inlineStr">
        <is>
          <t>Sí</t>
        </is>
      </c>
      <c r="I1968" s="18" t="inlineStr"/>
      <c r="J1968" s="18" t="inlineStr"/>
      <c r="K1968" s="18" t="inlineStr"/>
      <c r="L1968" s="18" t="inlineStr">
        <is>
          <t>No</t>
        </is>
      </c>
      <c r="M1968" s="18" t="inlineStr">
        <is>
          <t>No</t>
        </is>
      </c>
      <c r="N1968" s="18" t="inlineStr"/>
      <c r="O1968" s="18" t="inlineStr"/>
      <c r="P1968" s="18" t="inlineStr">
        <is>
          <t>db/migrations/old/036_add_auditorias_kanban_completo.sql:931: Array de temas a tratar</t>
        </is>
      </c>
      <c r="Q1968" s="18" t="inlineStr">
        <is>
          <t>Código fuente</t>
        </is>
      </c>
      <c r="R1968" s="18" t="inlineStr">
        <is>
          <t>Temas a tratar en la reunión de apertura, como arreglo JSON.</t>
        </is>
      </c>
      <c r="S1968" s="18" t="inlineStr">
        <is>
          <t>Alta</t>
        </is>
      </c>
      <c r="T1968" s="18" t="inlineStr">
        <is>
          <t>código: db/migrations/old/036_add_auditorias_kanban_completo.sql:931</t>
        </is>
      </c>
      <c r="U1968" s="18" t="inlineStr"/>
      <c r="V1968" s="19" t="inlineStr">
        <is>
          <t>Aprobada</t>
        </is>
      </c>
      <c r="W1968" s="19" t="inlineStr"/>
      <c r="X1968" s="19" t="inlineStr">
        <is>
          <t>Aldair González (aprobación en bloque)</t>
        </is>
      </c>
      <c r="Y1968" s="20" t="n">
        <v>46321</v>
      </c>
      <c r="Z1968" s="19" t="inlineStr">
        <is>
          <t>Nivel 1: propuesta del comentario del desarrollador o de confianza alta, o regla de fecha/responsable/motivo.</t>
        </is>
      </c>
      <c r="AA1968" s="18">
        <f>IF(OR(V1968="Aprobada"),R1968,IF(AND(OR(V1968="Aprobada con ajuste",V1968="Rechazada"),W1968&lt;&gt;""),W1968,""))</f>
        <v/>
      </c>
    </row>
    <row r="1969">
      <c r="A1969" s="18" t="inlineStr">
        <is>
          <t>C1968</t>
        </is>
      </c>
      <c r="B1969" s="18" t="inlineStr">
        <is>
          <t>Control interno</t>
        </is>
      </c>
      <c r="C1969" s="18" t="inlineStr">
        <is>
          <t>control_interno</t>
        </is>
      </c>
      <c r="D1969" s="18" t="inlineStr">
        <is>
          <t>reunion_apertura</t>
        </is>
      </c>
      <c r="E1969" s="18" t="n">
        <v>15</v>
      </c>
      <c r="F1969" s="18" t="inlineStr">
        <is>
          <t>participantes</t>
        </is>
      </c>
      <c r="G1969" s="18" t="inlineStr">
        <is>
          <t>jsonb</t>
        </is>
      </c>
      <c r="H1969" s="18" t="inlineStr">
        <is>
          <t>Sí</t>
        </is>
      </c>
      <c r="I1969" s="18" t="inlineStr"/>
      <c r="J1969" s="18" t="inlineStr"/>
      <c r="K1969" s="18" t="inlineStr"/>
      <c r="L1969" s="18" t="inlineStr">
        <is>
          <t>No</t>
        </is>
      </c>
      <c r="M1969" s="18" t="inlineStr">
        <is>
          <t>No</t>
        </is>
      </c>
      <c r="N1969" s="18" t="inlineStr"/>
      <c r="O1969" s="18" t="inlineStr"/>
      <c r="P1969" s="18" t="inlineStr">
        <is>
          <t>db/migrations/old/036_add_auditorias_kanban_completo.sql:932: Array de participantes con sus roles | Validación: IsOptional, IsString</t>
        </is>
      </c>
      <c r="Q1969" s="18" t="inlineStr">
        <is>
          <t>Código fuente</t>
        </is>
      </c>
      <c r="R1969" s="18" t="inlineStr">
        <is>
          <t>Participantes de la reunión de apertura con sus roles, como arreglo JSON.</t>
        </is>
      </c>
      <c r="S1969" s="18" t="inlineStr">
        <is>
          <t>Alta</t>
        </is>
      </c>
      <c r="T1969" s="18" t="inlineStr">
        <is>
          <t>código: db/migrations/old/036_add_auditorias_kanban_completo.sql:932</t>
        </is>
      </c>
      <c r="U1969" s="18" t="inlineStr"/>
      <c r="V1969" s="19" t="inlineStr">
        <is>
          <t>Aprobada</t>
        </is>
      </c>
      <c r="W1969" s="19" t="inlineStr"/>
      <c r="X1969" s="19" t="inlineStr">
        <is>
          <t>Aldair González (aprobación en bloque)</t>
        </is>
      </c>
      <c r="Y1969" s="20" t="n">
        <v>46321</v>
      </c>
      <c r="Z1969" s="19" t="inlineStr">
        <is>
          <t>Nivel 1: propuesta del comentario del desarrollador o de confianza alta, o regla de fecha/responsable/motivo.</t>
        </is>
      </c>
      <c r="AA1969" s="18">
        <f>IF(OR(V1969="Aprobada"),R1969,IF(AND(OR(V1969="Aprobada con ajuste",V1969="Rechazada"),W1969&lt;&gt;""),W1969,""))</f>
        <v/>
      </c>
    </row>
    <row r="1970">
      <c r="A1970" s="18" t="inlineStr">
        <is>
          <t>C1969</t>
        </is>
      </c>
      <c r="B1970" s="18" t="inlineStr">
        <is>
          <t>Control interno</t>
        </is>
      </c>
      <c r="C1970" s="18" t="inlineStr">
        <is>
          <t>control_interno</t>
        </is>
      </c>
      <c r="D1970" s="18" t="inlineStr">
        <is>
          <t>reunion_apertura</t>
        </is>
      </c>
      <c r="E1970" s="18" t="n">
        <v>15</v>
      </c>
      <c r="F1970" s="18" t="inlineStr">
        <is>
          <t>estado_acta</t>
        </is>
      </c>
      <c r="G1970" s="18" t="inlineStr">
        <is>
          <t>character varying(50)</t>
        </is>
      </c>
      <c r="H1970" s="18" t="inlineStr">
        <is>
          <t>Sí</t>
        </is>
      </c>
      <c r="I1970" s="18" t="inlineStr">
        <is>
          <t>CHECK</t>
        </is>
      </c>
      <c r="J1970" s="18" t="inlineStr">
        <is>
          <t>aprobada, en_elaboracion, firmada, pendiente</t>
        </is>
      </c>
      <c r="K1970" s="18" t="inlineStr"/>
      <c r="L1970" s="18" t="inlineStr">
        <is>
          <t>Sí</t>
        </is>
      </c>
      <c r="M1970" s="18" t="inlineStr">
        <is>
          <t>Sí</t>
        </is>
      </c>
      <c r="N1970" s="18" t="inlineStr">
        <is>
          <t>Vista control_interno.v_auditorias_kanban_completo</t>
        </is>
      </c>
      <c r="O1970" s="18" t="inlineStr"/>
      <c r="P1970" s="18" t="inlineStr">
        <is>
          <t>Mapeada en internal-institutional-control-service/src/esap/auditorias/entities/reunion-apertura.entity.ts:48 (ReunionApertura.estadoActa)</t>
        </is>
      </c>
      <c r="Q1970" s="18" t="inlineStr">
        <is>
          <t>Propuesta semántica</t>
        </is>
      </c>
      <c r="R1970" s="18" t="inlineStr">
        <is>
          <t>Estado del acta de la reunión de apertura. Valores permitidos: pendiente, en_elaboracion, aprobada, firmada.</t>
        </is>
      </c>
      <c r="S1970" s="18" t="inlineStr">
        <is>
          <t>Alta</t>
        </is>
      </c>
      <c r="T1970" s="18" t="inlineStr">
        <is>
          <t>valores permitidos del CHECK</t>
        </is>
      </c>
      <c r="U1970" s="18" t="inlineStr"/>
      <c r="V1970" s="19" t="inlineStr">
        <is>
          <t>Aprobada</t>
        </is>
      </c>
      <c r="W1970" s="19" t="inlineStr"/>
      <c r="X1970" s="19" t="inlineStr">
        <is>
          <t>Aldair González (aprobación en bloque)</t>
        </is>
      </c>
      <c r="Y1970" s="20" t="n">
        <v>46321</v>
      </c>
      <c r="Z1970" s="19" t="inlineStr">
        <is>
          <t>Nivel 1: propuesta del comentario del desarrollador o de confianza alta, o regla de fecha/responsable/motivo.</t>
        </is>
      </c>
      <c r="AA1970" s="18">
        <f>IF(OR(V1970="Aprobada"),R1970,IF(AND(OR(V1970="Aprobada con ajuste",V1970="Rechazada"),W1970&lt;&gt;""),W1970,""))</f>
        <v/>
      </c>
    </row>
    <row r="1971">
      <c r="A1971" s="18" t="inlineStr">
        <is>
          <t>C1970</t>
        </is>
      </c>
      <c r="B1971" s="18" t="inlineStr">
        <is>
          <t>Control interno</t>
        </is>
      </c>
      <c r="C1971" s="18" t="inlineStr">
        <is>
          <t>control_interno</t>
        </is>
      </c>
      <c r="D1971" s="18" t="inlineStr">
        <is>
          <t>reunion_apertura</t>
        </is>
      </c>
      <c r="E1971" s="18" t="n">
        <v>15</v>
      </c>
      <c r="F1971" s="18" t="inlineStr">
        <is>
          <t>acta_ruta</t>
        </is>
      </c>
      <c r="G1971" s="18" t="inlineStr">
        <is>
          <t>character varying(500)</t>
        </is>
      </c>
      <c r="H1971" s="18" t="inlineStr">
        <is>
          <t>Sí</t>
        </is>
      </c>
      <c r="I1971" s="18" t="inlineStr"/>
      <c r="J1971" s="18" t="inlineStr"/>
      <c r="K1971" s="18" t="inlineStr"/>
      <c r="L1971" s="18" t="inlineStr">
        <is>
          <t>No</t>
        </is>
      </c>
      <c r="M1971" s="18" t="inlineStr">
        <is>
          <t>No</t>
        </is>
      </c>
      <c r="N1971" s="18" t="inlineStr"/>
      <c r="O1971" s="18" t="inlineStr"/>
      <c r="P1971" s="18" t="inlineStr">
        <is>
          <t>db/migrations/old/036_add_auditorias_kanban_completo.sql:934: Ruta al archivo del acta</t>
        </is>
      </c>
      <c r="Q1971" s="18" t="inlineStr">
        <is>
          <t>Código fuente</t>
        </is>
      </c>
      <c r="R1971" s="18" t="inlineStr">
        <is>
          <t>Ruta del archivo del acta de la reunión de apertura.</t>
        </is>
      </c>
      <c r="S1971" s="18" t="inlineStr">
        <is>
          <t>Alta</t>
        </is>
      </c>
      <c r="T1971" s="18" t="inlineStr">
        <is>
          <t>código: db/migrations/old/036_add_auditorias_kanban_completo.sql:934</t>
        </is>
      </c>
      <c r="U1971" s="18" t="inlineStr"/>
      <c r="V1971" s="19" t="inlineStr">
        <is>
          <t>Aprobada</t>
        </is>
      </c>
      <c r="W1971" s="19" t="inlineStr"/>
      <c r="X1971" s="19" t="inlineStr">
        <is>
          <t>Aldair González (aprobación en bloque)</t>
        </is>
      </c>
      <c r="Y1971" s="20" t="n">
        <v>46321</v>
      </c>
      <c r="Z1971" s="19" t="inlineStr">
        <is>
          <t>Nivel 1: propuesta del comentario del desarrollador o de confianza alta, o regla de fecha/responsable/motivo.</t>
        </is>
      </c>
      <c r="AA1971" s="18">
        <f>IF(OR(V1971="Aprobada"),R1971,IF(AND(OR(V1971="Aprobada con ajuste",V1971="Rechazada"),W1971&lt;&gt;""),W1971,""))</f>
        <v/>
      </c>
    </row>
    <row r="1972">
      <c r="A1972" s="18" t="inlineStr">
        <is>
          <t>C1971</t>
        </is>
      </c>
      <c r="B1972" s="18" t="inlineStr">
        <is>
          <t>Control interno</t>
        </is>
      </c>
      <c r="C1972" s="18" t="inlineStr">
        <is>
          <t>control_interno</t>
        </is>
      </c>
      <c r="D1972" s="18" t="inlineStr">
        <is>
          <t>reunion_apertura</t>
        </is>
      </c>
      <c r="E1972" s="18" t="n">
        <v>15</v>
      </c>
      <c r="F1972" s="18" t="inlineStr">
        <is>
          <t>observaciones</t>
        </is>
      </c>
      <c r="G1972" s="18" t="inlineStr">
        <is>
          <t>text</t>
        </is>
      </c>
      <c r="H1972" s="18" t="inlineStr">
        <is>
          <t>Sí</t>
        </is>
      </c>
      <c r="I1972" s="18" t="inlineStr"/>
      <c r="J1972" s="18" t="inlineStr"/>
      <c r="K1972" s="18" t="inlineStr"/>
      <c r="L1972" s="18" t="inlineStr">
        <is>
          <t>No</t>
        </is>
      </c>
      <c r="M1972" s="18" t="inlineStr">
        <is>
          <t>No</t>
        </is>
      </c>
      <c r="N1972" s="18" t="inlineStr"/>
      <c r="O1972" s="18" t="inlineStr"/>
      <c r="P1972" s="18" t="inlineStr">
        <is>
          <t>Mapeada en internal-institutional-control-service/src/esap/auditorias/entities/reunion-apertura.entity.ts:54 (ReunionApertura.observaciones) | Validación: IsOptional, IsString</t>
        </is>
      </c>
      <c r="Q1972" s="18" t="inlineStr">
        <is>
          <t>Regla estructural (redacción revisada)</t>
        </is>
      </c>
      <c r="R1972" s="18" t="inlineStr">
        <is>
          <t>Observaciones sobre la reunión de apertura.</t>
        </is>
      </c>
      <c r="S1972" s="18" t="inlineStr">
        <is>
          <t>Alta</t>
        </is>
      </c>
      <c r="T1972" s="18" t="inlineStr">
        <is>
          <t>Convención de nombre, redactada con el contexto de la tabla y el código.</t>
        </is>
      </c>
      <c r="U1972" s="18" t="inlineStr"/>
      <c r="V1972" s="19" t="inlineStr">
        <is>
          <t>Aprobada</t>
        </is>
      </c>
      <c r="W1972" s="19" t="inlineStr"/>
      <c r="X1972" s="19" t="inlineStr">
        <is>
          <t>Aldair González (aprobación en bloque)</t>
        </is>
      </c>
      <c r="Y1972" s="20" t="n">
        <v>46321</v>
      </c>
      <c r="Z1972" s="19" t="inlineStr">
        <is>
          <t>Nivel 2: regla estructural con redacción revisada.</t>
        </is>
      </c>
      <c r="AA1972" s="18">
        <f>IF(OR(V1972="Aprobada"),R1972,IF(AND(OR(V1972="Aprobada con ajuste",V1972="Rechazada"),W1972&lt;&gt;""),W1972,""))</f>
        <v/>
      </c>
    </row>
    <row r="1973">
      <c r="A1973" s="18" t="inlineStr">
        <is>
          <t>C1972</t>
        </is>
      </c>
      <c r="B1973" s="18" t="inlineStr">
        <is>
          <t>Control interno</t>
        </is>
      </c>
      <c r="C1973" s="18" t="inlineStr">
        <is>
          <t>control_interno</t>
        </is>
      </c>
      <c r="D1973" s="18" t="inlineStr">
        <is>
          <t>reunion_apertura</t>
        </is>
      </c>
      <c r="E1973" s="18" t="n">
        <v>15</v>
      </c>
      <c r="F1973" s="18" t="inlineStr">
        <is>
          <t>elaborado_por</t>
        </is>
      </c>
      <c r="G1973" s="18" t="inlineStr">
        <is>
          <t>character varying(255)</t>
        </is>
      </c>
      <c r="H1973" s="18" t="inlineStr">
        <is>
          <t>Sí</t>
        </is>
      </c>
      <c r="I1973" s="18" t="inlineStr"/>
      <c r="J1973" s="18" t="inlineStr"/>
      <c r="K1973" s="18" t="inlineStr"/>
      <c r="L1973" s="18" t="inlineStr">
        <is>
          <t>No</t>
        </is>
      </c>
      <c r="M1973" s="18" t="inlineStr">
        <is>
          <t>No</t>
        </is>
      </c>
      <c r="N1973" s="18" t="inlineStr"/>
      <c r="O1973" s="18" t="inlineStr"/>
      <c r="P1973" s="18" t="inlineStr">
        <is>
          <t>Mapeada en internal-institutional-control-service/src/esap/auditorias/entities/reunion-apertura.entity.ts:57 (ReunionApertura.elaboradoPor) | Validación: IsOptional, IsString, Length(0, 255)</t>
        </is>
      </c>
      <c r="Q1973" s="18" t="inlineStr">
        <is>
          <t>Código fuente (verificado)</t>
        </is>
      </c>
      <c r="R1973" s="18" t="inlineStr">
        <is>
          <t>Persona que elaboró el acta de la reunión de apertura, en texto libre digitado en el formulario.</t>
        </is>
      </c>
      <c r="S1973" s="18" t="inlineStr">
        <is>
          <t>Media</t>
        </is>
      </c>
      <c r="T1973" s="18" t="inlineStr">
        <is>
          <t>internal-institutional-control-service/src/esap/auditorias/entities/reunion-apertura.entity.ts:57: elaborado_por varchar(255) nullable | internal-institutional-control-service/src/esap/etapas-auditoria/dto/registrar-reunion.dto.ts:26-28: elaboradoPor opcional, IsString | internal-institutional-control-service/src/esap/etapas-auditoria/etapas-auditoria.service.ts:45: se copia de dto.elaboradoPor</t>
        </is>
      </c>
      <c r="U1973" s="18" t="inlineStr">
        <is>
          <t>¿elaborado_por guarda el nombre o el identificador de la persona? El servicio guarda el texto que llega del formulario.</t>
        </is>
      </c>
      <c r="V1973" s="19" t="inlineStr">
        <is>
          <t>Aprobada</t>
        </is>
      </c>
      <c r="W1973" s="19" t="inlineStr"/>
      <c r="X1973" s="19" t="inlineStr">
        <is>
          <t>Aldair González (validación del responsable de BD)</t>
        </is>
      </c>
      <c r="Y1973" s="20" t="n">
        <v>46321</v>
      </c>
      <c r="Z1973" s="19" t="inlineStr">
        <is>
          <t>Nivel 3: validada por decisión del responsable de la base de datos. Pregunta registrada para desarrollo: ¿elaborado_por guarda el nombre o el identificador de la persona? El servicio guarda el texto que llega del formulario.</t>
        </is>
      </c>
      <c r="AA1973" s="18">
        <f>IF(OR(V1973="Aprobada"),R1973,IF(AND(OR(V1973="Aprobada con ajuste",V1973="Rechazada"),W1973&lt;&gt;""),W1973,""))</f>
        <v/>
      </c>
    </row>
    <row r="1974">
      <c r="A1974" s="18" t="inlineStr">
        <is>
          <t>C1973</t>
        </is>
      </c>
      <c r="B1974" s="18" t="inlineStr">
        <is>
          <t>Control interno</t>
        </is>
      </c>
      <c r="C1974" s="18" t="inlineStr">
        <is>
          <t>control_interno</t>
        </is>
      </c>
      <c r="D1974" s="18" t="inlineStr">
        <is>
          <t>reunion_apertura</t>
        </is>
      </c>
      <c r="E1974" s="18" t="n">
        <v>15</v>
      </c>
      <c r="F1974" s="18" t="inlineStr">
        <is>
          <t>revisado_por</t>
        </is>
      </c>
      <c r="G1974" s="18" t="inlineStr">
        <is>
          <t>character varying(255)</t>
        </is>
      </c>
      <c r="H1974" s="18" t="inlineStr">
        <is>
          <t>Sí</t>
        </is>
      </c>
      <c r="I1974" s="18" t="inlineStr"/>
      <c r="J1974" s="18" t="inlineStr"/>
      <c r="K1974" s="18" t="inlineStr"/>
      <c r="L1974" s="18" t="inlineStr">
        <is>
          <t>No</t>
        </is>
      </c>
      <c r="M1974" s="18" t="inlineStr">
        <is>
          <t>No</t>
        </is>
      </c>
      <c r="N1974" s="18" t="inlineStr"/>
      <c r="O1974" s="18" t="inlineStr"/>
      <c r="P1974" s="18" t="inlineStr">
        <is>
          <t>Mapeada en internal-institutional-control-service/src/esap/auditorias/entities/reunion-apertura.entity.ts:60 (ReunionApertura.revisadoPor) | Validación: IsOptional, IsString</t>
        </is>
      </c>
      <c r="Q1974" s="18" t="inlineStr">
        <is>
          <t>Regla estructural</t>
        </is>
      </c>
      <c r="R1974" s="18" t="inlineStr">
        <is>
          <t>Usuario que realizó la revisión.</t>
        </is>
      </c>
      <c r="S1974" s="18" t="inlineStr">
        <is>
          <t>Media</t>
        </is>
      </c>
      <c r="T1974" s="18" t="inlineStr">
        <is>
          <t>Convención de nombre de la columna.</t>
        </is>
      </c>
      <c r="U1974" s="18" t="inlineStr"/>
      <c r="V1974" s="19" t="inlineStr">
        <is>
          <t>Aprobada</t>
        </is>
      </c>
      <c r="W1974" s="19" t="inlineStr"/>
      <c r="X1974" s="19" t="inlineStr">
        <is>
          <t>Aldair González (aprobación en bloque)</t>
        </is>
      </c>
      <c r="Y1974" s="20" t="n">
        <v>46321</v>
      </c>
      <c r="Z1974" s="19" t="inlineStr">
        <is>
          <t>Nivel 1: propuesta del comentario del desarrollador o de confianza alta, o regla de fecha/responsable/motivo.</t>
        </is>
      </c>
      <c r="AA1974" s="18">
        <f>IF(OR(V1974="Aprobada"),R1974,IF(AND(OR(V1974="Aprobada con ajuste",V1974="Rechazada"),W1974&lt;&gt;""),W1974,""))</f>
        <v/>
      </c>
    </row>
    <row r="1975">
      <c r="A1975" s="18" t="inlineStr">
        <is>
          <t>C1974</t>
        </is>
      </c>
      <c r="B1975" s="18" t="inlineStr">
        <is>
          <t>Control interno</t>
        </is>
      </c>
      <c r="C1975" s="18" t="inlineStr">
        <is>
          <t>control_interno</t>
        </is>
      </c>
      <c r="D1975" s="18" t="inlineStr">
        <is>
          <t>reunion_cierre</t>
        </is>
      </c>
      <c r="E1975" s="18" t="n">
        <v>11</v>
      </c>
      <c r="F1975" s="18" t="inlineStr">
        <is>
          <t>fecha</t>
        </is>
      </c>
      <c r="G1975" s="18" t="inlineStr">
        <is>
          <t>timestamp without time zone</t>
        </is>
      </c>
      <c r="H1975" s="18" t="inlineStr">
        <is>
          <t>No</t>
        </is>
      </c>
      <c r="I1975" s="18" t="inlineStr"/>
      <c r="J1975" s="18" t="inlineStr"/>
      <c r="K1975" s="18" t="inlineStr"/>
      <c r="L1975" s="18" t="inlineStr">
        <is>
          <t>No</t>
        </is>
      </c>
      <c r="M1975" s="18" t="inlineStr">
        <is>
          <t>No</t>
        </is>
      </c>
      <c r="N1975" s="18" t="inlineStr"/>
      <c r="O1975" s="18" t="inlineStr"/>
      <c r="P1975" s="18" t="inlineStr">
        <is>
          <t>Mapeada en internal-institutional-control-service/src/esap/auditorias/entities/reunion-cierre.entity.ts:30 (ReunionCierre.fecha) | Validación: IsDateString, IsString</t>
        </is>
      </c>
      <c r="Q1975" s="18" t="inlineStr">
        <is>
          <t>Propuesta semántica</t>
        </is>
      </c>
      <c r="R1975" s="18" t="inlineStr">
        <is>
          <t>Fecha y hora de la reunión de cierre de la auditoría.</t>
        </is>
      </c>
      <c r="S1975" s="18" t="inlineStr">
        <is>
          <t>Alta</t>
        </is>
      </c>
      <c r="T1975" s="18" t="inlineStr">
        <is>
          <t>nombre + tipo + columnas vecinas</t>
        </is>
      </c>
      <c r="U1975" s="18" t="inlineStr"/>
      <c r="V1975" s="19" t="inlineStr">
        <is>
          <t>Aprobada</t>
        </is>
      </c>
      <c r="W1975" s="19" t="inlineStr"/>
      <c r="X1975" s="19" t="inlineStr">
        <is>
          <t>Aldair González (aprobación en bloque)</t>
        </is>
      </c>
      <c r="Y1975" s="20" t="n">
        <v>46321</v>
      </c>
      <c r="Z1975" s="19" t="inlineStr">
        <is>
          <t>Nivel 1: propuesta del comentario del desarrollador o de confianza alta, o regla de fecha/responsable/motivo.</t>
        </is>
      </c>
      <c r="AA1975" s="18">
        <f>IF(OR(V1975="Aprobada"),R1975,IF(AND(OR(V1975="Aprobada con ajuste",V1975="Rechazada"),W1975&lt;&gt;""),W1975,""))</f>
        <v/>
      </c>
    </row>
    <row r="1976">
      <c r="A1976" s="18" t="inlineStr">
        <is>
          <t>C1975</t>
        </is>
      </c>
      <c r="B1976" s="18" t="inlineStr">
        <is>
          <t>Control interno</t>
        </is>
      </c>
      <c r="C1976" s="18" t="inlineStr">
        <is>
          <t>control_interno</t>
        </is>
      </c>
      <c r="D1976" s="18" t="inlineStr">
        <is>
          <t>reunion_cierre</t>
        </is>
      </c>
      <c r="E1976" s="18" t="n">
        <v>11</v>
      </c>
      <c r="F1976" s="18" t="inlineStr">
        <is>
          <t>modalidad</t>
        </is>
      </c>
      <c r="G1976" s="18" t="inlineStr">
        <is>
          <t>character varying(50)</t>
        </is>
      </c>
      <c r="H1976" s="18" t="inlineStr">
        <is>
          <t>No</t>
        </is>
      </c>
      <c r="I1976" s="18" t="inlineStr">
        <is>
          <t>CHECK</t>
        </is>
      </c>
      <c r="J1976" s="18" t="inlineStr">
        <is>
          <t>hibrida, presencial, virtual</t>
        </is>
      </c>
      <c r="K1976" s="18" t="inlineStr"/>
      <c r="L1976" s="18" t="inlineStr">
        <is>
          <t>Sí</t>
        </is>
      </c>
      <c r="M1976" s="18" t="inlineStr">
        <is>
          <t>No</t>
        </is>
      </c>
      <c r="N1976" s="18" t="inlineStr"/>
      <c r="O1976" s="18" t="inlineStr"/>
      <c r="P1976" s="18" t="inlineStr">
        <is>
          <t>Mapeada en internal-institutional-control-service/src/esap/auditorias/entities/reunion-cierre.entity.ts:33 (ReunionCierre.modalidad) | Validación: IsIn(['presencial', 'virtual', 'hibrida']), IsString</t>
        </is>
      </c>
      <c r="Q1976" s="18" t="inlineStr">
        <is>
          <t>Propuesta semántica</t>
        </is>
      </c>
      <c r="R1976" s="18" t="inlineStr">
        <is>
          <t>Modalidad de la reunión de cierre. Valores permitidos: presencial, virtual, hibrida.</t>
        </is>
      </c>
      <c r="S1976" s="18" t="inlineStr">
        <is>
          <t>Alta</t>
        </is>
      </c>
      <c r="T1976" s="18" t="inlineStr">
        <is>
          <t>valores permitidos del CHECK</t>
        </is>
      </c>
      <c r="U1976" s="18" t="inlineStr"/>
      <c r="V1976" s="19" t="inlineStr">
        <is>
          <t>Aprobada</t>
        </is>
      </c>
      <c r="W1976" s="19" t="inlineStr"/>
      <c r="X1976" s="19" t="inlineStr">
        <is>
          <t>Aldair González (aprobación en bloque)</t>
        </is>
      </c>
      <c r="Y1976" s="20" t="n">
        <v>46321</v>
      </c>
      <c r="Z1976" s="19" t="inlineStr">
        <is>
          <t>Nivel 1: propuesta del comentario del desarrollador o de confianza alta, o regla de fecha/responsable/motivo.</t>
        </is>
      </c>
      <c r="AA1976" s="18">
        <f>IF(OR(V1976="Aprobada"),R1976,IF(AND(OR(V1976="Aprobada con ajuste",V1976="Rechazada"),W1976&lt;&gt;""),W1976,""))</f>
        <v/>
      </c>
    </row>
    <row r="1977">
      <c r="A1977" s="18" t="inlineStr">
        <is>
          <t>C1976</t>
        </is>
      </c>
      <c r="B1977" s="18" t="inlineStr">
        <is>
          <t>Control interno</t>
        </is>
      </c>
      <c r="C1977" s="18" t="inlineStr">
        <is>
          <t>control_interno</t>
        </is>
      </c>
      <c r="D1977" s="18" t="inlineStr">
        <is>
          <t>reunion_cierre</t>
        </is>
      </c>
      <c r="E1977" s="18" t="n">
        <v>11</v>
      </c>
      <c r="F1977" s="18" t="inlineStr">
        <is>
          <t>lugar</t>
        </is>
      </c>
      <c r="G1977" s="18" t="inlineStr">
        <is>
          <t>character varying(255)</t>
        </is>
      </c>
      <c r="H1977" s="18" t="inlineStr">
        <is>
          <t>Sí</t>
        </is>
      </c>
      <c r="I1977" s="18" t="inlineStr"/>
      <c r="J1977" s="18" t="inlineStr"/>
      <c r="K1977" s="18" t="inlineStr"/>
      <c r="L1977" s="18" t="inlineStr">
        <is>
          <t>No</t>
        </is>
      </c>
      <c r="M1977" s="18" t="inlineStr">
        <is>
          <t>No</t>
        </is>
      </c>
      <c r="N1977" s="18" t="inlineStr"/>
      <c r="O1977" s="18" t="inlineStr"/>
      <c r="P1977" s="18" t="inlineStr">
        <is>
          <t>Mapeada en internal-institutional-control-service/src/esap/auditorias/entities/reunion-cierre.entity.ts:36 (ReunionCierre.lugar) | Validación: IsOptional, IsString</t>
        </is>
      </c>
      <c r="Q1977" s="18" t="inlineStr">
        <is>
          <t>Propuesta semántica</t>
        </is>
      </c>
      <c r="R1977" s="18" t="inlineStr">
        <is>
          <t>Lugar donde se realiza la reunión de cierre.</t>
        </is>
      </c>
      <c r="S1977" s="18" t="inlineStr">
        <is>
          <t>Alta</t>
        </is>
      </c>
      <c r="T1977" s="18" t="inlineStr">
        <is>
          <t>nombre + tipo + columnas vecinas</t>
        </is>
      </c>
      <c r="U1977" s="18" t="inlineStr"/>
      <c r="V1977" s="19" t="inlineStr">
        <is>
          <t>Aprobada</t>
        </is>
      </c>
      <c r="W1977" s="19" t="inlineStr"/>
      <c r="X1977" s="19" t="inlineStr">
        <is>
          <t>Aldair González (aprobación en bloque)</t>
        </is>
      </c>
      <c r="Y1977" s="20" t="n">
        <v>46321</v>
      </c>
      <c r="Z1977" s="19" t="inlineStr">
        <is>
          <t>Nivel 1: propuesta del comentario del desarrollador o de confianza alta, o regla de fecha/responsable/motivo.</t>
        </is>
      </c>
      <c r="AA1977" s="18">
        <f>IF(OR(V1977="Aprobada"),R1977,IF(AND(OR(V1977="Aprobada con ajuste",V1977="Rechazada"),W1977&lt;&gt;""),W1977,""))</f>
        <v/>
      </c>
    </row>
    <row r="1978">
      <c r="A1978" s="18" t="inlineStr">
        <is>
          <t>C1977</t>
        </is>
      </c>
      <c r="B1978" s="18" t="inlineStr">
        <is>
          <t>Control interno</t>
        </is>
      </c>
      <c r="C1978" s="18" t="inlineStr">
        <is>
          <t>control_interno</t>
        </is>
      </c>
      <c r="D1978" s="18" t="inlineStr">
        <is>
          <t>reunion_cierre</t>
        </is>
      </c>
      <c r="E1978" s="18" t="n">
        <v>11</v>
      </c>
      <c r="F1978" s="18" t="inlineStr">
        <is>
          <t>enlace_virtual</t>
        </is>
      </c>
      <c r="G1978" s="18" t="inlineStr">
        <is>
          <t>character varying(500)</t>
        </is>
      </c>
      <c r="H1978" s="18" t="inlineStr">
        <is>
          <t>Sí</t>
        </is>
      </c>
      <c r="I1978" s="18" t="inlineStr"/>
      <c r="J1978" s="18" t="inlineStr"/>
      <c r="K1978" s="18" t="inlineStr"/>
      <c r="L1978" s="18" t="inlineStr">
        <is>
          <t>No</t>
        </is>
      </c>
      <c r="M1978" s="18" t="inlineStr">
        <is>
          <t>No</t>
        </is>
      </c>
      <c r="N1978" s="18" t="inlineStr"/>
      <c r="O1978" s="18" t="inlineStr"/>
      <c r="P1978" s="18" t="inlineStr">
        <is>
          <t>Mapeada en internal-institutional-control-service/src/esap/auditorias/entities/reunion-cierre.entity.ts:39 (ReunionCierre.enlaceVirtual)</t>
        </is>
      </c>
      <c r="Q1978" s="18" t="inlineStr">
        <is>
          <t>Propuesta semántica</t>
        </is>
      </c>
      <c r="R1978" s="18" t="inlineStr">
        <is>
          <t>Enlace de conexión a la reunión de cierre virtual o híbrida.</t>
        </is>
      </c>
      <c r="S1978" s="18" t="inlineStr">
        <is>
          <t>Alta</t>
        </is>
      </c>
      <c r="T1978" s="18" t="inlineStr">
        <is>
          <t>nombre + tipo + columnas vecinas</t>
        </is>
      </c>
      <c r="U1978" s="18" t="inlineStr"/>
      <c r="V1978" s="19" t="inlineStr">
        <is>
          <t>Aprobada</t>
        </is>
      </c>
      <c r="W1978" s="19" t="inlineStr"/>
      <c r="X1978" s="19" t="inlineStr">
        <is>
          <t>Aldair González (aprobación en bloque)</t>
        </is>
      </c>
      <c r="Y1978" s="20" t="n">
        <v>46321</v>
      </c>
      <c r="Z1978" s="19" t="inlineStr">
        <is>
          <t>Nivel 1: propuesta del comentario del desarrollador o de confianza alta, o regla de fecha/responsable/motivo.</t>
        </is>
      </c>
      <c r="AA1978" s="18">
        <f>IF(OR(V1978="Aprobada"),R1978,IF(AND(OR(V1978="Aprobada con ajuste",V1978="Rechazada"),W1978&lt;&gt;""),W1978,""))</f>
        <v/>
      </c>
    </row>
    <row r="1979">
      <c r="A1979" s="18" t="inlineStr">
        <is>
          <t>C1978</t>
        </is>
      </c>
      <c r="B1979" s="18" t="inlineStr">
        <is>
          <t>Control interno</t>
        </is>
      </c>
      <c r="C1979" s="18" t="inlineStr">
        <is>
          <t>control_interno</t>
        </is>
      </c>
      <c r="D1979" s="18" t="inlineStr">
        <is>
          <t>reunion_cierre</t>
        </is>
      </c>
      <c r="E1979" s="18" t="n">
        <v>11</v>
      </c>
      <c r="F1979" s="18" t="inlineStr">
        <is>
          <t>agenda</t>
        </is>
      </c>
      <c r="G1979" s="18" t="inlineStr">
        <is>
          <t>jsonb</t>
        </is>
      </c>
      <c r="H1979" s="18" t="inlineStr">
        <is>
          <t>Sí</t>
        </is>
      </c>
      <c r="I1979" s="18" t="inlineStr"/>
      <c r="J1979" s="18" t="inlineStr"/>
      <c r="K1979" s="18" t="inlineStr"/>
      <c r="L1979" s="18" t="inlineStr">
        <is>
          <t>No</t>
        </is>
      </c>
      <c r="M1979" s="18" t="inlineStr">
        <is>
          <t>No</t>
        </is>
      </c>
      <c r="N1979" s="18" t="inlineStr"/>
      <c r="O1979" s="18" t="inlineStr"/>
      <c r="P1979" s="18" t="inlineStr">
        <is>
          <t>Mapeada en internal-institutional-control-service/src/esap/auditorias/entities/reunion-cierre.entity.ts:42 (ReunionCierre.agenda)</t>
        </is>
      </c>
      <c r="Q1979" s="18" t="inlineStr">
        <is>
          <t>Código fuente (verificado)</t>
        </is>
      </c>
      <c r="R1979" s="18" t="inlineStr">
        <is>
          <t>Agenda de la reunión de cierre, como objeto JSON con la clave temasTratados, que guarda el texto de los temas tratados; vacía si no se informan temas.</t>
        </is>
      </c>
      <c r="S1979" s="18" t="inlineStr">
        <is>
          <t>Alta</t>
        </is>
      </c>
      <c r="T1979" s="18" t="inlineStr">
        <is>
          <t>internal-institutional-control-service/src/esap/auditorias/entities/reunion-cierre.entity.ts:42: agenda jsonb | internal-institutional-control-service/src/esap/etapas-auditoria/etapas-auditoria.service.ts:77: agenda = { temasTratados: dto.temasTratados } | internal-institutional-control-service/src/esap/etapas-auditoria/dto/registrar-reunion.dto.ts:22-24: temasTratados texto opcional</t>
        </is>
      </c>
      <c r="U1979" s="18" t="inlineStr"/>
      <c r="V1979" s="19" t="inlineStr">
        <is>
          <t>Aprobada</t>
        </is>
      </c>
      <c r="W1979" s="19" t="inlineStr"/>
      <c r="X1979" s="19" t="inlineStr">
        <is>
          <t>Aldair González (aprobación en bloque)</t>
        </is>
      </c>
      <c r="Y1979" s="20" t="n">
        <v>46321</v>
      </c>
      <c r="Z1979" s="19" t="inlineStr">
        <is>
          <t>Nivel 3: verificada con el código de la aplicación.</t>
        </is>
      </c>
      <c r="AA1979" s="18">
        <f>IF(OR(V1979="Aprobada"),R1979,IF(AND(OR(V1979="Aprobada con ajuste",V1979="Rechazada"),W1979&lt;&gt;""),W1979,""))</f>
        <v/>
      </c>
    </row>
    <row r="1980">
      <c r="A1980" s="18" t="inlineStr">
        <is>
          <t>C1979</t>
        </is>
      </c>
      <c r="B1980" s="18" t="inlineStr">
        <is>
          <t>Control interno</t>
        </is>
      </c>
      <c r="C1980" s="18" t="inlineStr">
        <is>
          <t>control_interno</t>
        </is>
      </c>
      <c r="D1980" s="18" t="inlineStr">
        <is>
          <t>reunion_cierre</t>
        </is>
      </c>
      <c r="E1980" s="18" t="n">
        <v>11</v>
      </c>
      <c r="F1980" s="18" t="inlineStr">
        <is>
          <t>participantes</t>
        </is>
      </c>
      <c r="G1980" s="18" t="inlineStr">
        <is>
          <t>jsonb</t>
        </is>
      </c>
      <c r="H1980" s="18" t="inlineStr">
        <is>
          <t>Sí</t>
        </is>
      </c>
      <c r="I1980" s="18" t="inlineStr"/>
      <c r="J1980" s="18" t="inlineStr"/>
      <c r="K1980" s="18" t="inlineStr"/>
      <c r="L1980" s="18" t="inlineStr">
        <is>
          <t>No</t>
        </is>
      </c>
      <c r="M1980" s="18" t="inlineStr">
        <is>
          <t>No</t>
        </is>
      </c>
      <c r="N1980" s="18" t="inlineStr"/>
      <c r="O1980" s="18" t="inlineStr"/>
      <c r="P1980" s="18" t="inlineStr">
        <is>
          <t>Mapeada en internal-institutional-control-service/src/esap/auditorias/entities/reunion-cierre.entity.ts:45 (ReunionCierre.participantes) | Validación: IsOptional, IsString</t>
        </is>
      </c>
      <c r="Q1980" s="18" t="inlineStr">
        <is>
          <t>Código fuente (verificado)</t>
        </is>
      </c>
      <c r="R1980" s="18" t="inlineStr">
        <is>
          <t>Participantes de la reunión de cierre, como arreglo JSON de textos: el servicio recibe un texto separado por comas y guarda cada participante como un elemento.</t>
        </is>
      </c>
      <c r="S1980" s="18" t="inlineStr">
        <is>
          <t>Alta</t>
        </is>
      </c>
      <c r="T1980" s="18" t="inlineStr">
        <is>
          <t>internal-institutional-control-service/src/esap/auditorias/entities/reunion-cierre.entity.ts:45-46: jsonb string[] | internal-institutional-control-service/src/esap/etapas-auditoria/dto/registrar-reunion.dto.ts:18-20: participantes texto | internal-institutional-control-service/src/esap/etapas-auditoria/etapas-auditoria.service.ts:73-75: split(',') y trim de cada elemento</t>
        </is>
      </c>
      <c r="U1980" s="18" t="inlineStr"/>
      <c r="V1980" s="19" t="inlineStr">
        <is>
          <t>Aprobada</t>
        </is>
      </c>
      <c r="W1980" s="19" t="inlineStr"/>
      <c r="X1980" s="19" t="inlineStr">
        <is>
          <t>Aldair González (aprobación en bloque)</t>
        </is>
      </c>
      <c r="Y1980" s="20" t="n">
        <v>46321</v>
      </c>
      <c r="Z1980" s="19" t="inlineStr">
        <is>
          <t>Nivel 3: verificada con el código de la aplicación.</t>
        </is>
      </c>
      <c r="AA1980" s="18">
        <f>IF(OR(V1980="Aprobada"),R1980,IF(AND(OR(V1980="Aprobada con ajuste",V1980="Rechazada"),W1980&lt;&gt;""),W1980,""))</f>
        <v/>
      </c>
    </row>
    <row r="1981">
      <c r="A1981" s="18" t="inlineStr">
        <is>
          <t>C1980</t>
        </is>
      </c>
      <c r="B1981" s="18" t="inlineStr">
        <is>
          <t>Control interno</t>
        </is>
      </c>
      <c r="C1981" s="18" t="inlineStr">
        <is>
          <t>control_interno</t>
        </is>
      </c>
      <c r="D1981" s="18" t="inlineStr">
        <is>
          <t>reunion_cierre</t>
        </is>
      </c>
      <c r="E1981" s="18" t="n">
        <v>11</v>
      </c>
      <c r="F1981" s="18" t="inlineStr">
        <is>
          <t>estado_acta</t>
        </is>
      </c>
      <c r="G1981" s="18" t="inlineStr">
        <is>
          <t>character varying(50)</t>
        </is>
      </c>
      <c r="H1981" s="18" t="inlineStr">
        <is>
          <t>Sí</t>
        </is>
      </c>
      <c r="I1981" s="18" t="inlineStr">
        <is>
          <t>CHECK</t>
        </is>
      </c>
      <c r="J1981" s="18" t="inlineStr">
        <is>
          <t>aprobada, en_elaboracion, firmada, pendiente</t>
        </is>
      </c>
      <c r="K1981" s="18" t="inlineStr"/>
      <c r="L1981" s="18" t="inlineStr">
        <is>
          <t>Sí</t>
        </is>
      </c>
      <c r="M1981" s="18" t="inlineStr">
        <is>
          <t>No</t>
        </is>
      </c>
      <c r="N1981" s="18" t="inlineStr"/>
      <c r="O1981" s="18" t="inlineStr"/>
      <c r="P1981" s="18" t="inlineStr">
        <is>
          <t>Mapeada en internal-institutional-control-service/src/esap/auditorias/entities/reunion-cierre.entity.ts:48 (ReunionCierre.estadoActa)</t>
        </is>
      </c>
      <c r="Q1981" s="18" t="inlineStr">
        <is>
          <t>Propuesta semántica</t>
        </is>
      </c>
      <c r="R1981" s="18" t="inlineStr">
        <is>
          <t>Estado del acta de la reunión de cierre. Valores permitidos: pendiente, en_elaboracion, aprobada, firmada.</t>
        </is>
      </c>
      <c r="S1981" s="18" t="inlineStr">
        <is>
          <t>Alta</t>
        </is>
      </c>
      <c r="T1981" s="18" t="inlineStr">
        <is>
          <t>valores permitidos del CHECK</t>
        </is>
      </c>
      <c r="U1981" s="18" t="inlineStr"/>
      <c r="V1981" s="19" t="inlineStr">
        <is>
          <t>Aprobada</t>
        </is>
      </c>
      <c r="W1981" s="19" t="inlineStr"/>
      <c r="X1981" s="19" t="inlineStr">
        <is>
          <t>Aldair González (aprobación en bloque)</t>
        </is>
      </c>
      <c r="Y1981" s="20" t="n">
        <v>46321</v>
      </c>
      <c r="Z1981" s="19" t="inlineStr">
        <is>
          <t>Nivel 1: propuesta del comentario del desarrollador o de confianza alta, o regla de fecha/responsable/motivo.</t>
        </is>
      </c>
      <c r="AA1981" s="18">
        <f>IF(OR(V1981="Aprobada"),R1981,IF(AND(OR(V1981="Aprobada con ajuste",V1981="Rechazada"),W1981&lt;&gt;""),W1981,""))</f>
        <v/>
      </c>
    </row>
    <row r="1982">
      <c r="A1982" s="18" t="inlineStr">
        <is>
          <t>C1981</t>
        </is>
      </c>
      <c r="B1982" s="18" t="inlineStr">
        <is>
          <t>Control interno</t>
        </is>
      </c>
      <c r="C1982" s="18" t="inlineStr">
        <is>
          <t>control_interno</t>
        </is>
      </c>
      <c r="D1982" s="18" t="inlineStr">
        <is>
          <t>reunion_cierre</t>
        </is>
      </c>
      <c r="E1982" s="18" t="n">
        <v>11</v>
      </c>
      <c r="F1982" s="18" t="inlineStr">
        <is>
          <t>acta_ruta</t>
        </is>
      </c>
      <c r="G1982" s="18" t="inlineStr">
        <is>
          <t>character varying(500)</t>
        </is>
      </c>
      <c r="H1982" s="18" t="inlineStr">
        <is>
          <t>Sí</t>
        </is>
      </c>
      <c r="I1982" s="18" t="inlineStr"/>
      <c r="J1982" s="18" t="inlineStr"/>
      <c r="K1982" s="18" t="inlineStr"/>
      <c r="L1982" s="18" t="inlineStr">
        <is>
          <t>No</t>
        </is>
      </c>
      <c r="M1982" s="18" t="inlineStr">
        <is>
          <t>No</t>
        </is>
      </c>
      <c r="N1982" s="18" t="inlineStr"/>
      <c r="O1982" s="18" t="inlineStr"/>
      <c r="P1982" s="18" t="inlineStr">
        <is>
          <t>Mapeada en internal-institutional-control-service/src/esap/auditorias/entities/reunion-cierre.entity.ts:51 (ReunionCierre.actaRuta)</t>
        </is>
      </c>
      <c r="Q1982" s="18" t="inlineStr">
        <is>
          <t>Código fuente (verificado)</t>
        </is>
      </c>
      <c r="R1982" s="18" t="inlineStr">
        <is>
          <t>Ruta del archivo del acta de la reunión de cierre.</t>
        </is>
      </c>
      <c r="S1982" s="18" t="inlineStr">
        <is>
          <t>Media</t>
        </is>
      </c>
      <c r="T1982" s="18" t="inlineStr">
        <is>
          <t>internal-institutional-control-service/src/esap/auditorias/entities/reunion-cierre.entity.ts:51: acta_ruta varchar(500) nullable | internal-institutional-control-service/src/esap/etapas-auditoria/etapas-auditoria.service.ts:67-110: al registrar la reunión el acta se enlaza por documentoBibliotecaId y acta_ruta no se escribe</t>
        </is>
      </c>
      <c r="U1982" s="18" t="inlineStr">
        <is>
          <t>¿acta_ruta sigue en uso? El servicio enlaza el acta por documento_biblioteca_id y no escribe esta columna.</t>
        </is>
      </c>
      <c r="V1982" s="19" t="inlineStr">
        <is>
          <t>Aprobada</t>
        </is>
      </c>
      <c r="W1982" s="19" t="inlineStr"/>
      <c r="X1982" s="19" t="inlineStr">
        <is>
          <t>Aldair González (validación del responsable de BD)</t>
        </is>
      </c>
      <c r="Y1982" s="20" t="n">
        <v>46321</v>
      </c>
      <c r="Z1982" s="19" t="inlineStr">
        <is>
          <t>Nivel 3: validada por decisión del responsable de la base de datos. Pregunta registrada para desarrollo: ¿acta_ruta sigue en uso? El servicio enlaza el acta por documento_biblioteca_id y no escribe esta columna.</t>
        </is>
      </c>
      <c r="AA1982" s="18">
        <f>IF(OR(V1982="Aprobada"),R1982,IF(AND(OR(V1982="Aprobada con ajuste",V1982="Rechazada"),W1982&lt;&gt;""),W1982,""))</f>
        <v/>
      </c>
    </row>
    <row r="1983">
      <c r="A1983" s="18" t="inlineStr">
        <is>
          <t>C1982</t>
        </is>
      </c>
      <c r="B1983" s="18" t="inlineStr">
        <is>
          <t>Control interno</t>
        </is>
      </c>
      <c r="C1983" s="18" t="inlineStr">
        <is>
          <t>control_interno</t>
        </is>
      </c>
      <c r="D1983" s="18" t="inlineStr">
        <is>
          <t>reunion_cierre</t>
        </is>
      </c>
      <c r="E1983" s="18" t="n">
        <v>11</v>
      </c>
      <c r="F1983" s="18" t="inlineStr">
        <is>
          <t>observaciones</t>
        </is>
      </c>
      <c r="G1983" s="18" t="inlineStr">
        <is>
          <t>text</t>
        </is>
      </c>
      <c r="H1983" s="18" t="inlineStr">
        <is>
          <t>Sí</t>
        </is>
      </c>
      <c r="I1983" s="18" t="inlineStr"/>
      <c r="J1983" s="18" t="inlineStr"/>
      <c r="K1983" s="18" t="inlineStr"/>
      <c r="L1983" s="18" t="inlineStr">
        <is>
          <t>No</t>
        </is>
      </c>
      <c r="M1983" s="18" t="inlineStr">
        <is>
          <t>No</t>
        </is>
      </c>
      <c r="N1983" s="18" t="inlineStr"/>
      <c r="O1983" s="18" t="inlineStr"/>
      <c r="P1983" s="18" t="inlineStr">
        <is>
          <t>Mapeada en internal-institutional-control-service/src/esap/auditorias/entities/reunion-cierre.entity.ts:54 (ReunionCierre.observaciones) | Validación: IsOptional, IsString</t>
        </is>
      </c>
      <c r="Q1983" s="18" t="inlineStr">
        <is>
          <t>Regla estructural (redacción revisada)</t>
        </is>
      </c>
      <c r="R1983" s="18" t="inlineStr">
        <is>
          <t>Observaciones sobre la reunión de cierre.</t>
        </is>
      </c>
      <c r="S1983" s="18" t="inlineStr">
        <is>
          <t>Alta</t>
        </is>
      </c>
      <c r="T1983" s="18" t="inlineStr">
        <is>
          <t>Convención de nombre, redactada con el contexto de la tabla y el código.</t>
        </is>
      </c>
      <c r="U1983" s="18" t="inlineStr"/>
      <c r="V1983" s="19" t="inlineStr">
        <is>
          <t>Aprobada</t>
        </is>
      </c>
      <c r="W1983" s="19" t="inlineStr"/>
      <c r="X1983" s="19" t="inlineStr">
        <is>
          <t>Aldair González (aprobación en bloque)</t>
        </is>
      </c>
      <c r="Y1983" s="20" t="n">
        <v>46321</v>
      </c>
      <c r="Z1983" s="19" t="inlineStr">
        <is>
          <t>Nivel 2: regla estructural con redacción revisada.</t>
        </is>
      </c>
      <c r="AA1983" s="18">
        <f>IF(OR(V1983="Aprobada"),R1983,IF(AND(OR(V1983="Aprobada con ajuste",V1983="Rechazada"),W1983&lt;&gt;""),W1983,""))</f>
        <v/>
      </c>
    </row>
    <row r="1984">
      <c r="A1984" s="18" t="inlineStr">
        <is>
          <t>C1983</t>
        </is>
      </c>
      <c r="B1984" s="18" t="inlineStr">
        <is>
          <t>Control interno</t>
        </is>
      </c>
      <c r="C1984" s="18" t="inlineStr">
        <is>
          <t>control_interno</t>
        </is>
      </c>
      <c r="D1984" s="18" t="inlineStr">
        <is>
          <t>reunion_cierre</t>
        </is>
      </c>
      <c r="E1984" s="18" t="n">
        <v>11</v>
      </c>
      <c r="F1984" s="18" t="inlineStr">
        <is>
          <t>elaborado_por</t>
        </is>
      </c>
      <c r="G1984" s="18" t="inlineStr">
        <is>
          <t>character varying(255)</t>
        </is>
      </c>
      <c r="H1984" s="18" t="inlineStr">
        <is>
          <t>Sí</t>
        </is>
      </c>
      <c r="I1984" s="18" t="inlineStr"/>
      <c r="J1984" s="18" t="inlineStr"/>
      <c r="K1984" s="18" t="inlineStr"/>
      <c r="L1984" s="18" t="inlineStr">
        <is>
          <t>No</t>
        </is>
      </c>
      <c r="M1984" s="18" t="inlineStr">
        <is>
          <t>No</t>
        </is>
      </c>
      <c r="N1984" s="18" t="inlineStr"/>
      <c r="O1984" s="18" t="inlineStr"/>
      <c r="P1984" s="18" t="inlineStr">
        <is>
          <t>Mapeada en internal-institutional-control-service/src/esap/auditorias/entities/reunion-cierre.entity.ts:57 (ReunionCierre.elaboradoPor) | Validación: IsOptional, IsString, Length(0, 255)</t>
        </is>
      </c>
      <c r="Q1984" s="18" t="inlineStr">
        <is>
          <t>Código fuente (verificado)</t>
        </is>
      </c>
      <c r="R1984" s="18" t="inlineStr">
        <is>
          <t>Persona que elaboró el acta de la reunión de cierre, en texto libre digitado en el formulario.</t>
        </is>
      </c>
      <c r="S1984" s="18" t="inlineStr">
        <is>
          <t>Media</t>
        </is>
      </c>
      <c r="T1984" s="18" t="inlineStr">
        <is>
          <t>internal-institutional-control-service/src/esap/auditorias/entities/reunion-cierre.entity.ts:57: elaborado_por varchar(255) nullable | internal-institutional-control-service/src/esap/etapas-auditoria/dto/registrar-reunion.dto.ts:26-28: elaboradoPor opcional, IsString | internal-institutional-control-service/src/esap/etapas-auditoria/etapas-auditoria.service.ts:87: se copia de dto.elaboradoPor</t>
        </is>
      </c>
      <c r="U1984" s="18" t="inlineStr">
        <is>
          <t>¿elaborado_por guarda el nombre o el identificador de la persona? El servicio guarda el texto que llega del formulario.</t>
        </is>
      </c>
      <c r="V1984" s="19" t="inlineStr">
        <is>
          <t>Aprobada</t>
        </is>
      </c>
      <c r="W1984" s="19" t="inlineStr"/>
      <c r="X1984" s="19" t="inlineStr">
        <is>
          <t>Aldair González (validación del responsable de BD)</t>
        </is>
      </c>
      <c r="Y1984" s="20" t="n">
        <v>46321</v>
      </c>
      <c r="Z1984" s="19" t="inlineStr">
        <is>
          <t>Nivel 3: validada por decisión del responsable de la base de datos. Pregunta registrada para desarrollo: ¿elaborado_por guarda el nombre o el identificador de la persona? El servicio guarda el texto que llega del formulario.</t>
        </is>
      </c>
      <c r="AA1984" s="18">
        <f>IF(OR(V1984="Aprobada"),R1984,IF(AND(OR(V1984="Aprobada con ajuste",V1984="Rechazada"),W1984&lt;&gt;""),W1984,""))</f>
        <v/>
      </c>
    </row>
    <row r="1985">
      <c r="A1985" s="18" t="inlineStr">
        <is>
          <t>C1984</t>
        </is>
      </c>
      <c r="B1985" s="18" t="inlineStr">
        <is>
          <t>Control interno</t>
        </is>
      </c>
      <c r="C1985" s="18" t="inlineStr">
        <is>
          <t>control_interno</t>
        </is>
      </c>
      <c r="D1985" s="18" t="inlineStr">
        <is>
          <t>reunion_cierre</t>
        </is>
      </c>
      <c r="E1985" s="18" t="n">
        <v>11</v>
      </c>
      <c r="F1985" s="18" t="inlineStr">
        <is>
          <t>revisado_por</t>
        </is>
      </c>
      <c r="G1985" s="18" t="inlineStr">
        <is>
          <t>character varying(255)</t>
        </is>
      </c>
      <c r="H1985" s="18" t="inlineStr">
        <is>
          <t>Sí</t>
        </is>
      </c>
      <c r="I1985" s="18" t="inlineStr"/>
      <c r="J1985" s="18" t="inlineStr"/>
      <c r="K1985" s="18" t="inlineStr"/>
      <c r="L1985" s="18" t="inlineStr">
        <is>
          <t>No</t>
        </is>
      </c>
      <c r="M1985" s="18" t="inlineStr">
        <is>
          <t>No</t>
        </is>
      </c>
      <c r="N1985" s="18" t="inlineStr"/>
      <c r="O1985" s="18" t="inlineStr"/>
      <c r="P1985" s="18" t="inlineStr">
        <is>
          <t>Mapeada en internal-institutional-control-service/src/esap/auditorias/entities/reunion-cierre.entity.ts:60 (ReunionCierre.revisadoPor) | Validación: IsOptional, IsString</t>
        </is>
      </c>
      <c r="Q1985" s="18" t="inlineStr">
        <is>
          <t>Regla estructural</t>
        </is>
      </c>
      <c r="R1985" s="18" t="inlineStr">
        <is>
          <t>Usuario que realizó la revisión.</t>
        </is>
      </c>
      <c r="S1985" s="18" t="inlineStr">
        <is>
          <t>Media</t>
        </is>
      </c>
      <c r="T1985" s="18" t="inlineStr">
        <is>
          <t>Convención de nombre de la columna.</t>
        </is>
      </c>
      <c r="U1985" s="18" t="inlineStr"/>
      <c r="V1985" s="19" t="inlineStr">
        <is>
          <t>Aprobada</t>
        </is>
      </c>
      <c r="W1985" s="19" t="inlineStr"/>
      <c r="X1985" s="19" t="inlineStr">
        <is>
          <t>Aldair González (aprobación en bloque)</t>
        </is>
      </c>
      <c r="Y1985" s="20" t="n">
        <v>46321</v>
      </c>
      <c r="Z1985" s="19" t="inlineStr">
        <is>
          <t>Nivel 1: propuesta del comentario del desarrollador o de confianza alta, o regla de fecha/responsable/motivo.</t>
        </is>
      </c>
      <c r="AA1985" s="18">
        <f>IF(OR(V1985="Aprobada"),R1985,IF(AND(OR(V1985="Aprobada con ajuste",V1985="Rechazada"),W1985&lt;&gt;""),W1985,""))</f>
        <v/>
      </c>
    </row>
    <row r="1986">
      <c r="A1986" s="18" t="inlineStr">
        <is>
          <t>C1985</t>
        </is>
      </c>
      <c r="B1986" s="18" t="inlineStr">
        <is>
          <t>Control interno</t>
        </is>
      </c>
      <c r="C1986" s="18" t="inlineStr">
        <is>
          <t>control_interno</t>
        </is>
      </c>
      <c r="D1986" s="18" t="inlineStr">
        <is>
          <t>rol_decreto_648</t>
        </is>
      </c>
      <c r="E1986" s="18" t="n">
        <v>0</v>
      </c>
      <c r="F1986" s="18" t="inlineStr">
        <is>
          <t>codigo</t>
        </is>
      </c>
      <c r="G1986" s="18" t="inlineStr">
        <is>
          <t>character varying(255)</t>
        </is>
      </c>
      <c r="H1986" s="18" t="inlineStr">
        <is>
          <t>No</t>
        </is>
      </c>
      <c r="I1986" s="18" t="inlineStr">
        <is>
          <t>Única</t>
        </is>
      </c>
      <c r="J1986" s="18" t="inlineStr"/>
      <c r="K1986" s="18" t="inlineStr"/>
      <c r="L1986" s="18" t="inlineStr">
        <is>
          <t>No</t>
        </is>
      </c>
      <c r="M1986" s="18" t="inlineStr">
        <is>
          <t>No</t>
        </is>
      </c>
      <c r="N1986" s="18" t="inlineStr"/>
      <c r="O1986" s="18" t="inlineStr">
        <is>
          <t>idx_rol_codigo, rol_decreto_648_codigo_key</t>
        </is>
      </c>
      <c r="P1986" s="18" t="inlineStr"/>
      <c r="Q1986" s="18" t="inlineStr">
        <is>
          <t>Regla estructural (redacción revisada)</t>
        </is>
      </c>
      <c r="R1986" s="18" t="inlineStr">
        <is>
          <t>Código del rol del Decreto 648. Único en la tabla.</t>
        </is>
      </c>
      <c r="S1986" s="18" t="inlineStr">
        <is>
          <t>Alta</t>
        </is>
      </c>
      <c r="T1986" s="18" t="inlineStr">
        <is>
          <t>Convención de nombre, redactada con el contexto de la tabla y el código.</t>
        </is>
      </c>
      <c r="U1986" s="18" t="inlineStr"/>
      <c r="V1986" s="19" t="inlineStr">
        <is>
          <t>Aprobada</t>
        </is>
      </c>
      <c r="W1986" s="19" t="inlineStr"/>
      <c r="X1986" s="19" t="inlineStr">
        <is>
          <t>Aldair González (aprobación en bloque)</t>
        </is>
      </c>
      <c r="Y1986" s="20" t="n">
        <v>46321</v>
      </c>
      <c r="Z1986" s="19" t="inlineStr">
        <is>
          <t>Nivel 2: regla estructural con redacción revisada.</t>
        </is>
      </c>
      <c r="AA1986" s="18">
        <f>IF(OR(V1986="Aprobada"),R1986,IF(AND(OR(V1986="Aprobada con ajuste",V1986="Rechazada"),W1986&lt;&gt;""),W1986,""))</f>
        <v/>
      </c>
    </row>
    <row r="1987">
      <c r="A1987" s="18" t="inlineStr">
        <is>
          <t>C1986</t>
        </is>
      </c>
      <c r="B1987" s="18" t="inlineStr">
        <is>
          <t>Control interno</t>
        </is>
      </c>
      <c r="C1987" s="18" t="inlineStr">
        <is>
          <t>control_interno</t>
        </is>
      </c>
      <c r="D1987" s="18" t="inlineStr">
        <is>
          <t>rol_decreto_648</t>
        </is>
      </c>
      <c r="E1987" s="18" t="n">
        <v>0</v>
      </c>
      <c r="F1987" s="18" t="inlineStr">
        <is>
          <t>nombre</t>
        </is>
      </c>
      <c r="G1987" s="18" t="inlineStr">
        <is>
          <t>character varying(255)</t>
        </is>
      </c>
      <c r="H1987" s="18" t="inlineStr">
        <is>
          <t>No</t>
        </is>
      </c>
      <c r="I1987" s="18" t="inlineStr"/>
      <c r="J1987" s="18" t="inlineStr"/>
      <c r="K1987" s="18" t="inlineStr"/>
      <c r="L1987" s="18" t="inlineStr">
        <is>
          <t>No</t>
        </is>
      </c>
      <c r="M1987" s="18" t="inlineStr">
        <is>
          <t>No</t>
        </is>
      </c>
      <c r="N1987" s="18" t="inlineStr"/>
      <c r="O1987" s="18" t="inlineStr"/>
      <c r="P1987" s="18" t="inlineStr"/>
      <c r="Q1987" s="18" t="inlineStr">
        <is>
          <t>Regla estructural (redacción revisada)</t>
        </is>
      </c>
      <c r="R1987" s="18" t="inlineStr">
        <is>
          <t>Nombre del rol del Decreto 648.</t>
        </is>
      </c>
      <c r="S1987" s="18" t="inlineStr">
        <is>
          <t>Alta</t>
        </is>
      </c>
      <c r="T1987" s="18" t="inlineStr">
        <is>
          <t>Convención de nombre, redactada con el contexto de la tabla y el código.</t>
        </is>
      </c>
      <c r="U1987" s="18" t="inlineStr"/>
      <c r="V1987" s="19" t="inlineStr">
        <is>
          <t>Aprobada</t>
        </is>
      </c>
      <c r="W1987" s="19" t="inlineStr"/>
      <c r="X1987" s="19" t="inlineStr">
        <is>
          <t>Aldair González (aprobación en bloque)</t>
        </is>
      </c>
      <c r="Y1987" s="20" t="n">
        <v>46321</v>
      </c>
      <c r="Z1987" s="19" t="inlineStr">
        <is>
          <t>Nivel 2: regla estructural con redacción revisada.</t>
        </is>
      </c>
      <c r="AA1987" s="18">
        <f>IF(OR(V1987="Aprobada"),R1987,IF(AND(OR(V1987="Aprobada con ajuste",V1987="Rechazada"),W1987&lt;&gt;""),W1987,""))</f>
        <v/>
      </c>
    </row>
    <row r="1988">
      <c r="A1988" s="18" t="inlineStr">
        <is>
          <t>C1987</t>
        </is>
      </c>
      <c r="B1988" s="18" t="inlineStr">
        <is>
          <t>Control interno</t>
        </is>
      </c>
      <c r="C1988" s="18" t="inlineStr">
        <is>
          <t>control_interno</t>
        </is>
      </c>
      <c r="D1988" s="18" t="inlineStr">
        <is>
          <t>rol_decreto_648</t>
        </is>
      </c>
      <c r="E1988" s="18" t="n">
        <v>0</v>
      </c>
      <c r="F1988" s="18" t="inlineStr">
        <is>
          <t>descripcion</t>
        </is>
      </c>
      <c r="G1988" s="18" t="inlineStr">
        <is>
          <t>text</t>
        </is>
      </c>
      <c r="H1988" s="18" t="inlineStr">
        <is>
          <t>Sí</t>
        </is>
      </c>
      <c r="I1988" s="18" t="inlineStr"/>
      <c r="J1988" s="18" t="inlineStr"/>
      <c r="K1988" s="18" t="inlineStr"/>
      <c r="L1988" s="18" t="inlineStr">
        <is>
          <t>No</t>
        </is>
      </c>
      <c r="M1988" s="18" t="inlineStr">
        <is>
          <t>No</t>
        </is>
      </c>
      <c r="N1988" s="18" t="inlineStr"/>
      <c r="O1988" s="18" t="inlineStr"/>
      <c r="P1988" s="18" t="inlineStr"/>
      <c r="Q1988" s="18" t="inlineStr">
        <is>
          <t>Regla estructural (redacción revisada)</t>
        </is>
      </c>
      <c r="R1988" s="18" t="inlineStr">
        <is>
          <t>Descripción del rol del Decreto 648.</t>
        </is>
      </c>
      <c r="S1988" s="18" t="inlineStr">
        <is>
          <t>Alta</t>
        </is>
      </c>
      <c r="T1988" s="18" t="inlineStr">
        <is>
          <t>Convención de nombre, redactada con el contexto de la tabla y el código.</t>
        </is>
      </c>
      <c r="U1988" s="18" t="inlineStr"/>
      <c r="V1988" s="19" t="inlineStr">
        <is>
          <t>Aprobada</t>
        </is>
      </c>
      <c r="W1988" s="19" t="inlineStr"/>
      <c r="X1988" s="19" t="inlineStr">
        <is>
          <t>Aldair González (aprobación en bloque)</t>
        </is>
      </c>
      <c r="Y1988" s="20" t="n">
        <v>46321</v>
      </c>
      <c r="Z1988" s="19" t="inlineStr">
        <is>
          <t>Nivel 2: regla estructural con redacción revisada.</t>
        </is>
      </c>
      <c r="AA1988" s="18">
        <f>IF(OR(V1988="Aprobada"),R1988,IF(AND(OR(V1988="Aprobada con ajuste",V1988="Rechazada"),W1988&lt;&gt;""),W1988,""))</f>
        <v/>
      </c>
    </row>
    <row r="1989">
      <c r="A1989" s="18" t="inlineStr">
        <is>
          <t>C1988</t>
        </is>
      </c>
      <c r="B1989" s="18" t="inlineStr">
        <is>
          <t>Control interno</t>
        </is>
      </c>
      <c r="C1989" s="18" t="inlineStr">
        <is>
          <t>control_interno</t>
        </is>
      </c>
      <c r="D1989" s="18" t="inlineStr">
        <is>
          <t>rol_decreto_648</t>
        </is>
      </c>
      <c r="E1989" s="18" t="n">
        <v>0</v>
      </c>
      <c r="F1989" s="18" t="inlineStr">
        <is>
          <t>orden</t>
        </is>
      </c>
      <c r="G1989" s="18" t="inlineStr">
        <is>
          <t>integer</t>
        </is>
      </c>
      <c r="H1989" s="18" t="inlineStr">
        <is>
          <t>Sí</t>
        </is>
      </c>
      <c r="I1989" s="18" t="inlineStr"/>
      <c r="J1989" s="18" t="inlineStr"/>
      <c r="K1989" s="18" t="inlineStr"/>
      <c r="L1989" s="18" t="inlineStr">
        <is>
          <t>No</t>
        </is>
      </c>
      <c r="M1989" s="18" t="inlineStr">
        <is>
          <t>No</t>
        </is>
      </c>
      <c r="N1989" s="18" t="inlineStr"/>
      <c r="O1989" s="18" t="inlineStr"/>
      <c r="P1989" s="18" t="inlineStr"/>
      <c r="Q1989" s="18" t="inlineStr">
        <is>
          <t>Regla estructural (redacción revisada)</t>
        </is>
      </c>
      <c r="R1989" s="18" t="inlineStr">
        <is>
          <t>Posición del rol en el listado.</t>
        </is>
      </c>
      <c r="S1989" s="18" t="inlineStr">
        <is>
          <t>Alta</t>
        </is>
      </c>
      <c r="T1989" s="18" t="inlineStr">
        <is>
          <t>Convención de nombre, redactada con el contexto de la tabla y el código.</t>
        </is>
      </c>
      <c r="U1989" s="18" t="inlineStr"/>
      <c r="V1989" s="19" t="inlineStr">
        <is>
          <t>Aprobada</t>
        </is>
      </c>
      <c r="W1989" s="19" t="inlineStr"/>
      <c r="X1989" s="19" t="inlineStr">
        <is>
          <t>Aldair González (aprobación en bloque)</t>
        </is>
      </c>
      <c r="Y1989" s="20" t="n">
        <v>46321</v>
      </c>
      <c r="Z1989" s="19" t="inlineStr">
        <is>
          <t>Nivel 2: regla estructural con redacción revisada.</t>
        </is>
      </c>
      <c r="AA1989" s="18">
        <f>IF(OR(V1989="Aprobada"),R1989,IF(AND(OR(V1989="Aprobada con ajuste",V1989="Rechazada"),W1989&lt;&gt;""),W1989,""))</f>
        <v/>
      </c>
    </row>
    <row r="1990">
      <c r="A1990" s="18" t="inlineStr">
        <is>
          <t>C1989</t>
        </is>
      </c>
      <c r="B1990" s="18" t="inlineStr">
        <is>
          <t>Control interno</t>
        </is>
      </c>
      <c r="C1990" s="18" t="inlineStr">
        <is>
          <t>control_interno</t>
        </is>
      </c>
      <c r="D1990" s="18" t="inlineStr">
        <is>
          <t>rol_decreto_648</t>
        </is>
      </c>
      <c r="E1990" s="18" t="n">
        <v>0</v>
      </c>
      <c r="F1990" s="18" t="inlineStr">
        <is>
          <t>activo</t>
        </is>
      </c>
      <c r="G1990" s="18" t="inlineStr">
        <is>
          <t>boolean</t>
        </is>
      </c>
      <c r="H1990" s="18" t="inlineStr">
        <is>
          <t>Sí</t>
        </is>
      </c>
      <c r="I1990" s="18" t="inlineStr"/>
      <c r="J1990" s="18" t="inlineStr"/>
      <c r="K1990" s="18" t="inlineStr"/>
      <c r="L1990" s="18" t="inlineStr">
        <is>
          <t>No</t>
        </is>
      </c>
      <c r="M1990" s="18" t="inlineStr">
        <is>
          <t>No</t>
        </is>
      </c>
      <c r="N1990" s="18" t="inlineStr"/>
      <c r="O1990" s="18" t="inlineStr"/>
      <c r="P1990" s="18" t="inlineStr"/>
      <c r="Q1990" s="18" t="inlineStr">
        <is>
          <t>Regla estructural (redacción revisada)</t>
        </is>
      </c>
      <c r="R1990" s="18" t="inlineStr">
        <is>
          <t>Indica si el rol está activo.</t>
        </is>
      </c>
      <c r="S1990" s="18" t="inlineStr">
        <is>
          <t>Alta</t>
        </is>
      </c>
      <c r="T1990" s="18" t="inlineStr">
        <is>
          <t>Convención de nombre, redactada con el contexto de la tabla y el código.</t>
        </is>
      </c>
      <c r="U1990" s="18" t="inlineStr"/>
      <c r="V1990" s="19" t="inlineStr">
        <is>
          <t>Aprobada</t>
        </is>
      </c>
      <c r="W1990" s="19" t="inlineStr"/>
      <c r="X1990" s="19" t="inlineStr">
        <is>
          <t>Aldair González (aprobación en bloque)</t>
        </is>
      </c>
      <c r="Y1990" s="20" t="n">
        <v>46321</v>
      </c>
      <c r="Z1990" s="19" t="inlineStr">
        <is>
          <t>Nivel 2: regla estructural con redacción revisada.</t>
        </is>
      </c>
      <c r="AA1990" s="18">
        <f>IF(OR(V1990="Aprobada"),R1990,IF(AND(OR(V1990="Aprobada con ajuste",V1990="Rechazada"),W1990&lt;&gt;""),W1990,""))</f>
        <v/>
      </c>
    </row>
    <row r="1991">
      <c r="A1991" s="18" t="inlineStr">
        <is>
          <t>C1990</t>
        </is>
      </c>
      <c r="B1991" s="18" t="inlineStr">
        <is>
          <t>Control interno</t>
        </is>
      </c>
      <c r="C1991" s="18" t="inlineStr">
        <is>
          <t>control_interno</t>
        </is>
      </c>
      <c r="D1991" s="18" t="inlineStr">
        <is>
          <t>rol_decreto_648</t>
        </is>
      </c>
      <c r="E1991" s="18" t="n">
        <v>0</v>
      </c>
      <c r="F1991" s="18" t="inlineStr">
        <is>
          <t>editable</t>
        </is>
      </c>
      <c r="G1991" s="18" t="inlineStr">
        <is>
          <t>boolean</t>
        </is>
      </c>
      <c r="H1991" s="18" t="inlineStr">
        <is>
          <t>Sí</t>
        </is>
      </c>
      <c r="I1991" s="18" t="inlineStr"/>
      <c r="J1991" s="18" t="inlineStr"/>
      <c r="K1991" s="18" t="inlineStr"/>
      <c r="L1991" s="18" t="inlineStr">
        <is>
          <t>No</t>
        </is>
      </c>
      <c r="M1991" s="18" t="inlineStr">
        <is>
          <t>No</t>
        </is>
      </c>
      <c r="N1991" s="18" t="inlineStr"/>
      <c r="O1991" s="18" t="inlineStr"/>
      <c r="P1991" s="18" t="inlineStr"/>
      <c r="Q1991" s="18" t="inlineStr">
        <is>
          <t>Regla estructural (redacción revisada)</t>
        </is>
      </c>
      <c r="R1991" s="18" t="inlineStr">
        <is>
          <t>Indica si el rol puede modificarse desde la configuración.</t>
        </is>
      </c>
      <c r="S1991" s="18" t="inlineStr">
        <is>
          <t>Alta</t>
        </is>
      </c>
      <c r="T1991" s="18" t="inlineStr">
        <is>
          <t>Convención de nombre, redactada con el contexto de la tabla y el código.</t>
        </is>
      </c>
      <c r="U1991" s="18" t="inlineStr"/>
      <c r="V1991" s="19" t="inlineStr">
        <is>
          <t>Aprobada</t>
        </is>
      </c>
      <c r="W1991" s="19" t="inlineStr"/>
      <c r="X1991" s="19" t="inlineStr">
        <is>
          <t>Aldair González (aprobación en bloque)</t>
        </is>
      </c>
      <c r="Y1991" s="20" t="n">
        <v>46321</v>
      </c>
      <c r="Z1991" s="19" t="inlineStr">
        <is>
          <t>Nivel 2: regla estructural con redacción revisada.</t>
        </is>
      </c>
      <c r="AA1991" s="18">
        <f>IF(OR(V1991="Aprobada"),R1991,IF(AND(OR(V1991="Aprobada con ajuste",V1991="Rechazada"),W1991&lt;&gt;""),W1991,""))</f>
        <v/>
      </c>
    </row>
    <row r="1992">
      <c r="A1992" s="18" t="inlineStr">
        <is>
          <t>C1991</t>
        </is>
      </c>
      <c r="B1992" s="18" t="inlineStr">
        <is>
          <t>Control interno</t>
        </is>
      </c>
      <c r="C1992" s="18" t="inlineStr">
        <is>
          <t>control_interno</t>
        </is>
      </c>
      <c r="D1992" s="18" t="inlineStr">
        <is>
          <t>rol_decreto_648_template</t>
        </is>
      </c>
      <c r="E1992" s="18" t="n">
        <v>5</v>
      </c>
      <c r="F1992" s="18" t="inlineStr">
        <is>
          <t>rol_numero</t>
        </is>
      </c>
      <c r="G1992" s="18" t="inlineStr">
        <is>
          <t>integer</t>
        </is>
      </c>
      <c r="H1992" s="18" t="inlineStr">
        <is>
          <t>No</t>
        </is>
      </c>
      <c r="I1992" s="18" t="inlineStr">
        <is>
          <t>Única, CHECK</t>
        </is>
      </c>
      <c r="J1992" s="18" t="inlineStr"/>
      <c r="K1992" s="18" t="inlineStr"/>
      <c r="L1992" s="18" t="inlineStr">
        <is>
          <t>No</t>
        </is>
      </c>
      <c r="M1992" s="18" t="inlineStr">
        <is>
          <t>No</t>
        </is>
      </c>
      <c r="N1992" s="18" t="inlineStr"/>
      <c r="O1992" s="18" t="inlineStr">
        <is>
          <t>idx_rol_template_numero, rol_decreto_648_template_rol_numero_key</t>
        </is>
      </c>
      <c r="P1992" s="18" t="inlineStr"/>
      <c r="Q1992" s="18" t="inlineStr">
        <is>
          <t>Código fuente (verificado)</t>
        </is>
      </c>
      <c r="R1992" s="18" t="inlineStr">
        <is>
          <t>Número del rol de la oficina de control interno según el Decreto 648, de 1 a 5: 1 Liderazgo estratégico, 2 Enfoque hacia la prevención, 3 Evaluación de la gestión del riesgo, 4 Evaluación y seguimiento, 5 Relación con entes externos de control.</t>
        </is>
      </c>
      <c r="S1992" s="18" t="inlineStr">
        <is>
          <t>Alta</t>
        </is>
      </c>
      <c r="T1992" s="18" t="inlineStr">
        <is>
          <t>db/init/005_control_interno_ddl_20260129_215540.sql:2881: CHECK rol_numero entre 1 y 5 | db/migrations/350_fix_roles_plan_anual_typography.sql:5-53: nombre de cada rol por número | internal-institutional-control-service/src/esap/plan-anual-5-roles/plan-anual-5-roles.service.ts:286-290: los roles del plan anual se crean desde la plantilla por rol_numero</t>
        </is>
      </c>
      <c r="U1992" s="18" t="inlineStr"/>
      <c r="V1992" s="19" t="inlineStr">
        <is>
          <t>Aprobada</t>
        </is>
      </c>
      <c r="W1992" s="19" t="inlineStr"/>
      <c r="X1992" s="19" t="inlineStr">
        <is>
          <t>Aldair González (aprobación en bloque)</t>
        </is>
      </c>
      <c r="Y1992" s="20" t="n">
        <v>46321</v>
      </c>
      <c r="Z1992" s="19" t="inlineStr">
        <is>
          <t>Nivel 3: verificada con el código de la aplicación.</t>
        </is>
      </c>
      <c r="AA1992" s="18">
        <f>IF(OR(V1992="Aprobada"),R1992,IF(AND(OR(V1992="Aprobada con ajuste",V1992="Rechazada"),W1992&lt;&gt;""),W1992,""))</f>
        <v/>
      </c>
    </row>
    <row r="1993">
      <c r="A1993" s="18" t="inlineStr">
        <is>
          <t>C1992</t>
        </is>
      </c>
      <c r="B1993" s="18" t="inlineStr">
        <is>
          <t>Control interno</t>
        </is>
      </c>
      <c r="C1993" s="18" t="inlineStr">
        <is>
          <t>control_interno</t>
        </is>
      </c>
      <c r="D1993" s="18" t="inlineStr">
        <is>
          <t>rol_decreto_648_template</t>
        </is>
      </c>
      <c r="E1993" s="18" t="n">
        <v>5</v>
      </c>
      <c r="F1993" s="18" t="inlineStr">
        <is>
          <t>nombre</t>
        </is>
      </c>
      <c r="G1993" s="18" t="inlineStr">
        <is>
          <t>character varying(255)</t>
        </is>
      </c>
      <c r="H1993" s="18" t="inlineStr">
        <is>
          <t>No</t>
        </is>
      </c>
      <c r="I1993" s="18" t="inlineStr"/>
      <c r="J1993" s="18" t="inlineStr"/>
      <c r="K1993" s="18" t="inlineStr"/>
      <c r="L1993" s="18" t="inlineStr">
        <is>
          <t>No</t>
        </is>
      </c>
      <c r="M1993" s="18" t="inlineStr">
        <is>
          <t>No</t>
        </is>
      </c>
      <c r="N1993" s="18" t="inlineStr"/>
      <c r="O1993" s="18" t="inlineStr"/>
      <c r="P1993" s="18" t="inlineStr"/>
      <c r="Q1993" s="18" t="inlineStr">
        <is>
          <t>Regla estructural (redacción revisada)</t>
        </is>
      </c>
      <c r="R1993" s="18" t="inlineStr">
        <is>
          <t>Nombre de la plantilla de rol del Decreto 648.</t>
        </is>
      </c>
      <c r="S1993" s="18" t="inlineStr">
        <is>
          <t>Alta</t>
        </is>
      </c>
      <c r="T1993" s="18" t="inlineStr">
        <is>
          <t>Convención de nombre, redactada con el contexto de la tabla y el código.</t>
        </is>
      </c>
      <c r="U1993" s="18" t="inlineStr"/>
      <c r="V1993" s="19" t="inlineStr">
        <is>
          <t>Aprobada</t>
        </is>
      </c>
      <c r="W1993" s="19" t="inlineStr"/>
      <c r="X1993" s="19" t="inlineStr">
        <is>
          <t>Aldair González (aprobación en bloque)</t>
        </is>
      </c>
      <c r="Y1993" s="20" t="n">
        <v>46321</v>
      </c>
      <c r="Z1993" s="19" t="inlineStr">
        <is>
          <t>Nivel 2: regla estructural con redacción revisada.</t>
        </is>
      </c>
      <c r="AA1993" s="18">
        <f>IF(OR(V1993="Aprobada"),R1993,IF(AND(OR(V1993="Aprobada con ajuste",V1993="Rechazada"),W1993&lt;&gt;""),W1993,""))</f>
        <v/>
      </c>
    </row>
    <row r="1994">
      <c r="A1994" s="18" t="inlineStr">
        <is>
          <t>C1993</t>
        </is>
      </c>
      <c r="B1994" s="18" t="inlineStr">
        <is>
          <t>Control interno</t>
        </is>
      </c>
      <c r="C1994" s="18" t="inlineStr">
        <is>
          <t>control_interno</t>
        </is>
      </c>
      <c r="D1994" s="18" t="inlineStr">
        <is>
          <t>rol_decreto_648_template</t>
        </is>
      </c>
      <c r="E1994" s="18" t="n">
        <v>5</v>
      </c>
      <c r="F1994" s="18" t="inlineStr">
        <is>
          <t>descripcion</t>
        </is>
      </c>
      <c r="G1994" s="18" t="inlineStr">
        <is>
          <t>text</t>
        </is>
      </c>
      <c r="H1994" s="18" t="inlineStr">
        <is>
          <t>No</t>
        </is>
      </c>
      <c r="I1994" s="18" t="inlineStr"/>
      <c r="J1994" s="18" t="inlineStr"/>
      <c r="K1994" s="18" t="inlineStr"/>
      <c r="L1994" s="18" t="inlineStr">
        <is>
          <t>No</t>
        </is>
      </c>
      <c r="M1994" s="18" t="inlineStr">
        <is>
          <t>No</t>
        </is>
      </c>
      <c r="N1994" s="18" t="inlineStr"/>
      <c r="O1994" s="18" t="inlineStr"/>
      <c r="P1994" s="18" t="inlineStr"/>
      <c r="Q1994" s="18" t="inlineStr">
        <is>
          <t>Regla estructural (redacción revisada)</t>
        </is>
      </c>
      <c r="R1994" s="18" t="inlineStr">
        <is>
          <t>Descripción de la plantilla de rol del Decreto 648.</t>
        </is>
      </c>
      <c r="S1994" s="18" t="inlineStr">
        <is>
          <t>Alta</t>
        </is>
      </c>
      <c r="T1994" s="18" t="inlineStr">
        <is>
          <t>Convención de nombre, redactada con el contexto de la tabla y el código.</t>
        </is>
      </c>
      <c r="U1994" s="18" t="inlineStr"/>
      <c r="V1994" s="19" t="inlineStr">
        <is>
          <t>Aprobada</t>
        </is>
      </c>
      <c r="W1994" s="19" t="inlineStr"/>
      <c r="X1994" s="19" t="inlineStr">
        <is>
          <t>Aldair González (aprobación en bloque)</t>
        </is>
      </c>
      <c r="Y1994" s="20" t="n">
        <v>46321</v>
      </c>
      <c r="Z1994" s="19" t="inlineStr">
        <is>
          <t>Nivel 2: regla estructural con redacción revisada.</t>
        </is>
      </c>
      <c r="AA1994" s="18">
        <f>IF(OR(V1994="Aprobada"),R1994,IF(AND(OR(V1994="Aprobada con ajuste",V1994="Rechazada"),W1994&lt;&gt;""),W1994,""))</f>
        <v/>
      </c>
    </row>
    <row r="1995">
      <c r="A1995" s="18" t="inlineStr">
        <is>
          <t>C1994</t>
        </is>
      </c>
      <c r="B1995" s="18" t="inlineStr">
        <is>
          <t>Control interno</t>
        </is>
      </c>
      <c r="C1995" s="18" t="inlineStr">
        <is>
          <t>control_interno</t>
        </is>
      </c>
      <c r="D1995" s="18" t="inlineStr">
        <is>
          <t>rol_decreto_648_template</t>
        </is>
      </c>
      <c r="E1995" s="18" t="n">
        <v>5</v>
      </c>
      <c r="F1995" s="18" t="inlineStr">
        <is>
          <t>color</t>
        </is>
      </c>
      <c r="G1995" s="18" t="inlineStr">
        <is>
          <t>character varying(7)</t>
        </is>
      </c>
      <c r="H1995" s="18" t="inlineStr">
        <is>
          <t>No</t>
        </is>
      </c>
      <c r="I1995" s="18" t="inlineStr"/>
      <c r="J1995" s="18" t="inlineStr"/>
      <c r="K1995" s="18" t="inlineStr"/>
      <c r="L1995" s="18" t="inlineStr">
        <is>
          <t>No</t>
        </is>
      </c>
      <c r="M1995" s="18" t="inlineStr">
        <is>
          <t>No</t>
        </is>
      </c>
      <c r="N1995" s="18" t="inlineStr"/>
      <c r="O1995" s="18" t="inlineStr"/>
      <c r="P1995" s="18" t="inlineStr"/>
      <c r="Q1995" s="18" t="inlineStr">
        <is>
          <t>Propuesta semántica</t>
        </is>
      </c>
      <c r="R1995" s="18" t="inlineStr">
        <is>
          <t>Color hexadecimal con que se muestra el rol en la interfaz. Valor por defecto: #3B82F6.</t>
        </is>
      </c>
      <c r="S1995" s="18" t="inlineStr">
        <is>
          <t>Alta</t>
        </is>
      </c>
      <c r="T1995" s="18" t="inlineStr">
        <is>
          <t>nombre + tipo (7 caracteres) + defecto</t>
        </is>
      </c>
      <c r="U1995" s="18" t="inlineStr"/>
      <c r="V1995" s="19" t="inlineStr">
        <is>
          <t>Aprobada</t>
        </is>
      </c>
      <c r="W1995" s="19" t="inlineStr"/>
      <c r="X1995" s="19" t="inlineStr">
        <is>
          <t>Aldair González (aprobación en bloque)</t>
        </is>
      </c>
      <c r="Y1995" s="20" t="n">
        <v>46321</v>
      </c>
      <c r="Z1995" s="19" t="inlineStr">
        <is>
          <t>Nivel 1: propuesta del comentario del desarrollador o de confianza alta, o regla de fecha/responsable/motivo.</t>
        </is>
      </c>
      <c r="AA1995" s="18">
        <f>IF(OR(V1995="Aprobada"),R1995,IF(AND(OR(V1995="Aprobada con ajuste",V1995="Rechazada"),W1995&lt;&gt;""),W1995,""))</f>
        <v/>
      </c>
    </row>
    <row r="1996">
      <c r="A1996" s="18" t="inlineStr">
        <is>
          <t>C1995</t>
        </is>
      </c>
      <c r="B1996" s="18" t="inlineStr">
        <is>
          <t>Control interno</t>
        </is>
      </c>
      <c r="C1996" s="18" t="inlineStr">
        <is>
          <t>control_interno</t>
        </is>
      </c>
      <c r="D1996" s="18" t="inlineStr">
        <is>
          <t>rol_decreto_648_template</t>
        </is>
      </c>
      <c r="E1996" s="18" t="n">
        <v>5</v>
      </c>
      <c r="F1996" s="18" t="inlineStr">
        <is>
          <t>activo</t>
        </is>
      </c>
      <c r="G1996" s="18" t="inlineStr">
        <is>
          <t>boolean</t>
        </is>
      </c>
      <c r="H1996" s="18" t="inlineStr">
        <is>
          <t>Sí</t>
        </is>
      </c>
      <c r="I1996" s="18" t="inlineStr"/>
      <c r="J1996" s="18" t="inlineStr"/>
      <c r="K1996" s="18" t="inlineStr"/>
      <c r="L1996" s="18" t="inlineStr">
        <is>
          <t>No</t>
        </is>
      </c>
      <c r="M1996" s="18" t="inlineStr">
        <is>
          <t>No</t>
        </is>
      </c>
      <c r="N1996" s="18" t="inlineStr"/>
      <c r="O1996" s="18" t="inlineStr"/>
      <c r="P1996" s="18" t="inlineStr"/>
      <c r="Q1996" s="18" t="inlineStr">
        <is>
          <t>Regla estructural (redacción revisada)</t>
        </is>
      </c>
      <c r="R1996" s="18" t="inlineStr">
        <is>
          <t>Indica si la plantilla de rol está activa.</t>
        </is>
      </c>
      <c r="S1996" s="18" t="inlineStr">
        <is>
          <t>Alta</t>
        </is>
      </c>
      <c r="T1996" s="18" t="inlineStr">
        <is>
          <t>Convención de nombre, redactada con el contexto de la tabla y el código.</t>
        </is>
      </c>
      <c r="U1996" s="18" t="inlineStr"/>
      <c r="V1996" s="19" t="inlineStr">
        <is>
          <t>Aprobada</t>
        </is>
      </c>
      <c r="W1996" s="19" t="inlineStr"/>
      <c r="X1996" s="19" t="inlineStr">
        <is>
          <t>Aldair González (aprobación en bloque)</t>
        </is>
      </c>
      <c r="Y1996" s="20" t="n">
        <v>46321</v>
      </c>
      <c r="Z1996" s="19" t="inlineStr">
        <is>
          <t>Nivel 2: regla estructural con redacción revisada.</t>
        </is>
      </c>
      <c r="AA1996" s="18">
        <f>IF(OR(V1996="Aprobada"),R1996,IF(AND(OR(V1996="Aprobada con ajuste",V1996="Rechazada"),W1996&lt;&gt;""),W1996,""))</f>
        <v/>
      </c>
    </row>
    <row r="1997">
      <c r="A1997" s="18" t="inlineStr">
        <is>
          <t>C1996</t>
        </is>
      </c>
      <c r="B1997" s="18" t="inlineStr">
        <is>
          <t>Control interno</t>
        </is>
      </c>
      <c r="C1997" s="18" t="inlineStr">
        <is>
          <t>control_interno</t>
        </is>
      </c>
      <c r="D1997" s="18" t="inlineStr">
        <is>
          <t>rol_plan_anual</t>
        </is>
      </c>
      <c r="E1997" s="18" t="n">
        <v>0</v>
      </c>
      <c r="F1997" s="18" t="inlineStr">
        <is>
          <t>tipo</t>
        </is>
      </c>
      <c r="G1997" s="18" t="inlineStr">
        <is>
          <t>character varying(100)</t>
        </is>
      </c>
      <c r="H1997" s="18" t="inlineStr">
        <is>
          <t>No</t>
        </is>
      </c>
      <c r="I1997" s="18" t="inlineStr">
        <is>
          <t>CHECK</t>
        </is>
      </c>
      <c r="J1997" s="18" t="inlineStr">
        <is>
          <t>Auditor, Auditor Líder, Prof. Especializado, Prof. Universitario, Técnico</t>
        </is>
      </c>
      <c r="K1997" s="18" t="inlineStr"/>
      <c r="L1997" s="18" t="inlineStr">
        <is>
          <t>Sí</t>
        </is>
      </c>
      <c r="M1997" s="18" t="inlineStr">
        <is>
          <t>No</t>
        </is>
      </c>
      <c r="N1997" s="18" t="inlineStr"/>
      <c r="O1997" s="18" t="inlineStr">
        <is>
          <t>idx_rol_tipo</t>
        </is>
      </c>
      <c r="P1997" s="18" t="inlineStr"/>
      <c r="Q1997" s="18" t="inlineStr">
        <is>
          <t>Regla estructural (redacción revisada)</t>
        </is>
      </c>
      <c r="R1997" s="18" t="inlineStr">
        <is>
          <t>Tipo de rol en el plan anual (Auditor, Auditor Líder, Prof. Especializado, Prof. Universitario o Técnico).</t>
        </is>
      </c>
      <c r="S1997" s="18" t="inlineStr">
        <is>
          <t>Alta</t>
        </is>
      </c>
      <c r="T1997" s="18" t="inlineStr">
        <is>
          <t>Convención de nombre, redactada con el contexto de la tabla y el código.</t>
        </is>
      </c>
      <c r="U1997" s="18" t="inlineStr"/>
      <c r="V1997" s="19" t="inlineStr">
        <is>
          <t>Aprobada</t>
        </is>
      </c>
      <c r="W1997" s="19" t="inlineStr"/>
      <c r="X1997" s="19" t="inlineStr">
        <is>
          <t>Aldair González (aprobación en bloque)</t>
        </is>
      </c>
      <c r="Y1997" s="20" t="n">
        <v>46321</v>
      </c>
      <c r="Z1997" s="19" t="inlineStr">
        <is>
          <t>Nivel 2: regla estructural con redacción revisada.</t>
        </is>
      </c>
      <c r="AA1997" s="18">
        <f>IF(OR(V1997="Aprobada"),R1997,IF(AND(OR(V1997="Aprobada con ajuste",V1997="Rechazada"),W1997&lt;&gt;""),W1997,""))</f>
        <v/>
      </c>
    </row>
    <row r="1998">
      <c r="A1998" s="18" t="inlineStr">
        <is>
          <t>C1997</t>
        </is>
      </c>
      <c r="B1998" s="18" t="inlineStr">
        <is>
          <t>Control interno</t>
        </is>
      </c>
      <c r="C1998" s="18" t="inlineStr">
        <is>
          <t>control_interno</t>
        </is>
      </c>
      <c r="D1998" s="18" t="inlineStr">
        <is>
          <t>rol_plan_anual</t>
        </is>
      </c>
      <c r="E1998" s="18" t="n">
        <v>0</v>
      </c>
      <c r="F1998" s="18" t="inlineStr">
        <is>
          <t>nombre</t>
        </is>
      </c>
      <c r="G1998" s="18" t="inlineStr">
        <is>
          <t>character varying(255)</t>
        </is>
      </c>
      <c r="H1998" s="18" t="inlineStr">
        <is>
          <t>Sí</t>
        </is>
      </c>
      <c r="I1998" s="18" t="inlineStr"/>
      <c r="J1998" s="18" t="inlineStr"/>
      <c r="K1998" s="18" t="inlineStr"/>
      <c r="L1998" s="18" t="inlineStr">
        <is>
          <t>No</t>
        </is>
      </c>
      <c r="M1998" s="18" t="inlineStr">
        <is>
          <t>No</t>
        </is>
      </c>
      <c r="N1998" s="18" t="inlineStr"/>
      <c r="O1998" s="18" t="inlineStr"/>
      <c r="P1998" s="18" t="inlineStr"/>
      <c r="Q1998" s="18" t="inlineStr">
        <is>
          <t>Regla estructural (redacción revisada)</t>
        </is>
      </c>
      <c r="R1998" s="18" t="inlineStr">
        <is>
          <t>Nombre de la persona asignada al rol.</t>
        </is>
      </c>
      <c r="S1998" s="18" t="inlineStr">
        <is>
          <t>Alta</t>
        </is>
      </c>
      <c r="T1998" s="18" t="inlineStr">
        <is>
          <t>Convención de nombre, redactada con el contexto de la tabla y el código.</t>
        </is>
      </c>
      <c r="U1998" s="18" t="inlineStr"/>
      <c r="V1998" s="19" t="inlineStr">
        <is>
          <t>Aprobada</t>
        </is>
      </c>
      <c r="W1998" s="19" t="inlineStr"/>
      <c r="X1998" s="19" t="inlineStr">
        <is>
          <t>Aldair González (aprobación en bloque)</t>
        </is>
      </c>
      <c r="Y1998" s="20" t="n">
        <v>46321</v>
      </c>
      <c r="Z1998" s="19" t="inlineStr">
        <is>
          <t>Nivel 2: regla estructural con redacción revisada.</t>
        </is>
      </c>
      <c r="AA1998" s="18">
        <f>IF(OR(V1998="Aprobada"),R1998,IF(AND(OR(V1998="Aprobada con ajuste",V1998="Rechazada"),W1998&lt;&gt;""),W1998,""))</f>
        <v/>
      </c>
    </row>
    <row r="1999">
      <c r="A1999" s="18" t="inlineStr">
        <is>
          <t>C1998</t>
        </is>
      </c>
      <c r="B1999" s="18" t="inlineStr">
        <is>
          <t>Control interno</t>
        </is>
      </c>
      <c r="C1999" s="18" t="inlineStr">
        <is>
          <t>control_interno</t>
        </is>
      </c>
      <c r="D1999" s="18" t="inlineStr">
        <is>
          <t>rol_plan_anual</t>
        </is>
      </c>
      <c r="E1999" s="18" t="n">
        <v>0</v>
      </c>
      <c r="F1999" s="18" t="inlineStr">
        <is>
          <t>email</t>
        </is>
      </c>
      <c r="G1999" s="18" t="inlineStr">
        <is>
          <t>character varying(255)</t>
        </is>
      </c>
      <c r="H1999" s="18" t="inlineStr">
        <is>
          <t>Sí</t>
        </is>
      </c>
      <c r="I1999" s="18" t="inlineStr"/>
      <c r="J1999" s="18" t="inlineStr"/>
      <c r="K1999" s="18" t="inlineStr"/>
      <c r="L1999" s="18" t="inlineStr">
        <is>
          <t>No</t>
        </is>
      </c>
      <c r="M1999" s="18" t="inlineStr">
        <is>
          <t>No</t>
        </is>
      </c>
      <c r="N1999" s="18" t="inlineStr"/>
      <c r="O1999" s="18" t="inlineStr"/>
      <c r="P1999" s="18" t="inlineStr"/>
      <c r="Q1999" s="18" t="inlineStr">
        <is>
          <t>Regla estructural (redacción revisada)</t>
        </is>
      </c>
      <c r="R1999" s="18" t="inlineStr">
        <is>
          <t>Correo electrónico de la persona asignada al rol.</t>
        </is>
      </c>
      <c r="S1999" s="18" t="inlineStr">
        <is>
          <t>Alta</t>
        </is>
      </c>
      <c r="T1999" s="18" t="inlineStr">
        <is>
          <t>Convención de nombre, redactada con el contexto de la tabla y el código.</t>
        </is>
      </c>
      <c r="U1999" s="18" t="inlineStr"/>
      <c r="V1999" s="19" t="inlineStr">
        <is>
          <t>Aprobada</t>
        </is>
      </c>
      <c r="W1999" s="19" t="inlineStr"/>
      <c r="X1999" s="19" t="inlineStr">
        <is>
          <t>Aldair González (aprobación en bloque)</t>
        </is>
      </c>
      <c r="Y1999" s="20" t="n">
        <v>46321</v>
      </c>
      <c r="Z1999" s="19" t="inlineStr">
        <is>
          <t>Nivel 2: regla estructural con redacción revisada.</t>
        </is>
      </c>
      <c r="AA1999" s="18">
        <f>IF(OR(V1999="Aprobada"),R1999,IF(AND(OR(V1999="Aprobada con ajuste",V1999="Rechazada"),W1999&lt;&gt;""),W1999,""))</f>
        <v/>
      </c>
    </row>
    <row r="2000">
      <c r="A2000" s="18" t="inlineStr">
        <is>
          <t>C1999</t>
        </is>
      </c>
      <c r="B2000" s="18" t="inlineStr">
        <is>
          <t>Control interno</t>
        </is>
      </c>
      <c r="C2000" s="18" t="inlineStr">
        <is>
          <t>control_interno</t>
        </is>
      </c>
      <c r="D2000" s="18" t="inlineStr">
        <is>
          <t>rol_plan_anual</t>
        </is>
      </c>
      <c r="E2000" s="18" t="n">
        <v>0</v>
      </c>
      <c r="F2000" s="18" t="inlineStr">
        <is>
          <t>disponibilidad</t>
        </is>
      </c>
      <c r="G2000" s="18" t="inlineStr">
        <is>
          <t>character varying(50)</t>
        </is>
      </c>
      <c r="H2000" s="18" t="inlineStr">
        <is>
          <t>Sí</t>
        </is>
      </c>
      <c r="I2000" s="18" t="inlineStr">
        <is>
          <t>CHECK</t>
        </is>
      </c>
      <c r="J2000" s="18" t="inlineStr">
        <is>
          <t>disponible, no-disponible, parcial</t>
        </is>
      </c>
      <c r="K2000" s="18" t="inlineStr"/>
      <c r="L2000" s="18" t="inlineStr">
        <is>
          <t>Sí</t>
        </is>
      </c>
      <c r="M2000" s="18" t="inlineStr">
        <is>
          <t>No</t>
        </is>
      </c>
      <c r="N2000" s="18" t="inlineStr"/>
      <c r="O2000" s="18" t="inlineStr"/>
      <c r="P2000" s="18" t="inlineStr"/>
      <c r="Q2000" s="18" t="inlineStr">
        <is>
          <t>Propuesta semántica</t>
        </is>
      </c>
      <c r="R2000" s="18" t="inlineStr">
        <is>
          <t>Disponibilidad del auditor en el plan anual. Valores permitidos: disponible, parcial, no-disponible.</t>
        </is>
      </c>
      <c r="S2000" s="18" t="inlineStr">
        <is>
          <t>Alta</t>
        </is>
      </c>
      <c r="T2000" s="18" t="inlineStr">
        <is>
          <t>valores permitidos del CHECK</t>
        </is>
      </c>
      <c r="U2000" s="18" t="inlineStr"/>
      <c r="V2000" s="19" t="inlineStr">
        <is>
          <t>Aprobada</t>
        </is>
      </c>
      <c r="W2000" s="19" t="inlineStr"/>
      <c r="X2000" s="19" t="inlineStr">
        <is>
          <t>Aldair González (aprobación en bloque)</t>
        </is>
      </c>
      <c r="Y2000" s="20" t="n">
        <v>46321</v>
      </c>
      <c r="Z2000" s="19" t="inlineStr">
        <is>
          <t>Nivel 1: propuesta del comentario del desarrollador o de confianza alta, o regla de fecha/responsable/motivo.</t>
        </is>
      </c>
      <c r="AA2000" s="18">
        <f>IF(OR(V2000="Aprobada"),R2000,IF(AND(OR(V2000="Aprobada con ajuste",V2000="Rechazada"),W2000&lt;&gt;""),W2000,""))</f>
        <v/>
      </c>
    </row>
    <row r="2001">
      <c r="A2001" s="18" t="inlineStr">
        <is>
          <t>C2000</t>
        </is>
      </c>
      <c r="B2001" s="18" t="inlineStr">
        <is>
          <t>Control interno</t>
        </is>
      </c>
      <c r="C2001" s="18" t="inlineStr">
        <is>
          <t>control_interno</t>
        </is>
      </c>
      <c r="D2001" s="18" t="inlineStr">
        <is>
          <t>rol_plan_anual</t>
        </is>
      </c>
      <c r="E2001" s="18" t="n">
        <v>0</v>
      </c>
      <c r="F2001" s="18" t="inlineStr">
        <is>
          <t>horas_totales</t>
        </is>
      </c>
      <c r="G2001" s="18" t="inlineStr">
        <is>
          <t>integer</t>
        </is>
      </c>
      <c r="H2001" s="18" t="inlineStr">
        <is>
          <t>Sí</t>
        </is>
      </c>
      <c r="I2001" s="18" t="inlineStr"/>
      <c r="J2001" s="18" t="inlineStr"/>
      <c r="K2001" s="18" t="inlineStr"/>
      <c r="L2001" s="18" t="inlineStr">
        <is>
          <t>No</t>
        </is>
      </c>
      <c r="M2001" s="18" t="inlineStr">
        <is>
          <t>No</t>
        </is>
      </c>
      <c r="N2001" s="18" t="inlineStr"/>
      <c r="O2001" s="18" t="inlineStr"/>
      <c r="P2001" s="18" t="inlineStr"/>
      <c r="Q2001" s="18" t="inlineStr">
        <is>
          <t>Código fuente (verificado)</t>
        </is>
      </c>
      <c r="R2001" s="18" t="inlineStr">
        <is>
          <t>Horas totales disponibles del auditor en el año. Valor por defecto: 1800.</t>
        </is>
      </c>
      <c r="S2001" s="18" t="inlineStr">
        <is>
          <t>Media</t>
        </is>
      </c>
      <c r="T2001" s="18" t="inlineStr">
        <is>
          <t>db/init/005_control_interno_ddl_20260129_215540.sql:2896: horas_totales integer DEFAULT 1800; ninguna entidad ni servicio usa control_interno.rol_plan_anual</t>
        </is>
      </c>
      <c r="U2001" s="18" t="inlineStr">
        <is>
          <t>¿Las 1800 horas de rol_plan_anual.horas_totales corresponden a la jornada anual del auditor? La tabla no se usa en el código del servicio.</t>
        </is>
      </c>
      <c r="V2001" s="19" t="inlineStr">
        <is>
          <t>Aprobada</t>
        </is>
      </c>
      <c r="W2001" s="19" t="inlineStr"/>
      <c r="X2001" s="19" t="inlineStr">
        <is>
          <t>Aldair González (validación del responsable de BD)</t>
        </is>
      </c>
      <c r="Y2001" s="20" t="n">
        <v>46321</v>
      </c>
      <c r="Z2001" s="19" t="inlineStr">
        <is>
          <t>Nivel 3: validada por decisión del responsable de la base de datos. Pregunta registrada para desarrollo: ¿Las 1800 horas de rol_plan_anual.horas_totales corresponden a la jornada anual del auditor? La tabla no se usa en el código del servicio.</t>
        </is>
      </c>
      <c r="AA2001" s="18">
        <f>IF(OR(V2001="Aprobada"),R2001,IF(AND(OR(V2001="Aprobada con ajuste",V2001="Rechazada"),W2001&lt;&gt;""),W2001,""))</f>
        <v/>
      </c>
    </row>
    <row r="2002">
      <c r="A2002" s="18" t="inlineStr">
        <is>
          <t>C2001</t>
        </is>
      </c>
      <c r="B2002" s="18" t="inlineStr">
        <is>
          <t>Control interno</t>
        </is>
      </c>
      <c r="C2002" s="18" t="inlineStr">
        <is>
          <t>control_interno</t>
        </is>
      </c>
      <c r="D2002" s="18" t="inlineStr">
        <is>
          <t>rol_plan_anual</t>
        </is>
      </c>
      <c r="E2002" s="18" t="n">
        <v>0</v>
      </c>
      <c r="F2002" s="18" t="inlineStr">
        <is>
          <t>horas_asignadas</t>
        </is>
      </c>
      <c r="G2002" s="18" t="inlineStr">
        <is>
          <t>integer</t>
        </is>
      </c>
      <c r="H2002" s="18" t="inlineStr">
        <is>
          <t>Sí</t>
        </is>
      </c>
      <c r="I2002" s="18" t="inlineStr"/>
      <c r="J2002" s="18" t="inlineStr"/>
      <c r="K2002" s="18" t="inlineStr"/>
      <c r="L2002" s="18" t="inlineStr">
        <is>
          <t>No</t>
        </is>
      </c>
      <c r="M2002" s="18" t="inlineStr">
        <is>
          <t>No</t>
        </is>
      </c>
      <c r="N2002" s="18" t="inlineStr"/>
      <c r="O2002" s="18" t="inlineStr"/>
      <c r="P2002" s="18" t="inlineStr"/>
      <c r="Q2002" s="18" t="inlineStr">
        <is>
          <t>Propuesta semántica</t>
        </is>
      </c>
      <c r="R2002" s="18" t="inlineStr">
        <is>
          <t>Horas del auditor ya asignadas a auditorías.</t>
        </is>
      </c>
      <c r="S2002" s="18" t="inlineStr">
        <is>
          <t>Alta</t>
        </is>
      </c>
      <c r="T2002" s="18" t="inlineStr">
        <is>
          <t>nombre + tipo + columnas vecinas</t>
        </is>
      </c>
      <c r="U2002" s="18" t="inlineStr"/>
      <c r="V2002" s="19" t="inlineStr">
        <is>
          <t>Aprobada</t>
        </is>
      </c>
      <c r="W2002" s="19" t="inlineStr"/>
      <c r="X2002" s="19" t="inlineStr">
        <is>
          <t>Aldair González (aprobación en bloque)</t>
        </is>
      </c>
      <c r="Y2002" s="20" t="n">
        <v>46321</v>
      </c>
      <c r="Z2002" s="19" t="inlineStr">
        <is>
          <t>Nivel 1: propuesta del comentario del desarrollador o de confianza alta, o regla de fecha/responsable/motivo.</t>
        </is>
      </c>
      <c r="AA2002" s="18">
        <f>IF(OR(V2002="Aprobada"),R2002,IF(AND(OR(V2002="Aprobada con ajuste",V2002="Rechazada"),W2002&lt;&gt;""),W2002,""))</f>
        <v/>
      </c>
    </row>
    <row r="2003">
      <c r="A2003" s="18" t="inlineStr">
        <is>
          <t>C2002</t>
        </is>
      </c>
      <c r="B2003" s="18" t="inlineStr">
        <is>
          <t>Control interno</t>
        </is>
      </c>
      <c r="C2003" s="18" t="inlineStr">
        <is>
          <t>control_interno</t>
        </is>
      </c>
      <c r="D2003" s="18" t="inlineStr">
        <is>
          <t>rol_plan_anual</t>
        </is>
      </c>
      <c r="E2003" s="18" t="n">
        <v>0</v>
      </c>
      <c r="F2003" s="18" t="inlineStr">
        <is>
          <t>auditorias_asignadas</t>
        </is>
      </c>
      <c r="G2003" s="18" t="inlineStr">
        <is>
          <t>integer</t>
        </is>
      </c>
      <c r="H2003" s="18" t="inlineStr">
        <is>
          <t>Sí</t>
        </is>
      </c>
      <c r="I2003" s="18" t="inlineStr"/>
      <c r="J2003" s="18" t="inlineStr"/>
      <c r="K2003" s="18" t="inlineStr"/>
      <c r="L2003" s="18" t="inlineStr">
        <is>
          <t>No</t>
        </is>
      </c>
      <c r="M2003" s="18" t="inlineStr">
        <is>
          <t>No</t>
        </is>
      </c>
      <c r="N2003" s="18" t="inlineStr"/>
      <c r="O2003" s="18" t="inlineStr"/>
      <c r="P2003" s="18" t="inlineStr"/>
      <c r="Q2003" s="18" t="inlineStr">
        <is>
          <t>Propuesta semántica</t>
        </is>
      </c>
      <c r="R2003" s="18" t="inlineStr">
        <is>
          <t>Cantidad de auditorías asignadas al auditor.</t>
        </is>
      </c>
      <c r="S2003" s="18" t="inlineStr">
        <is>
          <t>Alta</t>
        </is>
      </c>
      <c r="T2003" s="18" t="inlineStr">
        <is>
          <t>nombre + tipo + columnas vecinas</t>
        </is>
      </c>
      <c r="U2003" s="18" t="inlineStr"/>
      <c r="V2003" s="19" t="inlineStr">
        <is>
          <t>Aprobada</t>
        </is>
      </c>
      <c r="W2003" s="19" t="inlineStr"/>
      <c r="X2003" s="19" t="inlineStr">
        <is>
          <t>Aldair González (aprobación en bloque)</t>
        </is>
      </c>
      <c r="Y2003" s="20" t="n">
        <v>46321</v>
      </c>
      <c r="Z2003" s="19" t="inlineStr">
        <is>
          <t>Nivel 1: propuesta del comentario del desarrollador o de confianza alta, o regla de fecha/responsable/motivo.</t>
        </is>
      </c>
      <c r="AA2003" s="18">
        <f>IF(OR(V2003="Aprobada"),R2003,IF(AND(OR(V2003="Aprobada con ajuste",V2003="Rechazada"),W2003&lt;&gt;""),W2003,""))</f>
        <v/>
      </c>
    </row>
    <row r="2004">
      <c r="A2004" s="18" t="inlineStr">
        <is>
          <t>C2003</t>
        </is>
      </c>
      <c r="B2004" s="18" t="inlineStr">
        <is>
          <t>Control interno</t>
        </is>
      </c>
      <c r="C2004" s="18" t="inlineStr">
        <is>
          <t>control_interno</t>
        </is>
      </c>
      <c r="D2004" s="18" t="inlineStr">
        <is>
          <t>rol_plan_anual_5</t>
        </is>
      </c>
      <c r="E2004" s="18" t="n">
        <v>405</v>
      </c>
      <c r="F2004" s="18" t="inlineStr">
        <is>
          <t>plan_id</t>
        </is>
      </c>
      <c r="G2004" s="18" t="inlineStr">
        <is>
          <t>uuid</t>
        </is>
      </c>
      <c r="H2004" s="18" t="inlineStr">
        <is>
          <t>No</t>
        </is>
      </c>
      <c r="I2004" s="18" t="inlineStr"/>
      <c r="J2004" s="18" t="inlineStr"/>
      <c r="K2004" s="18" t="inlineStr"/>
      <c r="L2004" s="18" t="inlineStr">
        <is>
          <t>No</t>
        </is>
      </c>
      <c r="M2004" s="18" t="inlineStr">
        <is>
          <t>Sí</t>
        </is>
      </c>
      <c r="N2004" s="18" t="inlineStr">
        <is>
          <t>Función control_interno.fn_actualizar_cumplimiento_auditorias_vigencia; Función control_interno.fn_configurar_actividad_auditorias_plan; Vista control_interno.v_estado_vinculacion_auditorias — control_interno.fn_actualizar_cumplimiento_auditorias_vigencia: INNER JOIN control_interno.plan_anual_5_roles p ON r.plan_id = p.id | control_interno.fn_configurar_actividad_auditorias_plan: WHERE r.plan_id = p_plan_id</t>
        </is>
      </c>
      <c r="O2004" s="18" t="inlineStr">
        <is>
          <t>idx_rol_plan_5_plan, rol_plan_anual_5_plan_id_rol_numero_key</t>
        </is>
      </c>
      <c r="P2004" s="18" t="inlineStr">
        <is>
          <t>Mapeada en internal-institutional-control-service/src/esap/plan-anual-5-roles/entities/rol-plan-anual-5.entity.ts:22 (RolPlanAnual5.planId)</t>
        </is>
      </c>
      <c r="Q2004" s="18" t="inlineStr">
        <is>
          <t>Propuesta semántica</t>
        </is>
      </c>
      <c r="R2004" s="18" t="inlineStr">
        <is>
          <t>Identificador del plan anual al que pertenece el rol (control_interno.plan_anual_5_roles).</t>
        </is>
      </c>
      <c r="S2004" s="18" t="inlineStr">
        <is>
          <t>Alta</t>
        </is>
      </c>
      <c r="T2004" s="18" t="inlineStr">
        <is>
          <t>uso en fn_actualizar_cumplimiento_auditorias_vigencia (JOIN con plan_anual_5_roles)</t>
        </is>
      </c>
      <c r="U2004" s="18" t="inlineStr"/>
      <c r="V2004" s="19" t="inlineStr">
        <is>
          <t>Aprobada</t>
        </is>
      </c>
      <c r="W2004" s="19" t="inlineStr"/>
      <c r="X2004" s="19" t="inlineStr">
        <is>
          <t>Aldair González (aprobación en bloque)</t>
        </is>
      </c>
      <c r="Y2004" s="20" t="n">
        <v>46321</v>
      </c>
      <c r="Z2004" s="19" t="inlineStr">
        <is>
          <t>Nivel 1: propuesta del comentario del desarrollador o de confianza alta, o regla de fecha/responsable/motivo.</t>
        </is>
      </c>
      <c r="AA2004" s="18">
        <f>IF(OR(V2004="Aprobada"),R2004,IF(AND(OR(V2004="Aprobada con ajuste",V2004="Rechazada"),W2004&lt;&gt;""),W2004,""))</f>
        <v/>
      </c>
    </row>
    <row r="2005">
      <c r="A2005" s="18" t="inlineStr">
        <is>
          <t>C2004</t>
        </is>
      </c>
      <c r="B2005" s="18" t="inlineStr">
        <is>
          <t>Control interno</t>
        </is>
      </c>
      <c r="C2005" s="18" t="inlineStr">
        <is>
          <t>control_interno</t>
        </is>
      </c>
      <c r="D2005" s="18" t="inlineStr">
        <is>
          <t>rol_plan_anual_5</t>
        </is>
      </c>
      <c r="E2005" s="18" t="n">
        <v>405</v>
      </c>
      <c r="F2005" s="18" t="inlineStr">
        <is>
          <t>rol_numero</t>
        </is>
      </c>
      <c r="G2005" s="18" t="inlineStr">
        <is>
          <t>integer</t>
        </is>
      </c>
      <c r="H2005" s="18" t="inlineStr">
        <is>
          <t>No</t>
        </is>
      </c>
      <c r="I2005" s="18" t="inlineStr">
        <is>
          <t>CHECK</t>
        </is>
      </c>
      <c r="J2005" s="18" t="inlineStr"/>
      <c r="K2005" s="18" t="inlineStr"/>
      <c r="L2005" s="18" t="inlineStr">
        <is>
          <t>No</t>
        </is>
      </c>
      <c r="M2005" s="18" t="inlineStr">
        <is>
          <t>Sí</t>
        </is>
      </c>
      <c r="N2005" s="18" t="inlineStr">
        <is>
          <t>Función control_interno.fn_actualizar_cumplimiento_auditorias_vigencia; Función control_interno.fn_configurar_actividad_auditorias_plan; Vista control_interno.v_estado_vinculacion_auditorias — control_interno.fn_actualizar_cumplimiento_auditorias_vigencia: WHERE r.rol_numero = 4 | control_interno.fn_configurar_actividad_auditorias_plan: AND r.rol_numero = 4</t>
        </is>
      </c>
      <c r="O2005" s="18" t="inlineStr">
        <is>
          <t>rol_plan_anual_5_plan_id_rol_numero_key</t>
        </is>
      </c>
      <c r="P2005" s="18" t="inlineStr">
        <is>
          <t>internal-institutional-control-service/src/esap/plan-anual-5-roles/entities/rol-plan-anual-5.entity.ts:30: 1-5</t>
        </is>
      </c>
      <c r="Q2005" s="18" t="inlineStr">
        <is>
          <t>Código fuente</t>
        </is>
      </c>
      <c r="R2005" s="18" t="inlineStr">
        <is>
          <t>Número del rol dentro del plan anual, de 1 a 5; único por plan. Las funciones de cumplimiento de auditorías usan el rol 4.</t>
        </is>
      </c>
      <c r="S2005" s="18" t="inlineStr">
        <is>
          <t>Alta</t>
        </is>
      </c>
      <c r="T2005" s="18" t="inlineStr">
        <is>
          <t>código: internal-institutional-control-service/src/esap/plan-anual-5-roles/entities/rol-plan-anual-5.entity.ts:30; uso en la función control_interno.fn_actualizar_cumplimiento_auditorias_vigencia</t>
        </is>
      </c>
      <c r="U2005" s="18" t="inlineStr"/>
      <c r="V2005" s="19" t="inlineStr">
        <is>
          <t>Aprobada</t>
        </is>
      </c>
      <c r="W2005" s="19" t="inlineStr"/>
      <c r="X2005" s="19" t="inlineStr">
        <is>
          <t>Aldair González (aprobación en bloque)</t>
        </is>
      </c>
      <c r="Y2005" s="20" t="n">
        <v>46321</v>
      </c>
      <c r="Z2005" s="19" t="inlineStr">
        <is>
          <t>Nivel 1: propuesta del comentario del desarrollador o de confianza alta, o regla de fecha/responsable/motivo.</t>
        </is>
      </c>
      <c r="AA2005" s="18">
        <f>IF(OR(V2005="Aprobada"),R2005,IF(AND(OR(V2005="Aprobada con ajuste",V2005="Rechazada"),W2005&lt;&gt;""),W2005,""))</f>
        <v/>
      </c>
    </row>
    <row r="2006">
      <c r="A2006" s="18" t="inlineStr">
        <is>
          <t>C2005</t>
        </is>
      </c>
      <c r="B2006" s="18" t="inlineStr">
        <is>
          <t>Control interno</t>
        </is>
      </c>
      <c r="C2006" s="18" t="inlineStr">
        <is>
          <t>control_interno</t>
        </is>
      </c>
      <c r="D2006" s="18" t="inlineStr">
        <is>
          <t>rol_plan_anual_5</t>
        </is>
      </c>
      <c r="E2006" s="18" t="n">
        <v>405</v>
      </c>
      <c r="F2006" s="18" t="inlineStr">
        <is>
          <t>nombre</t>
        </is>
      </c>
      <c r="G2006" s="18" t="inlineStr">
        <is>
          <t>character varying(255)</t>
        </is>
      </c>
      <c r="H2006" s="18" t="inlineStr">
        <is>
          <t>No</t>
        </is>
      </c>
      <c r="I2006" s="18" t="inlineStr"/>
      <c r="J2006" s="18" t="inlineStr"/>
      <c r="K2006" s="18" t="inlineStr"/>
      <c r="L2006" s="18" t="inlineStr">
        <is>
          <t>No</t>
        </is>
      </c>
      <c r="M2006" s="18" t="inlineStr">
        <is>
          <t>Sí</t>
        </is>
      </c>
      <c r="N2006" s="18" t="inlineStr">
        <is>
          <t>Función control_interno.fn_configurar_actividad_auditorias_plan; Vista control_interno.v_estado_vinculacion_auditorias — control_interno.fn_configurar_actividad_auditorias_plan: LOWER(a.nombre) LIKE '%auditoría%'</t>
        </is>
      </c>
      <c r="O2006" s="18" t="inlineStr"/>
      <c r="P2006" s="18" t="inlineStr">
        <is>
          <t>Mapeada en internal-institutional-control-service/src/esap/plan-anual-5-roles/entities/rol-plan-anual-5.entity.ts:33 (RolPlanAnual5.nombre) | Validación: IsNotEmpty, IsNotEmpty({ message: 'El nombre del documento es obligatorio' }), IsOptional, IsString, Length(1, 500), MaxLength(120)</t>
        </is>
      </c>
      <c r="Q2006" s="18" t="inlineStr">
        <is>
          <t>Regla estructural (redacción revisada)</t>
        </is>
      </c>
      <c r="R2006" s="18" t="inlineStr">
        <is>
          <t>Nombre del rol del plan anual.</t>
        </is>
      </c>
      <c r="S2006" s="18" t="inlineStr">
        <is>
          <t>Alta</t>
        </is>
      </c>
      <c r="T2006" s="18" t="inlineStr">
        <is>
          <t>Convención de nombre, redactada con el contexto de la tabla y el código.</t>
        </is>
      </c>
      <c r="U2006" s="18" t="inlineStr"/>
      <c r="V2006" s="19" t="inlineStr">
        <is>
          <t>Aprobada</t>
        </is>
      </c>
      <c r="W2006" s="19" t="inlineStr"/>
      <c r="X2006" s="19" t="inlineStr">
        <is>
          <t>Aldair González (aprobación en bloque)</t>
        </is>
      </c>
      <c r="Y2006" s="20" t="n">
        <v>46321</v>
      </c>
      <c r="Z2006" s="19" t="inlineStr">
        <is>
          <t>Nivel 2: regla estructural con redacción revisada.</t>
        </is>
      </c>
      <c r="AA2006" s="18">
        <f>IF(OR(V2006="Aprobada"),R2006,IF(AND(OR(V2006="Aprobada con ajuste",V2006="Rechazada"),W2006&lt;&gt;""),W2006,""))</f>
        <v/>
      </c>
    </row>
    <row r="2007">
      <c r="A2007" s="18" t="inlineStr">
        <is>
          <t>C2006</t>
        </is>
      </c>
      <c r="B2007" s="18" t="inlineStr">
        <is>
          <t>Control interno</t>
        </is>
      </c>
      <c r="C2007" s="18" t="inlineStr">
        <is>
          <t>control_interno</t>
        </is>
      </c>
      <c r="D2007" s="18" t="inlineStr">
        <is>
          <t>rol_plan_anual_5</t>
        </is>
      </c>
      <c r="E2007" s="18" t="n">
        <v>405</v>
      </c>
      <c r="F2007" s="18" t="inlineStr">
        <is>
          <t>descripcion</t>
        </is>
      </c>
      <c r="G2007" s="18" t="inlineStr">
        <is>
          <t>text</t>
        </is>
      </c>
      <c r="H2007" s="18" t="inlineStr">
        <is>
          <t>No</t>
        </is>
      </c>
      <c r="I2007" s="18" t="inlineStr"/>
      <c r="J2007" s="18" t="inlineStr"/>
      <c r="K2007" s="18" t="inlineStr"/>
      <c r="L2007" s="18" t="inlineStr">
        <is>
          <t>No</t>
        </is>
      </c>
      <c r="M2007" s="18" t="inlineStr">
        <is>
          <t>No</t>
        </is>
      </c>
      <c r="N2007" s="18" t="inlineStr"/>
      <c r="O2007" s="18" t="inlineStr"/>
      <c r="P2007" s="18" t="inlineStr">
        <is>
          <t>Mapeada en internal-institutional-control-service/src/esap/plan-anual-5-roles/entities/rol-plan-anual-5.entity.ts:36 (RolPlanAnual5.descripcion) | Validación: IsNotEmpty, IsOptional, IsString</t>
        </is>
      </c>
      <c r="Q2007" s="18" t="inlineStr">
        <is>
          <t>Regla estructural (redacción revisada)</t>
        </is>
      </c>
      <c r="R2007" s="18" t="inlineStr">
        <is>
          <t>Descripción del rol del plan anual.</t>
        </is>
      </c>
      <c r="S2007" s="18" t="inlineStr">
        <is>
          <t>Alta</t>
        </is>
      </c>
      <c r="T2007" s="18" t="inlineStr">
        <is>
          <t>Convención de nombre, redactada con el contexto de la tabla y el código.</t>
        </is>
      </c>
      <c r="U2007" s="18" t="inlineStr"/>
      <c r="V2007" s="19" t="inlineStr">
        <is>
          <t>Aprobada</t>
        </is>
      </c>
      <c r="W2007" s="19" t="inlineStr"/>
      <c r="X2007" s="19" t="inlineStr">
        <is>
          <t>Aldair González (aprobación en bloque)</t>
        </is>
      </c>
      <c r="Y2007" s="20" t="n">
        <v>46321</v>
      </c>
      <c r="Z2007" s="19" t="inlineStr">
        <is>
          <t>Nivel 2: regla estructural con redacción revisada.</t>
        </is>
      </c>
      <c r="AA2007" s="18">
        <f>IF(OR(V2007="Aprobada"),R2007,IF(AND(OR(V2007="Aprobada con ajuste",V2007="Rechazada"),W2007&lt;&gt;""),W2007,""))</f>
        <v/>
      </c>
    </row>
    <row r="2008">
      <c r="A2008" s="18" t="inlineStr">
        <is>
          <t>C2007</t>
        </is>
      </c>
      <c r="B2008" s="18" t="inlineStr">
        <is>
          <t>Control interno</t>
        </is>
      </c>
      <c r="C2008" s="18" t="inlineStr">
        <is>
          <t>control_interno</t>
        </is>
      </c>
      <c r="D2008" s="18" t="inlineStr">
        <is>
          <t>rol_plan_anual_5</t>
        </is>
      </c>
      <c r="E2008" s="18" t="n">
        <v>405</v>
      </c>
      <c r="F2008" s="18" t="inlineStr">
        <is>
          <t>color</t>
        </is>
      </c>
      <c r="G2008" s="18" t="inlineStr">
        <is>
          <t>character varying(7)</t>
        </is>
      </c>
      <c r="H2008" s="18" t="inlineStr">
        <is>
          <t>No</t>
        </is>
      </c>
      <c r="I2008" s="18" t="inlineStr"/>
      <c r="J2008" s="18" t="inlineStr"/>
      <c r="K2008" s="18" t="inlineStr"/>
      <c r="L2008" s="18" t="inlineStr">
        <is>
          <t>No</t>
        </is>
      </c>
      <c r="M2008" s="18" t="inlineStr">
        <is>
          <t>No</t>
        </is>
      </c>
      <c r="N2008" s="18" t="inlineStr"/>
      <c r="O2008" s="18" t="inlineStr"/>
      <c r="P2008" s="18" t="inlineStr">
        <is>
          <t>Mapeada en internal-institutional-control-service/src/esap/plan-anual-5-roles/entities/rol-plan-anual-5.entity.ts:39 (RolPlanAnual5.color) | Validación: IsOptional, IsString, MaxLength(120)</t>
        </is>
      </c>
      <c r="Q2008" s="18" t="inlineStr">
        <is>
          <t>Propuesta semántica</t>
        </is>
      </c>
      <c r="R2008" s="18" t="inlineStr">
        <is>
          <t>Color hexadecimal con que se muestra el rol en la interfaz. Valor por defecto: #3B82F6.</t>
        </is>
      </c>
      <c r="S2008" s="18" t="inlineStr">
        <is>
          <t>Alta</t>
        </is>
      </c>
      <c r="T2008" s="18" t="inlineStr">
        <is>
          <t>nombre + tipo + defecto</t>
        </is>
      </c>
      <c r="U2008" s="18" t="inlineStr"/>
      <c r="V2008" s="19" t="inlineStr">
        <is>
          <t>Aprobada</t>
        </is>
      </c>
      <c r="W2008" s="19" t="inlineStr"/>
      <c r="X2008" s="19" t="inlineStr">
        <is>
          <t>Aldair González (aprobación en bloque)</t>
        </is>
      </c>
      <c r="Y2008" s="20" t="n">
        <v>46321</v>
      </c>
      <c r="Z2008" s="19" t="inlineStr">
        <is>
          <t>Nivel 1: propuesta del comentario del desarrollador o de confianza alta, o regla de fecha/responsable/motivo.</t>
        </is>
      </c>
      <c r="AA2008" s="18">
        <f>IF(OR(V2008="Aprobada"),R2008,IF(AND(OR(V2008="Aprobada con ajuste",V2008="Rechazada"),W2008&lt;&gt;""),W2008,""))</f>
        <v/>
      </c>
    </row>
    <row r="2009">
      <c r="A2009" s="18" t="inlineStr">
        <is>
          <t>C2008</t>
        </is>
      </c>
      <c r="B2009" s="18" t="inlineStr">
        <is>
          <t>Control interno</t>
        </is>
      </c>
      <c r="C2009" s="18" t="inlineStr">
        <is>
          <t>control_interno</t>
        </is>
      </c>
      <c r="D2009" s="18" t="inlineStr">
        <is>
          <t>rol_plan_anual_5</t>
        </is>
      </c>
      <c r="E2009" s="18" t="n">
        <v>405</v>
      </c>
      <c r="F2009" s="18" t="inlineStr">
        <is>
          <t>porcentaje_cumplimiento</t>
        </is>
      </c>
      <c r="G2009" s="18" t="inlineStr">
        <is>
          <t>integer</t>
        </is>
      </c>
      <c r="H2009" s="18" t="inlineStr">
        <is>
          <t>Sí</t>
        </is>
      </c>
      <c r="I2009" s="18" t="inlineStr"/>
      <c r="J2009" s="18" t="inlineStr"/>
      <c r="K2009" s="18" t="inlineStr"/>
      <c r="L2009" s="18" t="inlineStr">
        <is>
          <t>No</t>
        </is>
      </c>
      <c r="M2009" s="18" t="inlineStr">
        <is>
          <t>Sí</t>
        </is>
      </c>
      <c r="N2009" s="18" t="inlineStr">
        <is>
          <t>Función control_interno.fn_actualizar_cumplimiento_auditorias_vigencia — control_interno.fn_actualizar_cumplimiento_auditorias_vigencia: porcentaje_avance = v_cumplimiento.porcentaje_cumplimiento,</t>
        </is>
      </c>
      <c r="O2009" s="18" t="inlineStr"/>
      <c r="P2009" s="18" t="inlineStr">
        <is>
          <t>Mapeada en internal-institutional-control-service/src/esap/plan-anual-5-roles/entities/rol-plan-anual-5.entity.ts:42 (RolPlanAnual5.porcentaje_cumplimiento) | Validación: IsInt, IsOptional, Max(100), Min(0)</t>
        </is>
      </c>
      <c r="Q2009" s="18" t="inlineStr">
        <is>
          <t>Propuesta semántica</t>
        </is>
      </c>
      <c r="R2009" s="18" t="inlineStr">
        <is>
          <t>Porcentaje de cumplimiento del rol en el plan anual, entre 0 y 100.</t>
        </is>
      </c>
      <c r="S2009" s="18" t="inlineStr">
        <is>
          <t>Alta</t>
        </is>
      </c>
      <c r="T2009" s="18" t="inlineStr">
        <is>
          <t>validaciones + uso en fn_actualizar_cumplimiento_auditorias_vigencia</t>
        </is>
      </c>
      <c r="U2009" s="18" t="inlineStr"/>
      <c r="V2009" s="19" t="inlineStr">
        <is>
          <t>Aprobada</t>
        </is>
      </c>
      <c r="W2009" s="19" t="inlineStr"/>
      <c r="X2009" s="19" t="inlineStr">
        <is>
          <t>Aldair González (aprobación en bloque)</t>
        </is>
      </c>
      <c r="Y2009" s="20" t="n">
        <v>46321</v>
      </c>
      <c r="Z2009" s="19" t="inlineStr">
        <is>
          <t>Nivel 1: propuesta del comentario del desarrollador o de confianza alta, o regla de fecha/responsable/motivo.</t>
        </is>
      </c>
      <c r="AA2009" s="18">
        <f>IF(OR(V2009="Aprobada"),R2009,IF(AND(OR(V2009="Aprobada con ajuste",V2009="Rechazada"),W2009&lt;&gt;""),W2009,""))</f>
        <v/>
      </c>
    </row>
    <row r="2010">
      <c r="A2010" s="18" t="inlineStr">
        <is>
          <t>C2009</t>
        </is>
      </c>
      <c r="B2010" s="18" t="inlineStr">
        <is>
          <t>Control interno</t>
        </is>
      </c>
      <c r="C2010" s="18" t="inlineStr">
        <is>
          <t>control_interno</t>
        </is>
      </c>
      <c r="D2010" s="18" t="inlineStr">
        <is>
          <t>rol_plan_anual_5</t>
        </is>
      </c>
      <c r="E2010" s="18" t="n">
        <v>405</v>
      </c>
      <c r="F2010" s="18" t="inlineStr">
        <is>
          <t>total_actividades</t>
        </is>
      </c>
      <c r="G2010" s="18" t="inlineStr">
        <is>
          <t>integer</t>
        </is>
      </c>
      <c r="H2010" s="18" t="inlineStr">
        <is>
          <t>Sí</t>
        </is>
      </c>
      <c r="I2010" s="18" t="inlineStr"/>
      <c r="J2010" s="18" t="inlineStr"/>
      <c r="K2010" s="18" t="inlineStr"/>
      <c r="L2010" s="18" t="inlineStr">
        <is>
          <t>No</t>
        </is>
      </c>
      <c r="M2010" s="18" t="inlineStr">
        <is>
          <t>No</t>
        </is>
      </c>
      <c r="N2010" s="18" t="inlineStr"/>
      <c r="O2010" s="18" t="inlineStr"/>
      <c r="P2010" s="18" t="inlineStr">
        <is>
          <t>Mapeada en internal-institutional-control-service/src/esap/plan-anual-5-roles/entities/rol-plan-anual-5.entity.ts:45 (RolPlanAnual5.total_actividades)</t>
        </is>
      </c>
      <c r="Q2010" s="18" t="inlineStr">
        <is>
          <t>Propuesta semántica</t>
        </is>
      </c>
      <c r="R2010" s="18" t="inlineStr">
        <is>
          <t>Cantidad total de actividades del rol en el plan anual.</t>
        </is>
      </c>
      <c r="S2010" s="18" t="inlineStr">
        <is>
          <t>Alta</t>
        </is>
      </c>
      <c r="T2010" s="18" t="inlineStr">
        <is>
          <t>nombre + tipo + columnas vecinas</t>
        </is>
      </c>
      <c r="U2010" s="18" t="inlineStr"/>
      <c r="V2010" s="19" t="inlineStr">
        <is>
          <t>Aprobada</t>
        </is>
      </c>
      <c r="W2010" s="19" t="inlineStr"/>
      <c r="X2010" s="19" t="inlineStr">
        <is>
          <t>Aldair González (aprobación en bloque)</t>
        </is>
      </c>
      <c r="Y2010" s="20" t="n">
        <v>46321</v>
      </c>
      <c r="Z2010" s="19" t="inlineStr">
        <is>
          <t>Nivel 1: propuesta del comentario del desarrollador o de confianza alta, o regla de fecha/responsable/motivo.</t>
        </is>
      </c>
      <c r="AA2010" s="18">
        <f>IF(OR(V2010="Aprobada"),R2010,IF(AND(OR(V2010="Aprobada con ajuste",V2010="Rechazada"),W2010&lt;&gt;""),W2010,""))</f>
        <v/>
      </c>
    </row>
    <row r="2011">
      <c r="A2011" s="18" t="inlineStr">
        <is>
          <t>C2010</t>
        </is>
      </c>
      <c r="B2011" s="18" t="inlineStr">
        <is>
          <t>Control interno</t>
        </is>
      </c>
      <c r="C2011" s="18" t="inlineStr">
        <is>
          <t>control_interno</t>
        </is>
      </c>
      <c r="D2011" s="18" t="inlineStr">
        <is>
          <t>seccion_lista_chequeo</t>
        </is>
      </c>
      <c r="E2011" s="18" t="n">
        <v>0</v>
      </c>
      <c r="F2011" s="18" t="inlineStr">
        <is>
          <t>lista_id</t>
        </is>
      </c>
      <c r="G2011" s="18" t="inlineStr">
        <is>
          <t>uuid</t>
        </is>
      </c>
      <c r="H2011" s="18" t="inlineStr">
        <is>
          <t>No</t>
        </is>
      </c>
      <c r="I2011" s="18" t="inlineStr"/>
      <c r="J2011" s="18" t="inlineStr"/>
      <c r="K2011" s="18" t="inlineStr"/>
      <c r="L2011" s="18" t="inlineStr">
        <is>
          <t>No</t>
        </is>
      </c>
      <c r="M2011" s="18" t="inlineStr">
        <is>
          <t>No</t>
        </is>
      </c>
      <c r="N2011" s="18" t="inlineStr"/>
      <c r="O2011" s="18" t="inlineStr">
        <is>
          <t>idx_seccion_lista</t>
        </is>
      </c>
      <c r="P2011" s="18" t="inlineStr"/>
      <c r="Q2011" s="18" t="inlineStr">
        <is>
          <t>Código fuente (verificado)</t>
        </is>
      </c>
      <c r="R2011" s="18" t="inlineStr">
        <is>
          <t>Identificador de la lista de chequeo a la que pertenece la sección (control_interno.lista_chequeo). El DDL de referencia del repositorio declara la FK con borrado en cascada.</t>
        </is>
      </c>
      <c r="S2011" s="18" t="inlineStr">
        <is>
          <t>Alta</t>
        </is>
      </c>
      <c r="T2011" s="18" t="inlineStr">
        <is>
          <t>db/init/005_control_interno_ddl_20260129_215540.sql:6144-6145: FOREIGN KEY (lista_id) REFERENCES control_interno.lista_chequeo(id) ON DELETE CASCADE | internal-institutional-control-service/schema.sql:487-499: tabla e índice idx_seccion_lista</t>
        </is>
      </c>
      <c r="U2011" s="18" t="inlineStr"/>
      <c r="V2011" s="19" t="inlineStr">
        <is>
          <t>Aprobada</t>
        </is>
      </c>
      <c r="W2011" s="19" t="inlineStr"/>
      <c r="X2011" s="19" t="inlineStr">
        <is>
          <t>Aldair González (aprobación en bloque)</t>
        </is>
      </c>
      <c r="Y2011" s="20" t="n">
        <v>46321</v>
      </c>
      <c r="Z2011" s="19" t="inlineStr">
        <is>
          <t>Nivel 3: verificada con el código de la aplicación.</t>
        </is>
      </c>
      <c r="AA2011" s="18">
        <f>IF(OR(V2011="Aprobada"),R2011,IF(AND(OR(V2011="Aprobada con ajuste",V2011="Rechazada"),W2011&lt;&gt;""),W2011,""))</f>
        <v/>
      </c>
    </row>
    <row r="2012">
      <c r="A2012" s="18" t="inlineStr">
        <is>
          <t>C2011</t>
        </is>
      </c>
      <c r="B2012" s="18" t="inlineStr">
        <is>
          <t>Control interno</t>
        </is>
      </c>
      <c r="C2012" s="18" t="inlineStr">
        <is>
          <t>control_interno</t>
        </is>
      </c>
      <c r="D2012" s="18" t="inlineStr">
        <is>
          <t>seccion_lista_chequeo</t>
        </is>
      </c>
      <c r="E2012" s="18" t="n">
        <v>0</v>
      </c>
      <c r="F2012" s="18" t="inlineStr">
        <is>
          <t>orden</t>
        </is>
      </c>
      <c r="G2012" s="18" t="inlineStr">
        <is>
          <t>integer</t>
        </is>
      </c>
      <c r="H2012" s="18" t="inlineStr">
        <is>
          <t>No</t>
        </is>
      </c>
      <c r="I2012" s="18" t="inlineStr"/>
      <c r="J2012" s="18" t="inlineStr"/>
      <c r="K2012" s="18" t="inlineStr"/>
      <c r="L2012" s="18" t="inlineStr">
        <is>
          <t>No</t>
        </is>
      </c>
      <c r="M2012" s="18" t="inlineStr">
        <is>
          <t>No</t>
        </is>
      </c>
      <c r="N2012" s="18" t="inlineStr"/>
      <c r="O2012" s="18" t="inlineStr"/>
      <c r="P2012" s="18" t="inlineStr"/>
      <c r="Q2012" s="18" t="inlineStr">
        <is>
          <t>Regla estructural (redacción revisada)</t>
        </is>
      </c>
      <c r="R2012" s="18" t="inlineStr">
        <is>
          <t>Posición de la sección en la lista de chequeo.</t>
        </is>
      </c>
      <c r="S2012" s="18" t="inlineStr">
        <is>
          <t>Alta</t>
        </is>
      </c>
      <c r="T2012" s="18" t="inlineStr">
        <is>
          <t>Convención de nombre, redactada con el contexto de la tabla y el código.</t>
        </is>
      </c>
      <c r="U2012" s="18" t="inlineStr"/>
      <c r="V2012" s="19" t="inlineStr">
        <is>
          <t>Aprobada</t>
        </is>
      </c>
      <c r="W2012" s="19" t="inlineStr"/>
      <c r="X2012" s="19" t="inlineStr">
        <is>
          <t>Aldair González (aprobación en bloque)</t>
        </is>
      </c>
      <c r="Y2012" s="20" t="n">
        <v>46321</v>
      </c>
      <c r="Z2012" s="19" t="inlineStr">
        <is>
          <t>Nivel 2: regla estructural con redacción revisada.</t>
        </is>
      </c>
      <c r="AA2012" s="18">
        <f>IF(OR(V2012="Aprobada"),R2012,IF(AND(OR(V2012="Aprobada con ajuste",V2012="Rechazada"),W2012&lt;&gt;""),W2012,""))</f>
        <v/>
      </c>
    </row>
    <row r="2013">
      <c r="A2013" s="18" t="inlineStr">
        <is>
          <t>C2012</t>
        </is>
      </c>
      <c r="B2013" s="18" t="inlineStr">
        <is>
          <t>Control interno</t>
        </is>
      </c>
      <c r="C2013" s="18" t="inlineStr">
        <is>
          <t>control_interno</t>
        </is>
      </c>
      <c r="D2013" s="18" t="inlineStr">
        <is>
          <t>seccion_lista_chequeo</t>
        </is>
      </c>
      <c r="E2013" s="18" t="n">
        <v>0</v>
      </c>
      <c r="F2013" s="18" t="inlineStr">
        <is>
          <t>nombre</t>
        </is>
      </c>
      <c r="G2013" s="18" t="inlineStr">
        <is>
          <t>character varying(255)</t>
        </is>
      </c>
      <c r="H2013" s="18" t="inlineStr">
        <is>
          <t>No</t>
        </is>
      </c>
      <c r="I2013" s="18" t="inlineStr"/>
      <c r="J2013" s="18" t="inlineStr"/>
      <c r="K2013" s="18" t="inlineStr"/>
      <c r="L2013" s="18" t="inlineStr">
        <is>
          <t>No</t>
        </is>
      </c>
      <c r="M2013" s="18" t="inlineStr">
        <is>
          <t>No</t>
        </is>
      </c>
      <c r="N2013" s="18" t="inlineStr"/>
      <c r="O2013" s="18" t="inlineStr"/>
      <c r="P2013" s="18" t="inlineStr"/>
      <c r="Q2013" s="18" t="inlineStr">
        <is>
          <t>Regla estructural (redacción revisada)</t>
        </is>
      </c>
      <c r="R2013" s="18" t="inlineStr">
        <is>
          <t>Nombre de la sección de la lista de chequeo.</t>
        </is>
      </c>
      <c r="S2013" s="18" t="inlineStr">
        <is>
          <t>Alta</t>
        </is>
      </c>
      <c r="T2013" s="18" t="inlineStr">
        <is>
          <t>Convención de nombre, redactada con el contexto de la tabla y el código.</t>
        </is>
      </c>
      <c r="U2013" s="18" t="inlineStr"/>
      <c r="V2013" s="19" t="inlineStr">
        <is>
          <t>Aprobada</t>
        </is>
      </c>
      <c r="W2013" s="19" t="inlineStr"/>
      <c r="X2013" s="19" t="inlineStr">
        <is>
          <t>Aldair González (aprobación en bloque)</t>
        </is>
      </c>
      <c r="Y2013" s="20" t="n">
        <v>46321</v>
      </c>
      <c r="Z2013" s="19" t="inlineStr">
        <is>
          <t>Nivel 2: regla estructural con redacción revisada.</t>
        </is>
      </c>
      <c r="AA2013" s="18">
        <f>IF(OR(V2013="Aprobada"),R2013,IF(AND(OR(V2013="Aprobada con ajuste",V2013="Rechazada"),W2013&lt;&gt;""),W2013,""))</f>
        <v/>
      </c>
    </row>
    <row r="2014">
      <c r="A2014" s="18" t="inlineStr">
        <is>
          <t>C2013</t>
        </is>
      </c>
      <c r="B2014" s="18" t="inlineStr">
        <is>
          <t>Control interno</t>
        </is>
      </c>
      <c r="C2014" s="18" t="inlineStr">
        <is>
          <t>control_interno</t>
        </is>
      </c>
      <c r="D2014" s="18" t="inlineStr">
        <is>
          <t>seccion_lista_chequeo</t>
        </is>
      </c>
      <c r="E2014" s="18" t="n">
        <v>0</v>
      </c>
      <c r="F2014" s="18" t="inlineStr">
        <is>
          <t>descripcion</t>
        </is>
      </c>
      <c r="G2014" s="18" t="inlineStr">
        <is>
          <t>text</t>
        </is>
      </c>
      <c r="H2014" s="18" t="inlineStr">
        <is>
          <t>Sí</t>
        </is>
      </c>
      <c r="I2014" s="18" t="inlineStr"/>
      <c r="J2014" s="18" t="inlineStr"/>
      <c r="K2014" s="18" t="inlineStr"/>
      <c r="L2014" s="18" t="inlineStr">
        <is>
          <t>No</t>
        </is>
      </c>
      <c r="M2014" s="18" t="inlineStr">
        <is>
          <t>No</t>
        </is>
      </c>
      <c r="N2014" s="18" t="inlineStr"/>
      <c r="O2014" s="18" t="inlineStr"/>
      <c r="P2014" s="18" t="inlineStr"/>
      <c r="Q2014" s="18" t="inlineStr">
        <is>
          <t>Regla estructural (redacción revisada)</t>
        </is>
      </c>
      <c r="R2014" s="18" t="inlineStr">
        <is>
          <t>Descripción de la sección de la lista de chequeo.</t>
        </is>
      </c>
      <c r="S2014" s="18" t="inlineStr">
        <is>
          <t>Alta</t>
        </is>
      </c>
      <c r="T2014" s="18" t="inlineStr">
        <is>
          <t>Convención de nombre, redactada con el contexto de la tabla y el código.</t>
        </is>
      </c>
      <c r="U2014" s="18" t="inlineStr"/>
      <c r="V2014" s="19" t="inlineStr">
        <is>
          <t>Aprobada</t>
        </is>
      </c>
      <c r="W2014" s="19" t="inlineStr"/>
      <c r="X2014" s="19" t="inlineStr">
        <is>
          <t>Aldair González (aprobación en bloque)</t>
        </is>
      </c>
      <c r="Y2014" s="20" t="n">
        <v>46321</v>
      </c>
      <c r="Z2014" s="19" t="inlineStr">
        <is>
          <t>Nivel 2: regla estructural con redacción revisada.</t>
        </is>
      </c>
      <c r="AA2014" s="18">
        <f>IF(OR(V2014="Aprobada"),R2014,IF(AND(OR(V2014="Aprobada con ajuste",V2014="Rechazada"),W2014&lt;&gt;""),W2014,""))</f>
        <v/>
      </c>
    </row>
    <row r="2015">
      <c r="A2015" s="18" t="inlineStr">
        <is>
          <t>C2014</t>
        </is>
      </c>
      <c r="B2015" s="18" t="inlineStr">
        <is>
          <t>Control interno</t>
        </is>
      </c>
      <c r="C2015" s="18" t="inlineStr">
        <is>
          <t>control_interno</t>
        </is>
      </c>
      <c r="D2015" s="18" t="inlineStr">
        <is>
          <t>seguimiento_plan</t>
        </is>
      </c>
      <c r="E2015" s="18" t="n">
        <v>7</v>
      </c>
      <c r="F2015" s="18" t="inlineStr">
        <is>
          <t>periodicidad</t>
        </is>
      </c>
      <c r="G2015" s="18" t="inlineStr">
        <is>
          <t>character varying(20)</t>
        </is>
      </c>
      <c r="H2015" s="18" t="inlineStr">
        <is>
          <t>No</t>
        </is>
      </c>
      <c r="I2015" s="18" t="inlineStr"/>
      <c r="J2015" s="18" t="inlineStr"/>
      <c r="K2015" s="18" t="inlineStr"/>
      <c r="L2015" s="18" t="inlineStr">
        <is>
          <t>No</t>
        </is>
      </c>
      <c r="M2015" s="18" t="inlineStr">
        <is>
          <t>No</t>
        </is>
      </c>
      <c r="N2015" s="18" t="inlineStr"/>
      <c r="O2015" s="18" t="inlineStr"/>
      <c r="P2015" s="18" t="inlineStr">
        <is>
          <t>internal-institutional-control-service/src/esap/planes-mejoramiento/entities/seguimiento-plan.entity.ts:20: TRIMESTRAL | SEMESTRAL | internal-institutional-control-service/db/init/011_seguimiento_plan_ddl.sql:11: TRIMESTRAL | SEMESTRAL | Validación: IsEnum(['mensual', 'bimestral', 'trimestral', 'cuatrimestral', 'semestral', 'anual']), IsNotEmpty, IsOptional</t>
        </is>
      </c>
      <c r="Q2015" s="18" t="inlineStr">
        <is>
          <t>Código fuente (verificado)</t>
        </is>
      </c>
      <c r="R2015" s="18" t="inlineStr">
        <is>
          <t>Periodicidad del corte de seguimiento del plan de mejoramiento: TRIMESTRAL (control interno) o SEMESTRAL (ente externo). Valor por defecto: TRIMESTRAL.</t>
        </is>
      </c>
      <c r="S2015" s="18" t="inlineStr">
        <is>
          <t>Alta</t>
        </is>
      </c>
      <c r="T2015" s="18" t="inlineStr">
        <is>
          <t>internal-institutional-control-service/src/esap/planes-mejoramiento/entities/seguimiento-plan.entity.ts:20-21: TRIMESTRAL | SEMESTRAL | internal-institutional-control-service/db/init/011_seguimiento_plan_ddl.sql:11: default 'TRIMESTRAL' | internal-institutional-control-service/src/esap/planes-mejoramiento/seguimiento.cron.ts:57-61: TRIMESTRAL para INTERNO y SEMESTRAL para ENTE_EXTERNO | internal-institutional-control-service/src/esap/informes-ley/dto/create-informe-ley.dto.ts:38: la lista en minúscula (mensual…anual) es la periodicidad de los informes de ley, no de esta tabla</t>
        </is>
      </c>
      <c r="U2015" s="18" t="inlineStr"/>
      <c r="V2015" s="19" t="inlineStr">
        <is>
          <t>Aprobada</t>
        </is>
      </c>
      <c r="W2015" s="19" t="inlineStr"/>
      <c r="X2015" s="19" t="inlineStr">
        <is>
          <t>Aldair González (aprobación en bloque)</t>
        </is>
      </c>
      <c r="Y2015" s="20" t="n">
        <v>46321</v>
      </c>
      <c r="Z2015" s="19" t="inlineStr">
        <is>
          <t>Nivel 3: verificada con el código de la aplicación.</t>
        </is>
      </c>
      <c r="AA2015" s="18">
        <f>IF(OR(V2015="Aprobada"),R2015,IF(AND(OR(V2015="Aprobada con ajuste",V2015="Rechazada"),W2015&lt;&gt;""),W2015,""))</f>
        <v/>
      </c>
    </row>
    <row r="2016">
      <c r="A2016" s="18" t="inlineStr">
        <is>
          <t>C2015</t>
        </is>
      </c>
      <c r="B2016" s="18" t="inlineStr">
        <is>
          <t>Control interno</t>
        </is>
      </c>
      <c r="C2016" s="18" t="inlineStr">
        <is>
          <t>control_interno</t>
        </is>
      </c>
      <c r="D2016" s="18" t="inlineStr">
        <is>
          <t>seguimiento_plan</t>
        </is>
      </c>
      <c r="E2016" s="18" t="n">
        <v>7</v>
      </c>
      <c r="F2016" s="18" t="inlineStr">
        <is>
          <t>tipo_control</t>
        </is>
      </c>
      <c r="G2016" s="18" t="inlineStr">
        <is>
          <t>character varying(20)</t>
        </is>
      </c>
      <c r="H2016" s="18" t="inlineStr">
        <is>
          <t>No</t>
        </is>
      </c>
      <c r="I2016" s="18" t="inlineStr"/>
      <c r="J2016" s="18" t="inlineStr"/>
      <c r="K2016" s="18" t="inlineStr"/>
      <c r="L2016" s="18" t="inlineStr">
        <is>
          <t>No</t>
        </is>
      </c>
      <c r="M2016" s="18" t="inlineStr">
        <is>
          <t>No</t>
        </is>
      </c>
      <c r="N2016" s="18" t="inlineStr"/>
      <c r="O2016" s="18" t="inlineStr"/>
      <c r="P2016" s="18" t="inlineStr">
        <is>
          <t>internal-institutional-control-service/src/esap/planes-mejoramiento/entities/seguimiento-plan.entity.ts:24: INTERNO | ENTE_EXTERNO | internal-institutional-control-service/db/init/011_seguimiento_plan_ddl.sql:12: INTERNO | ENTE_EXTERNO</t>
        </is>
      </c>
      <c r="Q2016" s="18" t="inlineStr">
        <is>
          <t>Código fuente</t>
        </is>
      </c>
      <c r="R2016" s="18" t="inlineStr">
        <is>
          <t>Tipo de control del seguimiento. Valores: INTERNO, ENTE_EXTERNO; valor por defecto INTERNO.</t>
        </is>
      </c>
      <c r="S2016" s="18" t="inlineStr">
        <is>
          <t>Alta</t>
        </is>
      </c>
      <c r="T2016" s="18" t="inlineStr">
        <is>
          <t>código: internal-institutional-control-service/src/esap/planes-mejoramiento/entities/seguimiento-plan.entity.ts:24</t>
        </is>
      </c>
      <c r="U2016" s="18" t="inlineStr"/>
      <c r="V2016" s="19" t="inlineStr">
        <is>
          <t>Aprobada</t>
        </is>
      </c>
      <c r="W2016" s="19" t="inlineStr"/>
      <c r="X2016" s="19" t="inlineStr">
        <is>
          <t>Aldair González (aprobación en bloque)</t>
        </is>
      </c>
      <c r="Y2016" s="20" t="n">
        <v>46321</v>
      </c>
      <c r="Z2016" s="19" t="inlineStr">
        <is>
          <t>Nivel 1: propuesta del comentario del desarrollador o de confianza alta, o regla de fecha/responsable/motivo.</t>
        </is>
      </c>
      <c r="AA2016" s="18">
        <f>IF(OR(V2016="Aprobada"),R2016,IF(AND(OR(V2016="Aprobada con ajuste",V2016="Rechazada"),W2016&lt;&gt;""),W2016,""))</f>
        <v/>
      </c>
    </row>
    <row r="2017">
      <c r="A2017" s="18" t="inlineStr">
        <is>
          <t>C2016</t>
        </is>
      </c>
      <c r="B2017" s="18" t="inlineStr">
        <is>
          <t>Control interno</t>
        </is>
      </c>
      <c r="C2017" s="18" t="inlineStr">
        <is>
          <t>control_interno</t>
        </is>
      </c>
      <c r="D2017" s="18" t="inlineStr">
        <is>
          <t>seguimiento_plan</t>
        </is>
      </c>
      <c r="E2017" s="18" t="n">
        <v>7</v>
      </c>
      <c r="F2017" s="18" t="inlineStr">
        <is>
          <t>fecha_corte</t>
        </is>
      </c>
      <c r="G2017" s="18" t="inlineStr">
        <is>
          <t>timestamp without time zone</t>
        </is>
      </c>
      <c r="H2017" s="18" t="inlineStr">
        <is>
          <t>No</t>
        </is>
      </c>
      <c r="I2017" s="18" t="inlineStr"/>
      <c r="J2017" s="18" t="inlineStr"/>
      <c r="K2017" s="18" t="inlineStr"/>
      <c r="L2017" s="18" t="inlineStr">
        <is>
          <t>No</t>
        </is>
      </c>
      <c r="M2017" s="18" t="inlineStr">
        <is>
          <t>No</t>
        </is>
      </c>
      <c r="N2017" s="18" t="inlineStr"/>
      <c r="O2017" s="18" t="inlineStr">
        <is>
          <t>idx_seguimiento_plan_fecha_corte</t>
        </is>
      </c>
      <c r="P2017" s="18" t="inlineStr">
        <is>
          <t>internal-institutional-control-service/src/esap/planes-mejoramiento/entities/seguimiento-plan.entity.ts:28: Fecha de corte del seguimiento | Validación: IsDateString, IsNotEmpty, IsOptional, IsString</t>
        </is>
      </c>
      <c r="Q2017" s="18" t="inlineStr">
        <is>
          <t>Código fuente</t>
        </is>
      </c>
      <c r="R2017" s="18" t="inlineStr">
        <is>
          <t>Fecha de corte del seguimiento.</t>
        </is>
      </c>
      <c r="S2017" s="18" t="inlineStr">
        <is>
          <t>Alta</t>
        </is>
      </c>
      <c r="T2017" s="18" t="inlineStr">
        <is>
          <t>código: internal-institutional-control-service/src/esap/planes-mejoramiento/entities/seguimiento-plan.entity.ts:28</t>
        </is>
      </c>
      <c r="U2017" s="18" t="inlineStr"/>
      <c r="V2017" s="19" t="inlineStr">
        <is>
          <t>Aprobada</t>
        </is>
      </c>
      <c r="W2017" s="19" t="inlineStr"/>
      <c r="X2017" s="19" t="inlineStr">
        <is>
          <t>Aldair González (aprobación en bloque)</t>
        </is>
      </c>
      <c r="Y2017" s="20" t="n">
        <v>46321</v>
      </c>
      <c r="Z2017" s="19" t="inlineStr">
        <is>
          <t>Nivel 1: propuesta del comentario del desarrollador o de confianza alta, o regla de fecha/responsable/motivo.</t>
        </is>
      </c>
      <c r="AA2017" s="18">
        <f>IF(OR(V2017="Aprobada"),R2017,IF(AND(OR(V2017="Aprobada con ajuste",V2017="Rechazada"),W2017&lt;&gt;""),W2017,""))</f>
        <v/>
      </c>
    </row>
    <row r="2018">
      <c r="A2018" s="18" t="inlineStr">
        <is>
          <t>C2017</t>
        </is>
      </c>
      <c r="B2018" s="18" t="inlineStr">
        <is>
          <t>Control interno</t>
        </is>
      </c>
      <c r="C2018" s="18" t="inlineStr">
        <is>
          <t>control_interno</t>
        </is>
      </c>
      <c r="D2018" s="18" t="inlineStr">
        <is>
          <t>seguimiento_plan</t>
        </is>
      </c>
      <c r="E2018" s="18" t="n">
        <v>7</v>
      </c>
      <c r="F2018" s="18" t="inlineStr">
        <is>
          <t>responsable_id</t>
        </is>
      </c>
      <c r="G2018" s="18" t="inlineStr">
        <is>
          <t>character varying(255)</t>
        </is>
      </c>
      <c r="H2018" s="18" t="inlineStr">
        <is>
          <t>No</t>
        </is>
      </c>
      <c r="I2018" s="18" t="inlineStr"/>
      <c r="J2018" s="18" t="inlineStr"/>
      <c r="K2018" s="18" t="inlineStr"/>
      <c r="L2018" s="18" t="inlineStr">
        <is>
          <t>No</t>
        </is>
      </c>
      <c r="M2018" s="18" t="inlineStr">
        <is>
          <t>No</t>
        </is>
      </c>
      <c r="N2018" s="18" t="inlineStr"/>
      <c r="O2018" s="18" t="inlineStr"/>
      <c r="P2018" s="18" t="inlineStr">
        <is>
          <t>internal-institutional-control-service/src/esap/planes-mejoramiento/entities/seguimiento-plan.entity.ts:32: ID del responsable (Jefe OCI / equipo auditor) | Validación: IsOptional, IsUUID, Matches(POSTGRES_UUID_RE, { message: 'responsable_id must be a UUID' })</t>
        </is>
      </c>
      <c r="Q2018" s="18" t="inlineStr">
        <is>
          <t>Código fuente</t>
        </is>
      </c>
      <c r="R2018" s="18" t="inlineStr">
        <is>
          <t>Identificador (UUID) del responsable del seguimiento: jefe de la Oficina de Control Interno o equipo auditor.</t>
        </is>
      </c>
      <c r="S2018" s="18" t="inlineStr">
        <is>
          <t>Alta</t>
        </is>
      </c>
      <c r="T2018" s="18" t="inlineStr">
        <is>
          <t>código: internal-institutional-control-service/src/esap/planes-mejoramiento/entities/seguimiento-plan.entity.ts:32</t>
        </is>
      </c>
      <c r="U2018" s="18" t="inlineStr"/>
      <c r="V2018" s="19" t="inlineStr">
        <is>
          <t>Aprobada</t>
        </is>
      </c>
      <c r="W2018" s="19" t="inlineStr"/>
      <c r="X2018" s="19" t="inlineStr">
        <is>
          <t>Aldair González (aprobación en bloque)</t>
        </is>
      </c>
      <c r="Y2018" s="20" t="n">
        <v>46321</v>
      </c>
      <c r="Z2018" s="19" t="inlineStr">
        <is>
          <t>Nivel 1: propuesta del comentario del desarrollador o de confianza alta, o regla de fecha/responsable/motivo.</t>
        </is>
      </c>
      <c r="AA2018" s="18">
        <f>IF(OR(V2018="Aprobada"),R2018,IF(AND(OR(V2018="Aprobada con ajuste",V2018="Rechazada"),W2018&lt;&gt;""),W2018,""))</f>
        <v/>
      </c>
    </row>
    <row r="2019">
      <c r="A2019" s="18" t="inlineStr">
        <is>
          <t>C2018</t>
        </is>
      </c>
      <c r="B2019" s="18" t="inlineStr">
        <is>
          <t>Control interno</t>
        </is>
      </c>
      <c r="C2019" s="18" t="inlineStr">
        <is>
          <t>control_interno</t>
        </is>
      </c>
      <c r="D2019" s="18" t="inlineStr">
        <is>
          <t>seguimiento_plan</t>
        </is>
      </c>
      <c r="E2019" s="18" t="n">
        <v>7</v>
      </c>
      <c r="F2019" s="18" t="inlineStr">
        <is>
          <t>responsable_nombre</t>
        </is>
      </c>
      <c r="G2019" s="18" t="inlineStr">
        <is>
          <t>character varying(255)</t>
        </is>
      </c>
      <c r="H2019" s="18" t="inlineStr">
        <is>
          <t>Sí</t>
        </is>
      </c>
      <c r="I2019" s="18" t="inlineStr"/>
      <c r="J2019" s="18" t="inlineStr"/>
      <c r="K2019" s="18" t="inlineStr"/>
      <c r="L2019" s="18" t="inlineStr">
        <is>
          <t>No</t>
        </is>
      </c>
      <c r="M2019" s="18" t="inlineStr">
        <is>
          <t>No</t>
        </is>
      </c>
      <c r="N2019" s="18" t="inlineStr"/>
      <c r="O2019" s="18" t="inlineStr"/>
      <c r="P2019" s="18" t="inlineStr">
        <is>
          <t>internal-institutional-control-service/src/esap/planes-mejoramiento/entities/seguimiento-plan.entity.ts:36: Nombre del responsable | Validación: IsOptional, IsString, MaxLength(255)</t>
        </is>
      </c>
      <c r="Q2019" s="18" t="inlineStr">
        <is>
          <t>Código fuente</t>
        </is>
      </c>
      <c r="R2019" s="18" t="inlineStr">
        <is>
          <t>Nombre del responsable del seguimiento.</t>
        </is>
      </c>
      <c r="S2019" s="18" t="inlineStr">
        <is>
          <t>Alta</t>
        </is>
      </c>
      <c r="T2019" s="18" t="inlineStr">
        <is>
          <t>código: internal-institutional-control-service/src/esap/planes-mejoramiento/entities/seguimiento-plan.entity.ts:36</t>
        </is>
      </c>
      <c r="U2019" s="18" t="inlineStr"/>
      <c r="V2019" s="19" t="inlineStr">
        <is>
          <t>Aprobada</t>
        </is>
      </c>
      <c r="W2019" s="19" t="inlineStr"/>
      <c r="X2019" s="19" t="inlineStr">
        <is>
          <t>Aldair González (aprobación en bloque)</t>
        </is>
      </c>
      <c r="Y2019" s="20" t="n">
        <v>46321</v>
      </c>
      <c r="Z2019" s="19" t="inlineStr">
        <is>
          <t>Nivel 1: propuesta del comentario del desarrollador o de confianza alta, o regla de fecha/responsable/motivo.</t>
        </is>
      </c>
      <c r="AA2019" s="18">
        <f>IF(OR(V2019="Aprobada"),R2019,IF(AND(OR(V2019="Aprobada con ajuste",V2019="Rechazada"),W2019&lt;&gt;""),W2019,""))</f>
        <v/>
      </c>
    </row>
    <row r="2020">
      <c r="A2020" s="18" t="inlineStr">
        <is>
          <t>C2019</t>
        </is>
      </c>
      <c r="B2020" s="18" t="inlineStr">
        <is>
          <t>Control interno</t>
        </is>
      </c>
      <c r="C2020" s="18" t="inlineStr">
        <is>
          <t>control_interno</t>
        </is>
      </c>
      <c r="D2020" s="18" t="inlineStr">
        <is>
          <t>seguimiento_plan</t>
        </is>
      </c>
      <c r="E2020" s="18" t="n">
        <v>7</v>
      </c>
      <c r="F2020" s="18" t="inlineStr">
        <is>
          <t>resumen</t>
        </is>
      </c>
      <c r="G2020" s="18" t="inlineStr">
        <is>
          <t>text</t>
        </is>
      </c>
      <c r="H2020" s="18" t="inlineStr">
        <is>
          <t>Sí</t>
        </is>
      </c>
      <c r="I2020" s="18" t="inlineStr"/>
      <c r="J2020" s="18" t="inlineStr"/>
      <c r="K2020" s="18" t="inlineStr"/>
      <c r="L2020" s="18" t="inlineStr">
        <is>
          <t>No</t>
        </is>
      </c>
      <c r="M2020" s="18" t="inlineStr">
        <is>
          <t>No</t>
        </is>
      </c>
      <c r="N2020" s="18" t="inlineStr"/>
      <c r="O2020" s="18" t="inlineStr"/>
      <c r="P2020" s="18" t="inlineStr">
        <is>
          <t>internal-institutional-control-service/src/esap/planes-mejoramiento/entities/seguimiento-plan.entity.ts:40: Resumen ejecutivo del seguimiento</t>
        </is>
      </c>
      <c r="Q2020" s="18" t="inlineStr">
        <is>
          <t>Código fuente</t>
        </is>
      </c>
      <c r="R2020" s="18" t="inlineStr">
        <is>
          <t>Resumen ejecutivo del seguimiento.</t>
        </is>
      </c>
      <c r="S2020" s="18" t="inlineStr">
        <is>
          <t>Alta</t>
        </is>
      </c>
      <c r="T2020" s="18" t="inlineStr">
        <is>
          <t>código: internal-institutional-control-service/src/esap/planes-mejoramiento/entities/seguimiento-plan.entity.ts:40</t>
        </is>
      </c>
      <c r="U2020" s="18" t="inlineStr"/>
      <c r="V2020" s="19" t="inlineStr">
        <is>
          <t>Aprobada</t>
        </is>
      </c>
      <c r="W2020" s="19" t="inlineStr"/>
      <c r="X2020" s="19" t="inlineStr">
        <is>
          <t>Aldair González (aprobación en bloque)</t>
        </is>
      </c>
      <c r="Y2020" s="20" t="n">
        <v>46321</v>
      </c>
      <c r="Z2020" s="19" t="inlineStr">
        <is>
          <t>Nivel 1: propuesta del comentario del desarrollador o de confianza alta, o regla de fecha/responsable/motivo.</t>
        </is>
      </c>
      <c r="AA2020" s="18">
        <f>IF(OR(V2020="Aprobada"),R2020,IF(AND(OR(V2020="Aprobada con ajuste",V2020="Rechazada"),W2020&lt;&gt;""),W2020,""))</f>
        <v/>
      </c>
    </row>
    <row r="2021">
      <c r="A2021" s="18" t="inlineStr">
        <is>
          <t>C2020</t>
        </is>
      </c>
      <c r="B2021" s="18" t="inlineStr">
        <is>
          <t>Control interno</t>
        </is>
      </c>
      <c r="C2021" s="18" t="inlineStr">
        <is>
          <t>control_interno</t>
        </is>
      </c>
      <c r="D2021" s="18" t="inlineStr">
        <is>
          <t>seguimiento_plan</t>
        </is>
      </c>
      <c r="E2021" s="18" t="n">
        <v>7</v>
      </c>
      <c r="F2021" s="18" t="inlineStr">
        <is>
          <t>informe_ref</t>
        </is>
      </c>
      <c r="G2021" s="18" t="inlineStr">
        <is>
          <t>character varying(500)</t>
        </is>
      </c>
      <c r="H2021" s="18" t="inlineStr">
        <is>
          <t>Sí</t>
        </is>
      </c>
      <c r="I2021" s="18" t="inlineStr"/>
      <c r="J2021" s="18" t="inlineStr"/>
      <c r="K2021" s="18" t="inlineStr"/>
      <c r="L2021" s="18" t="inlineStr">
        <is>
          <t>No</t>
        </is>
      </c>
      <c r="M2021" s="18" t="inlineStr">
        <is>
          <t>No</t>
        </is>
      </c>
      <c r="N2021" s="18" t="inlineStr"/>
      <c r="O2021" s="18" t="inlineStr"/>
      <c r="P2021" s="18" t="inlineStr">
        <is>
          <t>internal-institutional-control-service/src/esap/planes-mejoramiento/entities/seguimiento-plan.entity.ts:44: Referencia al informe de ley y seguimiento generado | internal-institutional-control-service/db/init/011_seguimiento_plan_ddl.sql:17: Referencia al informe de ley generado</t>
        </is>
      </c>
      <c r="Q2021" s="18" t="inlineStr">
        <is>
          <t>Código fuente</t>
        </is>
      </c>
      <c r="R2021" s="18" t="inlineStr">
        <is>
          <t>Referencia al informe de ley y seguimiento generado en el corte.</t>
        </is>
      </c>
      <c r="S2021" s="18" t="inlineStr">
        <is>
          <t>Alta</t>
        </is>
      </c>
      <c r="T2021" s="18" t="inlineStr">
        <is>
          <t>código: internal-institutional-control-service/src/esap/planes-mejoramiento/entities/seguimiento-plan.entity.ts:44</t>
        </is>
      </c>
      <c r="U2021" s="18" t="inlineStr"/>
      <c r="V2021" s="19" t="inlineStr">
        <is>
          <t>Aprobada</t>
        </is>
      </c>
      <c r="W2021" s="19" t="inlineStr"/>
      <c r="X2021" s="19" t="inlineStr">
        <is>
          <t>Aldair González (aprobación en bloque)</t>
        </is>
      </c>
      <c r="Y2021" s="20" t="n">
        <v>46321</v>
      </c>
      <c r="Z2021" s="19" t="inlineStr">
        <is>
          <t>Nivel 1: propuesta del comentario del desarrollador o de confianza alta, o regla de fecha/responsable/motivo.</t>
        </is>
      </c>
      <c r="AA2021" s="18">
        <f>IF(OR(V2021="Aprobada"),R2021,IF(AND(OR(V2021="Aprobada con ajuste",V2021="Rechazada"),W2021&lt;&gt;""),W2021,""))</f>
        <v/>
      </c>
    </row>
    <row r="2022">
      <c r="A2022" s="18" t="inlineStr">
        <is>
          <t>C2021</t>
        </is>
      </c>
      <c r="B2022" s="18" t="inlineStr">
        <is>
          <t>Control interno</t>
        </is>
      </c>
      <c r="C2022" s="18" t="inlineStr">
        <is>
          <t>control_interno</t>
        </is>
      </c>
      <c r="D2022" s="18" t="inlineStr">
        <is>
          <t>seguimiento_plan</t>
        </is>
      </c>
      <c r="E2022" s="18" t="n">
        <v>7</v>
      </c>
      <c r="F2022" s="18" t="inlineStr">
        <is>
          <t>total_acciones_evaluadas</t>
        </is>
      </c>
      <c r="G2022" s="18" t="inlineStr">
        <is>
          <t>integer</t>
        </is>
      </c>
      <c r="H2022" s="18" t="inlineStr">
        <is>
          <t>Sí</t>
        </is>
      </c>
      <c r="I2022" s="18" t="inlineStr"/>
      <c r="J2022" s="18" t="inlineStr"/>
      <c r="K2022" s="18" t="inlineStr"/>
      <c r="L2022" s="18" t="inlineStr">
        <is>
          <t>No</t>
        </is>
      </c>
      <c r="M2022" s="18" t="inlineStr">
        <is>
          <t>No</t>
        </is>
      </c>
      <c r="N2022" s="18" t="inlineStr"/>
      <c r="O2022" s="18" t="inlineStr"/>
      <c r="P2022" s="18" t="inlineStr">
        <is>
          <t>internal-institutional-control-service/src/esap/planes-mejoramiento/entities/seguimiento-plan.entity.ts:48: Número total de acciones evaluadas en este corte</t>
        </is>
      </c>
      <c r="Q2022" s="18" t="inlineStr">
        <is>
          <t>Código fuente</t>
        </is>
      </c>
      <c r="R2022" s="18" t="inlineStr">
        <is>
          <t>Número total de acciones del plan evaluadas en el corte.</t>
        </is>
      </c>
      <c r="S2022" s="18" t="inlineStr">
        <is>
          <t>Alta</t>
        </is>
      </c>
      <c r="T2022" s="18" t="inlineStr">
        <is>
          <t>código: internal-institutional-control-service/src/esap/planes-mejoramiento/entities/seguimiento-plan.entity.ts:48</t>
        </is>
      </c>
      <c r="U2022" s="18" t="inlineStr"/>
      <c r="V2022" s="19" t="inlineStr">
        <is>
          <t>Aprobada</t>
        </is>
      </c>
      <c r="W2022" s="19" t="inlineStr"/>
      <c r="X2022" s="19" t="inlineStr">
        <is>
          <t>Aldair González (aprobación en bloque)</t>
        </is>
      </c>
      <c r="Y2022" s="20" t="n">
        <v>46321</v>
      </c>
      <c r="Z2022" s="19" t="inlineStr">
        <is>
          <t>Nivel 1: propuesta del comentario del desarrollador o de confianza alta, o regla de fecha/responsable/motivo.</t>
        </is>
      </c>
      <c r="AA2022" s="18">
        <f>IF(OR(V2022="Aprobada"),R2022,IF(AND(OR(V2022="Aprobada con ajuste",V2022="Rechazada"),W2022&lt;&gt;""),W2022,""))</f>
        <v/>
      </c>
    </row>
    <row r="2023">
      <c r="A2023" s="18" t="inlineStr">
        <is>
          <t>C2022</t>
        </is>
      </c>
      <c r="B2023" s="18" t="inlineStr">
        <is>
          <t>Control interno</t>
        </is>
      </c>
      <c r="C2023" s="18" t="inlineStr">
        <is>
          <t>control_interno</t>
        </is>
      </c>
      <c r="D2023" s="18" t="inlineStr">
        <is>
          <t>seguimiento_plan</t>
        </is>
      </c>
      <c r="E2023" s="18" t="n">
        <v>7</v>
      </c>
      <c r="F2023" s="18" t="inlineStr">
        <is>
          <t>acciones_cumplen</t>
        </is>
      </c>
      <c r="G2023" s="18" t="inlineStr">
        <is>
          <t>integer</t>
        </is>
      </c>
      <c r="H2023" s="18" t="inlineStr">
        <is>
          <t>Sí</t>
        </is>
      </c>
      <c r="I2023" s="18" t="inlineStr"/>
      <c r="J2023" s="18" t="inlineStr"/>
      <c r="K2023" s="18" t="inlineStr"/>
      <c r="L2023" s="18" t="inlineStr">
        <is>
          <t>No</t>
        </is>
      </c>
      <c r="M2023" s="18" t="inlineStr">
        <is>
          <t>No</t>
        </is>
      </c>
      <c r="N2023" s="18" t="inlineStr"/>
      <c r="O2023" s="18" t="inlineStr"/>
      <c r="P2023" s="18" t="inlineStr">
        <is>
          <t>internal-institutional-control-service/src/esap/planes-mejoramiento/entities/seguimiento-plan.entity.ts:52: Acciones que cumplen (cumplimiento = 2)</t>
        </is>
      </c>
      <c r="Q2023" s="18" t="inlineStr">
        <is>
          <t>Código fuente</t>
        </is>
      </c>
      <c r="R2023" s="18" t="inlineStr">
        <is>
          <t>Número de acciones que cumplen en el corte (cumplimiento = 2).</t>
        </is>
      </c>
      <c r="S2023" s="18" t="inlineStr">
        <is>
          <t>Alta</t>
        </is>
      </c>
      <c r="T2023" s="18" t="inlineStr">
        <is>
          <t>código: internal-institutional-control-service/src/esap/planes-mejoramiento/entities/seguimiento-plan.entity.ts:52</t>
        </is>
      </c>
      <c r="U2023" s="18" t="inlineStr"/>
      <c r="V2023" s="19" t="inlineStr">
        <is>
          <t>Aprobada</t>
        </is>
      </c>
      <c r="W2023" s="19" t="inlineStr"/>
      <c r="X2023" s="19" t="inlineStr">
        <is>
          <t>Aldair González (aprobación en bloque)</t>
        </is>
      </c>
      <c r="Y2023" s="20" t="n">
        <v>46321</v>
      </c>
      <c r="Z2023" s="19" t="inlineStr">
        <is>
          <t>Nivel 1: propuesta del comentario del desarrollador o de confianza alta, o regla de fecha/responsable/motivo.</t>
        </is>
      </c>
      <c r="AA2023" s="18">
        <f>IF(OR(V2023="Aprobada"),R2023,IF(AND(OR(V2023="Aprobada con ajuste",V2023="Rechazada"),W2023&lt;&gt;""),W2023,""))</f>
        <v/>
      </c>
    </row>
    <row r="2024">
      <c r="A2024" s="18" t="inlineStr">
        <is>
          <t>C2023</t>
        </is>
      </c>
      <c r="B2024" s="18" t="inlineStr">
        <is>
          <t>Control interno</t>
        </is>
      </c>
      <c r="C2024" s="18" t="inlineStr">
        <is>
          <t>control_interno</t>
        </is>
      </c>
      <c r="D2024" s="18" t="inlineStr">
        <is>
          <t>seguimiento_plan</t>
        </is>
      </c>
      <c r="E2024" s="18" t="n">
        <v>7</v>
      </c>
      <c r="F2024" s="18" t="inlineStr">
        <is>
          <t>acciones_parcial</t>
        </is>
      </c>
      <c r="G2024" s="18" t="inlineStr">
        <is>
          <t>integer</t>
        </is>
      </c>
      <c r="H2024" s="18" t="inlineStr">
        <is>
          <t>Sí</t>
        </is>
      </c>
      <c r="I2024" s="18" t="inlineStr"/>
      <c r="J2024" s="18" t="inlineStr"/>
      <c r="K2024" s="18" t="inlineStr"/>
      <c r="L2024" s="18" t="inlineStr">
        <is>
          <t>No</t>
        </is>
      </c>
      <c r="M2024" s="18" t="inlineStr">
        <is>
          <t>No</t>
        </is>
      </c>
      <c r="N2024" s="18" t="inlineStr"/>
      <c r="O2024" s="18" t="inlineStr"/>
      <c r="P2024" s="18" t="inlineStr">
        <is>
          <t>internal-institutional-control-service/src/esap/planes-mejoramiento/entities/seguimiento-plan.entity.ts:56: Acciones cumplimiento parcial (cumplimiento = 1)</t>
        </is>
      </c>
      <c r="Q2024" s="18" t="inlineStr">
        <is>
          <t>Código fuente</t>
        </is>
      </c>
      <c r="R2024" s="18" t="inlineStr">
        <is>
          <t>Número de acciones con cumplimiento parcial en el corte (cumplimiento = 1).</t>
        </is>
      </c>
      <c r="S2024" s="18" t="inlineStr">
        <is>
          <t>Alta</t>
        </is>
      </c>
      <c r="T2024" s="18" t="inlineStr">
        <is>
          <t>código: internal-institutional-control-service/src/esap/planes-mejoramiento/entities/seguimiento-plan.entity.ts:56</t>
        </is>
      </c>
      <c r="U2024" s="18" t="inlineStr"/>
      <c r="V2024" s="19" t="inlineStr">
        <is>
          <t>Aprobada</t>
        </is>
      </c>
      <c r="W2024" s="19" t="inlineStr"/>
      <c r="X2024" s="19" t="inlineStr">
        <is>
          <t>Aldair González (aprobación en bloque)</t>
        </is>
      </c>
      <c r="Y2024" s="20" t="n">
        <v>46321</v>
      </c>
      <c r="Z2024" s="19" t="inlineStr">
        <is>
          <t>Nivel 1: propuesta del comentario del desarrollador o de confianza alta, o regla de fecha/responsable/motivo.</t>
        </is>
      </c>
      <c r="AA2024" s="18">
        <f>IF(OR(V2024="Aprobada"),R2024,IF(AND(OR(V2024="Aprobada con ajuste",V2024="Rechazada"),W2024&lt;&gt;""),W2024,""))</f>
        <v/>
      </c>
    </row>
    <row r="2025">
      <c r="A2025" s="18" t="inlineStr">
        <is>
          <t>C2024</t>
        </is>
      </c>
      <c r="B2025" s="18" t="inlineStr">
        <is>
          <t>Control interno</t>
        </is>
      </c>
      <c r="C2025" s="18" t="inlineStr">
        <is>
          <t>control_interno</t>
        </is>
      </c>
      <c r="D2025" s="18" t="inlineStr">
        <is>
          <t>seguimiento_plan</t>
        </is>
      </c>
      <c r="E2025" s="18" t="n">
        <v>7</v>
      </c>
      <c r="F2025" s="18" t="inlineStr">
        <is>
          <t>acciones_no_cumplen</t>
        </is>
      </c>
      <c r="G2025" s="18" t="inlineStr">
        <is>
          <t>integer</t>
        </is>
      </c>
      <c r="H2025" s="18" t="inlineStr">
        <is>
          <t>Sí</t>
        </is>
      </c>
      <c r="I2025" s="18" t="inlineStr"/>
      <c r="J2025" s="18" t="inlineStr"/>
      <c r="K2025" s="18" t="inlineStr"/>
      <c r="L2025" s="18" t="inlineStr">
        <is>
          <t>No</t>
        </is>
      </c>
      <c r="M2025" s="18" t="inlineStr">
        <is>
          <t>No</t>
        </is>
      </c>
      <c r="N2025" s="18" t="inlineStr"/>
      <c r="O2025" s="18" t="inlineStr"/>
      <c r="P2025" s="18" t="inlineStr">
        <is>
          <t>internal-institutional-control-service/src/esap/planes-mejoramiento/entities/seguimiento-plan.entity.ts:60: Acciones que no cumplen (cumplimiento = 0)</t>
        </is>
      </c>
      <c r="Q2025" s="18" t="inlineStr">
        <is>
          <t>Código fuente</t>
        </is>
      </c>
      <c r="R2025" s="18" t="inlineStr">
        <is>
          <t>Número de acciones que no cumplen en el corte (cumplimiento = 0).</t>
        </is>
      </c>
      <c r="S2025" s="18" t="inlineStr">
        <is>
          <t>Alta</t>
        </is>
      </c>
      <c r="T2025" s="18" t="inlineStr">
        <is>
          <t>código: internal-institutional-control-service/src/esap/planes-mejoramiento/entities/seguimiento-plan.entity.ts:60</t>
        </is>
      </c>
      <c r="U2025" s="18" t="inlineStr"/>
      <c r="V2025" s="19" t="inlineStr">
        <is>
          <t>Aprobada</t>
        </is>
      </c>
      <c r="W2025" s="19" t="inlineStr"/>
      <c r="X2025" s="19" t="inlineStr">
        <is>
          <t>Aldair González (aprobación en bloque)</t>
        </is>
      </c>
      <c r="Y2025" s="20" t="n">
        <v>46321</v>
      </c>
      <c r="Z2025" s="19" t="inlineStr">
        <is>
          <t>Nivel 1: propuesta del comentario del desarrollador o de confianza alta, o regla de fecha/responsable/motivo.</t>
        </is>
      </c>
      <c r="AA2025" s="18">
        <f>IF(OR(V2025="Aprobada"),R2025,IF(AND(OR(V2025="Aprobada con ajuste",V2025="Rechazada"),W2025&lt;&gt;""),W2025,""))</f>
        <v/>
      </c>
    </row>
    <row r="2026">
      <c r="A2026" s="18" t="inlineStr">
        <is>
          <t>C2025</t>
        </is>
      </c>
      <c r="B2026" s="18" t="inlineStr">
        <is>
          <t>Control interno</t>
        </is>
      </c>
      <c r="C2026" s="18" t="inlineStr">
        <is>
          <t>control_interno</t>
        </is>
      </c>
      <c r="D2026" s="18" t="inlineStr">
        <is>
          <t>seguimiento_plan</t>
        </is>
      </c>
      <c r="E2026" s="18" t="n">
        <v>7</v>
      </c>
      <c r="F2026" s="18" t="inlineStr">
        <is>
          <t>alertas_generadas</t>
        </is>
      </c>
      <c r="G2026" s="18" t="inlineStr">
        <is>
          <t>integer</t>
        </is>
      </c>
      <c r="H2026" s="18" t="inlineStr">
        <is>
          <t>Sí</t>
        </is>
      </c>
      <c r="I2026" s="18" t="inlineStr"/>
      <c r="J2026" s="18" t="inlineStr"/>
      <c r="K2026" s="18" t="inlineStr"/>
      <c r="L2026" s="18" t="inlineStr">
        <is>
          <t>No</t>
        </is>
      </c>
      <c r="M2026" s="18" t="inlineStr">
        <is>
          <t>No</t>
        </is>
      </c>
      <c r="N2026" s="18" t="inlineStr"/>
      <c r="O2026" s="18" t="inlineStr"/>
      <c r="P2026" s="18" t="inlineStr">
        <is>
          <t>internal-institutional-control-service/src/esap/planes-mejoramiento/entities/seguimiento-plan.entity.ts:64: Alertas generadas en este corte</t>
        </is>
      </c>
      <c r="Q2026" s="18" t="inlineStr">
        <is>
          <t>Código fuente</t>
        </is>
      </c>
      <c r="R2026" s="18" t="inlineStr">
        <is>
          <t>Número de alertas generadas en el corte.</t>
        </is>
      </c>
      <c r="S2026" s="18" t="inlineStr">
        <is>
          <t>Alta</t>
        </is>
      </c>
      <c r="T2026" s="18" t="inlineStr">
        <is>
          <t>código: internal-institutional-control-service/src/esap/planes-mejoramiento/entities/seguimiento-plan.entity.ts:64</t>
        </is>
      </c>
      <c r="U2026" s="18" t="inlineStr"/>
      <c r="V2026" s="19" t="inlineStr">
        <is>
          <t>Aprobada</t>
        </is>
      </c>
      <c r="W2026" s="19" t="inlineStr"/>
      <c r="X2026" s="19" t="inlineStr">
        <is>
          <t>Aldair González (aprobación en bloque)</t>
        </is>
      </c>
      <c r="Y2026" s="20" t="n">
        <v>46321</v>
      </c>
      <c r="Z2026" s="19" t="inlineStr">
        <is>
          <t>Nivel 1: propuesta del comentario del desarrollador o de confianza alta, o regla de fecha/responsable/motivo.</t>
        </is>
      </c>
      <c r="AA2026" s="18">
        <f>IF(OR(V2026="Aprobada"),R2026,IF(AND(OR(V2026="Aprobada con ajuste",V2026="Rechazada"),W2026&lt;&gt;""),W2026,""))</f>
        <v/>
      </c>
    </row>
    <row r="2027">
      <c r="A2027" s="18" t="inlineStr">
        <is>
          <t>C2026</t>
        </is>
      </c>
      <c r="B2027" s="18" t="inlineStr">
        <is>
          <t>Control interno</t>
        </is>
      </c>
      <c r="C2027" s="18" t="inlineStr">
        <is>
          <t>control_interno</t>
        </is>
      </c>
      <c r="D2027" s="18" t="inlineStr">
        <is>
          <t>seguimiento_plan</t>
        </is>
      </c>
      <c r="E2027" s="18" t="n">
        <v>7</v>
      </c>
      <c r="F2027" s="18" t="inlineStr">
        <is>
          <t>automatico</t>
        </is>
      </c>
      <c r="G2027" s="18" t="inlineStr">
        <is>
          <t>boolean</t>
        </is>
      </c>
      <c r="H2027" s="18" t="inlineStr">
        <is>
          <t>Sí</t>
        </is>
      </c>
      <c r="I2027" s="18" t="inlineStr"/>
      <c r="J2027" s="18" t="inlineStr"/>
      <c r="K2027" s="18" t="inlineStr"/>
      <c r="L2027" s="18" t="inlineStr">
        <is>
          <t>No</t>
        </is>
      </c>
      <c r="M2027" s="18" t="inlineStr">
        <is>
          <t>No</t>
        </is>
      </c>
      <c r="N2027" s="18" t="inlineStr"/>
      <c r="O2027" s="18" t="inlineStr"/>
      <c r="P2027" s="18" t="inlineStr">
        <is>
          <t>internal-institutional-control-service/src/esap/planes-mejoramiento/entities/seguimiento-plan.entity.ts:68: ¿El seguimiento fue generado automáticamente por el job? | internal-institutional-control-service/db/init/011_seguimiento_plan_ddl.sql:23: TRUE = generado por job</t>
        </is>
      </c>
      <c r="Q2027" s="18" t="inlineStr">
        <is>
          <t>Código fuente</t>
        </is>
      </c>
      <c r="R2027" s="18" t="inlineStr">
        <is>
          <t>Indica si el seguimiento lo generó automáticamente el proceso programado (job): true = generado por el job.</t>
        </is>
      </c>
      <c r="S2027" s="18" t="inlineStr">
        <is>
          <t>Alta</t>
        </is>
      </c>
      <c r="T2027" s="18" t="inlineStr">
        <is>
          <t>código: internal-institutional-control-service/src/esap/planes-mejoramiento/entities/seguimiento-plan.entity.ts:68</t>
        </is>
      </c>
      <c r="U2027" s="18" t="inlineStr"/>
      <c r="V2027" s="19" t="inlineStr">
        <is>
          <t>Aprobada</t>
        </is>
      </c>
      <c r="W2027" s="19" t="inlineStr"/>
      <c r="X2027" s="19" t="inlineStr">
        <is>
          <t>Aldair González (aprobación en bloque)</t>
        </is>
      </c>
      <c r="Y2027" s="20" t="n">
        <v>46321</v>
      </c>
      <c r="Z2027" s="19" t="inlineStr">
        <is>
          <t>Nivel 1: propuesta del comentario del desarrollador o de confianza alta, o regla de fecha/responsable/motivo.</t>
        </is>
      </c>
      <c r="AA2027" s="18">
        <f>IF(OR(V2027="Aprobada"),R2027,IF(AND(OR(V2027="Aprobada con ajuste",V2027="Rechazada"),W2027&lt;&gt;""),W2027,""))</f>
        <v/>
      </c>
    </row>
    <row r="2028">
      <c r="A2028" s="18" t="inlineStr">
        <is>
          <t>C2027</t>
        </is>
      </c>
      <c r="B2028" s="18" t="inlineStr">
        <is>
          <t>Control interno</t>
        </is>
      </c>
      <c r="C2028" s="18" t="inlineStr">
        <is>
          <t>control_interno</t>
        </is>
      </c>
      <c r="D2028" s="18" t="inlineStr">
        <is>
          <t>seguimiento_plan_mejoramiento</t>
        </is>
      </c>
      <c r="E2028" s="18" t="n">
        <v>0</v>
      </c>
      <c r="F2028" s="18" t="inlineStr">
        <is>
          <t>numero_seguimiento</t>
        </is>
      </c>
      <c r="G2028" s="18" t="inlineStr">
        <is>
          <t>integer</t>
        </is>
      </c>
      <c r="H2028" s="18" t="inlineStr">
        <is>
          <t>No</t>
        </is>
      </c>
      <c r="I2028" s="18" t="inlineStr"/>
      <c r="J2028" s="18" t="inlineStr"/>
      <c r="K2028" s="18" t="inlineStr"/>
      <c r="L2028" s="18" t="inlineStr">
        <is>
          <t>No</t>
        </is>
      </c>
      <c r="M2028" s="18" t="inlineStr">
        <is>
          <t>No</t>
        </is>
      </c>
      <c r="N2028" s="18" t="inlineStr"/>
      <c r="O2028" s="18" t="inlineStr">
        <is>
          <t>seguimiento_plan_mejoramiento_plan_id_numero_seguimiento_key</t>
        </is>
      </c>
      <c r="P2028" s="18" t="inlineStr"/>
      <c r="Q2028" s="18" t="inlineStr">
        <is>
          <t>Propuesta semántica</t>
        </is>
      </c>
      <c r="R2028" s="18" t="inlineStr">
        <is>
          <t>Número consecutivo del seguimiento dentro del plan de mejoramiento; único por plan.</t>
        </is>
      </c>
      <c r="S2028" s="18" t="inlineStr">
        <is>
          <t>Alta</t>
        </is>
      </c>
      <c r="T2028" s="18" t="inlineStr">
        <is>
          <t>nombre + índice único (plan_id, numero_seguimiento)</t>
        </is>
      </c>
      <c r="U2028" s="18" t="inlineStr"/>
      <c r="V2028" s="19" t="inlineStr">
        <is>
          <t>Aprobada</t>
        </is>
      </c>
      <c r="W2028" s="19" t="inlineStr"/>
      <c r="X2028" s="19" t="inlineStr">
        <is>
          <t>Aldair González (aprobación en bloque)</t>
        </is>
      </c>
      <c r="Y2028" s="20" t="n">
        <v>46321</v>
      </c>
      <c r="Z2028" s="19" t="inlineStr">
        <is>
          <t>Nivel 1: propuesta del comentario del desarrollador o de confianza alta, o regla de fecha/responsable/motivo.</t>
        </is>
      </c>
      <c r="AA2028" s="18">
        <f>IF(OR(V2028="Aprobada"),R2028,IF(AND(OR(V2028="Aprobada con ajuste",V2028="Rechazada"),W2028&lt;&gt;""),W2028,""))</f>
        <v/>
      </c>
    </row>
    <row r="2029">
      <c r="A2029" s="18" t="inlineStr">
        <is>
          <t>C2028</t>
        </is>
      </c>
      <c r="B2029" s="18" t="inlineStr">
        <is>
          <t>Control interno</t>
        </is>
      </c>
      <c r="C2029" s="18" t="inlineStr">
        <is>
          <t>control_interno</t>
        </is>
      </c>
      <c r="D2029" s="18" t="inlineStr">
        <is>
          <t>seguimiento_plan_mejoramiento</t>
        </is>
      </c>
      <c r="E2029" s="18" t="n">
        <v>0</v>
      </c>
      <c r="F2029" s="18" t="inlineStr">
        <is>
          <t>fecha_seguimiento</t>
        </is>
      </c>
      <c r="G2029" s="18" t="inlineStr">
        <is>
          <t>date</t>
        </is>
      </c>
      <c r="H2029" s="18" t="inlineStr">
        <is>
          <t>No</t>
        </is>
      </c>
      <c r="I2029" s="18" t="inlineStr"/>
      <c r="J2029" s="18" t="inlineStr"/>
      <c r="K2029" s="18" t="inlineStr"/>
      <c r="L2029" s="18" t="inlineStr">
        <is>
          <t>No</t>
        </is>
      </c>
      <c r="M2029" s="18" t="inlineStr">
        <is>
          <t>No</t>
        </is>
      </c>
      <c r="N2029" s="18" t="inlineStr"/>
      <c r="O2029" s="18" t="inlineStr"/>
      <c r="P2029" s="18" t="inlineStr"/>
      <c r="Q2029" s="18" t="inlineStr">
        <is>
          <t>Regla estructural (redacción revisada)</t>
        </is>
      </c>
      <c r="R2029" s="18" t="inlineStr">
        <is>
          <t>Fecha del seguimiento al plan de mejoramiento.</t>
        </is>
      </c>
      <c r="S2029" s="18" t="inlineStr">
        <is>
          <t>Alta</t>
        </is>
      </c>
      <c r="T2029" s="18" t="inlineStr">
        <is>
          <t>Convención de nombre, redactada con el contexto de la tabla y el código.</t>
        </is>
      </c>
      <c r="U2029" s="18" t="inlineStr"/>
      <c r="V2029" s="19" t="inlineStr">
        <is>
          <t>Aprobada</t>
        </is>
      </c>
      <c r="W2029" s="19" t="inlineStr"/>
      <c r="X2029" s="19" t="inlineStr">
        <is>
          <t>Aldair González (aprobación en bloque)</t>
        </is>
      </c>
      <c r="Y2029" s="20" t="n">
        <v>46321</v>
      </c>
      <c r="Z2029" s="19" t="inlineStr">
        <is>
          <t>Nivel 2: regla estructural con redacción revisada.</t>
        </is>
      </c>
      <c r="AA2029" s="18">
        <f>IF(OR(V2029="Aprobada"),R2029,IF(AND(OR(V2029="Aprobada con ajuste",V2029="Rechazada"),W2029&lt;&gt;""),W2029,""))</f>
        <v/>
      </c>
    </row>
    <row r="2030">
      <c r="A2030" s="18" t="inlineStr">
        <is>
          <t>C2029</t>
        </is>
      </c>
      <c r="B2030" s="18" t="inlineStr">
        <is>
          <t>Control interno</t>
        </is>
      </c>
      <c r="C2030" s="18" t="inlineStr">
        <is>
          <t>control_interno</t>
        </is>
      </c>
      <c r="D2030" s="18" t="inlineStr">
        <is>
          <t>seguimiento_plan_mejoramiento</t>
        </is>
      </c>
      <c r="E2030" s="18" t="n">
        <v>0</v>
      </c>
      <c r="F2030" s="18" t="inlineStr">
        <is>
          <t>realizado_por</t>
        </is>
      </c>
      <c r="G2030" s="18" t="inlineStr">
        <is>
          <t>character varying(255)</t>
        </is>
      </c>
      <c r="H2030" s="18" t="inlineStr">
        <is>
          <t>No</t>
        </is>
      </c>
      <c r="I2030" s="18" t="inlineStr"/>
      <c r="J2030" s="18" t="inlineStr"/>
      <c r="K2030" s="18" t="inlineStr"/>
      <c r="L2030" s="18" t="inlineStr">
        <is>
          <t>No</t>
        </is>
      </c>
      <c r="M2030" s="18" t="inlineStr">
        <is>
          <t>No</t>
        </is>
      </c>
      <c r="N2030" s="18" t="inlineStr"/>
      <c r="O2030" s="18" t="inlineStr"/>
      <c r="P2030" s="18" t="inlineStr"/>
      <c r="Q2030" s="18" t="inlineStr">
        <is>
          <t>Código fuente (verificado)</t>
        </is>
      </c>
      <c r="R2030" s="18" t="inlineStr">
        <is>
          <t>Persona que realizó el seguimiento.</t>
        </is>
      </c>
      <c r="S2030" s="18" t="inlineStr">
        <is>
          <t>Media</t>
        </is>
      </c>
      <c r="T2030" s="18" t="inlineStr">
        <is>
          <t>internal-institutional-control-service/schema.sql:279: realizado_por VARCHAR(255) NOT NULL; ninguna entidad ni servicio usa control_interno.seguimiento_plan_mejoramiento</t>
        </is>
      </c>
      <c r="U2030" s="18" t="inlineStr">
        <is>
          <t>¿realizado_por guarda el nombre o el identificador de la persona? La tabla no se usa en el código del servicio.</t>
        </is>
      </c>
      <c r="V2030" s="19" t="inlineStr">
        <is>
          <t>Aprobada</t>
        </is>
      </c>
      <c r="W2030" s="19" t="inlineStr"/>
      <c r="X2030" s="19" t="inlineStr">
        <is>
          <t>Aldair González (validación del responsable de BD)</t>
        </is>
      </c>
      <c r="Y2030" s="20" t="n">
        <v>46321</v>
      </c>
      <c r="Z2030" s="19" t="inlineStr">
        <is>
          <t>Nivel 3: validada por decisión del responsable de la base de datos. Pregunta registrada para desarrollo: ¿realizado_por guarda el nombre o el identificador de la persona? La tabla no se usa en el código del servicio.</t>
        </is>
      </c>
      <c r="AA2030" s="18">
        <f>IF(OR(V2030="Aprobada"),R2030,IF(AND(OR(V2030="Aprobada con ajuste",V2030="Rechazada"),W2030&lt;&gt;""),W2030,""))</f>
        <v/>
      </c>
    </row>
    <row r="2031">
      <c r="A2031" s="18" t="inlineStr">
        <is>
          <t>C2030</t>
        </is>
      </c>
      <c r="B2031" s="18" t="inlineStr">
        <is>
          <t>Control interno</t>
        </is>
      </c>
      <c r="C2031" s="18" t="inlineStr">
        <is>
          <t>control_interno</t>
        </is>
      </c>
      <c r="D2031" s="18" t="inlineStr">
        <is>
          <t>seguimiento_plan_mejoramiento</t>
        </is>
      </c>
      <c r="E2031" s="18" t="n">
        <v>0</v>
      </c>
      <c r="F2031" s="18" t="inlineStr">
        <is>
          <t>observaciones</t>
        </is>
      </c>
      <c r="G2031" s="18" t="inlineStr">
        <is>
          <t>text</t>
        </is>
      </c>
      <c r="H2031" s="18" t="inlineStr">
        <is>
          <t>Sí</t>
        </is>
      </c>
      <c r="I2031" s="18" t="inlineStr"/>
      <c r="J2031" s="18" t="inlineStr"/>
      <c r="K2031" s="18" t="inlineStr"/>
      <c r="L2031" s="18" t="inlineStr">
        <is>
          <t>No</t>
        </is>
      </c>
      <c r="M2031" s="18" t="inlineStr">
        <is>
          <t>No</t>
        </is>
      </c>
      <c r="N2031" s="18" t="inlineStr"/>
      <c r="O2031" s="18" t="inlineStr"/>
      <c r="P2031" s="18" t="inlineStr"/>
      <c r="Q2031" s="18" t="inlineStr">
        <is>
          <t>Regla estructural (redacción revisada)</t>
        </is>
      </c>
      <c r="R2031" s="18" t="inlineStr">
        <is>
          <t>Observaciones sobre el seguimiento al plan de mejoramiento.</t>
        </is>
      </c>
      <c r="S2031" s="18" t="inlineStr">
        <is>
          <t>Alta</t>
        </is>
      </c>
      <c r="T2031" s="18" t="inlineStr">
        <is>
          <t>Convención de nombre, redactada con el contexto de la tabla y el código.</t>
        </is>
      </c>
      <c r="U2031" s="18" t="inlineStr"/>
      <c r="V2031" s="19" t="inlineStr">
        <is>
          <t>Aprobada</t>
        </is>
      </c>
      <c r="W2031" s="19" t="inlineStr"/>
      <c r="X2031" s="19" t="inlineStr">
        <is>
          <t>Aldair González (aprobación en bloque)</t>
        </is>
      </c>
      <c r="Y2031" s="20" t="n">
        <v>46321</v>
      </c>
      <c r="Z2031" s="19" t="inlineStr">
        <is>
          <t>Nivel 2: regla estructural con redacción revisada.</t>
        </is>
      </c>
      <c r="AA2031" s="18">
        <f>IF(OR(V2031="Aprobada"),R2031,IF(AND(OR(V2031="Aprobada con ajuste",V2031="Rechazada"),W2031&lt;&gt;""),W2031,""))</f>
        <v/>
      </c>
    </row>
    <row r="2032">
      <c r="A2032" s="18" t="inlineStr">
        <is>
          <t>C2031</t>
        </is>
      </c>
      <c r="B2032" s="18" t="inlineStr">
        <is>
          <t>Control interno</t>
        </is>
      </c>
      <c r="C2032" s="18" t="inlineStr">
        <is>
          <t>control_interno</t>
        </is>
      </c>
      <c r="D2032" s="18" t="inlineStr">
        <is>
          <t>seguimiento_plan_mejoramiento</t>
        </is>
      </c>
      <c r="E2032" s="18" t="n">
        <v>0</v>
      </c>
      <c r="F2032" s="18" t="inlineStr">
        <is>
          <t>cumplimiento</t>
        </is>
      </c>
      <c r="G2032" s="18" t="inlineStr">
        <is>
          <t>integer</t>
        </is>
      </c>
      <c r="H2032" s="18" t="inlineStr">
        <is>
          <t>Sí</t>
        </is>
      </c>
      <c r="I2032" s="18" t="inlineStr">
        <is>
          <t>CHECK</t>
        </is>
      </c>
      <c r="J2032" s="18" t="inlineStr"/>
      <c r="K2032" s="18" t="inlineStr"/>
      <c r="L2032" s="18" t="inlineStr">
        <is>
          <t>No</t>
        </is>
      </c>
      <c r="M2032" s="18" t="inlineStr">
        <is>
          <t>No</t>
        </is>
      </c>
      <c r="N2032" s="18" t="inlineStr"/>
      <c r="O2032" s="18" t="inlineStr"/>
      <c r="P2032" s="18" t="inlineStr"/>
      <c r="Q2032" s="18" t="inlineStr">
        <is>
          <t>Código fuente (verificado)</t>
        </is>
      </c>
      <c r="R2032" s="18" t="inlineStr">
        <is>
          <t>Porcentaje de cumplimiento registrado en el seguimiento, de 0 a 100. Valor por defecto: 0.</t>
        </is>
      </c>
      <c r="S2032" s="18" t="inlineStr">
        <is>
          <t>Alta</t>
        </is>
      </c>
      <c r="T2032" s="18" t="inlineStr">
        <is>
          <t>internal-institutional-control-service/schema.sql:281: cumplimiento INTEGER DEFAULT 0 CHECK (cumplimiento BETWEEN 0 AND 100)</t>
        </is>
      </c>
      <c r="U2032" s="18" t="inlineStr"/>
      <c r="V2032" s="19" t="inlineStr">
        <is>
          <t>Aprobada</t>
        </is>
      </c>
      <c r="W2032" s="19" t="inlineStr"/>
      <c r="X2032" s="19" t="inlineStr">
        <is>
          <t>Aldair González (aprobación en bloque)</t>
        </is>
      </c>
      <c r="Y2032" s="20" t="n">
        <v>46321</v>
      </c>
      <c r="Z2032" s="19" t="inlineStr">
        <is>
          <t>Nivel 3: verificada con el código de la aplicación.</t>
        </is>
      </c>
      <c r="AA2032" s="18">
        <f>IF(OR(V2032="Aprobada"),R2032,IF(AND(OR(V2032="Aprobada con ajuste",V2032="Rechazada"),W2032&lt;&gt;""),W2032,""))</f>
        <v/>
      </c>
    </row>
    <row r="2033">
      <c r="A2033" s="18" t="inlineStr">
        <is>
          <t>C2032</t>
        </is>
      </c>
      <c r="B2033" s="18" t="inlineStr">
        <is>
          <t>Control interno</t>
        </is>
      </c>
      <c r="C2033" s="18" t="inlineStr">
        <is>
          <t>control_interno</t>
        </is>
      </c>
      <c r="D2033" s="18" t="inlineStr">
        <is>
          <t>seguimiento_plan_mejoramiento</t>
        </is>
      </c>
      <c r="E2033" s="18" t="n">
        <v>0</v>
      </c>
      <c r="F2033" s="18" t="inlineStr">
        <is>
          <t>efectividad</t>
        </is>
      </c>
      <c r="G2033" s="18" t="inlineStr">
        <is>
          <t>integer</t>
        </is>
      </c>
      <c r="H2033" s="18" t="inlineStr">
        <is>
          <t>Sí</t>
        </is>
      </c>
      <c r="I2033" s="18" t="inlineStr">
        <is>
          <t>CHECK</t>
        </is>
      </c>
      <c r="J2033" s="18" t="inlineStr"/>
      <c r="K2033" s="18" t="inlineStr"/>
      <c r="L2033" s="18" t="inlineStr">
        <is>
          <t>No</t>
        </is>
      </c>
      <c r="M2033" s="18" t="inlineStr">
        <is>
          <t>No</t>
        </is>
      </c>
      <c r="N2033" s="18" t="inlineStr"/>
      <c r="O2033" s="18" t="inlineStr"/>
      <c r="P2033" s="18" t="inlineStr"/>
      <c r="Q2033" s="18" t="inlineStr">
        <is>
          <t>Código fuente (verificado)</t>
        </is>
      </c>
      <c r="R2033" s="18" t="inlineStr">
        <is>
          <t>Porcentaje de efectividad registrado en el seguimiento, de 0 a 100. Valor por defecto: 0.</t>
        </is>
      </c>
      <c r="S2033" s="18" t="inlineStr">
        <is>
          <t>Alta</t>
        </is>
      </c>
      <c r="T2033" s="18" t="inlineStr">
        <is>
          <t>internal-institutional-control-service/schema.sql:282: efectividad INTEGER DEFAULT 0 CHECK (efectividad BETWEEN 0 AND 100)</t>
        </is>
      </c>
      <c r="U2033" s="18" t="inlineStr"/>
      <c r="V2033" s="19" t="inlineStr">
        <is>
          <t>Aprobada</t>
        </is>
      </c>
      <c r="W2033" s="19" t="inlineStr"/>
      <c r="X2033" s="19" t="inlineStr">
        <is>
          <t>Aldair González (aprobación en bloque)</t>
        </is>
      </c>
      <c r="Y2033" s="20" t="n">
        <v>46321</v>
      </c>
      <c r="Z2033" s="19" t="inlineStr">
        <is>
          <t>Nivel 3: verificada con el código de la aplicación.</t>
        </is>
      </c>
      <c r="AA2033" s="18">
        <f>IF(OR(V2033="Aprobada"),R2033,IF(AND(OR(V2033="Aprobada con ajuste",V2033="Rechazada"),W2033&lt;&gt;""),W2033,""))</f>
        <v/>
      </c>
    </row>
    <row r="2034">
      <c r="A2034" s="18" t="inlineStr">
        <is>
          <t>C2033</t>
        </is>
      </c>
      <c r="B2034" s="18" t="inlineStr">
        <is>
          <t>Control interno</t>
        </is>
      </c>
      <c r="C2034" s="18" t="inlineStr">
        <is>
          <t>control_interno</t>
        </is>
      </c>
      <c r="D2034" s="18" t="inlineStr">
        <is>
          <t>seguimiento_plan_mejoramiento</t>
        </is>
      </c>
      <c r="E2034" s="18" t="n">
        <v>0</v>
      </c>
      <c r="F2034" s="18" t="inlineStr">
        <is>
          <t>acciones_implementadas</t>
        </is>
      </c>
      <c r="G2034" s="18" t="inlineStr">
        <is>
          <t>integer</t>
        </is>
      </c>
      <c r="H2034" s="18" t="inlineStr">
        <is>
          <t>Sí</t>
        </is>
      </c>
      <c r="I2034" s="18" t="inlineStr"/>
      <c r="J2034" s="18" t="inlineStr"/>
      <c r="K2034" s="18" t="inlineStr"/>
      <c r="L2034" s="18" t="inlineStr">
        <is>
          <t>No</t>
        </is>
      </c>
      <c r="M2034" s="18" t="inlineStr">
        <is>
          <t>No</t>
        </is>
      </c>
      <c r="N2034" s="18" t="inlineStr"/>
      <c r="O2034" s="18" t="inlineStr"/>
      <c r="P2034" s="18" t="inlineStr"/>
      <c r="Q2034" s="18" t="inlineStr">
        <is>
          <t>Propuesta semántica</t>
        </is>
      </c>
      <c r="R2034" s="18" t="inlineStr">
        <is>
          <t>Cantidad de acciones implementadas a la fecha del seguimiento.</t>
        </is>
      </c>
      <c r="S2034" s="18" t="inlineStr">
        <is>
          <t>Alta</t>
        </is>
      </c>
      <c r="T2034" s="18" t="inlineStr">
        <is>
          <t>nombre + tipo + columnas vecinas</t>
        </is>
      </c>
      <c r="U2034" s="18" t="inlineStr"/>
      <c r="V2034" s="19" t="inlineStr">
        <is>
          <t>Aprobada</t>
        </is>
      </c>
      <c r="W2034" s="19" t="inlineStr"/>
      <c r="X2034" s="19" t="inlineStr">
        <is>
          <t>Aldair González (aprobación en bloque)</t>
        </is>
      </c>
      <c r="Y2034" s="20" t="n">
        <v>46321</v>
      </c>
      <c r="Z2034" s="19" t="inlineStr">
        <is>
          <t>Nivel 1: propuesta del comentario del desarrollador o de confianza alta, o regla de fecha/responsable/motivo.</t>
        </is>
      </c>
      <c r="AA2034" s="18">
        <f>IF(OR(V2034="Aprobada"),R2034,IF(AND(OR(V2034="Aprobada con ajuste",V2034="Rechazada"),W2034&lt;&gt;""),W2034,""))</f>
        <v/>
      </c>
    </row>
    <row r="2035">
      <c r="A2035" s="18" t="inlineStr">
        <is>
          <t>C2034</t>
        </is>
      </c>
      <c r="B2035" s="18" t="inlineStr">
        <is>
          <t>Control interno</t>
        </is>
      </c>
      <c r="C2035" s="18" t="inlineStr">
        <is>
          <t>control_interno</t>
        </is>
      </c>
      <c r="D2035" s="18" t="inlineStr">
        <is>
          <t>seguimiento_plan_mejoramiento</t>
        </is>
      </c>
      <c r="E2035" s="18" t="n">
        <v>0</v>
      </c>
      <c r="F2035" s="18" t="inlineStr">
        <is>
          <t>acciones_totales</t>
        </is>
      </c>
      <c r="G2035" s="18" t="inlineStr">
        <is>
          <t>integer</t>
        </is>
      </c>
      <c r="H2035" s="18" t="inlineStr">
        <is>
          <t>Sí</t>
        </is>
      </c>
      <c r="I2035" s="18" t="inlineStr"/>
      <c r="J2035" s="18" t="inlineStr"/>
      <c r="K2035" s="18" t="inlineStr"/>
      <c r="L2035" s="18" t="inlineStr">
        <is>
          <t>No</t>
        </is>
      </c>
      <c r="M2035" s="18" t="inlineStr">
        <is>
          <t>No</t>
        </is>
      </c>
      <c r="N2035" s="18" t="inlineStr"/>
      <c r="O2035" s="18" t="inlineStr"/>
      <c r="P2035" s="18" t="inlineStr"/>
      <c r="Q2035" s="18" t="inlineStr">
        <is>
          <t>Propuesta semántica</t>
        </is>
      </c>
      <c r="R2035" s="18" t="inlineStr">
        <is>
          <t>Cantidad total de acciones del plan de mejoramiento evaluadas en el seguimiento.</t>
        </is>
      </c>
      <c r="S2035" s="18" t="inlineStr">
        <is>
          <t>Alta</t>
        </is>
      </c>
      <c r="T2035" s="18" t="inlineStr">
        <is>
          <t>nombre + tipo + columnas vecinas</t>
        </is>
      </c>
      <c r="U2035" s="18" t="inlineStr"/>
      <c r="V2035" s="19" t="inlineStr">
        <is>
          <t>Aprobada</t>
        </is>
      </c>
      <c r="W2035" s="19" t="inlineStr"/>
      <c r="X2035" s="19" t="inlineStr">
        <is>
          <t>Aldair González (aprobación en bloque)</t>
        </is>
      </c>
      <c r="Y2035" s="20" t="n">
        <v>46321</v>
      </c>
      <c r="Z2035" s="19" t="inlineStr">
        <is>
          <t>Nivel 1: propuesta del comentario del desarrollador o de confianza alta, o regla de fecha/responsable/motivo.</t>
        </is>
      </c>
      <c r="AA2035" s="18">
        <f>IF(OR(V2035="Aprobada"),R2035,IF(AND(OR(V2035="Aprobada con ajuste",V2035="Rechazada"),W2035&lt;&gt;""),W2035,""))</f>
        <v/>
      </c>
    </row>
    <row r="2036">
      <c r="A2036" s="18" t="inlineStr">
        <is>
          <t>C2035</t>
        </is>
      </c>
      <c r="B2036" s="18" t="inlineStr">
        <is>
          <t>Control interno</t>
        </is>
      </c>
      <c r="C2036" s="18" t="inlineStr">
        <is>
          <t>control_interno</t>
        </is>
      </c>
      <c r="D2036" s="18" t="inlineStr">
        <is>
          <t>seguimiento_trimestral</t>
        </is>
      </c>
      <c r="E2036" s="18" t="n">
        <v>0</v>
      </c>
      <c r="F2036" s="18" t="inlineStr">
        <is>
          <t>trimestre</t>
        </is>
      </c>
      <c r="G2036" s="18" t="inlineStr">
        <is>
          <t>integer</t>
        </is>
      </c>
      <c r="H2036" s="18" t="inlineStr">
        <is>
          <t>No</t>
        </is>
      </c>
      <c r="I2036" s="18" t="inlineStr">
        <is>
          <t>CHECK</t>
        </is>
      </c>
      <c r="J2036" s="18" t="inlineStr"/>
      <c r="K2036" s="18" t="inlineStr"/>
      <c r="L2036" s="18" t="inlineStr">
        <is>
          <t>No</t>
        </is>
      </c>
      <c r="M2036" s="18" t="inlineStr">
        <is>
          <t>No</t>
        </is>
      </c>
      <c r="N2036" s="18" t="inlineStr"/>
      <c r="O2036" s="18" t="inlineStr">
        <is>
          <t>idx_seguimiento_trimestral_trimestre</t>
        </is>
      </c>
      <c r="P2036" s="18" t="inlineStr">
        <is>
          <t>Mapeada en internal-institutional-control-service/src/esap/planes-mejoramiento/entities/seguimiento-trimestral.entity.ts:26 (SeguimientoTrimestral.trimestre) | Validación: IsInt, IsOptional, Max(4), Min(1)</t>
        </is>
      </c>
      <c r="Q2036" s="18" t="inlineStr">
        <is>
          <t>Propuesta semántica</t>
        </is>
      </c>
      <c r="R2036" s="18" t="inlineStr">
        <is>
          <t>Trimestre del seguimiento, de 1 a 4.</t>
        </is>
      </c>
      <c r="S2036" s="18" t="inlineStr">
        <is>
          <t>Alta</t>
        </is>
      </c>
      <c r="T2036" s="18" t="inlineStr">
        <is>
          <t>nombre + validaciones Min(1), Max(4)</t>
        </is>
      </c>
      <c r="U2036" s="18" t="inlineStr"/>
      <c r="V2036" s="19" t="inlineStr">
        <is>
          <t>Aprobada</t>
        </is>
      </c>
      <c r="W2036" s="19" t="inlineStr"/>
      <c r="X2036" s="19" t="inlineStr">
        <is>
          <t>Aldair González (aprobación en bloque)</t>
        </is>
      </c>
      <c r="Y2036" s="20" t="n">
        <v>46321</v>
      </c>
      <c r="Z2036" s="19" t="inlineStr">
        <is>
          <t>Nivel 1: propuesta del comentario del desarrollador o de confianza alta, o regla de fecha/responsable/motivo.</t>
        </is>
      </c>
      <c r="AA2036" s="18">
        <f>IF(OR(V2036="Aprobada"),R2036,IF(AND(OR(V2036="Aprobada con ajuste",V2036="Rechazada"),W2036&lt;&gt;""),W2036,""))</f>
        <v/>
      </c>
    </row>
    <row r="2037">
      <c r="A2037" s="18" t="inlineStr">
        <is>
          <t>C2036</t>
        </is>
      </c>
      <c r="B2037" s="18" t="inlineStr">
        <is>
          <t>Control interno</t>
        </is>
      </c>
      <c r="C2037" s="18" t="inlineStr">
        <is>
          <t>control_interno</t>
        </is>
      </c>
      <c r="D2037" s="18" t="inlineStr">
        <is>
          <t>seguimiento_trimestral</t>
        </is>
      </c>
      <c r="E2037" s="18" t="n">
        <v>0</v>
      </c>
      <c r="F2037" s="18" t="inlineStr">
        <is>
          <t>año</t>
        </is>
      </c>
      <c r="G2037" s="18" t="inlineStr">
        <is>
          <t>integer</t>
        </is>
      </c>
      <c r="H2037" s="18" t="inlineStr">
        <is>
          <t>No</t>
        </is>
      </c>
      <c r="I2037" s="18" t="inlineStr"/>
      <c r="J2037" s="18" t="inlineStr"/>
      <c r="K2037" s="18" t="inlineStr"/>
      <c r="L2037" s="18" t="inlineStr">
        <is>
          <t>No</t>
        </is>
      </c>
      <c r="M2037" s="18" t="inlineStr">
        <is>
          <t>No</t>
        </is>
      </c>
      <c r="N2037" s="18" t="inlineStr"/>
      <c r="O2037" s="18" t="inlineStr">
        <is>
          <t>idx_seguimiento_trimestral_trimestre</t>
        </is>
      </c>
      <c r="P2037" s="18" t="inlineStr">
        <is>
          <t>Mapeada en internal-institutional-control-service/src/esap/planes-mejoramiento/entities/seguimiento-trimestral.entity.ts:29 (SeguimientoTrimestral.año) | Validación: IsInt, IsOptional, Max(2100), Min(2020)</t>
        </is>
      </c>
      <c r="Q2037" s="18" t="inlineStr">
        <is>
          <t>Propuesta semántica</t>
        </is>
      </c>
      <c r="R2037" s="18" t="inlineStr">
        <is>
          <t>Año del seguimiento, entre 2020 y 2100.</t>
        </is>
      </c>
      <c r="S2037" s="18" t="inlineStr">
        <is>
          <t>Alta</t>
        </is>
      </c>
      <c r="T2037" s="18" t="inlineStr">
        <is>
          <t>nombre + validaciones</t>
        </is>
      </c>
      <c r="U2037" s="18" t="inlineStr"/>
      <c r="V2037" s="19" t="inlineStr">
        <is>
          <t>Aprobada</t>
        </is>
      </c>
      <c r="W2037" s="19" t="inlineStr"/>
      <c r="X2037" s="19" t="inlineStr">
        <is>
          <t>Aldair González (aprobación en bloque)</t>
        </is>
      </c>
      <c r="Y2037" s="20" t="n">
        <v>46321</v>
      </c>
      <c r="Z2037" s="19" t="inlineStr">
        <is>
          <t>Nivel 1: propuesta del comentario del desarrollador o de confianza alta, o regla de fecha/responsable/motivo.</t>
        </is>
      </c>
      <c r="AA2037" s="18">
        <f>IF(OR(V2037="Aprobada"),R2037,IF(AND(OR(V2037="Aprobada con ajuste",V2037="Rechazada"),W2037&lt;&gt;""),W2037,""))</f>
        <v/>
      </c>
    </row>
    <row r="2038">
      <c r="A2038" s="18" t="inlineStr">
        <is>
          <t>C2037</t>
        </is>
      </c>
      <c r="B2038" s="18" t="inlineStr">
        <is>
          <t>Control interno</t>
        </is>
      </c>
      <c r="C2038" s="18" t="inlineStr">
        <is>
          <t>control_interno</t>
        </is>
      </c>
      <c r="D2038" s="18" t="inlineStr">
        <is>
          <t>seguimiento_trimestral</t>
        </is>
      </c>
      <c r="E2038" s="18" t="n">
        <v>0</v>
      </c>
      <c r="F2038" s="18" t="inlineStr">
        <is>
          <t>fecha_inicio</t>
        </is>
      </c>
      <c r="G2038" s="18" t="inlineStr">
        <is>
          <t>date</t>
        </is>
      </c>
      <c r="H2038" s="18" t="inlineStr">
        <is>
          <t>No</t>
        </is>
      </c>
      <c r="I2038" s="18" t="inlineStr"/>
      <c r="J2038" s="18" t="inlineStr"/>
      <c r="K2038" s="18" t="inlineStr"/>
      <c r="L2038" s="18" t="inlineStr">
        <is>
          <t>No</t>
        </is>
      </c>
      <c r="M2038" s="18" t="inlineStr">
        <is>
          <t>No</t>
        </is>
      </c>
      <c r="N2038" s="18" t="inlineStr"/>
      <c r="O2038" s="18" t="inlineStr"/>
      <c r="P2038" s="18" t="inlineStr">
        <is>
          <t>Mapeada en internal-institutional-control-service/src/esap/planes-mejoramiento/entities/seguimiento-trimestral.entity.ts:32 (SeguimientoTrimestral.fechaInicio) | Validación: IsDateString, IsNotEmpty, IsOptional</t>
        </is>
      </c>
      <c r="Q2038" s="18" t="inlineStr">
        <is>
          <t>Regla estructural (redacción revisada)</t>
        </is>
      </c>
      <c r="R2038" s="18" t="inlineStr">
        <is>
          <t>Fecha de inicio del trimestre de seguimiento.</t>
        </is>
      </c>
      <c r="S2038" s="18" t="inlineStr">
        <is>
          <t>Alta</t>
        </is>
      </c>
      <c r="T2038" s="18" t="inlineStr">
        <is>
          <t>Convención de nombre, redactada con el contexto de la tabla y el código.</t>
        </is>
      </c>
      <c r="U2038" s="18" t="inlineStr"/>
      <c r="V2038" s="19" t="inlineStr">
        <is>
          <t>Aprobada</t>
        </is>
      </c>
      <c r="W2038" s="19" t="inlineStr"/>
      <c r="X2038" s="19" t="inlineStr">
        <is>
          <t>Aldair González (aprobación en bloque)</t>
        </is>
      </c>
      <c r="Y2038" s="20" t="n">
        <v>46321</v>
      </c>
      <c r="Z2038" s="19" t="inlineStr">
        <is>
          <t>Nivel 2: regla estructural con redacción revisada.</t>
        </is>
      </c>
      <c r="AA2038" s="18">
        <f>IF(OR(V2038="Aprobada"),R2038,IF(AND(OR(V2038="Aprobada con ajuste",V2038="Rechazada"),W2038&lt;&gt;""),W2038,""))</f>
        <v/>
      </c>
    </row>
    <row r="2039">
      <c r="A2039" s="18" t="inlineStr">
        <is>
          <t>C2038</t>
        </is>
      </c>
      <c r="B2039" s="18" t="inlineStr">
        <is>
          <t>Control interno</t>
        </is>
      </c>
      <c r="C2039" s="18" t="inlineStr">
        <is>
          <t>control_interno</t>
        </is>
      </c>
      <c r="D2039" s="18" t="inlineStr">
        <is>
          <t>seguimiento_trimestral</t>
        </is>
      </c>
      <c r="E2039" s="18" t="n">
        <v>0</v>
      </c>
      <c r="F2039" s="18" t="inlineStr">
        <is>
          <t>fecha_fin</t>
        </is>
      </c>
      <c r="G2039" s="18" t="inlineStr">
        <is>
          <t>date</t>
        </is>
      </c>
      <c r="H2039" s="18" t="inlineStr">
        <is>
          <t>No</t>
        </is>
      </c>
      <c r="I2039" s="18" t="inlineStr"/>
      <c r="J2039" s="18" t="inlineStr"/>
      <c r="K2039" s="18" t="inlineStr"/>
      <c r="L2039" s="18" t="inlineStr">
        <is>
          <t>No</t>
        </is>
      </c>
      <c r="M2039" s="18" t="inlineStr">
        <is>
          <t>No</t>
        </is>
      </c>
      <c r="N2039" s="18" t="inlineStr"/>
      <c r="O2039" s="18" t="inlineStr"/>
      <c r="P2039" s="18" t="inlineStr">
        <is>
          <t>Mapeada en internal-institutional-control-service/src/esap/planes-mejoramiento/entities/seguimiento-trimestral.entity.ts:35 (SeguimientoTrimestral.fechaFin) | Validación: IsDateString, IsNotEmpty, IsOptional</t>
        </is>
      </c>
      <c r="Q2039" s="18" t="inlineStr">
        <is>
          <t>Regla estructural (redacción revisada)</t>
        </is>
      </c>
      <c r="R2039" s="18" t="inlineStr">
        <is>
          <t>Fecha de finalización del trimestre de seguimiento.</t>
        </is>
      </c>
      <c r="S2039" s="18" t="inlineStr">
        <is>
          <t>Alta</t>
        </is>
      </c>
      <c r="T2039" s="18" t="inlineStr">
        <is>
          <t>Convención de nombre, redactada con el contexto de la tabla y el código.</t>
        </is>
      </c>
      <c r="U2039" s="18" t="inlineStr"/>
      <c r="V2039" s="19" t="inlineStr">
        <is>
          <t>Aprobada</t>
        </is>
      </c>
      <c r="W2039" s="19" t="inlineStr"/>
      <c r="X2039" s="19" t="inlineStr">
        <is>
          <t>Aldair González (aprobación en bloque)</t>
        </is>
      </c>
      <c r="Y2039" s="20" t="n">
        <v>46321</v>
      </c>
      <c r="Z2039" s="19" t="inlineStr">
        <is>
          <t>Nivel 2: regla estructural con redacción revisada.</t>
        </is>
      </c>
      <c r="AA2039" s="18">
        <f>IF(OR(V2039="Aprobada"),R2039,IF(AND(OR(V2039="Aprobada con ajuste",V2039="Rechazada"),W2039&lt;&gt;""),W2039,""))</f>
        <v/>
      </c>
    </row>
    <row r="2040">
      <c r="A2040" s="18" t="inlineStr">
        <is>
          <t>C2039</t>
        </is>
      </c>
      <c r="B2040" s="18" t="inlineStr">
        <is>
          <t>Control interno</t>
        </is>
      </c>
      <c r="C2040" s="18" t="inlineStr">
        <is>
          <t>control_interno</t>
        </is>
      </c>
      <c r="D2040" s="18" t="inlineStr">
        <is>
          <t>seguimiento_trimestral</t>
        </is>
      </c>
      <c r="E2040" s="18" t="n">
        <v>0</v>
      </c>
      <c r="F2040" s="18" t="inlineStr">
        <is>
          <t>fecha_seguimiento</t>
        </is>
      </c>
      <c r="G2040" s="18" t="inlineStr">
        <is>
          <t>date</t>
        </is>
      </c>
      <c r="H2040" s="18" t="inlineStr">
        <is>
          <t>Sí</t>
        </is>
      </c>
      <c r="I2040" s="18" t="inlineStr"/>
      <c r="J2040" s="18" t="inlineStr"/>
      <c r="K2040" s="18" t="inlineStr"/>
      <c r="L2040" s="18" t="inlineStr">
        <is>
          <t>No</t>
        </is>
      </c>
      <c r="M2040" s="18" t="inlineStr">
        <is>
          <t>No</t>
        </is>
      </c>
      <c r="N2040" s="18" t="inlineStr"/>
      <c r="O2040" s="18" t="inlineStr"/>
      <c r="P2040" s="18" t="inlineStr">
        <is>
          <t>Mapeada en internal-institutional-control-service/src/esap/planes-mejoramiento/entities/seguimiento-trimestral.entity.ts:38 (SeguimientoTrimestral.fechaSeguimiento) | Validación: IsDateString, IsOptional</t>
        </is>
      </c>
      <c r="Q2040" s="18" t="inlineStr">
        <is>
          <t>Regla estructural (redacción revisada)</t>
        </is>
      </c>
      <c r="R2040" s="18" t="inlineStr">
        <is>
          <t>Fecha en que se realizó el seguimiento trimestral.</t>
        </is>
      </c>
      <c r="S2040" s="18" t="inlineStr">
        <is>
          <t>Alta</t>
        </is>
      </c>
      <c r="T2040" s="18" t="inlineStr">
        <is>
          <t>Convención de nombre, redactada con el contexto de la tabla y el código.</t>
        </is>
      </c>
      <c r="U2040" s="18" t="inlineStr"/>
      <c r="V2040" s="19" t="inlineStr">
        <is>
          <t>Aprobada</t>
        </is>
      </c>
      <c r="W2040" s="19" t="inlineStr"/>
      <c r="X2040" s="19" t="inlineStr">
        <is>
          <t>Aldair González (aprobación en bloque)</t>
        </is>
      </c>
      <c r="Y2040" s="20" t="n">
        <v>46321</v>
      </c>
      <c r="Z2040" s="19" t="inlineStr">
        <is>
          <t>Nivel 2: regla estructural con redacción revisada.</t>
        </is>
      </c>
      <c r="AA2040" s="18">
        <f>IF(OR(V2040="Aprobada"),R2040,IF(AND(OR(V2040="Aprobada con ajuste",V2040="Rechazada"),W2040&lt;&gt;""),W2040,""))</f>
        <v/>
      </c>
    </row>
    <row r="2041">
      <c r="A2041" s="18" t="inlineStr">
        <is>
          <t>C2040</t>
        </is>
      </c>
      <c r="B2041" s="18" t="inlineStr">
        <is>
          <t>Control interno</t>
        </is>
      </c>
      <c r="C2041" s="18" t="inlineStr">
        <is>
          <t>control_interno</t>
        </is>
      </c>
      <c r="D2041" s="18" t="inlineStr">
        <is>
          <t>seguimiento_trimestral</t>
        </is>
      </c>
      <c r="E2041" s="18" t="n">
        <v>0</v>
      </c>
      <c r="F2041" s="18" t="inlineStr">
        <is>
          <t>avance_global</t>
        </is>
      </c>
      <c r="G2041" s="18" t="inlineStr">
        <is>
          <t>integer</t>
        </is>
      </c>
      <c r="H2041" s="18" t="inlineStr">
        <is>
          <t>Sí</t>
        </is>
      </c>
      <c r="I2041" s="18" t="inlineStr">
        <is>
          <t>CHECK</t>
        </is>
      </c>
      <c r="J2041" s="18" t="inlineStr"/>
      <c r="K2041" s="18" t="inlineStr"/>
      <c r="L2041" s="18" t="inlineStr">
        <is>
          <t>No</t>
        </is>
      </c>
      <c r="M2041" s="18" t="inlineStr">
        <is>
          <t>No</t>
        </is>
      </c>
      <c r="N2041" s="18" t="inlineStr"/>
      <c r="O2041" s="18" t="inlineStr"/>
      <c r="P2041" s="18" t="inlineStr">
        <is>
          <t>Mapeada en internal-institutional-control-service/src/esap/planes-mejoramiento/entities/seguimiento-trimestral.entity.ts:41 (SeguimientoTrimestral.avanceGlobal) | Validación: IsInt, IsOptional, Max(100), Min(0)</t>
        </is>
      </c>
      <c r="Q2041" s="18" t="inlineStr">
        <is>
          <t>Propuesta semántica</t>
        </is>
      </c>
      <c r="R2041" s="18" t="inlineStr">
        <is>
          <t>Porcentaje de avance global en el trimestre, entre 0 y 100.</t>
        </is>
      </c>
      <c r="S2041" s="18" t="inlineStr">
        <is>
          <t>Alta</t>
        </is>
      </c>
      <c r="T2041" s="18" t="inlineStr">
        <is>
          <t>nombre + validaciones</t>
        </is>
      </c>
      <c r="U2041" s="18" t="inlineStr"/>
      <c r="V2041" s="19" t="inlineStr">
        <is>
          <t>Aprobada</t>
        </is>
      </c>
      <c r="W2041" s="19" t="inlineStr"/>
      <c r="X2041" s="19" t="inlineStr">
        <is>
          <t>Aldair González (aprobación en bloque)</t>
        </is>
      </c>
      <c r="Y2041" s="20" t="n">
        <v>46321</v>
      </c>
      <c r="Z2041" s="19" t="inlineStr">
        <is>
          <t>Nivel 1: propuesta del comentario del desarrollador o de confianza alta, o regla de fecha/responsable/motivo.</t>
        </is>
      </c>
      <c r="AA2041" s="18">
        <f>IF(OR(V2041="Aprobada"),R2041,IF(AND(OR(V2041="Aprobada con ajuste",V2041="Rechazada"),W2041&lt;&gt;""),W2041,""))</f>
        <v/>
      </c>
    </row>
    <row r="2042">
      <c r="A2042" s="18" t="inlineStr">
        <is>
          <t>C2041</t>
        </is>
      </c>
      <c r="B2042" s="18" t="inlineStr">
        <is>
          <t>Control interno</t>
        </is>
      </c>
      <c r="C2042" s="18" t="inlineStr">
        <is>
          <t>control_interno</t>
        </is>
      </c>
      <c r="D2042" s="18" t="inlineStr">
        <is>
          <t>seguimiento_trimestral</t>
        </is>
      </c>
      <c r="E2042" s="18" t="n">
        <v>0</v>
      </c>
      <c r="F2042" s="18" t="inlineStr">
        <is>
          <t>porcentaje_cumplimiento</t>
        </is>
      </c>
      <c r="G2042" s="18" t="inlineStr">
        <is>
          <t>integer</t>
        </is>
      </c>
      <c r="H2042" s="18" t="inlineStr">
        <is>
          <t>Sí</t>
        </is>
      </c>
      <c r="I2042" s="18" t="inlineStr">
        <is>
          <t>CHECK</t>
        </is>
      </c>
      <c r="J2042" s="18" t="inlineStr"/>
      <c r="K2042" s="18" t="inlineStr"/>
      <c r="L2042" s="18" t="inlineStr">
        <is>
          <t>No</t>
        </is>
      </c>
      <c r="M2042" s="18" t="inlineStr">
        <is>
          <t>No</t>
        </is>
      </c>
      <c r="N2042" s="18" t="inlineStr"/>
      <c r="O2042" s="18" t="inlineStr"/>
      <c r="P2042" s="18" t="inlineStr">
        <is>
          <t>Mapeada en internal-institutional-control-service/src/esap/planes-mejoramiento/entities/seguimiento-trimestral.entity.ts:44 (SeguimientoTrimestral.porcentajeCumplimiento) | Validación: IsInt, IsOptional, Max(100), Min(0)</t>
        </is>
      </c>
      <c r="Q2042" s="18" t="inlineStr">
        <is>
          <t>Propuesta semántica</t>
        </is>
      </c>
      <c r="R2042" s="18" t="inlineStr">
        <is>
          <t>Porcentaje de cumplimiento en el trimestre, entre 0 y 100.</t>
        </is>
      </c>
      <c r="S2042" s="18" t="inlineStr">
        <is>
          <t>Alta</t>
        </is>
      </c>
      <c r="T2042" s="18" t="inlineStr">
        <is>
          <t>nombre + validaciones</t>
        </is>
      </c>
      <c r="U2042" s="18" t="inlineStr"/>
      <c r="V2042" s="19" t="inlineStr">
        <is>
          <t>Aprobada</t>
        </is>
      </c>
      <c r="W2042" s="19" t="inlineStr"/>
      <c r="X2042" s="19" t="inlineStr">
        <is>
          <t>Aldair González (aprobación en bloque)</t>
        </is>
      </c>
      <c r="Y2042" s="20" t="n">
        <v>46321</v>
      </c>
      <c r="Z2042" s="19" t="inlineStr">
        <is>
          <t>Nivel 1: propuesta del comentario del desarrollador o de confianza alta, o regla de fecha/responsable/motivo.</t>
        </is>
      </c>
      <c r="AA2042" s="18">
        <f>IF(OR(V2042="Aprobada"),R2042,IF(AND(OR(V2042="Aprobada con ajuste",V2042="Rechazada"),W2042&lt;&gt;""),W2042,""))</f>
        <v/>
      </c>
    </row>
    <row r="2043">
      <c r="A2043" s="18" t="inlineStr">
        <is>
          <t>C2042</t>
        </is>
      </c>
      <c r="B2043" s="18" t="inlineStr">
        <is>
          <t>Control interno</t>
        </is>
      </c>
      <c r="C2043" s="18" t="inlineStr">
        <is>
          <t>control_interno</t>
        </is>
      </c>
      <c r="D2043" s="18" t="inlineStr">
        <is>
          <t>seguimiento_trimestral</t>
        </is>
      </c>
      <c r="E2043" s="18" t="n">
        <v>0</v>
      </c>
      <c r="F2043" s="18" t="inlineStr">
        <is>
          <t>porcentaje_efectividad</t>
        </is>
      </c>
      <c r="G2043" s="18" t="inlineStr">
        <is>
          <t>integer</t>
        </is>
      </c>
      <c r="H2043" s="18" t="inlineStr">
        <is>
          <t>Sí</t>
        </is>
      </c>
      <c r="I2043" s="18" t="inlineStr">
        <is>
          <t>CHECK</t>
        </is>
      </c>
      <c r="J2043" s="18" t="inlineStr"/>
      <c r="K2043" s="18" t="inlineStr"/>
      <c r="L2043" s="18" t="inlineStr">
        <is>
          <t>No</t>
        </is>
      </c>
      <c r="M2043" s="18" t="inlineStr">
        <is>
          <t>No</t>
        </is>
      </c>
      <c r="N2043" s="18" t="inlineStr"/>
      <c r="O2043" s="18" t="inlineStr"/>
      <c r="P2043" s="18" t="inlineStr">
        <is>
          <t>Mapeada en internal-institutional-control-service/src/esap/planes-mejoramiento/entities/seguimiento-trimestral.entity.ts:47 (SeguimientoTrimestral.porcentajeEfectividad) | Validación: IsInt, IsOptional, Max(100), Min(0)</t>
        </is>
      </c>
      <c r="Q2043" s="18" t="inlineStr">
        <is>
          <t>Propuesta semántica</t>
        </is>
      </c>
      <c r="R2043" s="18" t="inlineStr">
        <is>
          <t>Porcentaje de efectividad en el trimestre, entre 0 y 100.</t>
        </is>
      </c>
      <c r="S2043" s="18" t="inlineStr">
        <is>
          <t>Alta</t>
        </is>
      </c>
      <c r="T2043" s="18" t="inlineStr">
        <is>
          <t>nombre + validaciones</t>
        </is>
      </c>
      <c r="U2043" s="18" t="inlineStr"/>
      <c r="V2043" s="19" t="inlineStr">
        <is>
          <t>Aprobada</t>
        </is>
      </c>
      <c r="W2043" s="19" t="inlineStr"/>
      <c r="X2043" s="19" t="inlineStr">
        <is>
          <t>Aldair González (aprobación en bloque)</t>
        </is>
      </c>
      <c r="Y2043" s="20" t="n">
        <v>46321</v>
      </c>
      <c r="Z2043" s="19" t="inlineStr">
        <is>
          <t>Nivel 1: propuesta del comentario del desarrollador o de confianza alta, o regla de fecha/responsable/motivo.</t>
        </is>
      </c>
      <c r="AA2043" s="18">
        <f>IF(OR(V2043="Aprobada"),R2043,IF(AND(OR(V2043="Aprobada con ajuste",V2043="Rechazada"),W2043&lt;&gt;""),W2043,""))</f>
        <v/>
      </c>
    </row>
    <row r="2044">
      <c r="A2044" s="18" t="inlineStr">
        <is>
          <t>C2043</t>
        </is>
      </c>
      <c r="B2044" s="18" t="inlineStr">
        <is>
          <t>Control interno</t>
        </is>
      </c>
      <c r="C2044" s="18" t="inlineStr">
        <is>
          <t>control_interno</t>
        </is>
      </c>
      <c r="D2044" s="18" t="inlineStr">
        <is>
          <t>seguimiento_trimestral</t>
        </is>
      </c>
      <c r="E2044" s="18" t="n">
        <v>0</v>
      </c>
      <c r="F2044" s="18" t="inlineStr">
        <is>
          <t>acciones_revisadas</t>
        </is>
      </c>
      <c r="G2044" s="18" t="inlineStr">
        <is>
          <t>integer</t>
        </is>
      </c>
      <c r="H2044" s="18" t="inlineStr">
        <is>
          <t>Sí</t>
        </is>
      </c>
      <c r="I2044" s="18" t="inlineStr"/>
      <c r="J2044" s="18" t="inlineStr"/>
      <c r="K2044" s="18" t="inlineStr"/>
      <c r="L2044" s="18" t="inlineStr">
        <is>
          <t>No</t>
        </is>
      </c>
      <c r="M2044" s="18" t="inlineStr">
        <is>
          <t>No</t>
        </is>
      </c>
      <c r="N2044" s="18" t="inlineStr"/>
      <c r="O2044" s="18" t="inlineStr"/>
      <c r="P2044" s="18" t="inlineStr">
        <is>
          <t>Mapeada en internal-institutional-control-service/src/esap/planes-mejoramiento/entities/seguimiento-trimestral.entity.ts:50 (SeguimientoTrimestral.accionesRevisadas) | Validación: IsInt, IsOptional, Min(0)</t>
        </is>
      </c>
      <c r="Q2044" s="18" t="inlineStr">
        <is>
          <t>Propuesta semántica</t>
        </is>
      </c>
      <c r="R2044" s="18" t="inlineStr">
        <is>
          <t>Cantidad de acciones revisadas en el seguimiento trimestral.</t>
        </is>
      </c>
      <c r="S2044" s="18" t="inlineStr">
        <is>
          <t>Alta</t>
        </is>
      </c>
      <c r="T2044" s="18" t="inlineStr">
        <is>
          <t>nombre + tipo + columnas vecinas</t>
        </is>
      </c>
      <c r="U2044" s="18" t="inlineStr"/>
      <c r="V2044" s="19" t="inlineStr">
        <is>
          <t>Aprobada</t>
        </is>
      </c>
      <c r="W2044" s="19" t="inlineStr"/>
      <c r="X2044" s="19" t="inlineStr">
        <is>
          <t>Aldair González (aprobación en bloque)</t>
        </is>
      </c>
      <c r="Y2044" s="20" t="n">
        <v>46321</v>
      </c>
      <c r="Z2044" s="19" t="inlineStr">
        <is>
          <t>Nivel 1: propuesta del comentario del desarrollador o de confianza alta, o regla de fecha/responsable/motivo.</t>
        </is>
      </c>
      <c r="AA2044" s="18">
        <f>IF(OR(V2044="Aprobada"),R2044,IF(AND(OR(V2044="Aprobada con ajuste",V2044="Rechazada"),W2044&lt;&gt;""),W2044,""))</f>
        <v/>
      </c>
    </row>
    <row r="2045">
      <c r="A2045" s="18" t="inlineStr">
        <is>
          <t>C2044</t>
        </is>
      </c>
      <c r="B2045" s="18" t="inlineStr">
        <is>
          <t>Control interno</t>
        </is>
      </c>
      <c r="C2045" s="18" t="inlineStr">
        <is>
          <t>control_interno</t>
        </is>
      </c>
      <c r="D2045" s="18" t="inlineStr">
        <is>
          <t>seguimiento_trimestral</t>
        </is>
      </c>
      <c r="E2045" s="18" t="n">
        <v>0</v>
      </c>
      <c r="F2045" s="18" t="inlineStr">
        <is>
          <t>acciones_totales</t>
        </is>
      </c>
      <c r="G2045" s="18" t="inlineStr">
        <is>
          <t>integer</t>
        </is>
      </c>
      <c r="H2045" s="18" t="inlineStr">
        <is>
          <t>Sí</t>
        </is>
      </c>
      <c r="I2045" s="18" t="inlineStr"/>
      <c r="J2045" s="18" t="inlineStr"/>
      <c r="K2045" s="18" t="inlineStr"/>
      <c r="L2045" s="18" t="inlineStr">
        <is>
          <t>No</t>
        </is>
      </c>
      <c r="M2045" s="18" t="inlineStr">
        <is>
          <t>No</t>
        </is>
      </c>
      <c r="N2045" s="18" t="inlineStr"/>
      <c r="O2045" s="18" t="inlineStr"/>
      <c r="P2045" s="18" t="inlineStr">
        <is>
          <t>Mapeada en internal-institutional-control-service/src/esap/planes-mejoramiento/entities/seguimiento-trimestral.entity.ts:53 (SeguimientoTrimestral.accionesTotales) | Validación: IsInt, IsOptional, Min(0)</t>
        </is>
      </c>
      <c r="Q2045" s="18" t="inlineStr">
        <is>
          <t>Propuesta semántica</t>
        </is>
      </c>
      <c r="R2045" s="18" t="inlineStr">
        <is>
          <t>Cantidad total de acciones del plan en el seguimiento trimestral.</t>
        </is>
      </c>
      <c r="S2045" s="18" t="inlineStr">
        <is>
          <t>Alta</t>
        </is>
      </c>
      <c r="T2045" s="18" t="inlineStr">
        <is>
          <t>nombre + tipo + columnas vecinas</t>
        </is>
      </c>
      <c r="U2045" s="18" t="inlineStr"/>
      <c r="V2045" s="19" t="inlineStr">
        <is>
          <t>Aprobada</t>
        </is>
      </c>
      <c r="W2045" s="19" t="inlineStr"/>
      <c r="X2045" s="19" t="inlineStr">
        <is>
          <t>Aldair González (aprobación en bloque)</t>
        </is>
      </c>
      <c r="Y2045" s="20" t="n">
        <v>46321</v>
      </c>
      <c r="Z2045" s="19" t="inlineStr">
        <is>
          <t>Nivel 1: propuesta del comentario del desarrollador o de confianza alta, o regla de fecha/responsable/motivo.</t>
        </is>
      </c>
      <c r="AA2045" s="18">
        <f>IF(OR(V2045="Aprobada"),R2045,IF(AND(OR(V2045="Aprobada con ajuste",V2045="Rechazada"),W2045&lt;&gt;""),W2045,""))</f>
        <v/>
      </c>
    </row>
    <row r="2046">
      <c r="A2046" s="18" t="inlineStr">
        <is>
          <t>C2045</t>
        </is>
      </c>
      <c r="B2046" s="18" t="inlineStr">
        <is>
          <t>Control interno</t>
        </is>
      </c>
      <c r="C2046" s="18" t="inlineStr">
        <is>
          <t>control_interno</t>
        </is>
      </c>
      <c r="D2046" s="18" t="inlineStr">
        <is>
          <t>seguimiento_trimestral</t>
        </is>
      </c>
      <c r="E2046" s="18" t="n">
        <v>0</v>
      </c>
      <c r="F2046" s="18" t="inlineStr">
        <is>
          <t>observaciones_generales</t>
        </is>
      </c>
      <c r="G2046" s="18" t="inlineStr">
        <is>
          <t>text</t>
        </is>
      </c>
      <c r="H2046" s="18" t="inlineStr">
        <is>
          <t>Sí</t>
        </is>
      </c>
      <c r="I2046" s="18" t="inlineStr"/>
      <c r="J2046" s="18" t="inlineStr"/>
      <c r="K2046" s="18" t="inlineStr"/>
      <c r="L2046" s="18" t="inlineStr">
        <is>
          <t>No</t>
        </is>
      </c>
      <c r="M2046" s="18" t="inlineStr">
        <is>
          <t>No</t>
        </is>
      </c>
      <c r="N2046" s="18" t="inlineStr"/>
      <c r="O2046" s="18" t="inlineStr"/>
      <c r="P2046" s="18" t="inlineStr">
        <is>
          <t>Mapeada en internal-institutional-control-service/src/esap/planes-mejoramiento/entities/seguimiento-trimestral.entity.ts:56 (SeguimientoTrimestral.observacionesGenerales) | Validación: IsOptional, IsString</t>
        </is>
      </c>
      <c r="Q2046" s="18" t="inlineStr">
        <is>
          <t>Propuesta semántica</t>
        </is>
      </c>
      <c r="R2046" s="18" t="inlineStr">
        <is>
          <t>Observaciones generales del seguimiento trimestral.</t>
        </is>
      </c>
      <c r="S2046" s="18" t="inlineStr">
        <is>
          <t>Alta</t>
        </is>
      </c>
      <c r="T2046" s="18" t="inlineStr">
        <is>
          <t>nombre + tipo + columnas vecinas</t>
        </is>
      </c>
      <c r="U2046" s="18" t="inlineStr"/>
      <c r="V2046" s="19" t="inlineStr">
        <is>
          <t>Aprobada</t>
        </is>
      </c>
      <c r="W2046" s="19" t="inlineStr"/>
      <c r="X2046" s="19" t="inlineStr">
        <is>
          <t>Aldair González (aprobación en bloque)</t>
        </is>
      </c>
      <c r="Y2046" s="20" t="n">
        <v>46321</v>
      </c>
      <c r="Z2046" s="19" t="inlineStr">
        <is>
          <t>Nivel 1: propuesta del comentario del desarrollador o de confianza alta, o regla de fecha/responsable/motivo.</t>
        </is>
      </c>
      <c r="AA2046" s="18">
        <f>IF(OR(V2046="Aprobada"),R2046,IF(AND(OR(V2046="Aprobada con ajuste",V2046="Rechazada"),W2046&lt;&gt;""),W2046,""))</f>
        <v/>
      </c>
    </row>
    <row r="2047">
      <c r="A2047" s="18" t="inlineStr">
        <is>
          <t>C2046</t>
        </is>
      </c>
      <c r="B2047" s="18" t="inlineStr">
        <is>
          <t>Control interno</t>
        </is>
      </c>
      <c r="C2047" s="18" t="inlineStr">
        <is>
          <t>control_interno</t>
        </is>
      </c>
      <c r="D2047" s="18" t="inlineStr">
        <is>
          <t>sesiones_esap</t>
        </is>
      </c>
      <c r="E2047" s="18" t="n">
        <v>0</v>
      </c>
      <c r="F2047" s="18" t="inlineStr">
        <is>
          <t>token</t>
        </is>
      </c>
      <c r="G2047" s="18" t="inlineStr">
        <is>
          <t>character varying(500)</t>
        </is>
      </c>
      <c r="H2047" s="18" t="inlineStr">
        <is>
          <t>No</t>
        </is>
      </c>
      <c r="I2047" s="18" t="inlineStr">
        <is>
          <t>Única</t>
        </is>
      </c>
      <c r="J2047" s="18" t="inlineStr"/>
      <c r="K2047" s="18" t="inlineStr"/>
      <c r="L2047" s="18" t="inlineStr">
        <is>
          <t>No</t>
        </is>
      </c>
      <c r="M2047" s="18" t="inlineStr">
        <is>
          <t>No</t>
        </is>
      </c>
      <c r="N2047" s="18" t="inlineStr"/>
      <c r="O2047" s="18" t="inlineStr">
        <is>
          <t>idx_sesiones_token, sesiones_esap_token_key</t>
        </is>
      </c>
      <c r="P2047" s="18" t="inlineStr"/>
      <c r="Q2047" s="18" t="inlineStr">
        <is>
          <t>Propuesta semántica</t>
        </is>
      </c>
      <c r="R2047" s="18" t="inlineStr">
        <is>
          <t>Token único de la sesión del usuario.</t>
        </is>
      </c>
      <c r="S2047" s="18" t="inlineStr">
        <is>
          <t>Alta</t>
        </is>
      </c>
      <c r="T2047" s="18" t="inlineStr">
        <is>
          <t>nombre + restricción única</t>
        </is>
      </c>
      <c r="U2047" s="18" t="inlineStr"/>
      <c r="V2047" s="19" t="inlineStr">
        <is>
          <t>Aprobada</t>
        </is>
      </c>
      <c r="W2047" s="19" t="inlineStr"/>
      <c r="X2047" s="19" t="inlineStr">
        <is>
          <t>Aldair González (aprobación en bloque)</t>
        </is>
      </c>
      <c r="Y2047" s="20" t="n">
        <v>46321</v>
      </c>
      <c r="Z2047" s="19" t="inlineStr">
        <is>
          <t>Nivel 1: propuesta del comentario del desarrollador o de confianza alta, o regla de fecha/responsable/motivo.</t>
        </is>
      </c>
      <c r="AA2047" s="18">
        <f>IF(OR(V2047="Aprobada"),R2047,IF(AND(OR(V2047="Aprobada con ajuste",V2047="Rechazada"),W2047&lt;&gt;""),W2047,""))</f>
        <v/>
      </c>
    </row>
    <row r="2048">
      <c r="A2048" s="18" t="inlineStr">
        <is>
          <t>C2047</t>
        </is>
      </c>
      <c r="B2048" s="18" t="inlineStr">
        <is>
          <t>Control interno</t>
        </is>
      </c>
      <c r="C2048" s="18" t="inlineStr">
        <is>
          <t>control_interno</t>
        </is>
      </c>
      <c r="D2048" s="18" t="inlineStr">
        <is>
          <t>sesiones_esap</t>
        </is>
      </c>
      <c r="E2048" s="18" t="n">
        <v>0</v>
      </c>
      <c r="F2048" s="18" t="inlineStr">
        <is>
          <t>ip_address</t>
        </is>
      </c>
      <c r="G2048" s="18" t="inlineStr">
        <is>
          <t>character varying(45)</t>
        </is>
      </c>
      <c r="H2048" s="18" t="inlineStr">
        <is>
          <t>Sí</t>
        </is>
      </c>
      <c r="I2048" s="18" t="inlineStr"/>
      <c r="J2048" s="18" t="inlineStr"/>
      <c r="K2048" s="18" t="inlineStr"/>
      <c r="L2048" s="18" t="inlineStr">
        <is>
          <t>No</t>
        </is>
      </c>
      <c r="M2048" s="18" t="inlineStr">
        <is>
          <t>No</t>
        </is>
      </c>
      <c r="N2048" s="18" t="inlineStr"/>
      <c r="O2048" s="18" t="inlineStr"/>
      <c r="P2048" s="18" t="inlineStr"/>
      <c r="Q2048" s="18" t="inlineStr">
        <is>
          <t>Propuesta semántica</t>
        </is>
      </c>
      <c r="R2048" s="18" t="inlineStr">
        <is>
          <t>Dirección IP desde la que se inició la sesión (IPv4 o IPv6).</t>
        </is>
      </c>
      <c r="S2048" s="18" t="inlineStr">
        <is>
          <t>Alta</t>
        </is>
      </c>
      <c r="T2048" s="18" t="inlineStr">
        <is>
          <t>nombre + tipo (longitud 45)</t>
        </is>
      </c>
      <c r="U2048" s="18" t="inlineStr"/>
      <c r="V2048" s="19" t="inlineStr">
        <is>
          <t>Aprobada</t>
        </is>
      </c>
      <c r="W2048" s="19" t="inlineStr"/>
      <c r="X2048" s="19" t="inlineStr">
        <is>
          <t>Aldair González (aprobación en bloque)</t>
        </is>
      </c>
      <c r="Y2048" s="20" t="n">
        <v>46321</v>
      </c>
      <c r="Z2048" s="19" t="inlineStr">
        <is>
          <t>Nivel 1: propuesta del comentario del desarrollador o de confianza alta, o regla de fecha/responsable/motivo.</t>
        </is>
      </c>
      <c r="AA2048" s="18">
        <f>IF(OR(V2048="Aprobada"),R2048,IF(AND(OR(V2048="Aprobada con ajuste",V2048="Rechazada"),W2048&lt;&gt;""),W2048,""))</f>
        <v/>
      </c>
    </row>
    <row r="2049">
      <c r="A2049" s="18" t="inlineStr">
        <is>
          <t>C2048</t>
        </is>
      </c>
      <c r="B2049" s="18" t="inlineStr">
        <is>
          <t>Control interno</t>
        </is>
      </c>
      <c r="C2049" s="18" t="inlineStr">
        <is>
          <t>control_interno</t>
        </is>
      </c>
      <c r="D2049" s="18" t="inlineStr">
        <is>
          <t>sesiones_esap</t>
        </is>
      </c>
      <c r="E2049" s="18" t="n">
        <v>0</v>
      </c>
      <c r="F2049" s="18" t="inlineStr">
        <is>
          <t>user_agent</t>
        </is>
      </c>
      <c r="G2049" s="18" t="inlineStr">
        <is>
          <t>text</t>
        </is>
      </c>
      <c r="H2049" s="18" t="inlineStr">
        <is>
          <t>Sí</t>
        </is>
      </c>
      <c r="I2049" s="18" t="inlineStr"/>
      <c r="J2049" s="18" t="inlineStr"/>
      <c r="K2049" s="18" t="inlineStr"/>
      <c r="L2049" s="18" t="inlineStr">
        <is>
          <t>No</t>
        </is>
      </c>
      <c r="M2049" s="18" t="inlineStr">
        <is>
          <t>No</t>
        </is>
      </c>
      <c r="N2049" s="18" t="inlineStr"/>
      <c r="O2049" s="18" t="inlineStr"/>
      <c r="P2049" s="18" t="inlineStr"/>
      <c r="Q2049" s="18" t="inlineStr">
        <is>
          <t>Regla estructural (redacción revisada)</t>
        </is>
      </c>
      <c r="R2049" s="18" t="inlineStr">
        <is>
          <t>Agente de usuario (navegador) de la sesión.</t>
        </is>
      </c>
      <c r="S2049" s="18" t="inlineStr">
        <is>
          <t>Alta</t>
        </is>
      </c>
      <c r="T2049" s="18" t="inlineStr">
        <is>
          <t>Convención de nombre, redactada con el contexto de la tabla y el código.</t>
        </is>
      </c>
      <c r="U2049" s="18" t="inlineStr"/>
      <c r="V2049" s="19" t="inlineStr">
        <is>
          <t>Aprobada</t>
        </is>
      </c>
      <c r="W2049" s="19" t="inlineStr"/>
      <c r="X2049" s="19" t="inlineStr">
        <is>
          <t>Aldair González (aprobación en bloque)</t>
        </is>
      </c>
      <c r="Y2049" s="20" t="n">
        <v>46321</v>
      </c>
      <c r="Z2049" s="19" t="inlineStr">
        <is>
          <t>Nivel 2: regla estructural con redacción revisada.</t>
        </is>
      </c>
      <c r="AA2049" s="18">
        <f>IF(OR(V2049="Aprobada"),R2049,IF(AND(OR(V2049="Aprobada con ajuste",V2049="Rechazada"),W2049&lt;&gt;""),W2049,""))</f>
        <v/>
      </c>
    </row>
    <row r="2050">
      <c r="A2050" s="18" t="inlineStr">
        <is>
          <t>C2049</t>
        </is>
      </c>
      <c r="B2050" s="18" t="inlineStr">
        <is>
          <t>Control interno</t>
        </is>
      </c>
      <c r="C2050" s="18" t="inlineStr">
        <is>
          <t>control_interno</t>
        </is>
      </c>
      <c r="D2050" s="18" t="inlineStr">
        <is>
          <t>sesiones_esap</t>
        </is>
      </c>
      <c r="E2050" s="18" t="n">
        <v>0</v>
      </c>
      <c r="F2050" s="18" t="inlineStr">
        <is>
          <t>fecha_inicio</t>
        </is>
      </c>
      <c r="G2050" s="18" t="inlineStr">
        <is>
          <t>timestamp without time zone</t>
        </is>
      </c>
      <c r="H2050" s="18" t="inlineStr">
        <is>
          <t>Sí</t>
        </is>
      </c>
      <c r="I2050" s="18" t="inlineStr"/>
      <c r="J2050" s="18" t="inlineStr"/>
      <c r="K2050" s="18" t="inlineStr"/>
      <c r="L2050" s="18" t="inlineStr">
        <is>
          <t>No</t>
        </is>
      </c>
      <c r="M2050" s="18" t="inlineStr">
        <is>
          <t>No</t>
        </is>
      </c>
      <c r="N2050" s="18" t="inlineStr"/>
      <c r="O2050" s="18" t="inlineStr"/>
      <c r="P2050" s="18" t="inlineStr"/>
      <c r="Q2050" s="18" t="inlineStr">
        <is>
          <t>Regla estructural (redacción revisada)</t>
        </is>
      </c>
      <c r="R2050" s="18" t="inlineStr">
        <is>
          <t>Fecha y hora de inicio de la sesión.</t>
        </is>
      </c>
      <c r="S2050" s="18" t="inlineStr">
        <is>
          <t>Alta</t>
        </is>
      </c>
      <c r="T2050" s="18" t="inlineStr">
        <is>
          <t>Convención de nombre, redactada con el contexto de la tabla y el código.</t>
        </is>
      </c>
      <c r="U2050" s="18" t="inlineStr"/>
      <c r="V2050" s="19" t="inlineStr">
        <is>
          <t>Aprobada</t>
        </is>
      </c>
      <c r="W2050" s="19" t="inlineStr"/>
      <c r="X2050" s="19" t="inlineStr">
        <is>
          <t>Aldair González (aprobación en bloque)</t>
        </is>
      </c>
      <c r="Y2050" s="20" t="n">
        <v>46321</v>
      </c>
      <c r="Z2050" s="19" t="inlineStr">
        <is>
          <t>Nivel 2: regla estructural con redacción revisada.</t>
        </is>
      </c>
      <c r="AA2050" s="18">
        <f>IF(OR(V2050="Aprobada"),R2050,IF(AND(OR(V2050="Aprobada con ajuste",V2050="Rechazada"),W2050&lt;&gt;""),W2050,""))</f>
        <v/>
      </c>
    </row>
    <row r="2051">
      <c r="A2051" s="18" t="inlineStr">
        <is>
          <t>C2050</t>
        </is>
      </c>
      <c r="B2051" s="18" t="inlineStr">
        <is>
          <t>Control interno</t>
        </is>
      </c>
      <c r="C2051" s="18" t="inlineStr">
        <is>
          <t>control_interno</t>
        </is>
      </c>
      <c r="D2051" s="18" t="inlineStr">
        <is>
          <t>sesiones_esap</t>
        </is>
      </c>
      <c r="E2051" s="18" t="n">
        <v>0</v>
      </c>
      <c r="F2051" s="18" t="inlineStr">
        <is>
          <t>fecha_expiracion</t>
        </is>
      </c>
      <c r="G2051" s="18" t="inlineStr">
        <is>
          <t>timestamp without time zone</t>
        </is>
      </c>
      <c r="H2051" s="18" t="inlineStr">
        <is>
          <t>No</t>
        </is>
      </c>
      <c r="I2051" s="18" t="inlineStr"/>
      <c r="J2051" s="18" t="inlineStr"/>
      <c r="K2051" s="18" t="inlineStr"/>
      <c r="L2051" s="18" t="inlineStr">
        <is>
          <t>No</t>
        </is>
      </c>
      <c r="M2051" s="18" t="inlineStr">
        <is>
          <t>No</t>
        </is>
      </c>
      <c r="N2051" s="18" t="inlineStr"/>
      <c r="O2051" s="18" t="inlineStr">
        <is>
          <t>idx_sesiones_expiracion</t>
        </is>
      </c>
      <c r="P2051" s="18" t="inlineStr"/>
      <c r="Q2051" s="18" t="inlineStr">
        <is>
          <t>Regla estructural (redacción revisada)</t>
        </is>
      </c>
      <c r="R2051" s="18" t="inlineStr">
        <is>
          <t>Fecha y hora en que expira la sesión.</t>
        </is>
      </c>
      <c r="S2051" s="18" t="inlineStr">
        <is>
          <t>Alta</t>
        </is>
      </c>
      <c r="T2051" s="18" t="inlineStr">
        <is>
          <t>Convención de nombre, redactada con el contexto de la tabla y el código.</t>
        </is>
      </c>
      <c r="U2051" s="18" t="inlineStr"/>
      <c r="V2051" s="19" t="inlineStr">
        <is>
          <t>Aprobada</t>
        </is>
      </c>
      <c r="W2051" s="19" t="inlineStr"/>
      <c r="X2051" s="19" t="inlineStr">
        <is>
          <t>Aldair González (aprobación en bloque)</t>
        </is>
      </c>
      <c r="Y2051" s="20" t="n">
        <v>46321</v>
      </c>
      <c r="Z2051" s="19" t="inlineStr">
        <is>
          <t>Nivel 2: regla estructural con redacción revisada.</t>
        </is>
      </c>
      <c r="AA2051" s="18">
        <f>IF(OR(V2051="Aprobada"),R2051,IF(AND(OR(V2051="Aprobada con ajuste",V2051="Rechazada"),W2051&lt;&gt;""),W2051,""))</f>
        <v/>
      </c>
    </row>
    <row r="2052">
      <c r="A2052" s="18" t="inlineStr">
        <is>
          <t>C2051</t>
        </is>
      </c>
      <c r="B2052" s="18" t="inlineStr">
        <is>
          <t>Control interno</t>
        </is>
      </c>
      <c r="C2052" s="18" t="inlineStr">
        <is>
          <t>control_interno</t>
        </is>
      </c>
      <c r="D2052" s="18" t="inlineStr">
        <is>
          <t>sesiones_esap</t>
        </is>
      </c>
      <c r="E2052" s="18" t="n">
        <v>0</v>
      </c>
      <c r="F2052" s="18" t="inlineStr">
        <is>
          <t>activa</t>
        </is>
      </c>
      <c r="G2052" s="18" t="inlineStr">
        <is>
          <t>boolean</t>
        </is>
      </c>
      <c r="H2052" s="18" t="inlineStr">
        <is>
          <t>Sí</t>
        </is>
      </c>
      <c r="I2052" s="18" t="inlineStr"/>
      <c r="J2052" s="18" t="inlineStr"/>
      <c r="K2052" s="18" t="inlineStr"/>
      <c r="L2052" s="18" t="inlineStr">
        <is>
          <t>No</t>
        </is>
      </c>
      <c r="M2052" s="18" t="inlineStr">
        <is>
          <t>No</t>
        </is>
      </c>
      <c r="N2052" s="18" t="inlineStr"/>
      <c r="O2052" s="18" t="inlineStr">
        <is>
          <t>idx_sesiones_activa</t>
        </is>
      </c>
      <c r="P2052" s="18" t="inlineStr"/>
      <c r="Q2052" s="18" t="inlineStr">
        <is>
          <t>Regla estructural (redacción revisada)</t>
        </is>
      </c>
      <c r="R2052" s="18" t="inlineStr">
        <is>
          <t>Indica si la sesión está activa.</t>
        </is>
      </c>
      <c r="S2052" s="18" t="inlineStr">
        <is>
          <t>Alta</t>
        </is>
      </c>
      <c r="T2052" s="18" t="inlineStr">
        <is>
          <t>Convención de nombre, redactada con el contexto de la tabla y el código.</t>
        </is>
      </c>
      <c r="U2052" s="18" t="inlineStr"/>
      <c r="V2052" s="19" t="inlineStr">
        <is>
          <t>Aprobada</t>
        </is>
      </c>
      <c r="W2052" s="19" t="inlineStr"/>
      <c r="X2052" s="19" t="inlineStr">
        <is>
          <t>Aldair González (aprobación en bloque)</t>
        </is>
      </c>
      <c r="Y2052" s="20" t="n">
        <v>46321</v>
      </c>
      <c r="Z2052" s="19" t="inlineStr">
        <is>
          <t>Nivel 2: regla estructural con redacción revisada.</t>
        </is>
      </c>
      <c r="AA2052" s="18">
        <f>IF(OR(V2052="Aprobada"),R2052,IF(AND(OR(V2052="Aprobada con ajuste",V2052="Rechazada"),W2052&lt;&gt;""),W2052,""))</f>
        <v/>
      </c>
    </row>
    <row r="2053">
      <c r="A2053" s="18" t="inlineStr">
        <is>
          <t>C2052</t>
        </is>
      </c>
      <c r="B2053" s="18" t="inlineStr">
        <is>
          <t>Control interno</t>
        </is>
      </c>
      <c r="C2053" s="18" t="inlineStr">
        <is>
          <t>control_interno</t>
        </is>
      </c>
      <c r="D2053" s="18" t="inlineStr">
        <is>
          <t>tablero_kanban</t>
        </is>
      </c>
      <c r="E2053" s="18" t="n">
        <v>2</v>
      </c>
      <c r="F2053" s="18" t="inlineStr">
        <is>
          <t>nombre</t>
        </is>
      </c>
      <c r="G2053" s="18" t="inlineStr">
        <is>
          <t>character varying(255)</t>
        </is>
      </c>
      <c r="H2053" s="18" t="inlineStr">
        <is>
          <t>No</t>
        </is>
      </c>
      <c r="I2053" s="18" t="inlineStr"/>
      <c r="J2053" s="18" t="inlineStr"/>
      <c r="K2053" s="18" t="inlineStr"/>
      <c r="L2053" s="18" t="inlineStr">
        <is>
          <t>No</t>
        </is>
      </c>
      <c r="M2053" s="18" t="inlineStr">
        <is>
          <t>No</t>
        </is>
      </c>
      <c r="N2053" s="18" t="inlineStr"/>
      <c r="O2053" s="18" t="inlineStr"/>
      <c r="P2053" s="18" t="inlineStr">
        <is>
          <t>Mapeada en internal-institutional-control-service/src/esap/tableros-kanban/entities/tablero-kanban.entity.ts:26 (TableroKanban.nombre) | Validación: IsNotEmpty, IsNotEmpty({ message: 'El nombre del documento es obligatorio' }), IsOptional, IsString, Length(1, 500), MaxLength(120)</t>
        </is>
      </c>
      <c r="Q2053" s="18" t="inlineStr">
        <is>
          <t>Regla estructural (redacción revisada)</t>
        </is>
      </c>
      <c r="R2053" s="18" t="inlineStr">
        <is>
          <t>Nombre del tablero Kanban.</t>
        </is>
      </c>
      <c r="S2053" s="18" t="inlineStr">
        <is>
          <t>Alta</t>
        </is>
      </c>
      <c r="T2053" s="18" t="inlineStr">
        <is>
          <t>Convención de nombre, redactada con el contexto de la tabla y el código.</t>
        </is>
      </c>
      <c r="U2053" s="18" t="inlineStr"/>
      <c r="V2053" s="19" t="inlineStr">
        <is>
          <t>Aprobada</t>
        </is>
      </c>
      <c r="W2053" s="19" t="inlineStr"/>
      <c r="X2053" s="19" t="inlineStr">
        <is>
          <t>Aldair González (aprobación en bloque)</t>
        </is>
      </c>
      <c r="Y2053" s="20" t="n">
        <v>46321</v>
      </c>
      <c r="Z2053" s="19" t="inlineStr">
        <is>
          <t>Nivel 2: regla estructural con redacción revisada.</t>
        </is>
      </c>
      <c r="AA2053" s="18">
        <f>IF(OR(V2053="Aprobada"),R2053,IF(AND(OR(V2053="Aprobada con ajuste",V2053="Rechazada"),W2053&lt;&gt;""),W2053,""))</f>
        <v/>
      </c>
    </row>
    <row r="2054">
      <c r="A2054" s="18" t="inlineStr">
        <is>
          <t>C2053</t>
        </is>
      </c>
      <c r="B2054" s="18" t="inlineStr">
        <is>
          <t>Control interno</t>
        </is>
      </c>
      <c r="C2054" s="18" t="inlineStr">
        <is>
          <t>control_interno</t>
        </is>
      </c>
      <c r="D2054" s="18" t="inlineStr">
        <is>
          <t>tablero_kanban</t>
        </is>
      </c>
      <c r="E2054" s="18" t="n">
        <v>2</v>
      </c>
      <c r="F2054" s="18" t="inlineStr">
        <is>
          <t>descripcion</t>
        </is>
      </c>
      <c r="G2054" s="18" t="inlineStr">
        <is>
          <t>text</t>
        </is>
      </c>
      <c r="H2054" s="18" t="inlineStr">
        <is>
          <t>Sí</t>
        </is>
      </c>
      <c r="I2054" s="18" t="inlineStr"/>
      <c r="J2054" s="18" t="inlineStr"/>
      <c r="K2054" s="18" t="inlineStr"/>
      <c r="L2054" s="18" t="inlineStr">
        <is>
          <t>No</t>
        </is>
      </c>
      <c r="M2054" s="18" t="inlineStr">
        <is>
          <t>No</t>
        </is>
      </c>
      <c r="N2054" s="18" t="inlineStr"/>
      <c r="O2054" s="18" t="inlineStr"/>
      <c r="P2054" s="18" t="inlineStr">
        <is>
          <t>Mapeada en internal-institutional-control-service/src/esap/tableros-kanban/entities/tablero-kanban.entity.ts:29 (TableroKanban.descripcion) | Validación: IsNotEmpty, IsOptional, IsString</t>
        </is>
      </c>
      <c r="Q2054" s="18" t="inlineStr">
        <is>
          <t>Regla estructural (redacción revisada)</t>
        </is>
      </c>
      <c r="R2054" s="18" t="inlineStr">
        <is>
          <t>Descripción del tablero Kanban.</t>
        </is>
      </c>
      <c r="S2054" s="18" t="inlineStr">
        <is>
          <t>Alta</t>
        </is>
      </c>
      <c r="T2054" s="18" t="inlineStr">
        <is>
          <t>Convención de nombre, redactada con el contexto de la tabla y el código.</t>
        </is>
      </c>
      <c r="U2054" s="18" t="inlineStr"/>
      <c r="V2054" s="19" t="inlineStr">
        <is>
          <t>Aprobada</t>
        </is>
      </c>
      <c r="W2054" s="19" t="inlineStr"/>
      <c r="X2054" s="19" t="inlineStr">
        <is>
          <t>Aldair González (aprobación en bloque)</t>
        </is>
      </c>
      <c r="Y2054" s="20" t="n">
        <v>46321</v>
      </c>
      <c r="Z2054" s="19" t="inlineStr">
        <is>
          <t>Nivel 2: regla estructural con redacción revisada.</t>
        </is>
      </c>
      <c r="AA2054" s="18">
        <f>IF(OR(V2054="Aprobada"),R2054,IF(AND(OR(V2054="Aprobada con ajuste",V2054="Rechazada"),W2054&lt;&gt;""),W2054,""))</f>
        <v/>
      </c>
    </row>
    <row r="2055">
      <c r="A2055" s="18" t="inlineStr">
        <is>
          <t>C2054</t>
        </is>
      </c>
      <c r="B2055" s="18" t="inlineStr">
        <is>
          <t>Control interno</t>
        </is>
      </c>
      <c r="C2055" s="18" t="inlineStr">
        <is>
          <t>control_interno</t>
        </is>
      </c>
      <c r="D2055" s="18" t="inlineStr">
        <is>
          <t>tablero_kanban</t>
        </is>
      </c>
      <c r="E2055" s="18" t="n">
        <v>2</v>
      </c>
      <c r="F2055" s="18" t="inlineStr">
        <is>
          <t>activo</t>
        </is>
      </c>
      <c r="G2055" s="18" t="inlineStr">
        <is>
          <t>boolean</t>
        </is>
      </c>
      <c r="H2055" s="18" t="inlineStr">
        <is>
          <t>No</t>
        </is>
      </c>
      <c r="I2055" s="18" t="inlineStr"/>
      <c r="J2055" s="18" t="inlineStr"/>
      <c r="K2055" s="18" t="inlineStr"/>
      <c r="L2055" s="18" t="inlineStr">
        <is>
          <t>No</t>
        </is>
      </c>
      <c r="M2055" s="18" t="inlineStr">
        <is>
          <t>No</t>
        </is>
      </c>
      <c r="N2055" s="18" t="inlineStr"/>
      <c r="O2055" s="18" t="inlineStr">
        <is>
          <t>idx_tablero_kanban_activo</t>
        </is>
      </c>
      <c r="P2055" s="18" t="inlineStr">
        <is>
          <t>Mapeada en internal-institutional-control-service/src/esap/tableros-kanban/entities/tablero-kanban.entity.ts:39 (TableroKanban.activo) | Validación: IsBoolean, IsOptional</t>
        </is>
      </c>
      <c r="Q2055" s="18" t="inlineStr">
        <is>
          <t>Regla estructural (redacción revisada)</t>
        </is>
      </c>
      <c r="R2055" s="18" t="inlineStr">
        <is>
          <t>Indica si el tablero Kanban está activo.</t>
        </is>
      </c>
      <c r="S2055" s="18" t="inlineStr">
        <is>
          <t>Alta</t>
        </is>
      </c>
      <c r="T2055" s="18" t="inlineStr">
        <is>
          <t>Convención de nombre, redactada con el contexto de la tabla y el código.</t>
        </is>
      </c>
      <c r="U2055" s="18" t="inlineStr"/>
      <c r="V2055" s="19" t="inlineStr">
        <is>
          <t>Aprobada</t>
        </is>
      </c>
      <c r="W2055" s="19" t="inlineStr"/>
      <c r="X2055" s="19" t="inlineStr">
        <is>
          <t>Aldair González (aprobación en bloque)</t>
        </is>
      </c>
      <c r="Y2055" s="20" t="n">
        <v>46321</v>
      </c>
      <c r="Z2055" s="19" t="inlineStr">
        <is>
          <t>Nivel 2: regla estructural con redacción revisada.</t>
        </is>
      </c>
      <c r="AA2055" s="18">
        <f>IF(OR(V2055="Aprobada"),R2055,IF(AND(OR(V2055="Aprobada con ajuste",V2055="Rechazada"),W2055&lt;&gt;""),W2055,""))</f>
        <v/>
      </c>
    </row>
    <row r="2056">
      <c r="A2056" s="18" t="inlineStr">
        <is>
          <t>C2055</t>
        </is>
      </c>
      <c r="B2056" s="18" t="inlineStr">
        <is>
          <t>Control interno</t>
        </is>
      </c>
      <c r="C2056" s="18" t="inlineStr">
        <is>
          <t>control_interno</t>
        </is>
      </c>
      <c r="D2056" s="18" t="inlineStr">
        <is>
          <t>tablero_kanban</t>
        </is>
      </c>
      <c r="E2056" s="18" t="n">
        <v>2</v>
      </c>
      <c r="F2056" s="18" t="inlineStr">
        <is>
          <t>deleted_at</t>
        </is>
      </c>
      <c r="G2056" s="18" t="inlineStr">
        <is>
          <t>timestamp with time zone</t>
        </is>
      </c>
      <c r="H2056" s="18" t="inlineStr">
        <is>
          <t>Sí</t>
        </is>
      </c>
      <c r="I2056" s="18" t="inlineStr"/>
      <c r="J2056" s="18" t="inlineStr"/>
      <c r="K2056" s="18" t="inlineStr"/>
      <c r="L2056" s="18" t="inlineStr">
        <is>
          <t>No</t>
        </is>
      </c>
      <c r="M2056" s="18" t="inlineStr">
        <is>
          <t>No</t>
        </is>
      </c>
      <c r="N2056" s="18" t="inlineStr"/>
      <c r="O2056" s="18" t="inlineStr">
        <is>
          <t>idx_tablero_kanban_deleted_at</t>
        </is>
      </c>
      <c r="P2056" s="18" t="inlineStr">
        <is>
          <t>Mapeada en internal-institutional-control-service/src/esap/tableros-kanban/entities/tablero-kanban.entity.ts:57 (TableroKanban.deletedAt)</t>
        </is>
      </c>
      <c r="Q2056" s="18" t="inlineStr">
        <is>
          <t>Regla estructural</t>
        </is>
      </c>
      <c r="R2056" s="18" t="inlineStr">
        <is>
          <t>Fecha y hora de la eliminación.</t>
        </is>
      </c>
      <c r="S2056" s="18" t="inlineStr">
        <is>
          <t>Media</t>
        </is>
      </c>
      <c r="T2056" s="18" t="inlineStr">
        <is>
          <t>Convención de nombre de la columna.</t>
        </is>
      </c>
      <c r="U2056" s="18" t="inlineStr"/>
      <c r="V2056" s="19" t="inlineStr">
        <is>
          <t>Aprobada</t>
        </is>
      </c>
      <c r="W2056" s="19" t="inlineStr"/>
      <c r="X2056" s="19" t="inlineStr">
        <is>
          <t>Aldair González (aprobación en bloque)</t>
        </is>
      </c>
      <c r="Y2056" s="20" t="n">
        <v>46321</v>
      </c>
      <c r="Z2056" s="19" t="inlineStr">
        <is>
          <t>Nivel 1: propuesta del comentario del desarrollador o de confianza alta, o regla de fecha/responsable/motivo.</t>
        </is>
      </c>
      <c r="AA2056" s="18">
        <f>IF(OR(V2056="Aprobada"),R2056,IF(AND(OR(V2056="Aprobada con ajuste",V2056="Rechazada"),W2056&lt;&gt;""),W2056,""))</f>
        <v/>
      </c>
    </row>
    <row r="2057">
      <c r="A2057" s="18" t="inlineStr">
        <is>
          <t>C2056</t>
        </is>
      </c>
      <c r="B2057" s="18" t="inlineStr">
        <is>
          <t>Control interno</t>
        </is>
      </c>
      <c r="C2057" s="18" t="inlineStr">
        <is>
          <t>control_interno</t>
        </is>
      </c>
      <c r="D2057" s="18" t="inlineStr">
        <is>
          <t>tablero_kanban</t>
        </is>
      </c>
      <c r="E2057" s="18" t="n">
        <v>2</v>
      </c>
      <c r="F2057" s="18" t="inlineStr">
        <is>
          <t>configuracion_visual</t>
        </is>
      </c>
      <c r="G2057" s="18" t="inlineStr">
        <is>
          <t>jsonb</t>
        </is>
      </c>
      <c r="H2057" s="18" t="inlineStr">
        <is>
          <t>Sí</t>
        </is>
      </c>
      <c r="I2057" s="18" t="inlineStr"/>
      <c r="J2057" s="18" t="inlineStr"/>
      <c r="K2057" s="18" t="inlineStr"/>
      <c r="L2057" s="18" t="inlineStr">
        <is>
          <t>No</t>
        </is>
      </c>
      <c r="M2057" s="18" t="inlineStr">
        <is>
          <t>No</t>
        </is>
      </c>
      <c r="N2057" s="18" t="inlineStr"/>
      <c r="O2057" s="18" t="inlineStr"/>
      <c r="P2057" s="18" t="inlineStr">
        <is>
          <t>Mapeada en internal-institutional-control-service/src/esap/tableros-kanban/entities/tablero-kanban.entity.ts:48 (TableroKanban.configuracionVisual) | Validación: IsOptional</t>
        </is>
      </c>
      <c r="Q2057" s="18" t="inlineStr">
        <is>
          <t>Código fuente (verificado)</t>
        </is>
      </c>
      <c r="R2057" s="18" t="inlineStr">
        <is>
          <t>Configuración visual del tablero Kanban, como objeto JSON de banderas booleanas: mostrarContadores, mostrarTiempos, alertasSLA, alertasWIP, transicionesAutomaticas, compactarVista, mostrarAvatar y permitirDragDrop.</t>
        </is>
      </c>
      <c r="S2057" s="18" t="inlineStr">
        <is>
          <t>Alta</t>
        </is>
      </c>
      <c r="T2057" s="18" t="inlineStr">
        <is>
          <t>internal-institutional-control-service/src/esap/tableros-kanban/entities/tablero-kanban.entity.ts:48-49: jsonb Record&lt;string, any&gt; | internal-institutional-control-service/src/esap/tableros-kanban/seed-tableros-kanban.ts:30-39: configuración inicial con las ocho banderas</t>
        </is>
      </c>
      <c r="U2057" s="18" t="inlineStr"/>
      <c r="V2057" s="19" t="inlineStr">
        <is>
          <t>Aprobada</t>
        </is>
      </c>
      <c r="W2057" s="19" t="inlineStr"/>
      <c r="X2057" s="19" t="inlineStr">
        <is>
          <t>Aldair González (aprobación en bloque)</t>
        </is>
      </c>
      <c r="Y2057" s="20" t="n">
        <v>46321</v>
      </c>
      <c r="Z2057" s="19" t="inlineStr">
        <is>
          <t>Nivel 3: verificada con el código de la aplicación.</t>
        </is>
      </c>
      <c r="AA2057" s="18">
        <f>IF(OR(V2057="Aprobada"),R2057,IF(AND(OR(V2057="Aprobada con ajuste",V2057="Rechazada"),W2057&lt;&gt;""),W2057,""))</f>
        <v/>
      </c>
    </row>
    <row r="2058">
      <c r="A2058" s="18" t="inlineStr">
        <is>
          <t>C2057</t>
        </is>
      </c>
      <c r="B2058" s="18" t="inlineStr">
        <is>
          <t>Control interno</t>
        </is>
      </c>
      <c r="C2058" s="18" t="inlineStr">
        <is>
          <t>control_interno</t>
        </is>
      </c>
      <c r="D2058" s="18" t="inlineStr">
        <is>
          <t>tareas_auditoria</t>
        </is>
      </c>
      <c r="E2058" s="18" t="n">
        <v>0</v>
      </c>
      <c r="F2058" s="18" t="inlineStr">
        <is>
          <t>titulo</t>
        </is>
      </c>
      <c r="G2058" s="18" t="inlineStr">
        <is>
          <t>character varying(255)</t>
        </is>
      </c>
      <c r="H2058" s="18" t="inlineStr">
        <is>
          <t>No</t>
        </is>
      </c>
      <c r="I2058" s="18" t="inlineStr"/>
      <c r="J2058" s="18" t="inlineStr"/>
      <c r="K2058" s="18" t="inlineStr"/>
      <c r="L2058" s="18" t="inlineStr">
        <is>
          <t>No</t>
        </is>
      </c>
      <c r="M2058" s="18" t="inlineStr">
        <is>
          <t>No</t>
        </is>
      </c>
      <c r="N2058" s="18" t="inlineStr"/>
      <c r="O2058" s="18" t="inlineStr"/>
      <c r="P2058" s="18" t="inlineStr">
        <is>
          <t>Mapeada en internal-institutional-control-service/src/esap/tareas-auditoria/entities/tarea-auditoria.entity.ts:51 (TareaAuditoria.titulo) | Validación: IsNotEmpty, IsOptional, IsString, MaxLength(255), MaxLength(500)</t>
        </is>
      </c>
      <c r="Q2058" s="18" t="inlineStr">
        <is>
          <t>Propuesta semántica</t>
        </is>
      </c>
      <c r="R2058" s="18" t="inlineStr">
        <is>
          <t>Título de la tarea.</t>
        </is>
      </c>
      <c r="S2058" s="18" t="inlineStr">
        <is>
          <t>Alta</t>
        </is>
      </c>
      <c r="T2058" s="18" t="inlineStr">
        <is>
          <t>nombre + tipo + columnas vecinas</t>
        </is>
      </c>
      <c r="U2058" s="18" t="inlineStr"/>
      <c r="V2058" s="19" t="inlineStr">
        <is>
          <t>Aprobada</t>
        </is>
      </c>
      <c r="W2058" s="19" t="inlineStr"/>
      <c r="X2058" s="19" t="inlineStr">
        <is>
          <t>Aldair González (aprobación en bloque)</t>
        </is>
      </c>
      <c r="Y2058" s="20" t="n">
        <v>46321</v>
      </c>
      <c r="Z2058" s="19" t="inlineStr">
        <is>
          <t>Nivel 1: propuesta del comentario del desarrollador o de confianza alta, o regla de fecha/responsable/motivo.</t>
        </is>
      </c>
      <c r="AA2058" s="18">
        <f>IF(OR(V2058="Aprobada"),R2058,IF(AND(OR(V2058="Aprobada con ajuste",V2058="Rechazada"),W2058&lt;&gt;""),W2058,""))</f>
        <v/>
      </c>
    </row>
    <row r="2059">
      <c r="A2059" s="18" t="inlineStr">
        <is>
          <t>C2058</t>
        </is>
      </c>
      <c r="B2059" s="18" t="inlineStr">
        <is>
          <t>Control interno</t>
        </is>
      </c>
      <c r="C2059" s="18" t="inlineStr">
        <is>
          <t>control_interno</t>
        </is>
      </c>
      <c r="D2059" s="18" t="inlineStr">
        <is>
          <t>tareas_auditoria</t>
        </is>
      </c>
      <c r="E2059" s="18" t="n">
        <v>0</v>
      </c>
      <c r="F2059" s="18" t="inlineStr">
        <is>
          <t>descripcion</t>
        </is>
      </c>
      <c r="G2059" s="18" t="inlineStr">
        <is>
          <t>text</t>
        </is>
      </c>
      <c r="H2059" s="18" t="inlineStr">
        <is>
          <t>Sí</t>
        </is>
      </c>
      <c r="I2059" s="18" t="inlineStr"/>
      <c r="J2059" s="18" t="inlineStr"/>
      <c r="K2059" s="18" t="inlineStr"/>
      <c r="L2059" s="18" t="inlineStr">
        <is>
          <t>No</t>
        </is>
      </c>
      <c r="M2059" s="18" t="inlineStr">
        <is>
          <t>No</t>
        </is>
      </c>
      <c r="N2059" s="18" t="inlineStr"/>
      <c r="O2059" s="18" t="inlineStr"/>
      <c r="P2059" s="18" t="inlineStr">
        <is>
          <t>Mapeada en internal-institutional-control-service/src/esap/tareas-auditoria/entities/tarea-auditoria.entity.ts:54 (TareaAuditoria.descripcion) | Validación: IsNotEmpty, IsOptional, IsString</t>
        </is>
      </c>
      <c r="Q2059" s="18" t="inlineStr">
        <is>
          <t>Regla estructural (redacción revisada)</t>
        </is>
      </c>
      <c r="R2059" s="18" t="inlineStr">
        <is>
          <t>Descripción de la tarea de la auditoría.</t>
        </is>
      </c>
      <c r="S2059" s="18" t="inlineStr">
        <is>
          <t>Alta</t>
        </is>
      </c>
      <c r="T2059" s="18" t="inlineStr">
        <is>
          <t>Convención de nombre, redactada con el contexto de la tabla y el código.</t>
        </is>
      </c>
      <c r="U2059" s="18" t="inlineStr"/>
      <c r="V2059" s="19" t="inlineStr">
        <is>
          <t>Aprobada</t>
        </is>
      </c>
      <c r="W2059" s="19" t="inlineStr"/>
      <c r="X2059" s="19" t="inlineStr">
        <is>
          <t>Aldair González (aprobación en bloque)</t>
        </is>
      </c>
      <c r="Y2059" s="20" t="n">
        <v>46321</v>
      </c>
      <c r="Z2059" s="19" t="inlineStr">
        <is>
          <t>Nivel 2: regla estructural con redacción revisada.</t>
        </is>
      </c>
      <c r="AA2059" s="18">
        <f>IF(OR(V2059="Aprobada"),R2059,IF(AND(OR(V2059="Aprobada con ajuste",V2059="Rechazada"),W2059&lt;&gt;""),W2059,""))</f>
        <v/>
      </c>
    </row>
    <row r="2060">
      <c r="A2060" s="18" t="inlineStr">
        <is>
          <t>C2059</t>
        </is>
      </c>
      <c r="B2060" s="18" t="inlineStr">
        <is>
          <t>Control interno</t>
        </is>
      </c>
      <c r="C2060" s="18" t="inlineStr">
        <is>
          <t>control_interno</t>
        </is>
      </c>
      <c r="D2060" s="18" t="inlineStr">
        <is>
          <t>tareas_auditoria</t>
        </is>
      </c>
      <c r="E2060" s="18" t="n">
        <v>0</v>
      </c>
      <c r="F2060" s="18" t="inlineStr">
        <is>
          <t>estado</t>
        </is>
      </c>
      <c r="G2060" s="18" t="inlineStr">
        <is>
          <t>control_interno.estado_tarea</t>
        </is>
      </c>
      <c r="H2060" s="18" t="inlineStr">
        <is>
          <t>No</t>
        </is>
      </c>
      <c r="I2060" s="18" t="inlineStr">
        <is>
          <t>Enumerado</t>
        </is>
      </c>
      <c r="J2060" s="18" t="inlineStr">
        <is>
          <t>Pendiente, En Progreso, Completada, Cancelada</t>
        </is>
      </c>
      <c r="K2060" s="18" t="inlineStr"/>
      <c r="L2060" s="18" t="inlineStr">
        <is>
          <t>Sí</t>
        </is>
      </c>
      <c r="M2060" s="18" t="inlineStr">
        <is>
          <t>No</t>
        </is>
      </c>
      <c r="N2060" s="18" t="inlineStr"/>
      <c r="O2060" s="18" t="inlineStr">
        <is>
          <t>idx_tareas_auditoria_estado</t>
        </is>
      </c>
      <c r="P2060" s="18" t="inlineStr">
        <is>
          <t>Mapeada en internal-institutional-control-service/src/esap/tareas-auditoria/entities/tarea-auditoria.entity.ts:57 (TareaAuditoria.estado) | Validación: IsEnum(AccionCorrectivaEstado), IsEnum(EstadoEtapa), IsEnum(EstadoPlanIndividual), IsEnum(EstadoTarea), IsEnum(HallazgoEstado), IsEnum(PlanMejoramientoEstado)</t>
        </is>
      </c>
      <c r="Q2060" s="18" t="inlineStr">
        <is>
          <t>Regla estructural (redacción revisada)</t>
        </is>
      </c>
      <c r="R2060" s="18" t="inlineStr">
        <is>
          <t>Estado de la tarea (Pendiente, En Progreso, Completada o Cancelada).</t>
        </is>
      </c>
      <c r="S2060" s="18" t="inlineStr">
        <is>
          <t>Alta</t>
        </is>
      </c>
      <c r="T2060" s="18" t="inlineStr">
        <is>
          <t>Convención de nombre, redactada con el contexto de la tabla y el código.</t>
        </is>
      </c>
      <c r="U2060" s="18" t="inlineStr"/>
      <c r="V2060" s="19" t="inlineStr">
        <is>
          <t>Aprobada</t>
        </is>
      </c>
      <c r="W2060" s="19" t="inlineStr"/>
      <c r="X2060" s="19" t="inlineStr">
        <is>
          <t>Aldair González (aprobación en bloque)</t>
        </is>
      </c>
      <c r="Y2060" s="20" t="n">
        <v>46321</v>
      </c>
      <c r="Z2060" s="19" t="inlineStr">
        <is>
          <t>Nivel 2: regla estructural con redacción revisada.</t>
        </is>
      </c>
      <c r="AA2060" s="18">
        <f>IF(OR(V2060="Aprobada"),R2060,IF(AND(OR(V2060="Aprobada con ajuste",V2060="Rechazada"),W2060&lt;&gt;""),W2060,""))</f>
        <v/>
      </c>
    </row>
    <row r="2061">
      <c r="A2061" s="18" t="inlineStr">
        <is>
          <t>C2060</t>
        </is>
      </c>
      <c r="B2061" s="18" t="inlineStr">
        <is>
          <t>Control interno</t>
        </is>
      </c>
      <c r="C2061" s="18" t="inlineStr">
        <is>
          <t>control_interno</t>
        </is>
      </c>
      <c r="D2061" s="18" t="inlineStr">
        <is>
          <t>tareas_auditoria</t>
        </is>
      </c>
      <c r="E2061" s="18" t="n">
        <v>0</v>
      </c>
      <c r="F2061" s="18" t="inlineStr">
        <is>
          <t>prioridad</t>
        </is>
      </c>
      <c r="G2061" s="18" t="inlineStr">
        <is>
          <t>control_interno.prioridad_tarea</t>
        </is>
      </c>
      <c r="H2061" s="18" t="inlineStr">
        <is>
          <t>No</t>
        </is>
      </c>
      <c r="I2061" s="18" t="inlineStr">
        <is>
          <t>Enumerado</t>
        </is>
      </c>
      <c r="J2061" s="18" t="inlineStr">
        <is>
          <t>Baja, Media, Alta, Urgente</t>
        </is>
      </c>
      <c r="K2061" s="18" t="inlineStr"/>
      <c r="L2061" s="18" t="inlineStr">
        <is>
          <t>Sí</t>
        </is>
      </c>
      <c r="M2061" s="18" t="inlineStr">
        <is>
          <t>No</t>
        </is>
      </c>
      <c r="N2061" s="18" t="inlineStr"/>
      <c r="O2061" s="18" t="inlineStr">
        <is>
          <t>idx_tareas_auditoria_prioridad</t>
        </is>
      </c>
      <c r="P2061" s="18" t="inlineStr">
        <is>
          <t>Mapeada en internal-institutional-control-service/src/esap/tareas-auditoria/entities/tarea-auditoria.entity.ts:64 (TareaAuditoria.prioridad) | Validación: IsEnum(PrioridadAuditoria), IsEnum(PrioridadAuditoriaProgramada), IsEnum(PrioridadNotificacion), IsEnum(PrioridadTarea), IsEnum(['Alta', 'Media', 'Baja']), IsInt</t>
        </is>
      </c>
      <c r="Q2061" s="18" t="inlineStr">
        <is>
          <t>Propuesta semántica</t>
        </is>
      </c>
      <c r="R2061" s="18" t="inlineStr">
        <is>
          <t>Prioridad de la tarea. Valores permitidos: Baja, Media, Alta, Urgente.</t>
        </is>
      </c>
      <c r="S2061" s="18" t="inlineStr">
        <is>
          <t>Alta</t>
        </is>
      </c>
      <c r="T2061" s="18" t="inlineStr">
        <is>
          <t>valores del tipo enumerado</t>
        </is>
      </c>
      <c r="U2061" s="18" t="inlineStr"/>
      <c r="V2061" s="19" t="inlineStr">
        <is>
          <t>Aprobada</t>
        </is>
      </c>
      <c r="W2061" s="19" t="inlineStr"/>
      <c r="X2061" s="19" t="inlineStr">
        <is>
          <t>Aldair González (aprobación en bloque)</t>
        </is>
      </c>
      <c r="Y2061" s="20" t="n">
        <v>46321</v>
      </c>
      <c r="Z2061" s="19" t="inlineStr">
        <is>
          <t>Nivel 1: propuesta del comentario del desarrollador o de confianza alta, o regla de fecha/responsable/motivo.</t>
        </is>
      </c>
      <c r="AA2061" s="18">
        <f>IF(OR(V2061="Aprobada"),R2061,IF(AND(OR(V2061="Aprobada con ajuste",V2061="Rechazada"),W2061&lt;&gt;""),W2061,""))</f>
        <v/>
      </c>
    </row>
    <row r="2062">
      <c r="A2062" s="18" t="inlineStr">
        <is>
          <t>C2061</t>
        </is>
      </c>
      <c r="B2062" s="18" t="inlineStr">
        <is>
          <t>Control interno</t>
        </is>
      </c>
      <c r="C2062" s="18" t="inlineStr">
        <is>
          <t>control_interno</t>
        </is>
      </c>
      <c r="D2062" s="18" t="inlineStr">
        <is>
          <t>tareas_auditoria</t>
        </is>
      </c>
      <c r="E2062" s="18" t="n">
        <v>0</v>
      </c>
      <c r="F2062" s="18" t="inlineStr">
        <is>
          <t>fase</t>
        </is>
      </c>
      <c r="G2062" s="18" t="inlineStr">
        <is>
          <t>control_interno.fase_tarea</t>
        </is>
      </c>
      <c r="H2062" s="18" t="inlineStr">
        <is>
          <t>Sí</t>
        </is>
      </c>
      <c r="I2062" s="18" t="inlineStr">
        <is>
          <t>Enumerado</t>
        </is>
      </c>
      <c r="J2062" s="18" t="inlineStr">
        <is>
          <t>Planeación, Ejecución, Comunicación, Seguimiento</t>
        </is>
      </c>
      <c r="K2062" s="18" t="inlineStr"/>
      <c r="L2062" s="18" t="inlineStr">
        <is>
          <t>Sí</t>
        </is>
      </c>
      <c r="M2062" s="18" t="inlineStr">
        <is>
          <t>No</t>
        </is>
      </c>
      <c r="N2062" s="18" t="inlineStr"/>
      <c r="O2062" s="18" t="inlineStr"/>
      <c r="P2062" s="18" t="inlineStr">
        <is>
          <t>Mapeada en internal-institutional-control-service/src/esap/tareas-auditoria/entities/tarea-auditoria.entity.ts:71 (TareaAuditoria.fase) | Validación: IsEnum(FaseAuditoria), IsEnum(FaseTarea), IsEnum(['planeacion', 'en-curso', 'revision', 'completada']), IsOptional</t>
        </is>
      </c>
      <c r="Q2062" s="18" t="inlineStr">
        <is>
          <t>Propuesta semántica</t>
        </is>
      </c>
      <c r="R2062" s="18" t="inlineStr">
        <is>
          <t>Fase de la auditoría a la que corresponde la tarea. Valores permitidos: Planeación, Ejecución, Comunicación, Seguimiento.</t>
        </is>
      </c>
      <c r="S2062" s="18" t="inlineStr">
        <is>
          <t>Alta</t>
        </is>
      </c>
      <c r="T2062" s="18" t="inlineStr">
        <is>
          <t>valores del tipo enumerado</t>
        </is>
      </c>
      <c r="U2062" s="18" t="inlineStr"/>
      <c r="V2062" s="19" t="inlineStr">
        <is>
          <t>Aprobada</t>
        </is>
      </c>
      <c r="W2062" s="19" t="inlineStr"/>
      <c r="X2062" s="19" t="inlineStr">
        <is>
          <t>Aldair González (aprobación en bloque)</t>
        </is>
      </c>
      <c r="Y2062" s="20" t="n">
        <v>46321</v>
      </c>
      <c r="Z2062" s="19" t="inlineStr">
        <is>
          <t>Nivel 1: propuesta del comentario del desarrollador o de confianza alta, o regla de fecha/responsable/motivo.</t>
        </is>
      </c>
      <c r="AA2062" s="18">
        <f>IF(OR(V2062="Aprobada"),R2062,IF(AND(OR(V2062="Aprobada con ajuste",V2062="Rechazada"),W2062&lt;&gt;""),W2062,""))</f>
        <v/>
      </c>
    </row>
    <row r="2063">
      <c r="A2063" s="18" t="inlineStr">
        <is>
          <t>C2062</t>
        </is>
      </c>
      <c r="B2063" s="18" t="inlineStr">
        <is>
          <t>Control interno</t>
        </is>
      </c>
      <c r="C2063" s="18" t="inlineStr">
        <is>
          <t>control_interno</t>
        </is>
      </c>
      <c r="D2063" s="18" t="inlineStr">
        <is>
          <t>tareas_auditoria</t>
        </is>
      </c>
      <c r="E2063" s="18" t="n">
        <v>0</v>
      </c>
      <c r="F2063" s="18" t="inlineStr">
        <is>
          <t>responsable_id</t>
        </is>
      </c>
      <c r="G2063" s="18" t="inlineStr">
        <is>
          <t>uuid</t>
        </is>
      </c>
      <c r="H2063" s="18" t="inlineStr">
        <is>
          <t>No</t>
        </is>
      </c>
      <c r="I2063" s="18" t="inlineStr"/>
      <c r="J2063" s="18" t="inlineStr"/>
      <c r="K2063" s="18" t="inlineStr"/>
      <c r="L2063" s="18" t="inlineStr">
        <is>
          <t>No</t>
        </is>
      </c>
      <c r="M2063" s="18" t="inlineStr">
        <is>
          <t>No</t>
        </is>
      </c>
      <c r="N2063" s="18" t="inlineStr"/>
      <c r="O2063" s="18" t="inlineStr">
        <is>
          <t>idx_tareas_auditoria_responsable_id</t>
        </is>
      </c>
      <c r="P2063" s="18" t="inlineStr">
        <is>
          <t>Mapeada en internal-institutional-control-service/src/esap/tareas-auditoria/entities/tarea-auditoria.entity.ts:78 (TareaAuditoria.responsableId) | Validación: IsOptional, IsUUID, Matches(POSTGRES_UUID_RE, { message: 'responsable_id must be a UUID' })</t>
        </is>
      </c>
      <c r="Q2063" s="18" t="inlineStr">
        <is>
          <t>Código fuente (verificado)</t>
        </is>
      </c>
      <c r="R2063" s="18" t="inlineStr">
        <is>
          <t>Identificador (UUID) del usuario responsable de la tarea de auditoría.</t>
        </is>
      </c>
      <c r="S2063" s="18" t="inlineStr">
        <is>
          <t>Media</t>
        </is>
      </c>
      <c r="T2063" s="18" t="inlineStr">
        <is>
          <t>internal-institutional-control-service/src/esap/tareas-auditoria/entities/tarea-auditoria.entity.ts:78-79: responsable_id uuid not null | internal-institutional-control-service/src/esap/tareas-auditoria/dto/create-tarea-auditoria.dto.ts:42-43: IsUUID, llega del cliente | internal-institutional-control-service/src/esap/tareas-auditoria/tareas-auditoria.service.ts:217-218: se guarda tal como llega</t>
        </is>
      </c>
      <c r="U2063" s="18" t="inlineStr">
        <is>
          <t>¿responsable_id de tareas_auditoria es el id_user de auth."user" u otro identificador? El servicio guarda el UUID que envía el cliente.</t>
        </is>
      </c>
      <c r="V2063" s="19" t="inlineStr">
        <is>
          <t>Aprobada</t>
        </is>
      </c>
      <c r="W2063" s="19" t="inlineStr"/>
      <c r="X2063" s="19" t="inlineStr">
        <is>
          <t>Aldair González (validación del responsable de BD)</t>
        </is>
      </c>
      <c r="Y2063" s="20" t="n">
        <v>46321</v>
      </c>
      <c r="Z2063" s="19" t="inlineStr">
        <is>
          <t>Nivel 3: validada por decisión del responsable de la base de datos. Pregunta registrada para desarrollo: ¿responsable_id de tareas_auditoria es el id_user de auth."user" u otro identificador? El servicio guarda el UUID que envía el cliente.</t>
        </is>
      </c>
      <c r="AA2063" s="18">
        <f>IF(OR(V2063="Aprobada"),R2063,IF(AND(OR(V2063="Aprobada con ajuste",V2063="Rechazada"),W2063&lt;&gt;""),W2063,""))</f>
        <v/>
      </c>
    </row>
    <row r="2064">
      <c r="A2064" s="18" t="inlineStr">
        <is>
          <t>C2063</t>
        </is>
      </c>
      <c r="B2064" s="18" t="inlineStr">
        <is>
          <t>Control interno</t>
        </is>
      </c>
      <c r="C2064" s="18" t="inlineStr">
        <is>
          <t>control_interno</t>
        </is>
      </c>
      <c r="D2064" s="18" t="inlineStr">
        <is>
          <t>tareas_auditoria</t>
        </is>
      </c>
      <c r="E2064" s="18" t="n">
        <v>0</v>
      </c>
      <c r="F2064" s="18" t="inlineStr">
        <is>
          <t>responsable_nombre</t>
        </is>
      </c>
      <c r="G2064" s="18" t="inlineStr">
        <is>
          <t>character varying(255)</t>
        </is>
      </c>
      <c r="H2064" s="18" t="inlineStr">
        <is>
          <t>No</t>
        </is>
      </c>
      <c r="I2064" s="18" t="inlineStr"/>
      <c r="J2064" s="18" t="inlineStr"/>
      <c r="K2064" s="18" t="inlineStr"/>
      <c r="L2064" s="18" t="inlineStr">
        <is>
          <t>No</t>
        </is>
      </c>
      <c r="M2064" s="18" t="inlineStr">
        <is>
          <t>No</t>
        </is>
      </c>
      <c r="N2064" s="18" t="inlineStr"/>
      <c r="O2064" s="18" t="inlineStr"/>
      <c r="P2064" s="18" t="inlineStr">
        <is>
          <t>Mapeada en internal-institutional-control-service/src/esap/tareas-auditoria/entities/tarea-auditoria.entity.ts:81 (TareaAuditoria.responsableNombre) | Validación: IsOptional, IsString, MaxLength(255)</t>
        </is>
      </c>
      <c r="Q2064" s="18" t="inlineStr">
        <is>
          <t>Propuesta semántica</t>
        </is>
      </c>
      <c r="R2064" s="18" t="inlineStr">
        <is>
          <t>Nombre del usuario responsable de la tarea.</t>
        </is>
      </c>
      <c r="S2064" s="18" t="inlineStr">
        <is>
          <t>Alta</t>
        </is>
      </c>
      <c r="T2064" s="18" t="inlineStr">
        <is>
          <t>nombre + tipo + columnas vecinas</t>
        </is>
      </c>
      <c r="U2064" s="18" t="inlineStr"/>
      <c r="V2064" s="19" t="inlineStr">
        <is>
          <t>Aprobada</t>
        </is>
      </c>
      <c r="W2064" s="19" t="inlineStr"/>
      <c r="X2064" s="19" t="inlineStr">
        <is>
          <t>Aldair González (aprobación en bloque)</t>
        </is>
      </c>
      <c r="Y2064" s="20" t="n">
        <v>46321</v>
      </c>
      <c r="Z2064" s="19" t="inlineStr">
        <is>
          <t>Nivel 1: propuesta del comentario del desarrollador o de confianza alta, o regla de fecha/responsable/motivo.</t>
        </is>
      </c>
      <c r="AA2064" s="18">
        <f>IF(OR(V2064="Aprobada"),R2064,IF(AND(OR(V2064="Aprobada con ajuste",V2064="Rechazada"),W2064&lt;&gt;""),W2064,""))</f>
        <v/>
      </c>
    </row>
    <row r="2065">
      <c r="A2065" s="18" t="inlineStr">
        <is>
          <t>C2064</t>
        </is>
      </c>
      <c r="B2065" s="18" t="inlineStr">
        <is>
          <t>Control interno</t>
        </is>
      </c>
      <c r="C2065" s="18" t="inlineStr">
        <is>
          <t>control_interno</t>
        </is>
      </c>
      <c r="D2065" s="18" t="inlineStr">
        <is>
          <t>tareas_auditoria</t>
        </is>
      </c>
      <c r="E2065" s="18" t="n">
        <v>0</v>
      </c>
      <c r="F2065" s="18" t="inlineStr">
        <is>
          <t>fecha_vencimiento</t>
        </is>
      </c>
      <c r="G2065" s="18" t="inlineStr">
        <is>
          <t>timestamp without time zone</t>
        </is>
      </c>
      <c r="H2065" s="18" t="inlineStr">
        <is>
          <t>Sí</t>
        </is>
      </c>
      <c r="I2065" s="18" t="inlineStr"/>
      <c r="J2065" s="18" t="inlineStr"/>
      <c r="K2065" s="18" t="inlineStr"/>
      <c r="L2065" s="18" t="inlineStr">
        <is>
          <t>No</t>
        </is>
      </c>
      <c r="M2065" s="18" t="inlineStr">
        <is>
          <t>No</t>
        </is>
      </c>
      <c r="N2065" s="18" t="inlineStr"/>
      <c r="O2065" s="18" t="inlineStr">
        <is>
          <t>idx_tareas_auditoria_fecha_vencimiento</t>
        </is>
      </c>
      <c r="P2065" s="18" t="inlineStr">
        <is>
          <t>Mapeada en internal-institutional-control-service/src/esap/tareas-auditoria/entities/tarea-auditoria.entity.ts:89 (TareaAuditoria.fechaVencimiento) | Validación: IsDateString, IsNotEmpty, IsOptional</t>
        </is>
      </c>
      <c r="Q2065" s="18" t="inlineStr">
        <is>
          <t>Regla estructural (redacción revisada)</t>
        </is>
      </c>
      <c r="R2065" s="18" t="inlineStr">
        <is>
          <t>Fecha y hora de vencimiento de la tarea.</t>
        </is>
      </c>
      <c r="S2065" s="18" t="inlineStr">
        <is>
          <t>Alta</t>
        </is>
      </c>
      <c r="T2065" s="18" t="inlineStr">
        <is>
          <t>Convención de nombre, redactada con el contexto de la tabla y el código.</t>
        </is>
      </c>
      <c r="U2065" s="18" t="inlineStr"/>
      <c r="V2065" s="19" t="inlineStr">
        <is>
          <t>Aprobada</t>
        </is>
      </c>
      <c r="W2065" s="19" t="inlineStr"/>
      <c r="X2065" s="19" t="inlineStr">
        <is>
          <t>Aldair González (aprobación en bloque)</t>
        </is>
      </c>
      <c r="Y2065" s="20" t="n">
        <v>46321</v>
      </c>
      <c r="Z2065" s="19" t="inlineStr">
        <is>
          <t>Nivel 2: regla estructural con redacción revisada.</t>
        </is>
      </c>
      <c r="AA2065" s="18">
        <f>IF(OR(V2065="Aprobada"),R2065,IF(AND(OR(V2065="Aprobada con ajuste",V2065="Rechazada"),W2065&lt;&gt;""),W2065,""))</f>
        <v/>
      </c>
    </row>
    <row r="2066">
      <c r="A2066" s="18" t="inlineStr">
        <is>
          <t>C2065</t>
        </is>
      </c>
      <c r="B2066" s="18" t="inlineStr">
        <is>
          <t>Control interno</t>
        </is>
      </c>
      <c r="C2066" s="18" t="inlineStr">
        <is>
          <t>control_interno</t>
        </is>
      </c>
      <c r="D2066" s="18" t="inlineStr">
        <is>
          <t>tareas_auditoria</t>
        </is>
      </c>
      <c r="E2066" s="18" t="n">
        <v>0</v>
      </c>
      <c r="F2066" s="18" t="inlineStr">
        <is>
          <t>fecha_completado</t>
        </is>
      </c>
      <c r="G2066" s="18" t="inlineStr">
        <is>
          <t>timestamp without time zone</t>
        </is>
      </c>
      <c r="H2066" s="18" t="inlineStr">
        <is>
          <t>Sí</t>
        </is>
      </c>
      <c r="I2066" s="18" t="inlineStr"/>
      <c r="J2066" s="18" t="inlineStr"/>
      <c r="K2066" s="18" t="inlineStr"/>
      <c r="L2066" s="18" t="inlineStr">
        <is>
          <t>No</t>
        </is>
      </c>
      <c r="M2066" s="18" t="inlineStr">
        <is>
          <t>No</t>
        </is>
      </c>
      <c r="N2066" s="18" t="inlineStr"/>
      <c r="O2066" s="18" t="inlineStr"/>
      <c r="P2066" s="18" t="inlineStr">
        <is>
          <t>Mapeada en internal-institutional-control-service/src/esap/tareas-auditoria/entities/tarea-auditoria.entity.ts:92 (TareaAuditoria.fechaCompletado) | Validación: IsDateString, IsOptional</t>
        </is>
      </c>
      <c r="Q2066" s="18" t="inlineStr">
        <is>
          <t>Regla estructural (redacción revisada)</t>
        </is>
      </c>
      <c r="R2066" s="18" t="inlineStr">
        <is>
          <t>Fecha y hora en que se completó la tarea.</t>
        </is>
      </c>
      <c r="S2066" s="18" t="inlineStr">
        <is>
          <t>Alta</t>
        </is>
      </c>
      <c r="T2066" s="18" t="inlineStr">
        <is>
          <t>Convención de nombre, redactada con el contexto de la tabla y el código.</t>
        </is>
      </c>
      <c r="U2066" s="18" t="inlineStr"/>
      <c r="V2066" s="19" t="inlineStr">
        <is>
          <t>Aprobada</t>
        </is>
      </c>
      <c r="W2066" s="19" t="inlineStr"/>
      <c r="X2066" s="19" t="inlineStr">
        <is>
          <t>Aldair González (aprobación en bloque)</t>
        </is>
      </c>
      <c r="Y2066" s="20" t="n">
        <v>46321</v>
      </c>
      <c r="Z2066" s="19" t="inlineStr">
        <is>
          <t>Nivel 2: regla estructural con redacción revisada.</t>
        </is>
      </c>
      <c r="AA2066" s="18">
        <f>IF(OR(V2066="Aprobada"),R2066,IF(AND(OR(V2066="Aprobada con ajuste",V2066="Rechazada"),W2066&lt;&gt;""),W2066,""))</f>
        <v/>
      </c>
    </row>
    <row r="2067">
      <c r="A2067" s="18" t="inlineStr">
        <is>
          <t>C2066</t>
        </is>
      </c>
      <c r="B2067" s="18" t="inlineStr">
        <is>
          <t>Control interno</t>
        </is>
      </c>
      <c r="C2067" s="18" t="inlineStr">
        <is>
          <t>control_interno</t>
        </is>
      </c>
      <c r="D2067" s="18" t="inlineStr">
        <is>
          <t>tareas_auditoria</t>
        </is>
      </c>
      <c r="E2067" s="18" t="n">
        <v>0</v>
      </c>
      <c r="F2067" s="18" t="inlineStr">
        <is>
          <t>progreso</t>
        </is>
      </c>
      <c r="G2067" s="18" t="inlineStr">
        <is>
          <t>integer</t>
        </is>
      </c>
      <c r="H2067" s="18" t="inlineStr">
        <is>
          <t>Sí</t>
        </is>
      </c>
      <c r="I2067" s="18" t="inlineStr">
        <is>
          <t>CHECK</t>
        </is>
      </c>
      <c r="J2067" s="18" t="inlineStr"/>
      <c r="K2067" s="18" t="inlineStr"/>
      <c r="L2067" s="18" t="inlineStr">
        <is>
          <t>No</t>
        </is>
      </c>
      <c r="M2067" s="18" t="inlineStr">
        <is>
          <t>No</t>
        </is>
      </c>
      <c r="N2067" s="18" t="inlineStr"/>
      <c r="O2067" s="18" t="inlineStr"/>
      <c r="P2067" s="18" t="inlineStr">
        <is>
          <t>internal-institutional-control-service/src/esap/tareas-auditoria/entities/tarea-auditoria.entity.ts:95: 0-100 | Validación: IsInt, IsOptional, Max(100), Min(0)</t>
        </is>
      </c>
      <c r="Q2067" s="18" t="inlineStr">
        <is>
          <t>Código fuente</t>
        </is>
      </c>
      <c r="R2067" s="18" t="inlineStr">
        <is>
          <t>Porcentaje de avance de la tarea de auditoría, de 0 a 100. Por defecto 0.</t>
        </is>
      </c>
      <c r="S2067" s="18" t="inlineStr">
        <is>
          <t>Alta</t>
        </is>
      </c>
      <c r="T2067" s="18" t="inlineStr">
        <is>
          <t>código: internal-institutional-control-service/src/esap/tareas-auditoria/entities/tarea-auditoria.entity.ts:95</t>
        </is>
      </c>
      <c r="U2067" s="18" t="inlineStr"/>
      <c r="V2067" s="19" t="inlineStr">
        <is>
          <t>Aprobada</t>
        </is>
      </c>
      <c r="W2067" s="19" t="inlineStr"/>
      <c r="X2067" s="19" t="inlineStr">
        <is>
          <t>Aldair González (aprobación en bloque)</t>
        </is>
      </c>
      <c r="Y2067" s="20" t="n">
        <v>46321</v>
      </c>
      <c r="Z2067" s="19" t="inlineStr">
        <is>
          <t>Nivel 1: propuesta del comentario del desarrollador o de confianza alta, o regla de fecha/responsable/motivo.</t>
        </is>
      </c>
      <c r="AA2067" s="18">
        <f>IF(OR(V2067="Aprobada"),R2067,IF(AND(OR(V2067="Aprobada con ajuste",V2067="Rechazada"),W2067&lt;&gt;""),W2067,""))</f>
        <v/>
      </c>
    </row>
    <row r="2068">
      <c r="A2068" s="18" t="inlineStr">
        <is>
          <t>C2067</t>
        </is>
      </c>
      <c r="B2068" s="18" t="inlineStr">
        <is>
          <t>Control interno</t>
        </is>
      </c>
      <c r="C2068" s="18" t="inlineStr">
        <is>
          <t>control_interno</t>
        </is>
      </c>
      <c r="D2068" s="18" t="inlineStr">
        <is>
          <t>tareas_auditoria</t>
        </is>
      </c>
      <c r="E2068" s="18" t="n">
        <v>0</v>
      </c>
      <c r="F2068" s="18" t="inlineStr">
        <is>
          <t>notas</t>
        </is>
      </c>
      <c r="G2068" s="18" t="inlineStr">
        <is>
          <t>text</t>
        </is>
      </c>
      <c r="H2068" s="18" t="inlineStr">
        <is>
          <t>Sí</t>
        </is>
      </c>
      <c r="I2068" s="18" t="inlineStr"/>
      <c r="J2068" s="18" t="inlineStr"/>
      <c r="K2068" s="18" t="inlineStr"/>
      <c r="L2068" s="18" t="inlineStr">
        <is>
          <t>No</t>
        </is>
      </c>
      <c r="M2068" s="18" t="inlineStr">
        <is>
          <t>No</t>
        </is>
      </c>
      <c r="N2068" s="18" t="inlineStr"/>
      <c r="O2068" s="18" t="inlineStr"/>
      <c r="P2068" s="18" t="inlineStr">
        <is>
          <t>Mapeada en internal-institutional-control-service/src/esap/tareas-auditoria/entities/tarea-auditoria.entity.ts:98 (TareaAuditoria.notas) | Validación: IsOptional, IsString</t>
        </is>
      </c>
      <c r="Q2068" s="18" t="inlineStr">
        <is>
          <t>Propuesta semántica</t>
        </is>
      </c>
      <c r="R2068" s="18" t="inlineStr">
        <is>
          <t>Notas registradas sobre la tarea de auditoría.</t>
        </is>
      </c>
      <c r="S2068" s="18" t="inlineStr">
        <is>
          <t>Alta</t>
        </is>
      </c>
      <c r="T2068" s="18" t="inlineStr">
        <is>
          <t>nombre + tipo</t>
        </is>
      </c>
      <c r="U2068" s="18" t="inlineStr"/>
      <c r="V2068" s="19" t="inlineStr">
        <is>
          <t>Aprobada</t>
        </is>
      </c>
      <c r="W2068" s="19" t="inlineStr"/>
      <c r="X2068" s="19" t="inlineStr">
        <is>
          <t>Aldair González (aprobación en bloque)</t>
        </is>
      </c>
      <c r="Y2068" s="20" t="n">
        <v>46321</v>
      </c>
      <c r="Z2068" s="19" t="inlineStr">
        <is>
          <t>Nivel 1: propuesta del comentario del desarrollador o de confianza alta, o regla de fecha/responsable/motivo.</t>
        </is>
      </c>
      <c r="AA2068" s="18">
        <f>IF(OR(V2068="Aprobada"),R2068,IF(AND(OR(V2068="Aprobada con ajuste",V2068="Rechazada"),W2068&lt;&gt;""),W2068,""))</f>
        <v/>
      </c>
    </row>
    <row r="2069">
      <c r="A2069" s="18" t="inlineStr">
        <is>
          <t>C2068</t>
        </is>
      </c>
      <c r="B2069" s="18" t="inlineStr">
        <is>
          <t>Control interno</t>
        </is>
      </c>
      <c r="C2069" s="18" t="inlineStr">
        <is>
          <t>control_interno</t>
        </is>
      </c>
      <c r="D2069" s="18" t="inlineStr">
        <is>
          <t>tipo_proceso</t>
        </is>
      </c>
      <c r="E2069" s="18" t="n">
        <v>7</v>
      </c>
      <c r="F2069" s="18" t="inlineStr">
        <is>
          <t>orden</t>
        </is>
      </c>
      <c r="G2069" s="18" t="inlineStr">
        <is>
          <t>integer</t>
        </is>
      </c>
      <c r="H2069" s="18" t="inlineStr">
        <is>
          <t>No</t>
        </is>
      </c>
      <c r="I2069" s="18" t="inlineStr"/>
      <c r="J2069" s="18" t="inlineStr"/>
      <c r="K2069" s="18" t="inlineStr"/>
      <c r="L2069" s="18" t="inlineStr">
        <is>
          <t>Sí</t>
        </is>
      </c>
      <c r="M2069" s="18" t="inlineStr">
        <is>
          <t>No</t>
        </is>
      </c>
      <c r="N2069" s="18" t="inlineStr"/>
      <c r="O2069" s="18" t="inlineStr">
        <is>
          <t>idx_tipo_proceso_orden</t>
        </is>
      </c>
      <c r="P2069" s="18" t="inlineStr">
        <is>
          <t>Mapeada en internal-institutional-control-service/src/esap/universo-auditorias/entities/tipo-proceso.entity.ts:29 (TipoProceso.orden) | Validación: IsInt, IsOptional, Min(1)</t>
        </is>
      </c>
      <c r="Q2069" s="18" t="inlineStr">
        <is>
          <t>Regla estructural (redacción revisada)</t>
        </is>
      </c>
      <c r="R2069" s="18" t="inlineStr">
        <is>
          <t>Posición del tipo de proceso en el catálogo.</t>
        </is>
      </c>
      <c r="S2069" s="18" t="inlineStr">
        <is>
          <t>Alta</t>
        </is>
      </c>
      <c r="T2069" s="18" t="inlineStr">
        <is>
          <t>Convención de nombre, redactada con el contexto de la tabla y el código.</t>
        </is>
      </c>
      <c r="U2069" s="18" t="inlineStr"/>
      <c r="V2069" s="19" t="inlineStr">
        <is>
          <t>Aprobada</t>
        </is>
      </c>
      <c r="W2069" s="19" t="inlineStr"/>
      <c r="X2069" s="19" t="inlineStr">
        <is>
          <t>Aldair González (aprobación en bloque)</t>
        </is>
      </c>
      <c r="Y2069" s="20" t="n">
        <v>46321</v>
      </c>
      <c r="Z2069" s="19" t="inlineStr">
        <is>
          <t>Nivel 2: regla estructural con redacción revisada.</t>
        </is>
      </c>
      <c r="AA2069" s="18">
        <f>IF(OR(V2069="Aprobada"),R2069,IF(AND(OR(V2069="Aprobada con ajuste",V2069="Rechazada"),W2069&lt;&gt;""),W2069,""))</f>
        <v/>
      </c>
    </row>
    <row r="2070">
      <c r="A2070" s="18" t="inlineStr">
        <is>
          <t>C2069</t>
        </is>
      </c>
      <c r="B2070" s="18" t="inlineStr">
        <is>
          <t>Control interno</t>
        </is>
      </c>
      <c r="C2070" s="18" t="inlineStr">
        <is>
          <t>control_interno</t>
        </is>
      </c>
      <c r="D2070" s="18" t="inlineStr">
        <is>
          <t>tipo_proceso</t>
        </is>
      </c>
      <c r="E2070" s="18" t="n">
        <v>7</v>
      </c>
      <c r="F2070" s="18" t="inlineStr">
        <is>
          <t>activo</t>
        </is>
      </c>
      <c r="G2070" s="18" t="inlineStr">
        <is>
          <t>boolean</t>
        </is>
      </c>
      <c r="H2070" s="18" t="inlineStr">
        <is>
          <t>No</t>
        </is>
      </c>
      <c r="I2070" s="18" t="inlineStr"/>
      <c r="J2070" s="18" t="inlineStr"/>
      <c r="K2070" s="18" t="inlineStr"/>
      <c r="L2070" s="18" t="inlineStr">
        <is>
          <t>Sí</t>
        </is>
      </c>
      <c r="M2070" s="18" t="inlineStr">
        <is>
          <t>No</t>
        </is>
      </c>
      <c r="N2070" s="18" t="inlineStr"/>
      <c r="O2070" s="18" t="inlineStr">
        <is>
          <t>idx_tipo_proceso_activo</t>
        </is>
      </c>
      <c r="P2070" s="18" t="inlineStr">
        <is>
          <t>Mapeada en internal-institutional-control-service/src/esap/universo-auditorias/entities/tipo-proceso.entity.ts:32 (TipoProceso.activo) | Validación: IsBoolean, IsOptional</t>
        </is>
      </c>
      <c r="Q2070" s="18" t="inlineStr">
        <is>
          <t>Regla estructural (redacción revisada)</t>
        </is>
      </c>
      <c r="R2070" s="18" t="inlineStr">
        <is>
          <t>Indica si el tipo de proceso está activo.</t>
        </is>
      </c>
      <c r="S2070" s="18" t="inlineStr">
        <is>
          <t>Alta</t>
        </is>
      </c>
      <c r="T2070" s="18" t="inlineStr">
        <is>
          <t>Convención de nombre, redactada con el contexto de la tabla y el código.</t>
        </is>
      </c>
      <c r="U2070" s="18" t="inlineStr"/>
      <c r="V2070" s="19" t="inlineStr">
        <is>
          <t>Aprobada</t>
        </is>
      </c>
      <c r="W2070" s="19" t="inlineStr"/>
      <c r="X2070" s="19" t="inlineStr">
        <is>
          <t>Aldair González (aprobación en bloque)</t>
        </is>
      </c>
      <c r="Y2070" s="20" t="n">
        <v>46321</v>
      </c>
      <c r="Z2070" s="19" t="inlineStr">
        <is>
          <t>Nivel 2: regla estructural con redacción revisada.</t>
        </is>
      </c>
      <c r="AA2070" s="18">
        <f>IF(OR(V2070="Aprobada"),R2070,IF(AND(OR(V2070="Aprobada con ajuste",V2070="Rechazada"),W2070&lt;&gt;""),W2070,""))</f>
        <v/>
      </c>
    </row>
    <row r="2071">
      <c r="A2071" s="18" t="inlineStr">
        <is>
          <t>C2070</t>
        </is>
      </c>
      <c r="B2071" s="18" t="inlineStr">
        <is>
          <t>Control interno</t>
        </is>
      </c>
      <c r="C2071" s="18" t="inlineStr">
        <is>
          <t>control_interno</t>
        </is>
      </c>
      <c r="D2071" s="18" t="inlineStr">
        <is>
          <t>usuarios_esap</t>
        </is>
      </c>
      <c r="E2071" s="18" t="n">
        <v>0</v>
      </c>
      <c r="F2071" s="18" t="inlineStr">
        <is>
          <t>codigo</t>
        </is>
      </c>
      <c r="G2071" s="18" t="inlineStr">
        <is>
          <t>character varying(255)</t>
        </is>
      </c>
      <c r="H2071" s="18" t="inlineStr">
        <is>
          <t>No</t>
        </is>
      </c>
      <c r="I2071" s="18" t="inlineStr">
        <is>
          <t>Única</t>
        </is>
      </c>
      <c r="J2071" s="18" t="inlineStr"/>
      <c r="K2071" s="18" t="inlineStr"/>
      <c r="L2071" s="18" t="inlineStr">
        <is>
          <t>No</t>
        </is>
      </c>
      <c r="M2071" s="18" t="inlineStr">
        <is>
          <t>No</t>
        </is>
      </c>
      <c r="N2071" s="18" t="inlineStr"/>
      <c r="O2071" s="18" t="inlineStr">
        <is>
          <t>idx_usuarios_esap_codigo, usuarios_esap_codigo_key</t>
        </is>
      </c>
      <c r="P2071" s="18" t="inlineStr"/>
      <c r="Q2071" s="18" t="inlineStr">
        <is>
          <t>Regla estructural (redacción revisada)</t>
        </is>
      </c>
      <c r="R2071" s="18" t="inlineStr">
        <is>
          <t>Código del usuario. Único en la tabla.</t>
        </is>
      </c>
      <c r="S2071" s="18" t="inlineStr">
        <is>
          <t>Alta</t>
        </is>
      </c>
      <c r="T2071" s="18" t="inlineStr">
        <is>
          <t>Convención de nombre, redactada con el contexto de la tabla y el código.</t>
        </is>
      </c>
      <c r="U2071" s="18" t="inlineStr"/>
      <c r="V2071" s="19" t="inlineStr">
        <is>
          <t>Aprobada</t>
        </is>
      </c>
      <c r="W2071" s="19" t="inlineStr"/>
      <c r="X2071" s="19" t="inlineStr">
        <is>
          <t>Aldair González (aprobación en bloque)</t>
        </is>
      </c>
      <c r="Y2071" s="20" t="n">
        <v>46321</v>
      </c>
      <c r="Z2071" s="19" t="inlineStr">
        <is>
          <t>Nivel 2: regla estructural con redacción revisada.</t>
        </is>
      </c>
      <c r="AA2071" s="18">
        <f>IF(OR(V2071="Aprobada"),R2071,IF(AND(OR(V2071="Aprobada con ajuste",V2071="Rechazada"),W2071&lt;&gt;""),W2071,""))</f>
        <v/>
      </c>
    </row>
    <row r="2072">
      <c r="A2072" s="18" t="inlineStr">
        <is>
          <t>C2071</t>
        </is>
      </c>
      <c r="B2072" s="18" t="inlineStr">
        <is>
          <t>Control interno</t>
        </is>
      </c>
      <c r="C2072" s="18" t="inlineStr">
        <is>
          <t>control_interno</t>
        </is>
      </c>
      <c r="D2072" s="18" t="inlineStr">
        <is>
          <t>usuarios_esap</t>
        </is>
      </c>
      <c r="E2072" s="18" t="n">
        <v>0</v>
      </c>
      <c r="F2072" s="18" t="inlineStr">
        <is>
          <t>nombre_completo</t>
        </is>
      </c>
      <c r="G2072" s="18" t="inlineStr">
        <is>
          <t>character varying(255)</t>
        </is>
      </c>
      <c r="H2072" s="18" t="inlineStr">
        <is>
          <t>No</t>
        </is>
      </c>
      <c r="I2072" s="18" t="inlineStr"/>
      <c r="J2072" s="18" t="inlineStr"/>
      <c r="K2072" s="18" t="inlineStr"/>
      <c r="L2072" s="18" t="inlineStr">
        <is>
          <t>No</t>
        </is>
      </c>
      <c r="M2072" s="18" t="inlineStr">
        <is>
          <t>No</t>
        </is>
      </c>
      <c r="N2072" s="18" t="inlineStr"/>
      <c r="O2072" s="18" t="inlineStr"/>
      <c r="P2072" s="18" t="inlineStr"/>
      <c r="Q2072" s="18" t="inlineStr">
        <is>
          <t>Propuesta semántica</t>
        </is>
      </c>
      <c r="R2072" s="18" t="inlineStr">
        <is>
          <t>Nombre completo del usuario.</t>
        </is>
      </c>
      <c r="S2072" s="18" t="inlineStr">
        <is>
          <t>Alta</t>
        </is>
      </c>
      <c r="T2072" s="18" t="inlineStr">
        <is>
          <t>nombre + tipo + columnas vecinas</t>
        </is>
      </c>
      <c r="U2072" s="18" t="inlineStr"/>
      <c r="V2072" s="19" t="inlineStr">
        <is>
          <t>Aprobada</t>
        </is>
      </c>
      <c r="W2072" s="19" t="inlineStr"/>
      <c r="X2072" s="19" t="inlineStr">
        <is>
          <t>Aldair González (aprobación en bloque)</t>
        </is>
      </c>
      <c r="Y2072" s="20" t="n">
        <v>46321</v>
      </c>
      <c r="Z2072" s="19" t="inlineStr">
        <is>
          <t>Nivel 1: propuesta del comentario del desarrollador o de confianza alta, o regla de fecha/responsable/motivo.</t>
        </is>
      </c>
      <c r="AA2072" s="18">
        <f>IF(OR(V2072="Aprobada"),R2072,IF(AND(OR(V2072="Aprobada con ajuste",V2072="Rechazada"),W2072&lt;&gt;""),W2072,""))</f>
        <v/>
      </c>
    </row>
    <row r="2073">
      <c r="A2073" s="18" t="inlineStr">
        <is>
          <t>C2072</t>
        </is>
      </c>
      <c r="B2073" s="18" t="inlineStr">
        <is>
          <t>Control interno</t>
        </is>
      </c>
      <c r="C2073" s="18" t="inlineStr">
        <is>
          <t>control_interno</t>
        </is>
      </c>
      <c r="D2073" s="18" t="inlineStr">
        <is>
          <t>usuarios_esap</t>
        </is>
      </c>
      <c r="E2073" s="18" t="n">
        <v>0</v>
      </c>
      <c r="F2073" s="18" t="inlineStr">
        <is>
          <t>email</t>
        </is>
      </c>
      <c r="G2073" s="18" t="inlineStr">
        <is>
          <t>character varying(255)</t>
        </is>
      </c>
      <c r="H2073" s="18" t="inlineStr">
        <is>
          <t>No</t>
        </is>
      </c>
      <c r="I2073" s="18" t="inlineStr">
        <is>
          <t>Única</t>
        </is>
      </c>
      <c r="J2073" s="18" t="inlineStr"/>
      <c r="K2073" s="18" t="inlineStr"/>
      <c r="L2073" s="18" t="inlineStr">
        <is>
          <t>No</t>
        </is>
      </c>
      <c r="M2073" s="18" t="inlineStr">
        <is>
          <t>No</t>
        </is>
      </c>
      <c r="N2073" s="18" t="inlineStr"/>
      <c r="O2073" s="18" t="inlineStr">
        <is>
          <t>idx_usuarios_esap_email, usuarios_esap_email_key</t>
        </is>
      </c>
      <c r="P2073" s="18" t="inlineStr"/>
      <c r="Q2073" s="18" t="inlineStr">
        <is>
          <t>Regla estructural (redacción revisada)</t>
        </is>
      </c>
      <c r="R2073" s="18" t="inlineStr">
        <is>
          <t>Correo electrónico del usuario.</t>
        </is>
      </c>
      <c r="S2073" s="18" t="inlineStr">
        <is>
          <t>Alta</t>
        </is>
      </c>
      <c r="T2073" s="18" t="inlineStr">
        <is>
          <t>Convención de nombre, redactada con el contexto de la tabla y el código.</t>
        </is>
      </c>
      <c r="U2073" s="18" t="inlineStr"/>
      <c r="V2073" s="19" t="inlineStr">
        <is>
          <t>Aprobada</t>
        </is>
      </c>
      <c r="W2073" s="19" t="inlineStr"/>
      <c r="X2073" s="19" t="inlineStr">
        <is>
          <t>Aldair González (aprobación en bloque)</t>
        </is>
      </c>
      <c r="Y2073" s="20" t="n">
        <v>46321</v>
      </c>
      <c r="Z2073" s="19" t="inlineStr">
        <is>
          <t>Nivel 2: regla estructural con redacción revisada.</t>
        </is>
      </c>
      <c r="AA2073" s="18">
        <f>IF(OR(V2073="Aprobada"),R2073,IF(AND(OR(V2073="Aprobada con ajuste",V2073="Rechazada"),W2073&lt;&gt;""),W2073,""))</f>
        <v/>
      </c>
    </row>
    <row r="2074">
      <c r="A2074" s="18" t="inlineStr">
        <is>
          <t>C2073</t>
        </is>
      </c>
      <c r="B2074" s="18" t="inlineStr">
        <is>
          <t>Control interno</t>
        </is>
      </c>
      <c r="C2074" s="18" t="inlineStr">
        <is>
          <t>control_interno</t>
        </is>
      </c>
      <c r="D2074" s="18" t="inlineStr">
        <is>
          <t>usuarios_esap</t>
        </is>
      </c>
      <c r="E2074" s="18" t="n">
        <v>0</v>
      </c>
      <c r="F2074" s="18" t="inlineStr">
        <is>
          <t>cargo</t>
        </is>
      </c>
      <c r="G2074" s="18" t="inlineStr">
        <is>
          <t>character varying(255)</t>
        </is>
      </c>
      <c r="H2074" s="18" t="inlineStr">
        <is>
          <t>Sí</t>
        </is>
      </c>
      <c r="I2074" s="18" t="inlineStr"/>
      <c r="J2074" s="18" t="inlineStr"/>
      <c r="K2074" s="18" t="inlineStr"/>
      <c r="L2074" s="18" t="inlineStr">
        <is>
          <t>No</t>
        </is>
      </c>
      <c r="M2074" s="18" t="inlineStr">
        <is>
          <t>No</t>
        </is>
      </c>
      <c r="N2074" s="18" t="inlineStr"/>
      <c r="O2074" s="18" t="inlineStr"/>
      <c r="P2074" s="18" t="inlineStr"/>
      <c r="Q2074" s="18" t="inlineStr">
        <is>
          <t>Propuesta semántica</t>
        </is>
      </c>
      <c r="R2074" s="18" t="inlineStr">
        <is>
          <t>Cargo del usuario en la ESAP.</t>
        </is>
      </c>
      <c r="S2074" s="18" t="inlineStr">
        <is>
          <t>Alta</t>
        </is>
      </c>
      <c r="T2074" s="18" t="inlineStr">
        <is>
          <t>nombre + tipo + columnas vecinas</t>
        </is>
      </c>
      <c r="U2074" s="18" t="inlineStr"/>
      <c r="V2074" s="19" t="inlineStr">
        <is>
          <t>Aprobada</t>
        </is>
      </c>
      <c r="W2074" s="19" t="inlineStr"/>
      <c r="X2074" s="19" t="inlineStr">
        <is>
          <t>Aldair González (aprobación en bloque)</t>
        </is>
      </c>
      <c r="Y2074" s="20" t="n">
        <v>46321</v>
      </c>
      <c r="Z2074" s="19" t="inlineStr">
        <is>
          <t>Nivel 1: propuesta del comentario del desarrollador o de confianza alta, o regla de fecha/responsable/motivo.</t>
        </is>
      </c>
      <c r="AA2074" s="18">
        <f>IF(OR(V2074="Aprobada"),R2074,IF(AND(OR(V2074="Aprobada con ajuste",V2074="Rechazada"),W2074&lt;&gt;""),W2074,""))</f>
        <v/>
      </c>
    </row>
    <row r="2075">
      <c r="A2075" s="18" t="inlineStr">
        <is>
          <t>C2074</t>
        </is>
      </c>
      <c r="B2075" s="18" t="inlineStr">
        <is>
          <t>Control interno</t>
        </is>
      </c>
      <c r="C2075" s="18" t="inlineStr">
        <is>
          <t>control_interno</t>
        </is>
      </c>
      <c r="D2075" s="18" t="inlineStr">
        <is>
          <t>usuarios_esap</t>
        </is>
      </c>
      <c r="E2075" s="18" t="n">
        <v>0</v>
      </c>
      <c r="F2075" s="18" t="inlineStr">
        <is>
          <t>area</t>
        </is>
      </c>
      <c r="G2075" s="18" t="inlineStr">
        <is>
          <t>character varying(255)</t>
        </is>
      </c>
      <c r="H2075" s="18" t="inlineStr">
        <is>
          <t>Sí</t>
        </is>
      </c>
      <c r="I2075" s="18" t="inlineStr"/>
      <c r="J2075" s="18" t="inlineStr"/>
      <c r="K2075" s="18" t="inlineStr"/>
      <c r="L2075" s="18" t="inlineStr">
        <is>
          <t>No</t>
        </is>
      </c>
      <c r="M2075" s="18" t="inlineStr">
        <is>
          <t>No</t>
        </is>
      </c>
      <c r="N2075" s="18" t="inlineStr"/>
      <c r="O2075" s="18" t="inlineStr"/>
      <c r="P2075" s="18" t="inlineStr"/>
      <c r="Q2075" s="18" t="inlineStr">
        <is>
          <t>Propuesta semántica</t>
        </is>
      </c>
      <c r="R2075" s="18" t="inlineStr">
        <is>
          <t>Área o dependencia a la que pertenece el usuario.</t>
        </is>
      </c>
      <c r="S2075" s="18" t="inlineStr">
        <is>
          <t>Alta</t>
        </is>
      </c>
      <c r="T2075" s="18" t="inlineStr">
        <is>
          <t>nombre + tipo + columnas vecinas</t>
        </is>
      </c>
      <c r="U2075" s="18" t="inlineStr"/>
      <c r="V2075" s="19" t="inlineStr">
        <is>
          <t>Aprobada</t>
        </is>
      </c>
      <c r="W2075" s="19" t="inlineStr"/>
      <c r="X2075" s="19" t="inlineStr">
        <is>
          <t>Aldair González (aprobación en bloque)</t>
        </is>
      </c>
      <c r="Y2075" s="20" t="n">
        <v>46321</v>
      </c>
      <c r="Z2075" s="19" t="inlineStr">
        <is>
          <t>Nivel 1: propuesta del comentario del desarrollador o de confianza alta, o regla de fecha/responsable/motivo.</t>
        </is>
      </c>
      <c r="AA2075" s="18">
        <f>IF(OR(V2075="Aprobada"),R2075,IF(AND(OR(V2075="Aprobada con ajuste",V2075="Rechazada"),W2075&lt;&gt;""),W2075,""))</f>
        <v/>
      </c>
    </row>
    <row r="2076">
      <c r="A2076" s="18" t="inlineStr">
        <is>
          <t>C2075</t>
        </is>
      </c>
      <c r="B2076" s="18" t="inlineStr">
        <is>
          <t>Control interno</t>
        </is>
      </c>
      <c r="C2076" s="18" t="inlineStr">
        <is>
          <t>control_interno</t>
        </is>
      </c>
      <c r="D2076" s="18" t="inlineStr">
        <is>
          <t>usuarios_esap</t>
        </is>
      </c>
      <c r="E2076" s="18" t="n">
        <v>0</v>
      </c>
      <c r="F2076" s="18" t="inlineStr">
        <is>
          <t>rol</t>
        </is>
      </c>
      <c r="G2076" s="18" t="inlineStr">
        <is>
          <t>character varying(100)</t>
        </is>
      </c>
      <c r="H2076" s="18" t="inlineStr">
        <is>
          <t>Sí</t>
        </is>
      </c>
      <c r="I2076" s="18" t="inlineStr"/>
      <c r="J2076" s="18" t="inlineStr"/>
      <c r="K2076" s="18" t="inlineStr"/>
      <c r="L2076" s="18" t="inlineStr">
        <is>
          <t>No</t>
        </is>
      </c>
      <c r="M2076" s="18" t="inlineStr">
        <is>
          <t>No</t>
        </is>
      </c>
      <c r="N2076" s="18" t="inlineStr"/>
      <c r="O2076" s="18" t="inlineStr"/>
      <c r="P2076" s="18" t="inlineStr"/>
      <c r="Q2076" s="18" t="inlineStr">
        <is>
          <t>Código fuente (verificado)</t>
        </is>
      </c>
      <c r="R2076" s="18" t="inlineStr">
        <is>
          <t>Rol del usuario en el sistema.</t>
        </is>
      </c>
      <c r="S2076" s="18" t="inlineStr">
        <is>
          <t>Media</t>
        </is>
      </c>
      <c r="T2076" s="18" t="inlineStr">
        <is>
          <t>internal-institutional-control-service/schema.sql:1106: rol VARCHAR(100) sin CHECK; ninguna entidad ni servicio usa control_interno.usuarios_esap</t>
        </is>
      </c>
      <c r="U2076" s="18" t="inlineStr">
        <is>
          <t>¿Qué roles existen en usuarios_esap.rol y de qué catálogo provienen? La tabla no se usa en el código del servicio.</t>
        </is>
      </c>
      <c r="V2076" s="19" t="inlineStr">
        <is>
          <t>Aprobada</t>
        </is>
      </c>
      <c r="W2076" s="19" t="inlineStr"/>
      <c r="X2076" s="19" t="inlineStr">
        <is>
          <t>Aldair González (validación del responsable de BD)</t>
        </is>
      </c>
      <c r="Y2076" s="20" t="n">
        <v>46321</v>
      </c>
      <c r="Z2076" s="19" t="inlineStr">
        <is>
          <t>Nivel 3: validada por decisión del responsable de la base de datos. Pregunta registrada para desarrollo: ¿Qué roles existen en usuarios_esap.rol y de qué catálogo provienen? La tabla no se usa en el código del servicio.</t>
        </is>
      </c>
      <c r="AA2076" s="18">
        <f>IF(OR(V2076="Aprobada"),R2076,IF(AND(OR(V2076="Aprobada con ajuste",V2076="Rechazada"),W2076&lt;&gt;""),W2076,""))</f>
        <v/>
      </c>
    </row>
    <row r="2077">
      <c r="A2077" s="18" t="inlineStr">
        <is>
          <t>C2076</t>
        </is>
      </c>
      <c r="B2077" s="18" t="inlineStr">
        <is>
          <t>Control interno</t>
        </is>
      </c>
      <c r="C2077" s="18" t="inlineStr">
        <is>
          <t>control_interno</t>
        </is>
      </c>
      <c r="D2077" s="18" t="inlineStr">
        <is>
          <t>usuarios_esap</t>
        </is>
      </c>
      <c r="E2077" s="18" t="n">
        <v>0</v>
      </c>
      <c r="F2077" s="18" t="inlineStr">
        <is>
          <t>activo</t>
        </is>
      </c>
      <c r="G2077" s="18" t="inlineStr">
        <is>
          <t>boolean</t>
        </is>
      </c>
      <c r="H2077" s="18" t="inlineStr">
        <is>
          <t>Sí</t>
        </is>
      </c>
      <c r="I2077" s="18" t="inlineStr"/>
      <c r="J2077" s="18" t="inlineStr"/>
      <c r="K2077" s="18" t="inlineStr"/>
      <c r="L2077" s="18" t="inlineStr">
        <is>
          <t>No</t>
        </is>
      </c>
      <c r="M2077" s="18" t="inlineStr">
        <is>
          <t>No</t>
        </is>
      </c>
      <c r="N2077" s="18" t="inlineStr"/>
      <c r="O2077" s="18" t="inlineStr">
        <is>
          <t>idx_usuarios_esap_activo</t>
        </is>
      </c>
      <c r="P2077" s="18" t="inlineStr"/>
      <c r="Q2077" s="18" t="inlineStr">
        <is>
          <t>Regla estructural (redacción revisada)</t>
        </is>
      </c>
      <c r="R2077" s="18" t="inlineStr">
        <is>
          <t>Indica si el usuario está activo.</t>
        </is>
      </c>
      <c r="S2077" s="18" t="inlineStr">
        <is>
          <t>Alta</t>
        </is>
      </c>
      <c r="T2077" s="18" t="inlineStr">
        <is>
          <t>Convención de nombre, redactada con el contexto de la tabla y el código.</t>
        </is>
      </c>
      <c r="U2077" s="18" t="inlineStr"/>
      <c r="V2077" s="19" t="inlineStr">
        <is>
          <t>Aprobada</t>
        </is>
      </c>
      <c r="W2077" s="19" t="inlineStr"/>
      <c r="X2077" s="19" t="inlineStr">
        <is>
          <t>Aldair González (aprobación en bloque)</t>
        </is>
      </c>
      <c r="Y2077" s="20" t="n">
        <v>46321</v>
      </c>
      <c r="Z2077" s="19" t="inlineStr">
        <is>
          <t>Nivel 2: regla estructural con redacción revisada.</t>
        </is>
      </c>
      <c r="AA2077" s="18">
        <f>IF(OR(V2077="Aprobada"),R2077,IF(AND(OR(V2077="Aprobada con ajuste",V2077="Rechazada"),W2077&lt;&gt;""),W2077,""))</f>
        <v/>
      </c>
    </row>
    <row r="2078">
      <c r="A2078" s="18" t="inlineStr">
        <is>
          <t>C2077</t>
        </is>
      </c>
      <c r="B2078" s="18" t="inlineStr">
        <is>
          <t>Control interno</t>
        </is>
      </c>
      <c r="C2078" s="18" t="inlineStr">
        <is>
          <t>control_interno</t>
        </is>
      </c>
      <c r="D2078" s="18" t="inlineStr">
        <is>
          <t>usuarios_esap</t>
        </is>
      </c>
      <c r="E2078" s="18" t="n">
        <v>0</v>
      </c>
      <c r="F2078" s="18" t="inlineStr">
        <is>
          <t>ultimo_acceso</t>
        </is>
      </c>
      <c r="G2078" s="18" t="inlineStr">
        <is>
          <t>timestamp without time zone</t>
        </is>
      </c>
      <c r="H2078" s="18" t="inlineStr">
        <is>
          <t>Sí</t>
        </is>
      </c>
      <c r="I2078" s="18" t="inlineStr"/>
      <c r="J2078" s="18" t="inlineStr"/>
      <c r="K2078" s="18" t="inlineStr"/>
      <c r="L2078" s="18" t="inlineStr">
        <is>
          <t>No</t>
        </is>
      </c>
      <c r="M2078" s="18" t="inlineStr">
        <is>
          <t>No</t>
        </is>
      </c>
      <c r="N2078" s="18" t="inlineStr"/>
      <c r="O2078" s="18" t="inlineStr"/>
      <c r="P2078" s="18" t="inlineStr"/>
      <c r="Q2078" s="18" t="inlineStr">
        <is>
          <t>Propuesta semántica</t>
        </is>
      </c>
      <c r="R2078" s="18" t="inlineStr">
        <is>
          <t>Fecha y hora del último acceso del usuario al sistema.</t>
        </is>
      </c>
      <c r="S2078" s="18" t="inlineStr">
        <is>
          <t>Alta</t>
        </is>
      </c>
      <c r="T2078" s="18" t="inlineStr">
        <is>
          <t>nombre + tipo + columnas vecinas</t>
        </is>
      </c>
      <c r="U2078" s="18" t="inlineStr"/>
      <c r="V2078" s="19" t="inlineStr">
        <is>
          <t>Aprobada</t>
        </is>
      </c>
      <c r="W2078" s="19" t="inlineStr"/>
      <c r="X2078" s="19" t="inlineStr">
        <is>
          <t>Aldair González (aprobación en bloque)</t>
        </is>
      </c>
      <c r="Y2078" s="20" t="n">
        <v>46321</v>
      </c>
      <c r="Z2078" s="19" t="inlineStr">
        <is>
          <t>Nivel 1: propuesta del comentario del desarrollador o de confianza alta, o regla de fecha/responsable/motivo.</t>
        </is>
      </c>
      <c r="AA2078" s="18">
        <f>IF(OR(V2078="Aprobada"),R2078,IF(AND(OR(V2078="Aprobada con ajuste",V2078="Rechazada"),W2078&lt;&gt;""),W2078,""))</f>
        <v/>
      </c>
    </row>
    <row r="2079">
      <c r="A2079" s="18" t="inlineStr">
        <is>
          <t>C2078</t>
        </is>
      </c>
      <c r="B2079" s="18" t="inlineStr">
        <is>
          <t>Control interno</t>
        </is>
      </c>
      <c r="C2079" s="18" t="inlineStr">
        <is>
          <t>control_interno</t>
        </is>
      </c>
      <c r="D2079" s="18" t="inlineStr">
        <is>
          <t>version_lista_chequeo</t>
        </is>
      </c>
      <c r="E2079" s="18" t="n">
        <v>0</v>
      </c>
      <c r="F2079" s="18" t="inlineStr">
        <is>
          <t>lista_id</t>
        </is>
      </c>
      <c r="G2079" s="18" t="inlineStr">
        <is>
          <t>uuid</t>
        </is>
      </c>
      <c r="H2079" s="18" t="inlineStr">
        <is>
          <t>No</t>
        </is>
      </c>
      <c r="I2079" s="18" t="inlineStr"/>
      <c r="J2079" s="18" t="inlineStr"/>
      <c r="K2079" s="18" t="inlineStr"/>
      <c r="L2079" s="18" t="inlineStr">
        <is>
          <t>No</t>
        </is>
      </c>
      <c r="M2079" s="18" t="inlineStr">
        <is>
          <t>No</t>
        </is>
      </c>
      <c r="N2079" s="18" t="inlineStr"/>
      <c r="O2079" s="18" t="inlineStr">
        <is>
          <t>idx_version_lista</t>
        </is>
      </c>
      <c r="P2079" s="18" t="inlineStr"/>
      <c r="Q2079" s="18" t="inlineStr">
        <is>
          <t>Código fuente (verificado)</t>
        </is>
      </c>
      <c r="R2079" s="18" t="inlineStr">
        <is>
          <t>Identificador de la lista de chequeo versionada (control_interno.lista_chequeo). El DDL de referencia del repositorio declara la FK con borrado en cascada.</t>
        </is>
      </c>
      <c r="S2079" s="18" t="inlineStr">
        <is>
          <t>Alta</t>
        </is>
      </c>
      <c r="T2079" s="18" t="inlineStr">
        <is>
          <t>db/init/005_control_interno_ddl_20260129_215540.sql:6184-6185: FOREIGN KEY (lista_id) REFERENCES control_interno.lista_chequeo(id) ON DELETE CASCADE | internal-institutional-control-service/schema.sql:469-482: tabla e índice idx_version_lista</t>
        </is>
      </c>
      <c r="U2079" s="18" t="inlineStr"/>
      <c r="V2079" s="19" t="inlineStr">
        <is>
          <t>Aprobada</t>
        </is>
      </c>
      <c r="W2079" s="19" t="inlineStr"/>
      <c r="X2079" s="19" t="inlineStr">
        <is>
          <t>Aldair González (aprobación en bloque)</t>
        </is>
      </c>
      <c r="Y2079" s="20" t="n">
        <v>46321</v>
      </c>
      <c r="Z2079" s="19" t="inlineStr">
        <is>
          <t>Nivel 3: verificada con el código de la aplicación.</t>
        </is>
      </c>
      <c r="AA2079" s="18">
        <f>IF(OR(V2079="Aprobada"),R2079,IF(AND(OR(V2079="Aprobada con ajuste",V2079="Rechazada"),W2079&lt;&gt;""),W2079,""))</f>
        <v/>
      </c>
    </row>
    <row r="2080">
      <c r="A2080" s="18" t="inlineStr">
        <is>
          <t>C2079</t>
        </is>
      </c>
      <c r="B2080" s="18" t="inlineStr">
        <is>
          <t>Control interno</t>
        </is>
      </c>
      <c r="C2080" s="18" t="inlineStr">
        <is>
          <t>control_interno</t>
        </is>
      </c>
      <c r="D2080" s="18" t="inlineStr">
        <is>
          <t>version_lista_chequeo</t>
        </is>
      </c>
      <c r="E2080" s="18" t="n">
        <v>0</v>
      </c>
      <c r="F2080" s="18" t="inlineStr">
        <is>
          <t>version</t>
        </is>
      </c>
      <c r="G2080" s="18" t="inlineStr">
        <is>
          <t>character varying(50)</t>
        </is>
      </c>
      <c r="H2080" s="18" t="inlineStr">
        <is>
          <t>No</t>
        </is>
      </c>
      <c r="I2080" s="18" t="inlineStr"/>
      <c r="J2080" s="18" t="inlineStr"/>
      <c r="K2080" s="18" t="inlineStr"/>
      <c r="L2080" s="18" t="inlineStr">
        <is>
          <t>No</t>
        </is>
      </c>
      <c r="M2080" s="18" t="inlineStr">
        <is>
          <t>No</t>
        </is>
      </c>
      <c r="N2080" s="18" t="inlineStr"/>
      <c r="O2080" s="18" t="inlineStr"/>
      <c r="P2080" s="18" t="inlineStr"/>
      <c r="Q2080" s="18" t="inlineStr">
        <is>
          <t>Regla estructural (redacción revisada)</t>
        </is>
      </c>
      <c r="R2080" s="18" t="inlineStr">
        <is>
          <t>Número de versión de la lista de chequeo.</t>
        </is>
      </c>
      <c r="S2080" s="18" t="inlineStr">
        <is>
          <t>Alta</t>
        </is>
      </c>
      <c r="T2080" s="18" t="inlineStr">
        <is>
          <t>Convención de nombre, redactada con el contexto de la tabla y el código.</t>
        </is>
      </c>
      <c r="U2080" s="18" t="inlineStr"/>
      <c r="V2080" s="19" t="inlineStr">
        <is>
          <t>Aprobada</t>
        </is>
      </c>
      <c r="W2080" s="19" t="inlineStr"/>
      <c r="X2080" s="19" t="inlineStr">
        <is>
          <t>Aldair González (aprobación en bloque)</t>
        </is>
      </c>
      <c r="Y2080" s="20" t="n">
        <v>46321</v>
      </c>
      <c r="Z2080" s="19" t="inlineStr">
        <is>
          <t>Nivel 2: regla estructural con redacción revisada.</t>
        </is>
      </c>
      <c r="AA2080" s="18">
        <f>IF(OR(V2080="Aprobada"),R2080,IF(AND(OR(V2080="Aprobada con ajuste",V2080="Rechazada"),W2080&lt;&gt;""),W2080,""))</f>
        <v/>
      </c>
    </row>
    <row r="2081">
      <c r="A2081" s="18" t="inlineStr">
        <is>
          <t>C2080</t>
        </is>
      </c>
      <c r="B2081" s="18" t="inlineStr">
        <is>
          <t>Control interno</t>
        </is>
      </c>
      <c r="C2081" s="18" t="inlineStr">
        <is>
          <t>control_interno</t>
        </is>
      </c>
      <c r="D2081" s="18" t="inlineStr">
        <is>
          <t>version_lista_chequeo</t>
        </is>
      </c>
      <c r="E2081" s="18" t="n">
        <v>0</v>
      </c>
      <c r="F2081" s="18" t="inlineStr">
        <is>
          <t>fecha</t>
        </is>
      </c>
      <c r="G2081" s="18" t="inlineStr">
        <is>
          <t>date</t>
        </is>
      </c>
      <c r="H2081" s="18" t="inlineStr">
        <is>
          <t>No</t>
        </is>
      </c>
      <c r="I2081" s="18" t="inlineStr"/>
      <c r="J2081" s="18" t="inlineStr"/>
      <c r="K2081" s="18" t="inlineStr"/>
      <c r="L2081" s="18" t="inlineStr">
        <is>
          <t>No</t>
        </is>
      </c>
      <c r="M2081" s="18" t="inlineStr">
        <is>
          <t>No</t>
        </is>
      </c>
      <c r="N2081" s="18" t="inlineStr"/>
      <c r="O2081" s="18" t="inlineStr"/>
      <c r="P2081" s="18" t="inlineStr"/>
      <c r="Q2081" s="18" t="inlineStr">
        <is>
          <t>Propuesta semántica</t>
        </is>
      </c>
      <c r="R2081" s="18" t="inlineStr">
        <is>
          <t>Fecha de la versión de la lista de chequeo.</t>
        </is>
      </c>
      <c r="S2081" s="18" t="inlineStr">
        <is>
          <t>Alta</t>
        </is>
      </c>
      <c r="T2081" s="18" t="inlineStr">
        <is>
          <t>nombre + tipo + columnas vecinas</t>
        </is>
      </c>
      <c r="U2081" s="18" t="inlineStr"/>
      <c r="V2081" s="19" t="inlineStr">
        <is>
          <t>Aprobada</t>
        </is>
      </c>
      <c r="W2081" s="19" t="inlineStr"/>
      <c r="X2081" s="19" t="inlineStr">
        <is>
          <t>Aldair González (aprobación en bloque)</t>
        </is>
      </c>
      <c r="Y2081" s="20" t="n">
        <v>46321</v>
      </c>
      <c r="Z2081" s="19" t="inlineStr">
        <is>
          <t>Nivel 1: propuesta del comentario del desarrollador o de confianza alta, o regla de fecha/responsable/motivo.</t>
        </is>
      </c>
      <c r="AA2081" s="18">
        <f>IF(OR(V2081="Aprobada"),R2081,IF(AND(OR(V2081="Aprobada con ajuste",V2081="Rechazada"),W2081&lt;&gt;""),W2081,""))</f>
        <v/>
      </c>
    </row>
    <row r="2082">
      <c r="A2082" s="18" t="inlineStr">
        <is>
          <t>C2081</t>
        </is>
      </c>
      <c r="B2082" s="18" t="inlineStr">
        <is>
          <t>Control interno</t>
        </is>
      </c>
      <c r="C2082" s="18" t="inlineStr">
        <is>
          <t>control_interno</t>
        </is>
      </c>
      <c r="D2082" s="18" t="inlineStr">
        <is>
          <t>version_lista_chequeo</t>
        </is>
      </c>
      <c r="E2082" s="18" t="n">
        <v>0</v>
      </c>
      <c r="F2082" s="18" t="inlineStr">
        <is>
          <t>usuario</t>
        </is>
      </c>
      <c r="G2082" s="18" t="inlineStr">
        <is>
          <t>character varying(255)</t>
        </is>
      </c>
      <c r="H2082" s="18" t="inlineStr">
        <is>
          <t>No</t>
        </is>
      </c>
      <c r="I2082" s="18" t="inlineStr"/>
      <c r="J2082" s="18" t="inlineStr"/>
      <c r="K2082" s="18" t="inlineStr"/>
      <c r="L2082" s="18" t="inlineStr">
        <is>
          <t>No</t>
        </is>
      </c>
      <c r="M2082" s="18" t="inlineStr">
        <is>
          <t>No</t>
        </is>
      </c>
      <c r="N2082" s="18" t="inlineStr"/>
      <c r="O2082" s="18" t="inlineStr"/>
      <c r="P2082" s="18" t="inlineStr"/>
      <c r="Q2082" s="18" t="inlineStr">
        <is>
          <t>Código fuente (verificado)</t>
        </is>
      </c>
      <c r="R2082" s="18" t="inlineStr">
        <is>
          <t>Usuario que generó la versión de la lista de chequeo.</t>
        </is>
      </c>
      <c r="S2082" s="18" t="inlineStr">
        <is>
          <t>Media</t>
        </is>
      </c>
      <c r="T2082" s="18" t="inlineStr">
        <is>
          <t>db/init/005_control_interno_ddl_20260129_215540.sql:3285: usuario varchar(255) NOT NULL; ninguna entidad ni servicio usa control_interno.version_lista_chequeo</t>
        </is>
      </c>
      <c r="U2082" s="18" t="inlineStr">
        <is>
          <t>¿version_lista_chequeo.usuario guarda el nombre, el correo o el identificador del usuario? La tabla no se usa en el código del servicio.</t>
        </is>
      </c>
      <c r="V2082" s="19" t="inlineStr">
        <is>
          <t>Aprobada</t>
        </is>
      </c>
      <c r="W2082" s="19" t="inlineStr"/>
      <c r="X2082" s="19" t="inlineStr">
        <is>
          <t>Aldair González (validación del responsable de BD)</t>
        </is>
      </c>
      <c r="Y2082" s="20" t="n">
        <v>46321</v>
      </c>
      <c r="Z2082" s="19" t="inlineStr">
        <is>
          <t>Nivel 3: validada por decisión del responsable de la base de datos. Pregunta registrada para desarrollo: ¿version_lista_chequeo.usuario guarda el nombre, el correo o el identificador del usuario? La tabla no se usa en el código del servicio.</t>
        </is>
      </c>
      <c r="AA2082" s="18">
        <f>IF(OR(V2082="Aprobada"),R2082,IF(AND(OR(V2082="Aprobada con ajuste",V2082="Rechazada"),W2082&lt;&gt;""),W2082,""))</f>
        <v/>
      </c>
    </row>
    <row r="2083">
      <c r="A2083" s="18" t="inlineStr">
        <is>
          <t>C2082</t>
        </is>
      </c>
      <c r="B2083" s="18" t="inlineStr">
        <is>
          <t>Control interno</t>
        </is>
      </c>
      <c r="C2083" s="18" t="inlineStr">
        <is>
          <t>control_interno</t>
        </is>
      </c>
      <c r="D2083" s="18" t="inlineStr">
        <is>
          <t>version_lista_chequeo</t>
        </is>
      </c>
      <c r="E2083" s="18" t="n">
        <v>0</v>
      </c>
      <c r="F2083" s="18" t="inlineStr">
        <is>
          <t>cambios</t>
        </is>
      </c>
      <c r="G2083" s="18" t="inlineStr">
        <is>
          <t>text</t>
        </is>
      </c>
      <c r="H2083" s="18" t="inlineStr">
        <is>
          <t>No</t>
        </is>
      </c>
      <c r="I2083" s="18" t="inlineStr"/>
      <c r="J2083" s="18" t="inlineStr"/>
      <c r="K2083" s="18" t="inlineStr"/>
      <c r="L2083" s="18" t="inlineStr">
        <is>
          <t>No</t>
        </is>
      </c>
      <c r="M2083" s="18" t="inlineStr">
        <is>
          <t>No</t>
        </is>
      </c>
      <c r="N2083" s="18" t="inlineStr"/>
      <c r="O2083" s="18" t="inlineStr"/>
      <c r="P2083" s="18" t="inlineStr"/>
      <c r="Q2083" s="18" t="inlineStr">
        <is>
          <t>Propuesta semántica</t>
        </is>
      </c>
      <c r="R2083" s="18" t="inlineStr">
        <is>
          <t>Descripción de los cambios incluidos en la versión.</t>
        </is>
      </c>
      <c r="S2083" s="18" t="inlineStr">
        <is>
          <t>Alta</t>
        </is>
      </c>
      <c r="T2083" s="18" t="inlineStr">
        <is>
          <t>nombre + tipo + columnas vecinas</t>
        </is>
      </c>
      <c r="U2083" s="18" t="inlineStr"/>
      <c r="V2083" s="19" t="inlineStr">
        <is>
          <t>Aprobada</t>
        </is>
      </c>
      <c r="W2083" s="19" t="inlineStr"/>
      <c r="X2083" s="19" t="inlineStr">
        <is>
          <t>Aldair González (aprobación en bloque)</t>
        </is>
      </c>
      <c r="Y2083" s="20" t="n">
        <v>46321</v>
      </c>
      <c r="Z2083" s="19" t="inlineStr">
        <is>
          <t>Nivel 1: propuesta del comentario del desarrollador o de confianza alta, o regla de fecha/responsable/motivo.</t>
        </is>
      </c>
      <c r="AA2083" s="18">
        <f>IF(OR(V2083="Aprobada"),R2083,IF(AND(OR(V2083="Aprobada con ajuste",V2083="Rechazada"),W2083&lt;&gt;""),W2083,""))</f>
        <v/>
      </c>
    </row>
    <row r="2084">
      <c r="A2084" s="18" t="inlineStr">
        <is>
          <t>C2083</t>
        </is>
      </c>
      <c r="B2084" s="18" t="inlineStr">
        <is>
          <t>Control interno</t>
        </is>
      </c>
      <c r="C2084" s="18" t="inlineStr">
        <is>
          <t>control_interno</t>
        </is>
      </c>
      <c r="D2084" s="18" t="inlineStr">
        <is>
          <t>version_lista_chequeo</t>
        </is>
      </c>
      <c r="E2084" s="18" t="n">
        <v>0</v>
      </c>
      <c r="F2084" s="18" t="inlineStr">
        <is>
          <t>motivo_cambio</t>
        </is>
      </c>
      <c r="G2084" s="18" t="inlineStr">
        <is>
          <t>text</t>
        </is>
      </c>
      <c r="H2084" s="18" t="inlineStr">
        <is>
          <t>No</t>
        </is>
      </c>
      <c r="I2084" s="18" t="inlineStr"/>
      <c r="J2084" s="18" t="inlineStr"/>
      <c r="K2084" s="18" t="inlineStr"/>
      <c r="L2084" s="18" t="inlineStr">
        <is>
          <t>No</t>
        </is>
      </c>
      <c r="M2084" s="18" t="inlineStr">
        <is>
          <t>No</t>
        </is>
      </c>
      <c r="N2084" s="18" t="inlineStr"/>
      <c r="O2084" s="18" t="inlineStr"/>
      <c r="P2084" s="18" t="inlineStr"/>
      <c r="Q2084" s="18" t="inlineStr">
        <is>
          <t>Regla estructural</t>
        </is>
      </c>
      <c r="R2084" s="18" t="inlineStr">
        <is>
          <t>Motivo del cambio.</t>
        </is>
      </c>
      <c r="S2084" s="18" t="inlineStr">
        <is>
          <t>Media</t>
        </is>
      </c>
      <c r="T2084" s="18" t="inlineStr">
        <is>
          <t>Convención de nombre de la columna.</t>
        </is>
      </c>
      <c r="U2084" s="18" t="inlineStr"/>
      <c r="V2084" s="19" t="inlineStr">
        <is>
          <t>Aprobada</t>
        </is>
      </c>
      <c r="W2084" s="19" t="inlineStr"/>
      <c r="X2084" s="19" t="inlineStr">
        <is>
          <t>Aldair González (aprobación en bloque)</t>
        </is>
      </c>
      <c r="Y2084" s="20" t="n">
        <v>46321</v>
      </c>
      <c r="Z2084" s="19" t="inlineStr">
        <is>
          <t>Nivel 1: propuesta del comentario del desarrollador o de confianza alta, o regla de fecha/responsable/motivo.</t>
        </is>
      </c>
      <c r="AA2084" s="18">
        <f>IF(OR(V2084="Aprobada"),R2084,IF(AND(OR(V2084="Aprobada con ajuste",V2084="Rechazada"),W2084&lt;&gt;""),W2084,""))</f>
        <v/>
      </c>
    </row>
    <row r="2085">
      <c r="A2085" s="18" t="inlineStr">
        <is>
          <t>C2084</t>
        </is>
      </c>
      <c r="B2085" s="18" t="inlineStr">
        <is>
          <t>Control interno</t>
        </is>
      </c>
      <c r="C2085" s="18" t="inlineStr">
        <is>
          <t>control_interno</t>
        </is>
      </c>
      <c r="D2085" s="18" t="inlineStr">
        <is>
          <t>version_programa_anual</t>
        </is>
      </c>
      <c r="E2085" s="18" t="n">
        <v>25</v>
      </c>
      <c r="F2085" s="18" t="inlineStr">
        <is>
          <t>vigencia</t>
        </is>
      </c>
      <c r="G2085" s="18" t="inlineStr">
        <is>
          <t>integer</t>
        </is>
      </c>
      <c r="H2085" s="18" t="inlineStr">
        <is>
          <t>No</t>
        </is>
      </c>
      <c r="I2085" s="18" t="inlineStr"/>
      <c r="J2085" s="18" t="inlineStr"/>
      <c r="K2085" s="18" t="inlineStr"/>
      <c r="L2085" s="18" t="inlineStr">
        <is>
          <t>No</t>
        </is>
      </c>
      <c r="M2085" s="18" t="inlineStr">
        <is>
          <t>No</t>
        </is>
      </c>
      <c r="N2085" s="18" t="inlineStr"/>
      <c r="O2085" s="18" t="inlineStr">
        <is>
          <t>idx_version_programa_anual_vigencia, uq_version_programa_anual</t>
        </is>
      </c>
      <c r="P2085" s="18" t="inlineStr">
        <is>
          <t>Mapeada en internal-institutional-control-service/src/esap/programa-anual-versiones/entities/version-programa-anual.entity.ts:49 (VersionProgramaAnual.vigencia) | Validación: IsNumber, IsOptional, Max(2100), Min(2020)</t>
        </is>
      </c>
      <c r="Q2085" s="18" t="inlineStr">
        <is>
          <t>Regla estructural (redacción revisada)</t>
        </is>
      </c>
      <c r="R2085" s="18" t="inlineStr">
        <is>
          <t>Vigencia (año) del programa anual.</t>
        </is>
      </c>
      <c r="S2085" s="18" t="inlineStr">
        <is>
          <t>Alta</t>
        </is>
      </c>
      <c r="T2085" s="18" t="inlineStr">
        <is>
          <t>Convención de nombre, redactada con el contexto de la tabla y el código.</t>
        </is>
      </c>
      <c r="U2085" s="18" t="inlineStr"/>
      <c r="V2085" s="19" t="inlineStr">
        <is>
          <t>Aprobada</t>
        </is>
      </c>
      <c r="W2085" s="19" t="inlineStr"/>
      <c r="X2085" s="19" t="inlineStr">
        <is>
          <t>Aldair González (aprobación en bloque)</t>
        </is>
      </c>
      <c r="Y2085" s="20" t="n">
        <v>46321</v>
      </c>
      <c r="Z2085" s="19" t="inlineStr">
        <is>
          <t>Nivel 2: regla estructural con redacción revisada.</t>
        </is>
      </c>
      <c r="AA2085" s="18">
        <f>IF(OR(V2085="Aprobada"),R2085,IF(AND(OR(V2085="Aprobada con ajuste",V2085="Rechazada"),W2085&lt;&gt;""),W2085,""))</f>
        <v/>
      </c>
    </row>
    <row r="2086">
      <c r="A2086" s="18" t="inlineStr">
        <is>
          <t>C2085</t>
        </is>
      </c>
      <c r="B2086" s="18" t="inlineStr">
        <is>
          <t>Control interno</t>
        </is>
      </c>
      <c r="C2086" s="18" t="inlineStr">
        <is>
          <t>control_interno</t>
        </is>
      </c>
      <c r="D2086" s="18" t="inlineStr">
        <is>
          <t>version_programa_anual</t>
        </is>
      </c>
      <c r="E2086" s="18" t="n">
        <v>25</v>
      </c>
      <c r="F2086" s="18" t="inlineStr">
        <is>
          <t>version</t>
        </is>
      </c>
      <c r="G2086" s="18" t="inlineStr">
        <is>
          <t>integer</t>
        </is>
      </c>
      <c r="H2086" s="18" t="inlineStr">
        <is>
          <t>No</t>
        </is>
      </c>
      <c r="I2086" s="18" t="inlineStr"/>
      <c r="J2086" s="18" t="inlineStr"/>
      <c r="K2086" s="18" t="inlineStr"/>
      <c r="L2086" s="18" t="inlineStr">
        <is>
          <t>No</t>
        </is>
      </c>
      <c r="M2086" s="18" t="inlineStr">
        <is>
          <t>No</t>
        </is>
      </c>
      <c r="N2086" s="18" t="inlineStr"/>
      <c r="O2086" s="18" t="inlineStr">
        <is>
          <t>idx_version_programa_anual_vigencia, uq_version_programa_anual</t>
        </is>
      </c>
      <c r="P2086" s="18" t="inlineStr">
        <is>
          <t>Mapeada en internal-institutional-control-service/src/esap/programa-anual-versiones/entities/version-programa-anual.entity.ts:52 (VersionProgramaAnual.version) | Validación: IsOptional, IsString</t>
        </is>
      </c>
      <c r="Q2086" s="18" t="inlineStr">
        <is>
          <t>Regla estructural (redacción revisada)</t>
        </is>
      </c>
      <c r="R2086" s="18" t="inlineStr">
        <is>
          <t>Número de versión del programa anual dentro de la vigencia.</t>
        </is>
      </c>
      <c r="S2086" s="18" t="inlineStr">
        <is>
          <t>Alta</t>
        </is>
      </c>
      <c r="T2086" s="18" t="inlineStr">
        <is>
          <t>Convención de nombre, redactada con el contexto de la tabla y el código.</t>
        </is>
      </c>
      <c r="U2086" s="18" t="inlineStr"/>
      <c r="V2086" s="19" t="inlineStr">
        <is>
          <t>Aprobada</t>
        </is>
      </c>
      <c r="W2086" s="19" t="inlineStr"/>
      <c r="X2086" s="19" t="inlineStr">
        <is>
          <t>Aldair González (aprobación en bloque)</t>
        </is>
      </c>
      <c r="Y2086" s="20" t="n">
        <v>46321</v>
      </c>
      <c r="Z2086" s="19" t="inlineStr">
        <is>
          <t>Nivel 2: regla estructural con redacción revisada.</t>
        </is>
      </c>
      <c r="AA2086" s="18">
        <f>IF(OR(V2086="Aprobada"),R2086,IF(AND(OR(V2086="Aprobada con ajuste",V2086="Rechazada"),W2086&lt;&gt;""),W2086,""))</f>
        <v/>
      </c>
    </row>
    <row r="2087">
      <c r="A2087" s="18" t="inlineStr">
        <is>
          <t>C2086</t>
        </is>
      </c>
      <c r="B2087" s="18" t="inlineStr">
        <is>
          <t>Control interno</t>
        </is>
      </c>
      <c r="C2087" s="18" t="inlineStr">
        <is>
          <t>control_interno</t>
        </is>
      </c>
      <c r="D2087" s="18" t="inlineStr">
        <is>
          <t>version_programa_anual</t>
        </is>
      </c>
      <c r="E2087" s="18" t="n">
        <v>25</v>
      </c>
      <c r="F2087" s="18" t="inlineStr">
        <is>
          <t>huella</t>
        </is>
      </c>
      <c r="G2087" s="18" t="inlineStr">
        <is>
          <t>character varying(64)</t>
        </is>
      </c>
      <c r="H2087" s="18" t="inlineStr">
        <is>
          <t>No</t>
        </is>
      </c>
      <c r="I2087" s="18" t="inlineStr"/>
      <c r="J2087" s="18" t="inlineStr"/>
      <c r="K2087" s="18" t="inlineStr"/>
      <c r="L2087" s="18" t="inlineStr">
        <is>
          <t>No</t>
        </is>
      </c>
      <c r="M2087" s="18" t="inlineStr">
        <is>
          <t>No</t>
        </is>
      </c>
      <c r="N2087" s="18" t="inlineStr"/>
      <c r="O2087" s="18" t="inlineStr"/>
      <c r="P2087" s="18" t="inlineStr">
        <is>
          <t>db/migrations/656_versionamiento_programa_anual.sql:13: Huella de los campos que imprime el documento: si no cambia, no hay versión nueva.</t>
        </is>
      </c>
      <c r="Q2087" s="18" t="inlineStr">
        <is>
          <t>Código fuente</t>
        </is>
      </c>
      <c r="R2087" s="18" t="inlineStr">
        <is>
          <t>Huella (hash) de los campos que imprime el documento del Programa Anual; si no cambia, no se genera una versión nueva (EFDS-1919).</t>
        </is>
      </c>
      <c r="S2087" s="18" t="inlineStr">
        <is>
          <t>Alta</t>
        </is>
      </c>
      <c r="T2087" s="18" t="inlineStr">
        <is>
          <t>código: db/migrations/656_versionamiento_programa_anual.sql:13</t>
        </is>
      </c>
      <c r="U2087" s="18" t="inlineStr"/>
      <c r="V2087" s="19" t="inlineStr">
        <is>
          <t>Aprobada</t>
        </is>
      </c>
      <c r="W2087" s="19" t="inlineStr"/>
      <c r="X2087" s="19" t="inlineStr">
        <is>
          <t>Aldair González (aprobación en bloque)</t>
        </is>
      </c>
      <c r="Y2087" s="20" t="n">
        <v>46321</v>
      </c>
      <c r="Z2087" s="19" t="inlineStr">
        <is>
          <t>Nivel 1: propuesta del comentario del desarrollador o de confianza alta, o regla de fecha/responsable/motivo.</t>
        </is>
      </c>
      <c r="AA2087" s="18">
        <f>IF(OR(V2087="Aprobada"),R2087,IF(AND(OR(V2087="Aprobada con ajuste",V2087="Rechazada"),W2087&lt;&gt;""),W2087,""))</f>
        <v/>
      </c>
    </row>
    <row r="2088">
      <c r="A2088" s="18" t="inlineStr">
        <is>
          <t>C2087</t>
        </is>
      </c>
      <c r="B2088" s="18" t="inlineStr">
        <is>
          <t>Control interno</t>
        </is>
      </c>
      <c r="C2088" s="18" t="inlineStr">
        <is>
          <t>control_interno</t>
        </is>
      </c>
      <c r="D2088" s="18" t="inlineStr">
        <is>
          <t>version_programa_anual</t>
        </is>
      </c>
      <c r="E2088" s="18" t="n">
        <v>25</v>
      </c>
      <c r="F2088" s="18" t="inlineStr">
        <is>
          <t>filas</t>
        </is>
      </c>
      <c r="G2088" s="18" t="inlineStr">
        <is>
          <t>jsonb</t>
        </is>
      </c>
      <c r="H2088" s="18" t="inlineStr">
        <is>
          <t>No</t>
        </is>
      </c>
      <c r="I2088" s="18" t="inlineStr"/>
      <c r="J2088" s="18" t="inlineStr"/>
      <c r="K2088" s="18" t="inlineStr"/>
      <c r="L2088" s="18" t="inlineStr">
        <is>
          <t>No</t>
        </is>
      </c>
      <c r="M2088" s="18" t="inlineStr">
        <is>
          <t>No</t>
        </is>
      </c>
      <c r="N2088" s="18" t="inlineStr"/>
      <c r="O2088" s="18" t="inlineStr"/>
      <c r="P2088" s="18" t="inlineStr">
        <is>
          <t>db/migrations/656_versionamiento_programa_anual.sql:15: Filas del programa tal como quedaron en esta versión.</t>
        </is>
      </c>
      <c r="Q2088" s="18" t="inlineStr">
        <is>
          <t>Código fuente</t>
        </is>
      </c>
      <c r="R2088" s="18" t="inlineStr">
        <is>
          <t>Filas del Programa Anual tal como quedaron en esta versión, en formato JSON.</t>
        </is>
      </c>
      <c r="S2088" s="18" t="inlineStr">
        <is>
          <t>Alta</t>
        </is>
      </c>
      <c r="T2088" s="18" t="inlineStr">
        <is>
          <t>código: db/migrations/656_versionamiento_programa_anual.sql:15</t>
        </is>
      </c>
      <c r="U2088" s="18" t="inlineStr"/>
      <c r="V2088" s="19" t="inlineStr">
        <is>
          <t>Aprobada</t>
        </is>
      </c>
      <c r="W2088" s="19" t="inlineStr"/>
      <c r="X2088" s="19" t="inlineStr">
        <is>
          <t>Aldair González (aprobación en bloque)</t>
        </is>
      </c>
      <c r="Y2088" s="20" t="n">
        <v>46321</v>
      </c>
      <c r="Z2088" s="19" t="inlineStr">
        <is>
          <t>Nivel 1: propuesta del comentario del desarrollador o de confianza alta, o regla de fecha/responsable/motivo.</t>
        </is>
      </c>
      <c r="AA2088" s="18">
        <f>IF(OR(V2088="Aprobada"),R2088,IF(AND(OR(V2088="Aprobada con ajuste",V2088="Rechazada"),W2088&lt;&gt;""),W2088,""))</f>
        <v/>
      </c>
    </row>
    <row r="2089">
      <c r="A2089" s="18" t="inlineStr">
        <is>
          <t>C2088</t>
        </is>
      </c>
      <c r="B2089" s="18" t="inlineStr">
        <is>
          <t>Control interno</t>
        </is>
      </c>
      <c r="C2089" s="18" t="inlineStr">
        <is>
          <t>control_interno</t>
        </is>
      </c>
      <c r="D2089" s="18" t="inlineStr">
        <is>
          <t>version_programa_anual</t>
        </is>
      </c>
      <c r="E2089" s="18" t="n">
        <v>25</v>
      </c>
      <c r="F2089" s="18" t="inlineStr">
        <is>
          <t>cambios</t>
        </is>
      </c>
      <c r="G2089" s="18" t="inlineStr">
        <is>
          <t>jsonb</t>
        </is>
      </c>
      <c r="H2089" s="18" t="inlineStr">
        <is>
          <t>No</t>
        </is>
      </c>
      <c r="I2089" s="18" t="inlineStr"/>
      <c r="J2089" s="18" t="inlineStr"/>
      <c r="K2089" s="18" t="inlineStr"/>
      <c r="L2089" s="18" t="inlineStr">
        <is>
          <t>No</t>
        </is>
      </c>
      <c r="M2089" s="18" t="inlineStr">
        <is>
          <t>No</t>
        </is>
      </c>
      <c r="N2089" s="18" t="inlineStr"/>
      <c r="O2089" s="18" t="inlineStr"/>
      <c r="P2089" s="18" t="inlineStr">
        <is>
          <t>db/migrations/656_versionamiento_programa_anual.sql:17: Diferencias frente a la versión anterior (vacío en la versión 1).</t>
        </is>
      </c>
      <c r="Q2089" s="18" t="inlineStr">
        <is>
          <t>Código fuente</t>
        </is>
      </c>
      <c r="R2089" s="18" t="inlineStr">
        <is>
          <t>Diferencias frente a la versión anterior, en formato JSON; vacío en la versión 1.</t>
        </is>
      </c>
      <c r="S2089" s="18" t="inlineStr">
        <is>
          <t>Alta</t>
        </is>
      </c>
      <c r="T2089" s="18" t="inlineStr">
        <is>
          <t>código: db/migrations/656_versionamiento_programa_anual.sql:17</t>
        </is>
      </c>
      <c r="U2089" s="18" t="inlineStr"/>
      <c r="V2089" s="19" t="inlineStr">
        <is>
          <t>Aprobada</t>
        </is>
      </c>
      <c r="W2089" s="19" t="inlineStr"/>
      <c r="X2089" s="19" t="inlineStr">
        <is>
          <t>Aldair González (aprobación en bloque)</t>
        </is>
      </c>
      <c r="Y2089" s="20" t="n">
        <v>46321</v>
      </c>
      <c r="Z2089" s="19" t="inlineStr">
        <is>
          <t>Nivel 1: propuesta del comentario del desarrollador o de confianza alta, o regla de fecha/responsable/motivo.</t>
        </is>
      </c>
      <c r="AA2089" s="18">
        <f>IF(OR(V2089="Aprobada"),R2089,IF(AND(OR(V2089="Aprobada con ajuste",V2089="Rechazada"),W2089&lt;&gt;""),W2089,""))</f>
        <v/>
      </c>
    </row>
    <row r="2090">
      <c r="A2090" s="18" t="inlineStr">
        <is>
          <t>C2089</t>
        </is>
      </c>
      <c r="B2090" s="18" t="inlineStr">
        <is>
          <t>Control interno</t>
        </is>
      </c>
      <c r="C2090" s="18" t="inlineStr">
        <is>
          <t>control_interno</t>
        </is>
      </c>
      <c r="D2090" s="18" t="inlineStr">
        <is>
          <t>version_programa_anual</t>
        </is>
      </c>
      <c r="E2090" s="18" t="n">
        <v>25</v>
      </c>
      <c r="F2090" s="18" t="inlineStr">
        <is>
          <t>generada_por</t>
        </is>
      </c>
      <c r="G2090" s="18" t="inlineStr">
        <is>
          <t>character varying(255)</t>
        </is>
      </c>
      <c r="H2090" s="18" t="inlineStr">
        <is>
          <t>No</t>
        </is>
      </c>
      <c r="I2090" s="18" t="inlineStr"/>
      <c r="J2090" s="18" t="inlineStr"/>
      <c r="K2090" s="18" t="inlineStr"/>
      <c r="L2090" s="18" t="inlineStr">
        <is>
          <t>No</t>
        </is>
      </c>
      <c r="M2090" s="18" t="inlineStr">
        <is>
          <t>No</t>
        </is>
      </c>
      <c r="N2090" s="18" t="inlineStr"/>
      <c r="O2090" s="18" t="inlineStr"/>
      <c r="P2090" s="18" t="inlineStr">
        <is>
          <t>Mapeada en internal-institutional-control-service/src/esap/programa-anual-versiones/entities/version-programa-anual.entity.ts:67 (VersionProgramaAnual.generadaPor)</t>
        </is>
      </c>
      <c r="Q2090" s="18" t="inlineStr">
        <is>
          <t>Regla estructural</t>
        </is>
      </c>
      <c r="R2090" s="18" t="inlineStr">
        <is>
          <t>Usuario que realizó la generación.</t>
        </is>
      </c>
      <c r="S2090" s="18" t="inlineStr">
        <is>
          <t>Media</t>
        </is>
      </c>
      <c r="T2090" s="18" t="inlineStr">
        <is>
          <t>Convención de nombre de la columna.</t>
        </is>
      </c>
      <c r="U2090" s="18" t="inlineStr"/>
      <c r="V2090" s="19" t="inlineStr">
        <is>
          <t>Aprobada</t>
        </is>
      </c>
      <c r="W2090" s="19" t="inlineStr"/>
      <c r="X2090" s="19" t="inlineStr">
        <is>
          <t>Aldair González (aprobación en bloque)</t>
        </is>
      </c>
      <c r="Y2090" s="20" t="n">
        <v>46321</v>
      </c>
      <c r="Z2090" s="19" t="inlineStr">
        <is>
          <t>Nivel 1: propuesta del comentario del desarrollador o de confianza alta, o regla de fecha/responsable/motivo.</t>
        </is>
      </c>
      <c r="AA2090" s="18">
        <f>IF(OR(V2090="Aprobada"),R2090,IF(AND(OR(V2090="Aprobada con ajuste",V2090="Rechazada"),W2090&lt;&gt;""),W2090,""))</f>
        <v/>
      </c>
    </row>
    <row r="2091">
      <c r="A2091" s="18" t="inlineStr">
        <is>
          <t>C2090</t>
        </is>
      </c>
      <c r="B2091" s="18" t="inlineStr">
        <is>
          <t>Control interno</t>
        </is>
      </c>
      <c r="C2091" s="18" t="inlineStr">
        <is>
          <t>control_interno</t>
        </is>
      </c>
      <c r="D2091" s="18" t="inlineStr">
        <is>
          <t>version_programa_anual</t>
        </is>
      </c>
      <c r="E2091" s="18" t="n">
        <v>25</v>
      </c>
      <c r="F2091" s="18" t="inlineStr">
        <is>
          <t>generada_por_id</t>
        </is>
      </c>
      <c r="G2091" s="18" t="inlineStr">
        <is>
          <t>character varying(64)</t>
        </is>
      </c>
      <c r="H2091" s="18" t="inlineStr">
        <is>
          <t>Sí</t>
        </is>
      </c>
      <c r="I2091" s="18" t="inlineStr"/>
      <c r="J2091" s="18" t="inlineStr"/>
      <c r="K2091" s="18" t="inlineStr"/>
      <c r="L2091" s="18" t="inlineStr">
        <is>
          <t>No</t>
        </is>
      </c>
      <c r="M2091" s="18" t="inlineStr">
        <is>
          <t>No</t>
        </is>
      </c>
      <c r="N2091" s="18" t="inlineStr"/>
      <c r="O2091" s="18" t="inlineStr"/>
      <c r="P2091" s="18" t="inlineStr">
        <is>
          <t>Mapeada en internal-institutional-control-service/src/esap/programa-anual-versiones/entities/version-programa-anual.entity.ts:70 (VersionProgramaAnual.generadaPorId)</t>
        </is>
      </c>
      <c r="Q2091" s="18" t="inlineStr">
        <is>
          <t>Código fuente (verificado)</t>
        </is>
      </c>
      <c r="R2091" s="18" t="inlineStr">
        <is>
          <t>Identificador del usuario que generó la versión del Programa Anual (EFDS-1919): el id_user de auth."user" tomado del token de sesión; queda vacío si la genera el sistema.</t>
        </is>
      </c>
      <c r="S2091" s="18" t="inlineStr">
        <is>
          <t>Alta</t>
        </is>
      </c>
      <c r="T2091" s="18" t="inlineStr">
        <is>
          <t>internal-institutional-control-service/src/esap/programa-anual-versiones/entities/version-programa-anual.entity.ts:70: generada_por_id varchar(64) | internal-institutional-control-service/src/esap/programa-anual-versiones/programa-anual-versiones.service.ts:136: generadaPorId = usuario?.id ?? null | internal-institutional-control-service/src/esap/programa-anual-versiones/programa-anual-versiones.controller.ts:94: id = req.user.userId | internal-institutional-control-service/src/auth/strategies/jwt.strategy.ts:46: userId = payload.sub | auth-service/src/auth/auth.service.ts:403: sub = user.id_user</t>
        </is>
      </c>
      <c r="U2091" s="18" t="inlineStr"/>
      <c r="V2091" s="19" t="inlineStr">
        <is>
          <t>Aprobada</t>
        </is>
      </c>
      <c r="W2091" s="19" t="inlineStr"/>
      <c r="X2091" s="19" t="inlineStr">
        <is>
          <t>Aldair González (aprobación en bloque)</t>
        </is>
      </c>
      <c r="Y2091" s="20" t="n">
        <v>46321</v>
      </c>
      <c r="Z2091" s="19" t="inlineStr">
        <is>
          <t>Nivel 3: verificada con el código de la aplicación.</t>
        </is>
      </c>
      <c r="AA2091" s="18">
        <f>IF(OR(V2091="Aprobada"),R2091,IF(AND(OR(V2091="Aprobada con ajuste",V2091="Rechazada"),W2091&lt;&gt;""),W2091,""))</f>
        <v/>
      </c>
    </row>
    <row r="2092">
      <c r="A2092" s="18" t="inlineStr">
        <is>
          <t>C2091</t>
        </is>
      </c>
      <c r="B2092" s="18" t="inlineStr">
        <is>
          <t>Control interno</t>
        </is>
      </c>
      <c r="C2092" s="18" t="inlineStr">
        <is>
          <t>control_interno</t>
        </is>
      </c>
      <c r="D2092" s="18" t="inlineStr">
        <is>
          <t>version_programa_anual</t>
        </is>
      </c>
      <c r="E2092" s="18" t="n">
        <v>25</v>
      </c>
      <c r="F2092" s="18" t="inlineStr">
        <is>
          <t>motivo</t>
        </is>
      </c>
      <c r="G2092" s="18" t="inlineStr">
        <is>
          <t>text</t>
        </is>
      </c>
      <c r="H2092" s="18" t="inlineStr">
        <is>
          <t>Sí</t>
        </is>
      </c>
      <c r="I2092" s="18" t="inlineStr"/>
      <c r="J2092" s="18" t="inlineStr"/>
      <c r="K2092" s="18" t="inlineStr"/>
      <c r="L2092" s="18" t="inlineStr">
        <is>
          <t>No</t>
        </is>
      </c>
      <c r="M2092" s="18" t="inlineStr">
        <is>
          <t>No</t>
        </is>
      </c>
      <c r="N2092" s="18" t="inlineStr"/>
      <c r="O2092" s="18" t="inlineStr"/>
      <c r="P2092" s="18" t="inlineStr">
        <is>
          <t>Mapeada en internal-institutional-control-service/src/esap/programa-anual-versiones/entities/version-programa-anual.entity.ts:64 (VersionProgramaAnual.motivo) | Validación: IsOptional, IsString, MaxLength(1000)</t>
        </is>
      </c>
      <c r="Q2092" s="18" t="inlineStr">
        <is>
          <t>Propuesta semántica</t>
        </is>
      </c>
      <c r="R2092" s="18" t="inlineStr">
        <is>
          <t>Motivo de la nueva versión del Programa Anual; hasta 1000 caracteres (EFDS-1919).</t>
        </is>
      </c>
      <c r="S2092" s="18" t="inlineStr">
        <is>
          <t>Alta</t>
        </is>
      </c>
      <c r="T2092" s="18" t="inlineStr">
        <is>
          <t>nombre + validación MaxLength(1000)</t>
        </is>
      </c>
      <c r="U2092" s="18" t="inlineStr"/>
      <c r="V2092" s="19" t="inlineStr">
        <is>
          <t>Aprobada</t>
        </is>
      </c>
      <c r="W2092" s="19" t="inlineStr"/>
      <c r="X2092" s="19" t="inlineStr">
        <is>
          <t>Aldair González (aprobación en bloque)</t>
        </is>
      </c>
      <c r="Y2092" s="20" t="n">
        <v>46321</v>
      </c>
      <c r="Z2092" s="19" t="inlineStr">
        <is>
          <t>Nivel 1: propuesta del comentario del desarrollador o de confianza alta, o regla de fecha/responsable/motivo.</t>
        </is>
      </c>
      <c r="AA2092" s="18">
        <f>IF(OR(V2092="Aprobada"),R2092,IF(AND(OR(V2092="Aprobada con ajuste",V2092="Rechazada"),W2092&lt;&gt;""),W2092,""))</f>
        <v/>
      </c>
    </row>
    <row r="2093">
      <c r="A2093" s="18" t="inlineStr">
        <is>
          <t>C2092</t>
        </is>
      </c>
      <c r="B2093" s="18" t="inlineStr">
        <is>
          <t>Control interno</t>
        </is>
      </c>
      <c r="C2093" s="18" t="inlineStr">
        <is>
          <t>control_interno</t>
        </is>
      </c>
      <c r="D2093" s="18" t="inlineStr">
        <is>
          <t>workflow_aprobacion_informe</t>
        </is>
      </c>
      <c r="E2093" s="18" t="n">
        <v>0</v>
      </c>
      <c r="F2093" s="18" t="inlineStr">
        <is>
          <t>paso_actual</t>
        </is>
      </c>
      <c r="G2093" s="18" t="inlineStr">
        <is>
          <t>integer</t>
        </is>
      </c>
      <c r="H2093" s="18" t="inlineStr">
        <is>
          <t>Sí</t>
        </is>
      </c>
      <c r="I2093" s="18" t="inlineStr"/>
      <c r="J2093" s="18" t="inlineStr"/>
      <c r="K2093" s="18" t="inlineStr"/>
      <c r="L2093" s="18" t="inlineStr">
        <is>
          <t>No</t>
        </is>
      </c>
      <c r="M2093" s="18" t="inlineStr">
        <is>
          <t>No</t>
        </is>
      </c>
      <c r="N2093" s="18" t="inlineStr"/>
      <c r="O2093" s="18" t="inlineStr"/>
      <c r="P2093" s="18" t="inlineStr">
        <is>
          <t>Mapeada en internal-institutional-control-service/src/esap/informes-ley/entities/workflow-aprobacion-informe.entity.ts:29 (WorkflowAprobacionInforme.pasoActual)</t>
        </is>
      </c>
      <c r="Q2093" s="18" t="inlineStr">
        <is>
          <t>Propuesta semántica</t>
        </is>
      </c>
      <c r="R2093" s="18" t="inlineStr">
        <is>
          <t>Número del paso en que se encuentra el workflow de aprobación. Valor por defecto: 1.</t>
        </is>
      </c>
      <c r="S2093" s="18" t="inlineStr">
        <is>
          <t>Alta</t>
        </is>
      </c>
      <c r="T2093" s="18" t="inlineStr">
        <is>
          <t>nombre + defecto + tabla paso_workflow_informe</t>
        </is>
      </c>
      <c r="U2093" s="18" t="inlineStr"/>
      <c r="V2093" s="19" t="inlineStr">
        <is>
          <t>Aprobada</t>
        </is>
      </c>
      <c r="W2093" s="19" t="inlineStr"/>
      <c r="X2093" s="19" t="inlineStr">
        <is>
          <t>Aldair González (aprobación en bloque)</t>
        </is>
      </c>
      <c r="Y2093" s="20" t="n">
        <v>46321</v>
      </c>
      <c r="Z2093" s="19" t="inlineStr">
        <is>
          <t>Nivel 1: propuesta del comentario del desarrollador o de confianza alta, o regla de fecha/responsable/motivo.</t>
        </is>
      </c>
      <c r="AA2093" s="18">
        <f>IF(OR(V2093="Aprobada"),R2093,IF(AND(OR(V2093="Aprobada con ajuste",V2093="Rechazada"),W2093&lt;&gt;""),W2093,""))</f>
        <v/>
      </c>
    </row>
    <row r="2094">
      <c r="A2094" s="18" t="inlineStr">
        <is>
          <t>C2093</t>
        </is>
      </c>
      <c r="B2094" s="18" t="inlineStr">
        <is>
          <t>Control interno</t>
        </is>
      </c>
      <c r="C2094" s="18" t="inlineStr">
        <is>
          <t>control_interno</t>
        </is>
      </c>
      <c r="D2094" s="18" t="inlineStr">
        <is>
          <t>workflow_aprobacion_informe</t>
        </is>
      </c>
      <c r="E2094" s="18" t="n">
        <v>0</v>
      </c>
      <c r="F2094" s="18" t="inlineStr">
        <is>
          <t>estado_workflow</t>
        </is>
      </c>
      <c r="G2094" s="18" t="inlineStr">
        <is>
          <t>character varying(50)</t>
        </is>
      </c>
      <c r="H2094" s="18" t="inlineStr">
        <is>
          <t>Sí</t>
        </is>
      </c>
      <c r="I2094" s="18" t="inlineStr">
        <is>
          <t>CHECK</t>
        </is>
      </c>
      <c r="J2094" s="18" t="inlineStr">
        <is>
          <t>aprobado, completado, en-aprobacion, en-elaboracion, en-revision, rechazado</t>
        </is>
      </c>
      <c r="K2094" s="18" t="inlineStr"/>
      <c r="L2094" s="18" t="inlineStr">
        <is>
          <t>Sí</t>
        </is>
      </c>
      <c r="M2094" s="18" t="inlineStr">
        <is>
          <t>No</t>
        </is>
      </c>
      <c r="N2094" s="18" t="inlineStr"/>
      <c r="O2094" s="18" t="inlineStr">
        <is>
          <t>idx_workflow_estado</t>
        </is>
      </c>
      <c r="P2094" s="18" t="inlineStr">
        <is>
          <t>Mapeada en internal-institutional-control-service/src/esap/informes-ley/entities/workflow-aprobacion-informe.entity.ts:32 (WorkflowAprobacionInforme.estadoWorkflow)</t>
        </is>
      </c>
      <c r="Q2094" s="18" t="inlineStr">
        <is>
          <t>Propuesta semántica</t>
        </is>
      </c>
      <c r="R2094" s="18" t="inlineStr">
        <is>
          <t>Estado del workflow de aprobación del informe. Valores permitidos: en-elaboracion, en-revision, en-aprobacion, aprobado, rechazado, completado.</t>
        </is>
      </c>
      <c r="S2094" s="18" t="inlineStr">
        <is>
          <t>Alta</t>
        </is>
      </c>
      <c r="T2094" s="18" t="inlineStr">
        <is>
          <t>valores permitidos del CHECK</t>
        </is>
      </c>
      <c r="U2094" s="18" t="inlineStr"/>
      <c r="V2094" s="19" t="inlineStr">
        <is>
          <t>Aprobada</t>
        </is>
      </c>
      <c r="W2094" s="19" t="inlineStr"/>
      <c r="X2094" s="19" t="inlineStr">
        <is>
          <t>Aldair González (aprobación en bloque)</t>
        </is>
      </c>
      <c r="Y2094" s="20" t="n">
        <v>46321</v>
      </c>
      <c r="Z2094" s="19" t="inlineStr">
        <is>
          <t>Nivel 1: propuesta del comentario del desarrollador o de confianza alta, o regla de fecha/responsable/motivo.</t>
        </is>
      </c>
      <c r="AA2094" s="18">
        <f>IF(OR(V2094="Aprobada"),R2094,IF(AND(OR(V2094="Aprobada con ajuste",V2094="Rechazada"),W2094&lt;&gt;""),W2094,""))</f>
        <v/>
      </c>
    </row>
    <row r="2095">
      <c r="A2095" s="18" t="inlineStr">
        <is>
          <t>C2094</t>
        </is>
      </c>
      <c r="B2095" s="18" t="inlineStr">
        <is>
          <t>Control interno</t>
        </is>
      </c>
      <c r="C2095" s="18" t="inlineStr">
        <is>
          <t>control_interno</t>
        </is>
      </c>
      <c r="D2095" s="18" t="inlineStr">
        <is>
          <t>workflow_aprobacion_informe</t>
        </is>
      </c>
      <c r="E2095" s="18" t="n">
        <v>0</v>
      </c>
      <c r="F2095" s="18" t="inlineStr">
        <is>
          <t>completado</t>
        </is>
      </c>
      <c r="G2095" s="18" t="inlineStr">
        <is>
          <t>boolean</t>
        </is>
      </c>
      <c r="H2095" s="18" t="inlineStr">
        <is>
          <t>Sí</t>
        </is>
      </c>
      <c r="I2095" s="18" t="inlineStr">
        <is>
          <t>CHECK</t>
        </is>
      </c>
      <c r="J2095" s="18" t="inlineStr"/>
      <c r="K2095" s="18" t="inlineStr"/>
      <c r="L2095" s="18" t="inlineStr">
        <is>
          <t>No</t>
        </is>
      </c>
      <c r="M2095" s="18" t="inlineStr">
        <is>
          <t>No</t>
        </is>
      </c>
      <c r="N2095" s="18" t="inlineStr"/>
      <c r="O2095" s="18" t="inlineStr"/>
      <c r="P2095" s="18" t="inlineStr">
        <is>
          <t>Mapeada en internal-institutional-control-service/src/esap/informes-ley/entities/workflow-aprobacion-informe.entity.ts:40 (WorkflowAprobacionInforme.completado)</t>
        </is>
      </c>
      <c r="Q2095" s="18" t="inlineStr">
        <is>
          <t>Regla estructural (redacción revisada)</t>
        </is>
      </c>
      <c r="R2095" s="18" t="inlineStr">
        <is>
          <t>Indica si se completó el flujo de aprobación del informe.</t>
        </is>
      </c>
      <c r="S2095" s="18" t="inlineStr">
        <is>
          <t>Alta</t>
        </is>
      </c>
      <c r="T2095" s="18" t="inlineStr">
        <is>
          <t>Convención de nombre, redactada con el contexto de la tabla y el código.</t>
        </is>
      </c>
      <c r="U2095" s="18" t="inlineStr"/>
      <c r="V2095" s="19" t="inlineStr">
        <is>
          <t>Aprobada</t>
        </is>
      </c>
      <c r="W2095" s="19" t="inlineStr"/>
      <c r="X2095" s="19" t="inlineStr">
        <is>
          <t>Aldair González (aprobación en bloque)</t>
        </is>
      </c>
      <c r="Y2095" s="20" t="n">
        <v>46321</v>
      </c>
      <c r="Z2095" s="19" t="inlineStr">
        <is>
          <t>Nivel 2: regla estructural con redacción revisada.</t>
        </is>
      </c>
      <c r="AA2095" s="18">
        <f>IF(OR(V2095="Aprobada"),R2095,IF(AND(OR(V2095="Aprobada con ajuste",V2095="Rechazada"),W2095&lt;&gt;""),W2095,""))</f>
        <v/>
      </c>
    </row>
    <row r="2096">
      <c r="A2096" s="18" t="inlineStr">
        <is>
          <t>C2095</t>
        </is>
      </c>
      <c r="B2096" s="18" t="inlineStr">
        <is>
          <t>Control interno</t>
        </is>
      </c>
      <c r="C2096" s="18" t="inlineStr">
        <is>
          <t>control_interno</t>
        </is>
      </c>
      <c r="D2096" s="18" t="inlineStr">
        <is>
          <t>workflow_aprobacion_informe</t>
        </is>
      </c>
      <c r="E2096" s="18" t="n">
        <v>0</v>
      </c>
      <c r="F2096" s="18" t="inlineStr">
        <is>
          <t>fecha_completado</t>
        </is>
      </c>
      <c r="G2096" s="18" t="inlineStr">
        <is>
          <t>timestamp without time zone</t>
        </is>
      </c>
      <c r="H2096" s="18" t="inlineStr">
        <is>
          <t>Sí</t>
        </is>
      </c>
      <c r="I2096" s="18" t="inlineStr"/>
      <c r="J2096" s="18" t="inlineStr"/>
      <c r="K2096" s="18" t="inlineStr"/>
      <c r="L2096" s="18" t="inlineStr">
        <is>
          <t>No</t>
        </is>
      </c>
      <c r="M2096" s="18" t="inlineStr">
        <is>
          <t>No</t>
        </is>
      </c>
      <c r="N2096" s="18" t="inlineStr"/>
      <c r="O2096" s="18" t="inlineStr"/>
      <c r="P2096" s="18" t="inlineStr">
        <is>
          <t>Mapeada en internal-institutional-control-service/src/esap/informes-ley/entities/workflow-aprobacion-informe.entity.ts:43 (WorkflowAprobacionInforme.fechaCompletado) | Validación: IsDateString, IsOptional</t>
        </is>
      </c>
      <c r="Q2096" s="18" t="inlineStr">
        <is>
          <t>Regla estructural (redacción revisada)</t>
        </is>
      </c>
      <c r="R2096" s="18" t="inlineStr">
        <is>
          <t>Fecha y hora en que se completó el flujo de aprobación.</t>
        </is>
      </c>
      <c r="S2096" s="18" t="inlineStr">
        <is>
          <t>Alta</t>
        </is>
      </c>
      <c r="T2096" s="18" t="inlineStr">
        <is>
          <t>Convención de nombre, redactada con el contexto de la tabla y el código.</t>
        </is>
      </c>
      <c r="U2096" s="18" t="inlineStr"/>
      <c r="V2096" s="19" t="inlineStr">
        <is>
          <t>Aprobada</t>
        </is>
      </c>
      <c r="W2096" s="19" t="inlineStr"/>
      <c r="X2096" s="19" t="inlineStr">
        <is>
          <t>Aldair González (aprobación en bloque)</t>
        </is>
      </c>
      <c r="Y2096" s="20" t="n">
        <v>46321</v>
      </c>
      <c r="Z2096" s="19" t="inlineStr">
        <is>
          <t>Nivel 2: regla estructural con redacción revisada.</t>
        </is>
      </c>
      <c r="AA2096" s="18">
        <f>IF(OR(V2096="Aprobada"),R2096,IF(AND(OR(V2096="Aprobada con ajuste",V2096="Rechazada"),W2096&lt;&gt;""),W2096,""))</f>
        <v/>
      </c>
    </row>
    <row r="2097">
      <c r="A2097" s="18" t="inlineStr">
        <is>
          <t>C2096</t>
        </is>
      </c>
      <c r="B2097" s="18" t="inlineStr">
        <is>
          <t>Control disciplinario interno</t>
        </is>
      </c>
      <c r="C2097" s="18" t="inlineStr">
        <is>
          <t>internal_disciplinary_control</t>
        </is>
      </c>
      <c r="D2097" s="18" t="inlineStr">
        <is>
          <t>alertas_enviadas</t>
        </is>
      </c>
      <c r="E2097" s="18" t="n">
        <v>117</v>
      </c>
      <c r="F2097" s="18" t="inlineStr">
        <is>
          <t>tipo</t>
        </is>
      </c>
      <c r="G2097" s="18" t="inlineStr">
        <is>
          <t>internal_disciplinary_control.tipo_alerta_enum</t>
        </is>
      </c>
      <c r="H2097" s="18" t="inlineStr">
        <is>
          <t>No</t>
        </is>
      </c>
      <c r="I2097" s="18" t="inlineStr">
        <is>
          <t>Enumerado</t>
        </is>
      </c>
      <c r="J2097" s="18" t="inlineStr">
        <is>
          <t>email, visual, sistema</t>
        </is>
      </c>
      <c r="K2097" s="18" t="inlineStr"/>
      <c r="L2097" s="18" t="inlineStr">
        <is>
          <t>Sí</t>
        </is>
      </c>
      <c r="M2097" s="18" t="inlineStr">
        <is>
          <t>No</t>
        </is>
      </c>
      <c r="N2097" s="18" t="inlineStr"/>
      <c r="O2097" s="18" t="inlineStr"/>
      <c r="P2097" s="18" t="inlineStr">
        <is>
          <t>Mapeada en internal-disciplinary-control-service/src/entities/alerta-enviada.entity.ts:58 (AlertaEnviada.tipo) | Validación: IsEnum(TipoAlerta), IsEnum(TipoFestivo), IsNotEmpty, IsOptional, IsString, MaxLength(50)</t>
        </is>
      </c>
      <c r="Q2097" s="18" t="inlineStr">
        <is>
          <t>Regla estructural (redacción revisada)</t>
        </is>
      </c>
      <c r="R2097" s="18" t="inlineStr">
        <is>
          <t>Tipo de alerta enviada (email, visual o sistema).</t>
        </is>
      </c>
      <c r="S2097" s="18" t="inlineStr">
        <is>
          <t>Alta</t>
        </is>
      </c>
      <c r="T2097" s="18" t="inlineStr">
        <is>
          <t>Convención de nombre, redactada con el contexto de la tabla y el código.</t>
        </is>
      </c>
      <c r="U2097" s="18" t="inlineStr"/>
      <c r="V2097" s="19" t="inlineStr">
        <is>
          <t>Aprobada</t>
        </is>
      </c>
      <c r="W2097" s="19" t="inlineStr"/>
      <c r="X2097" s="19" t="inlineStr">
        <is>
          <t>Aldair González (aprobación en bloque)</t>
        </is>
      </c>
      <c r="Y2097" s="20" t="n">
        <v>46321</v>
      </c>
      <c r="Z2097" s="19" t="inlineStr">
        <is>
          <t>Nivel 2: regla estructural con redacción revisada.</t>
        </is>
      </c>
      <c r="AA2097" s="18">
        <f>IF(OR(V2097="Aprobada"),R2097,IF(AND(OR(V2097="Aprobada con ajuste",V2097="Rechazada"),W2097&lt;&gt;""),W2097,""))</f>
        <v/>
      </c>
    </row>
    <row r="2098">
      <c r="A2098" s="18" t="inlineStr">
        <is>
          <t>C2097</t>
        </is>
      </c>
      <c r="B2098" s="18" t="inlineStr">
        <is>
          <t>Control disciplinario interno</t>
        </is>
      </c>
      <c r="C2098" s="18" t="inlineStr">
        <is>
          <t>internal_disciplinary_control</t>
        </is>
      </c>
      <c r="D2098" s="18" t="inlineStr">
        <is>
          <t>alertas_enviadas</t>
        </is>
      </c>
      <c r="E2098" s="18" t="n">
        <v>117</v>
      </c>
      <c r="F2098" s="18" t="inlineStr">
        <is>
          <t>destinatario</t>
        </is>
      </c>
      <c r="G2098" s="18" t="inlineStr">
        <is>
          <t>character varying(200)</t>
        </is>
      </c>
      <c r="H2098" s="18" t="inlineStr">
        <is>
          <t>No</t>
        </is>
      </c>
      <c r="I2098" s="18" t="inlineStr"/>
      <c r="J2098" s="18" t="inlineStr"/>
      <c r="K2098" s="18" t="inlineStr"/>
      <c r="L2098" s="18" t="inlineStr">
        <is>
          <t>No</t>
        </is>
      </c>
      <c r="M2098" s="18" t="inlineStr">
        <is>
          <t>No</t>
        </is>
      </c>
      <c r="N2098" s="18" t="inlineStr"/>
      <c r="O2098" s="18" t="inlineStr"/>
      <c r="P2098" s="18" t="inlineStr">
        <is>
          <t>Mapeada en internal-disciplinary-control-service/src/entities/alerta-enviada.entity.ts:64 (AlertaEnviada.destinatario)</t>
        </is>
      </c>
      <c r="Q2098" s="18" t="inlineStr">
        <is>
          <t>Código fuente (verificado)</t>
        </is>
      </c>
      <c r="R2098" s="18" t="inlineStr">
        <is>
          <t>Destinatario de la alerta, en texto; el contenido depende del origen: correo del responsable del término en las alertas automáticas de términos, nombre del abogado asignado en la alerta de asignación de proceso e identificador del abogado asignado en las alertas de autos y prórrogas.</t>
        </is>
      </c>
      <c r="S2098" s="18" t="inlineStr">
        <is>
          <t>Alta</t>
        </is>
      </c>
      <c r="T2098" s="18" t="inlineStr">
        <is>
          <t>internal-disciplinary-control-service/src/entities/alerta-enviada.entity.ts:64-65: varchar(200) | internal-disciplinary-control-service/src/services/alertas-automaticas.service.ts:135-141: destinatario = termino.emailResponsable | internal-disciplinary-control-service/src/services/process.service.ts:696-702: destinatario = abogadoAsignadoNombre | internal-disciplinary-control-service/src/services/auto.service.ts:540-543: destinatario = proceso.abogadoAsignadoId</t>
        </is>
      </c>
      <c r="U2098" s="18" t="inlineStr"/>
      <c r="V2098" s="19" t="inlineStr">
        <is>
          <t>Aprobada</t>
        </is>
      </c>
      <c r="W2098" s="19" t="inlineStr"/>
      <c r="X2098" s="19" t="inlineStr">
        <is>
          <t>Aldair González (aprobación en bloque)</t>
        </is>
      </c>
      <c r="Y2098" s="20" t="n">
        <v>46321</v>
      </c>
      <c r="Z2098" s="19" t="inlineStr">
        <is>
          <t>Nivel 3: verificada con el código de la aplicación.</t>
        </is>
      </c>
      <c r="AA2098" s="18">
        <f>IF(OR(V2098="Aprobada"),R2098,IF(AND(OR(V2098="Aprobada con ajuste",V2098="Rechazada"),W2098&lt;&gt;""),W2098,""))</f>
        <v/>
      </c>
    </row>
    <row r="2099">
      <c r="A2099" s="18" t="inlineStr">
        <is>
          <t>C2098</t>
        </is>
      </c>
      <c r="B2099" s="18" t="inlineStr">
        <is>
          <t>Control disciplinario interno</t>
        </is>
      </c>
      <c r="C2099" s="18" t="inlineStr">
        <is>
          <t>internal_disciplinary_control</t>
        </is>
      </c>
      <c r="D2099" s="18" t="inlineStr">
        <is>
          <t>alertas_enviadas</t>
        </is>
      </c>
      <c r="E2099" s="18" t="n">
        <v>117</v>
      </c>
      <c r="F2099" s="18" t="inlineStr">
        <is>
          <t>asunto</t>
        </is>
      </c>
      <c r="G2099" s="18" t="inlineStr">
        <is>
          <t>character varying(500)</t>
        </is>
      </c>
      <c r="H2099" s="18" t="inlineStr">
        <is>
          <t>Sí</t>
        </is>
      </c>
      <c r="I2099" s="18" t="inlineStr"/>
      <c r="J2099" s="18" t="inlineStr"/>
      <c r="K2099" s="18" t="inlineStr"/>
      <c r="L2099" s="18" t="inlineStr">
        <is>
          <t>No</t>
        </is>
      </c>
      <c r="M2099" s="18" t="inlineStr">
        <is>
          <t>No</t>
        </is>
      </c>
      <c r="N2099" s="18" t="inlineStr"/>
      <c r="O2099" s="18" t="inlineStr"/>
      <c r="P2099" s="18" t="inlineStr">
        <is>
          <t>Mapeada en internal-disciplinary-control-service/src/entities/alerta-enviada.entity.ts:67 (AlertaEnviada.asunto)</t>
        </is>
      </c>
      <c r="Q2099" s="18" t="inlineStr">
        <is>
          <t>Propuesta semántica</t>
        </is>
      </c>
      <c r="R2099" s="18" t="inlineStr">
        <is>
          <t>Asunto de la alerta enviada.</t>
        </is>
      </c>
      <c r="S2099" s="18" t="inlineStr">
        <is>
          <t>Alta</t>
        </is>
      </c>
      <c r="T2099" s="18" t="inlineStr">
        <is>
          <t>nombre + tipo + columnas vecinas</t>
        </is>
      </c>
      <c r="U2099" s="18" t="inlineStr"/>
      <c r="V2099" s="19" t="inlineStr">
        <is>
          <t>Aprobada</t>
        </is>
      </c>
      <c r="W2099" s="19" t="inlineStr"/>
      <c r="X2099" s="19" t="inlineStr">
        <is>
          <t>Aldair González (aprobación en bloque)</t>
        </is>
      </c>
      <c r="Y2099" s="20" t="n">
        <v>46321</v>
      </c>
      <c r="Z2099" s="19" t="inlineStr">
        <is>
          <t>Nivel 1: propuesta del comentario del desarrollador o de confianza alta, o regla de fecha/responsable/motivo.</t>
        </is>
      </c>
      <c r="AA2099" s="18">
        <f>IF(OR(V2099="Aprobada"),R2099,IF(AND(OR(V2099="Aprobada con ajuste",V2099="Rechazada"),W2099&lt;&gt;""),W2099,""))</f>
        <v/>
      </c>
    </row>
    <row r="2100">
      <c r="A2100" s="18" t="inlineStr">
        <is>
          <t>C2099</t>
        </is>
      </c>
      <c r="B2100" s="18" t="inlineStr">
        <is>
          <t>Control disciplinario interno</t>
        </is>
      </c>
      <c r="C2100" s="18" t="inlineStr">
        <is>
          <t>internal_disciplinary_control</t>
        </is>
      </c>
      <c r="D2100" s="18" t="inlineStr">
        <is>
          <t>alertas_enviadas</t>
        </is>
      </c>
      <c r="E2100" s="18" t="n">
        <v>117</v>
      </c>
      <c r="F2100" s="18" t="inlineStr">
        <is>
          <t>mensaje</t>
        </is>
      </c>
      <c r="G2100" s="18" t="inlineStr">
        <is>
          <t>text</t>
        </is>
      </c>
      <c r="H2100" s="18" t="inlineStr">
        <is>
          <t>Sí</t>
        </is>
      </c>
      <c r="I2100" s="18" t="inlineStr"/>
      <c r="J2100" s="18" t="inlineStr"/>
      <c r="K2100" s="18" t="inlineStr"/>
      <c r="L2100" s="18" t="inlineStr">
        <is>
          <t>No</t>
        </is>
      </c>
      <c r="M2100" s="18" t="inlineStr">
        <is>
          <t>No</t>
        </is>
      </c>
      <c r="N2100" s="18" t="inlineStr"/>
      <c r="O2100" s="18" t="inlineStr"/>
      <c r="P2100" s="18" t="inlineStr">
        <is>
          <t>Mapeada en internal-disciplinary-control-service/src/entities/alerta-enviada.entity.ts:70 (AlertaEnviada.mensaje)</t>
        </is>
      </c>
      <c r="Q2100" s="18" t="inlineStr">
        <is>
          <t>Propuesta semántica</t>
        </is>
      </c>
      <c r="R2100" s="18" t="inlineStr">
        <is>
          <t>Texto del mensaje de la alerta enviada.</t>
        </is>
      </c>
      <c r="S2100" s="18" t="inlineStr">
        <is>
          <t>Alta</t>
        </is>
      </c>
      <c r="T2100" s="18" t="inlineStr">
        <is>
          <t>nombre + tipo + columnas vecinas</t>
        </is>
      </c>
      <c r="U2100" s="18" t="inlineStr"/>
      <c r="V2100" s="19" t="inlineStr">
        <is>
          <t>Aprobada</t>
        </is>
      </c>
      <c r="W2100" s="19" t="inlineStr"/>
      <c r="X2100" s="19" t="inlineStr">
        <is>
          <t>Aldair González (aprobación en bloque)</t>
        </is>
      </c>
      <c r="Y2100" s="20" t="n">
        <v>46321</v>
      </c>
      <c r="Z2100" s="19" t="inlineStr">
        <is>
          <t>Nivel 1: propuesta del comentario del desarrollador o de confianza alta, o regla de fecha/responsable/motivo.</t>
        </is>
      </c>
      <c r="AA2100" s="18">
        <f>IF(OR(V2100="Aprobada"),R2100,IF(AND(OR(V2100="Aprobada con ajuste",V2100="Rechazada"),W2100&lt;&gt;""),W2100,""))</f>
        <v/>
      </c>
    </row>
    <row r="2101">
      <c r="A2101" s="18" t="inlineStr">
        <is>
          <t>C2100</t>
        </is>
      </c>
      <c r="B2101" s="18" t="inlineStr">
        <is>
          <t>Control disciplinario interno</t>
        </is>
      </c>
      <c r="C2101" s="18" t="inlineStr">
        <is>
          <t>internal_disciplinary_control</t>
        </is>
      </c>
      <c r="D2101" s="18" t="inlineStr">
        <is>
          <t>alertas_enviadas</t>
        </is>
      </c>
      <c r="E2101" s="18" t="n">
        <v>117</v>
      </c>
      <c r="F2101" s="18" t="inlineStr">
        <is>
          <t>estado</t>
        </is>
      </c>
      <c r="G2101" s="18" t="inlineStr">
        <is>
          <t>internal_disciplinary_control.estado_alerta_enum</t>
        </is>
      </c>
      <c r="H2101" s="18" t="inlineStr">
        <is>
          <t>No</t>
        </is>
      </c>
      <c r="I2101" s="18" t="inlineStr">
        <is>
          <t>Enumerado</t>
        </is>
      </c>
      <c r="J2101" s="18" t="inlineStr">
        <is>
          <t>enviada, pendiente, error</t>
        </is>
      </c>
      <c r="K2101" s="18" t="inlineStr"/>
      <c r="L2101" s="18" t="inlineStr">
        <is>
          <t>Sí</t>
        </is>
      </c>
      <c r="M2101" s="18" t="inlineStr">
        <is>
          <t>No</t>
        </is>
      </c>
      <c r="N2101" s="18" t="inlineStr"/>
      <c r="O2101" s="18" t="inlineStr">
        <is>
          <t>IDX_alertas_estado, idx_alertas_estado</t>
        </is>
      </c>
      <c r="P2101" s="18" t="inlineStr">
        <is>
          <t>Mapeada en internal-disciplinary-control-service/src/entities/alerta-enviada.entity.ts:73 (AlertaEnviada.estado) | Validación: IsBoolean, IsEnum(AutoStatus), IsEnum(EstadoAlerta), IsEnum(TerminoEstado), IsIn(['activo', 'inactivo']), IsOptional</t>
        </is>
      </c>
      <c r="Q2101" s="18" t="inlineStr">
        <is>
          <t>Regla estructural (redacción revisada)</t>
        </is>
      </c>
      <c r="R2101" s="18" t="inlineStr">
        <is>
          <t>Estado del envío de la alerta (pendiente, enviada o error).</t>
        </is>
      </c>
      <c r="S2101" s="18" t="inlineStr">
        <is>
          <t>Alta</t>
        </is>
      </c>
      <c r="T2101" s="18" t="inlineStr">
        <is>
          <t>Convención de nombre, redactada con el contexto de la tabla y el código.</t>
        </is>
      </c>
      <c r="U2101" s="18" t="inlineStr"/>
      <c r="V2101" s="19" t="inlineStr">
        <is>
          <t>Aprobada</t>
        </is>
      </c>
      <c r="W2101" s="19" t="inlineStr"/>
      <c r="X2101" s="19" t="inlineStr">
        <is>
          <t>Aldair González (aprobación en bloque)</t>
        </is>
      </c>
      <c r="Y2101" s="20" t="n">
        <v>46321</v>
      </c>
      <c r="Z2101" s="19" t="inlineStr">
        <is>
          <t>Nivel 2: regla estructural con redacción revisada.</t>
        </is>
      </c>
      <c r="AA2101" s="18">
        <f>IF(OR(V2101="Aprobada"),R2101,IF(AND(OR(V2101="Aprobada con ajuste",V2101="Rechazada"),W2101&lt;&gt;""),W2101,""))</f>
        <v/>
      </c>
    </row>
    <row r="2102">
      <c r="A2102" s="18" t="inlineStr">
        <is>
          <t>C2101</t>
        </is>
      </c>
      <c r="B2102" s="18" t="inlineStr">
        <is>
          <t>Control disciplinario interno</t>
        </is>
      </c>
      <c r="C2102" s="18" t="inlineStr">
        <is>
          <t>internal_disciplinary_control</t>
        </is>
      </c>
      <c r="D2102" s="18" t="inlineStr">
        <is>
          <t>alertas_enviadas</t>
        </is>
      </c>
      <c r="E2102" s="18" t="n">
        <v>117</v>
      </c>
      <c r="F2102" s="18" t="inlineStr">
        <is>
          <t>fecha_envio</t>
        </is>
      </c>
      <c r="G2102" s="18" t="inlineStr">
        <is>
          <t>timestamp without time zone</t>
        </is>
      </c>
      <c r="H2102" s="18" t="inlineStr">
        <is>
          <t>No</t>
        </is>
      </c>
      <c r="I2102" s="18" t="inlineStr"/>
      <c r="J2102" s="18" t="inlineStr"/>
      <c r="K2102" s="18" t="inlineStr"/>
      <c r="L2102" s="18" t="inlineStr">
        <is>
          <t>No</t>
        </is>
      </c>
      <c r="M2102" s="18" t="inlineStr">
        <is>
          <t>No</t>
        </is>
      </c>
      <c r="N2102" s="18" t="inlineStr"/>
      <c r="O2102" s="18" t="inlineStr">
        <is>
          <t>IDX_alertas_fecha_envio, idx_alertas_fecha_envio</t>
        </is>
      </c>
      <c r="P2102" s="18" t="inlineStr">
        <is>
          <t>Mapeada en internal-disciplinary-control-service/src/entities/alerta-enviada.entity.ts:80 (AlertaEnviada.fechaEnvio)</t>
        </is>
      </c>
      <c r="Q2102" s="18" t="inlineStr">
        <is>
          <t>Regla estructural (redacción revisada)</t>
        </is>
      </c>
      <c r="R2102" s="18" t="inlineStr">
        <is>
          <t>Fecha y hora en que se envió la alerta.</t>
        </is>
      </c>
      <c r="S2102" s="18" t="inlineStr">
        <is>
          <t>Alta</t>
        </is>
      </c>
      <c r="T2102" s="18" t="inlineStr">
        <is>
          <t>Convención de nombre, redactada con el contexto de la tabla y el código.</t>
        </is>
      </c>
      <c r="U2102" s="18" t="inlineStr"/>
      <c r="V2102" s="19" t="inlineStr">
        <is>
          <t>Aprobada</t>
        </is>
      </c>
      <c r="W2102" s="19" t="inlineStr"/>
      <c r="X2102" s="19" t="inlineStr">
        <is>
          <t>Aldair González (aprobación en bloque)</t>
        </is>
      </c>
      <c r="Y2102" s="20" t="n">
        <v>46321</v>
      </c>
      <c r="Z2102" s="19" t="inlineStr">
        <is>
          <t>Nivel 2: regla estructural con redacción revisada.</t>
        </is>
      </c>
      <c r="AA2102" s="18">
        <f>IF(OR(V2102="Aprobada"),R2102,IF(AND(OR(V2102="Aprobada con ajuste",V2102="Rechazada"),W2102&lt;&gt;""),W2102,""))</f>
        <v/>
      </c>
    </row>
    <row r="2103">
      <c r="A2103" s="18" t="inlineStr">
        <is>
          <t>C2102</t>
        </is>
      </c>
      <c r="B2103" s="18" t="inlineStr">
        <is>
          <t>Control disciplinario interno</t>
        </is>
      </c>
      <c r="C2103" s="18" t="inlineStr">
        <is>
          <t>internal_disciplinary_control</t>
        </is>
      </c>
      <c r="D2103" s="18" t="inlineStr">
        <is>
          <t>alertas_enviadas</t>
        </is>
      </c>
      <c r="E2103" s="18" t="n">
        <v>117</v>
      </c>
      <c r="F2103" s="18" t="inlineStr">
        <is>
          <t>fecha_lectura</t>
        </is>
      </c>
      <c r="G2103" s="18" t="inlineStr">
        <is>
          <t>timestamp without time zone</t>
        </is>
      </c>
      <c r="H2103" s="18" t="inlineStr">
        <is>
          <t>Sí</t>
        </is>
      </c>
      <c r="I2103" s="18" t="inlineStr"/>
      <c r="J2103" s="18" t="inlineStr"/>
      <c r="K2103" s="18" t="inlineStr"/>
      <c r="L2103" s="18" t="inlineStr">
        <is>
          <t>No</t>
        </is>
      </c>
      <c r="M2103" s="18" t="inlineStr">
        <is>
          <t>No</t>
        </is>
      </c>
      <c r="N2103" s="18" t="inlineStr"/>
      <c r="O2103" s="18" t="inlineStr"/>
      <c r="P2103" s="18" t="inlineStr">
        <is>
          <t>internal-disciplinary-control-service/src/entities/alerta-enviada.entity.ts:83: Si es visual</t>
        </is>
      </c>
      <c r="Q2103" s="18" t="inlineStr">
        <is>
          <t>Código fuente</t>
        </is>
      </c>
      <c r="R2103" s="18" t="inlineStr">
        <is>
          <t>Fecha y hora en que el destinatario leyó la alerta; aplica a las alertas visuales.</t>
        </is>
      </c>
      <c r="S2103" s="18" t="inlineStr">
        <is>
          <t>Alta</t>
        </is>
      </c>
      <c r="T2103" s="18" t="inlineStr">
        <is>
          <t>código: internal-disciplinary-control-service/src/entities/alerta-enviada.entity.ts:83</t>
        </is>
      </c>
      <c r="U2103" s="18" t="inlineStr"/>
      <c r="V2103" s="19" t="inlineStr">
        <is>
          <t>Aprobada</t>
        </is>
      </c>
      <c r="W2103" s="19" t="inlineStr"/>
      <c r="X2103" s="19" t="inlineStr">
        <is>
          <t>Aldair González (aprobación en bloque)</t>
        </is>
      </c>
      <c r="Y2103" s="20" t="n">
        <v>46321</v>
      </c>
      <c r="Z2103" s="19" t="inlineStr">
        <is>
          <t>Nivel 1: propuesta del comentario del desarrollador o de confianza alta, o regla de fecha/responsable/motivo.</t>
        </is>
      </c>
      <c r="AA2103" s="18">
        <f>IF(OR(V2103="Aprobada"),R2103,IF(AND(OR(V2103="Aprobada con ajuste",V2103="Rechazada"),W2103&lt;&gt;""),W2103,""))</f>
        <v/>
      </c>
    </row>
    <row r="2104">
      <c r="A2104" s="18" t="inlineStr">
        <is>
          <t>C2103</t>
        </is>
      </c>
      <c r="B2104" s="18" t="inlineStr">
        <is>
          <t>Control disciplinario interno</t>
        </is>
      </c>
      <c r="C2104" s="18" t="inlineStr">
        <is>
          <t>internal_disciplinary_control</t>
        </is>
      </c>
      <c r="D2104" s="18" t="inlineStr">
        <is>
          <t>alertas_enviadas</t>
        </is>
      </c>
      <c r="E2104" s="18" t="n">
        <v>117</v>
      </c>
      <c r="F2104" s="18" t="inlineStr">
        <is>
          <t>error_mensaje</t>
        </is>
      </c>
      <c r="G2104" s="18" t="inlineStr">
        <is>
          <t>text</t>
        </is>
      </c>
      <c r="H2104" s="18" t="inlineStr">
        <is>
          <t>Sí</t>
        </is>
      </c>
      <c r="I2104" s="18" t="inlineStr"/>
      <c r="J2104" s="18" t="inlineStr"/>
      <c r="K2104" s="18" t="inlineStr"/>
      <c r="L2104" s="18" t="inlineStr">
        <is>
          <t>No</t>
        </is>
      </c>
      <c r="M2104" s="18" t="inlineStr">
        <is>
          <t>No</t>
        </is>
      </c>
      <c r="N2104" s="18" t="inlineStr"/>
      <c r="O2104" s="18" t="inlineStr"/>
      <c r="P2104" s="18" t="inlineStr">
        <is>
          <t>internal-disciplinary-control-service/src/entities/alerta-enviada.entity.ts:86: Si estado = 'error'</t>
        </is>
      </c>
      <c r="Q2104" s="18" t="inlineStr">
        <is>
          <t>Código fuente</t>
        </is>
      </c>
      <c r="R2104" s="18" t="inlineStr">
        <is>
          <t>Mensaje de error del envío de la alerta; se diligencia cuando el estado es error.</t>
        </is>
      </c>
      <c r="S2104" s="18" t="inlineStr">
        <is>
          <t>Alta</t>
        </is>
      </c>
      <c r="T2104" s="18" t="inlineStr">
        <is>
          <t>código: internal-disciplinary-control-service/src/entities/alerta-enviada.entity.ts:86</t>
        </is>
      </c>
      <c r="U2104" s="18" t="inlineStr"/>
      <c r="V2104" s="19" t="inlineStr">
        <is>
          <t>Aprobada</t>
        </is>
      </c>
      <c r="W2104" s="19" t="inlineStr"/>
      <c r="X2104" s="19" t="inlineStr">
        <is>
          <t>Aldair González (aprobación en bloque)</t>
        </is>
      </c>
      <c r="Y2104" s="20" t="n">
        <v>46321</v>
      </c>
      <c r="Z2104" s="19" t="inlineStr">
        <is>
          <t>Nivel 1: propuesta del comentario del desarrollador o de confianza alta, o regla de fecha/responsable/motivo.</t>
        </is>
      </c>
      <c r="AA2104" s="18">
        <f>IF(OR(V2104="Aprobada"),R2104,IF(AND(OR(V2104="Aprobada con ajuste",V2104="Rechazada"),W2104&lt;&gt;""),W2104,""))</f>
        <v/>
      </c>
    </row>
    <row r="2105">
      <c r="A2105" s="18" t="inlineStr">
        <is>
          <t>C2104</t>
        </is>
      </c>
      <c r="B2105" s="18" t="inlineStr">
        <is>
          <t>Control disciplinario interno</t>
        </is>
      </c>
      <c r="C2105" s="18" t="inlineStr">
        <is>
          <t>internal_disciplinary_control</t>
        </is>
      </c>
      <c r="D2105" s="18" t="inlineStr">
        <is>
          <t>alertas_enviadas</t>
        </is>
      </c>
      <c r="E2105" s="18" t="n">
        <v>117</v>
      </c>
      <c r="F2105" s="18" t="inlineStr">
        <is>
          <t>creado_por_id</t>
        </is>
      </c>
      <c r="G2105" s="18" t="inlineStr">
        <is>
          <t>uuid</t>
        </is>
      </c>
      <c r="H2105" s="18" t="inlineStr">
        <is>
          <t>Sí</t>
        </is>
      </c>
      <c r="I2105" s="18" t="inlineStr"/>
      <c r="J2105" s="18" t="inlineStr"/>
      <c r="K2105" s="18" t="inlineStr"/>
      <c r="L2105" s="18" t="inlineStr">
        <is>
          <t>No</t>
        </is>
      </c>
      <c r="M2105" s="18" t="inlineStr">
        <is>
          <t>No</t>
        </is>
      </c>
      <c r="N2105" s="18" t="inlineStr"/>
      <c r="O2105" s="18" t="inlineStr"/>
      <c r="P2105" s="18" t="inlineStr">
        <is>
          <t>internal-disciplinary-control-service/src/entities/alerta-enviada.entity.ts:89: Sistema si es automático, usuario si es manual</t>
        </is>
      </c>
      <c r="Q2105" s="18" t="inlineStr">
        <is>
          <t>Código fuente (verificado)</t>
        </is>
      </c>
      <c r="R2105" s="18" t="inlineStr">
        <is>
          <t>Identificador de quien creó la alerta: vacío en las alertas automáticas de términos; en las alertas de autos, el identificador del usuario que aprueba o del abogado asignado.</t>
        </is>
      </c>
      <c r="S2105" s="18" t="inlineStr">
        <is>
          <t>Media</t>
        </is>
      </c>
      <c r="T2105" s="18" t="inlineStr">
        <is>
          <t>internal-disciplinary-control-service/src/entities/alerta-enviada.entity.ts:89-90: uuid, comentario Sistema si es automático, usuario si es manual | internal-disciplinary-control-service/src/services/alertas.service.ts:136: crear() guarda null si no llega | internal-disciplinary-control-service/src/services/alertas.service.ts:160: crearNotificacionAuto() usa el texto 'Sistema' por defecto en una columna uuid | internal-disciplinary-control-service/src/controllers/auto.controller.ts:213: aprobadoPorId llega como parámetro de consulta</t>
        </is>
      </c>
      <c r="U2105" s="18" t="inlineStr">
        <is>
          <t>crearNotificacionAuto() asigna el texto 'Sistema' a una columna uuid: ¿qué valor queda cuando la alerta la crea el sistema, y el identificador de usuario (aprobadoPorId, abogadoAsignadoId) corresponde a auth."user" o a disciplinary_professional?</t>
        </is>
      </c>
      <c r="V2105" s="19" t="inlineStr">
        <is>
          <t>Aprobada</t>
        </is>
      </c>
      <c r="W2105" s="19" t="inlineStr"/>
      <c r="X2105" s="19" t="inlineStr">
        <is>
          <t>Aldair González (validación del responsable de BD)</t>
        </is>
      </c>
      <c r="Y2105" s="20" t="n">
        <v>46321</v>
      </c>
      <c r="Z2105" s="19" t="inlineStr">
        <is>
          <t>Nivel 3: validada por decisión del responsable de la base de datos. Pregunta registrada para desarrollo: crearNotificacionAuto() asigna el texto 'Sistema' a una columna uuid: ¿qué valor queda cuando la alerta la crea el sistema, y el identificador de usuario (aprobadoPorId, abogadoAsignadoId) corresponde a auth."user" o a disciplinary_professional?</t>
        </is>
      </c>
      <c r="AA2105" s="18">
        <f>IF(OR(V2105="Aprobada"),R2105,IF(AND(OR(V2105="Aprobada con ajuste",V2105="Rechazada"),W2105&lt;&gt;""),W2105,""))</f>
        <v/>
      </c>
    </row>
    <row r="2106">
      <c r="A2106" s="18" t="inlineStr">
        <is>
          <t>C2105</t>
        </is>
      </c>
      <c r="B2106" s="18" t="inlineStr">
        <is>
          <t>Control disciplinario interno</t>
        </is>
      </c>
      <c r="C2106" s="18" t="inlineStr">
        <is>
          <t>internal_disciplinary_control</t>
        </is>
      </c>
      <c r="D2106" s="18" t="inlineStr">
        <is>
          <t>auto_versions</t>
        </is>
      </c>
      <c r="E2106" s="18" t="n">
        <v>244</v>
      </c>
      <c r="F2106" s="18" t="inlineStr">
        <is>
          <t>autoId</t>
        </is>
      </c>
      <c r="G2106" s="18" t="inlineStr">
        <is>
          <t>uuid</t>
        </is>
      </c>
      <c r="H2106" s="18" t="inlineStr">
        <is>
          <t>Sí</t>
        </is>
      </c>
      <c r="I2106" s="18" t="inlineStr"/>
      <c r="J2106" s="18" t="inlineStr"/>
      <c r="K2106" s="18" t="inlineStr"/>
      <c r="L2106" s="18" t="inlineStr">
        <is>
          <t>No</t>
        </is>
      </c>
      <c r="M2106" s="18" t="inlineStr">
        <is>
          <t>No</t>
        </is>
      </c>
      <c r="N2106" s="18" t="inlineStr"/>
      <c r="O2106" s="18" t="inlineStr">
        <is>
          <t>IDX_auto_versions_autoId, idx_auto_versions_auto</t>
        </is>
      </c>
      <c r="P2106" s="18" t="inlineStr"/>
      <c r="Q2106" s="18" t="inlineStr">
        <is>
          <t>Código fuente (verificado)</t>
        </is>
      </c>
      <c r="R2106" s="18" t="inlineStr">
        <is>
          <t>Identificador del auto al que pertenece la versión (internal_disciplinary_control.legal_autos). La relación está mapeada en la entidad y el DDL de referencia del repositorio declara la FK con borrado en cascada.</t>
        </is>
      </c>
      <c r="S2106" s="18" t="inlineStr">
        <is>
          <t>Alta</t>
        </is>
      </c>
      <c r="T2106" s="18" t="inlineStr">
        <is>
          <t>internal-disciplinary-control-service/src/entities/auto-version.entity.ts:15-16: ManyToOne a LegalAuto (columna autoId) | internal-disciplinary-control-service/src/entities/legal-auto.entity.ts:68: tabla legal_autos | db/init/006_internal_disciplinary_control_ddl_20260129_215540.sql:1198: FK_auto_versions_auto FOREIGN KEY ("autoId") REFERENCES legal_autos(id) ON DELETE CASCADE</t>
        </is>
      </c>
      <c r="U2106" s="18" t="inlineStr"/>
      <c r="V2106" s="19" t="inlineStr">
        <is>
          <t>Aprobada</t>
        </is>
      </c>
      <c r="W2106" s="19" t="inlineStr"/>
      <c r="X2106" s="19" t="inlineStr">
        <is>
          <t>Aldair González (aprobación en bloque)</t>
        </is>
      </c>
      <c r="Y2106" s="20" t="n">
        <v>46321</v>
      </c>
      <c r="Z2106" s="19" t="inlineStr">
        <is>
          <t>Nivel 3: verificada con el código de la aplicación.</t>
        </is>
      </c>
      <c r="AA2106" s="18">
        <f>IF(OR(V2106="Aprobada"),R2106,IF(AND(OR(V2106="Aprobada con ajuste",V2106="Rechazada"),W2106&lt;&gt;""),W2106,""))</f>
        <v/>
      </c>
    </row>
    <row r="2107">
      <c r="A2107" s="18" t="inlineStr">
        <is>
          <t>C2106</t>
        </is>
      </c>
      <c r="B2107" s="18" t="inlineStr">
        <is>
          <t>Control disciplinario interno</t>
        </is>
      </c>
      <c r="C2107" s="18" t="inlineStr">
        <is>
          <t>internal_disciplinary_control</t>
        </is>
      </c>
      <c r="D2107" s="18" t="inlineStr">
        <is>
          <t>auto_versions</t>
        </is>
      </c>
      <c r="E2107" s="18" t="n">
        <v>244</v>
      </c>
      <c r="F2107" s="18" t="inlineStr">
        <is>
          <t>contenido</t>
        </is>
      </c>
      <c r="G2107" s="18" t="inlineStr">
        <is>
          <t>text</t>
        </is>
      </c>
      <c r="H2107" s="18" t="inlineStr">
        <is>
          <t>No</t>
        </is>
      </c>
      <c r="I2107" s="18" t="inlineStr"/>
      <c r="J2107" s="18" t="inlineStr"/>
      <c r="K2107" s="18" t="inlineStr"/>
      <c r="L2107" s="18" t="inlineStr">
        <is>
          <t>No</t>
        </is>
      </c>
      <c r="M2107" s="18" t="inlineStr">
        <is>
          <t>No</t>
        </is>
      </c>
      <c r="N2107" s="18" t="inlineStr"/>
      <c r="O2107" s="18" t="inlineStr"/>
      <c r="P2107" s="18" t="inlineStr">
        <is>
          <t>Mapeada en internal-disciplinary-control-service/src/entities/auto-version.entity.ts:18 (AutoVersion.contenido)</t>
        </is>
      </c>
      <c r="Q2107" s="18" t="inlineStr">
        <is>
          <t>Código fuente (verificado)</t>
        </is>
      </c>
      <c r="R2107" s="18" t="inlineStr">
        <is>
          <t>Contenido del auto en esta versión, en HTML (texto enriquecido): copia del contenido del auto al momento de la versión.</t>
        </is>
      </c>
      <c r="S2107" s="18" t="inlineStr">
        <is>
          <t>Alta</t>
        </is>
      </c>
      <c r="T2107" s="18" t="inlineStr">
        <is>
          <t>internal-disciplinary-control-service/src/entities/auto-version.entity.ts:18-19: contenido text | internal-disciplinary-control-service/src/entities/legal-auto.entity.ts:93: contenido del auto HTML/Rich Text | internal-disciplinary-control-service/src/services/auto.service.ts:160: el auto se crea con contenidoHtml | internal-disciplinary-control-service/src/services/auto.service.ts:674-676: la versión copia el contenido del auto</t>
        </is>
      </c>
      <c r="U2107" s="18" t="inlineStr"/>
      <c r="V2107" s="19" t="inlineStr">
        <is>
          <t>Aprobada</t>
        </is>
      </c>
      <c r="W2107" s="19" t="inlineStr"/>
      <c r="X2107" s="19" t="inlineStr">
        <is>
          <t>Aldair González (aprobación en bloque)</t>
        </is>
      </c>
      <c r="Y2107" s="20" t="n">
        <v>46321</v>
      </c>
      <c r="Z2107" s="19" t="inlineStr">
        <is>
          <t>Nivel 3: verificada con el código de la aplicación.</t>
        </is>
      </c>
      <c r="AA2107" s="18">
        <f>IF(OR(V2107="Aprobada"),R2107,IF(AND(OR(V2107="Aprobada con ajuste",V2107="Rechazada"),W2107&lt;&gt;""),W2107,""))</f>
        <v/>
      </c>
    </row>
    <row r="2108">
      <c r="A2108" s="18" t="inlineStr">
        <is>
          <t>C2107</t>
        </is>
      </c>
      <c r="B2108" s="18" t="inlineStr">
        <is>
          <t>Control disciplinario interno</t>
        </is>
      </c>
      <c r="C2108" s="18" t="inlineStr">
        <is>
          <t>internal_disciplinary_control</t>
        </is>
      </c>
      <c r="D2108" s="18" t="inlineStr">
        <is>
          <t>auto_versions</t>
        </is>
      </c>
      <c r="E2108" s="18" t="n">
        <v>244</v>
      </c>
      <c r="F2108" s="18" t="inlineStr">
        <is>
          <t>versionNumber</t>
        </is>
      </c>
      <c r="G2108" s="18" t="inlineStr">
        <is>
          <t>integer</t>
        </is>
      </c>
      <c r="H2108" s="18" t="inlineStr">
        <is>
          <t>No</t>
        </is>
      </c>
      <c r="I2108" s="18" t="inlineStr"/>
      <c r="J2108" s="18" t="inlineStr"/>
      <c r="K2108" s="18" t="inlineStr"/>
      <c r="L2108" s="18" t="inlineStr">
        <is>
          <t>No</t>
        </is>
      </c>
      <c r="M2108" s="18" t="inlineStr">
        <is>
          <t>No</t>
        </is>
      </c>
      <c r="N2108" s="18" t="inlineStr"/>
      <c r="O2108" s="18" t="inlineStr">
        <is>
          <t>idx_auto_versions_number</t>
        </is>
      </c>
      <c r="P2108" s="18" t="inlineStr">
        <is>
          <t>Mapeada en internal-disciplinary-control-service/src/entities/auto-version.entity.ts:21 (AutoVersion.versionNumber)</t>
        </is>
      </c>
      <c r="Q2108" s="18" t="inlineStr">
        <is>
          <t>Propuesta semántica</t>
        </is>
      </c>
      <c r="R2108" s="18" t="inlineStr">
        <is>
          <t>Número de la versión del auto.</t>
        </is>
      </c>
      <c r="S2108" s="18" t="inlineStr">
        <is>
          <t>Alta</t>
        </is>
      </c>
      <c r="T2108" s="18" t="inlineStr">
        <is>
          <t>nombre + tipo + columnas vecinas</t>
        </is>
      </c>
      <c r="U2108" s="18" t="inlineStr"/>
      <c r="V2108" s="19" t="inlineStr">
        <is>
          <t>Aprobada</t>
        </is>
      </c>
      <c r="W2108" s="19" t="inlineStr"/>
      <c r="X2108" s="19" t="inlineStr">
        <is>
          <t>Aldair González (aprobación en bloque)</t>
        </is>
      </c>
      <c r="Y2108" s="20" t="n">
        <v>46321</v>
      </c>
      <c r="Z2108" s="19" t="inlineStr">
        <is>
          <t>Nivel 1: propuesta del comentario del desarrollador o de confianza alta, o regla de fecha/responsable/motivo.</t>
        </is>
      </c>
      <c r="AA2108" s="18">
        <f>IF(OR(V2108="Aprobada"),R2108,IF(AND(OR(V2108="Aprobada con ajuste",V2108="Rechazada"),W2108&lt;&gt;""),W2108,""))</f>
        <v/>
      </c>
    </row>
    <row r="2109">
      <c r="A2109" s="18" t="inlineStr">
        <is>
          <t>C2108</t>
        </is>
      </c>
      <c r="B2109" s="18" t="inlineStr">
        <is>
          <t>Control disciplinario interno</t>
        </is>
      </c>
      <c r="C2109" s="18" t="inlineStr">
        <is>
          <t>internal_disciplinary_control</t>
        </is>
      </c>
      <c r="D2109" s="18" t="inlineStr">
        <is>
          <t>auto_versions</t>
        </is>
      </c>
      <c r="E2109" s="18" t="n">
        <v>244</v>
      </c>
      <c r="F2109" s="18" t="inlineStr">
        <is>
          <t>changeReason</t>
        </is>
      </c>
      <c r="G2109" s="18" t="inlineStr">
        <is>
          <t>text</t>
        </is>
      </c>
      <c r="H2109" s="18" t="inlineStr">
        <is>
          <t>Sí</t>
        </is>
      </c>
      <c r="I2109" s="18" t="inlineStr"/>
      <c r="J2109" s="18" t="inlineStr"/>
      <c r="K2109" s="18" t="inlineStr"/>
      <c r="L2109" s="18" t="inlineStr">
        <is>
          <t>No</t>
        </is>
      </c>
      <c r="M2109" s="18" t="inlineStr">
        <is>
          <t>No</t>
        </is>
      </c>
      <c r="N2109" s="18" t="inlineStr"/>
      <c r="O2109" s="18" t="inlineStr"/>
      <c r="P2109" s="18" t="inlineStr">
        <is>
          <t>Mapeada en internal-disciplinary-control-service/src/entities/auto-version.entity.ts:27 (AutoVersion.changeReason)</t>
        </is>
      </c>
      <c r="Q2109" s="18" t="inlineStr">
        <is>
          <t>Propuesta semántica</t>
        </is>
      </c>
      <c r="R2109" s="18" t="inlineStr">
        <is>
          <t>Motivo del cambio que generó la versión del auto.</t>
        </is>
      </c>
      <c r="S2109" s="18" t="inlineStr">
        <is>
          <t>Alta</t>
        </is>
      </c>
      <c r="T2109" s="18" t="inlineStr">
        <is>
          <t>nombre + tipo + columnas vecinas</t>
        </is>
      </c>
      <c r="U2109" s="18" t="inlineStr"/>
      <c r="V2109" s="19" t="inlineStr">
        <is>
          <t>Aprobada</t>
        </is>
      </c>
      <c r="W2109" s="19" t="inlineStr"/>
      <c r="X2109" s="19" t="inlineStr">
        <is>
          <t>Aldair González (aprobación en bloque)</t>
        </is>
      </c>
      <c r="Y2109" s="20" t="n">
        <v>46321</v>
      </c>
      <c r="Z2109" s="19" t="inlineStr">
        <is>
          <t>Nivel 1: propuesta del comentario del desarrollador o de confianza alta, o regla de fecha/responsable/motivo.</t>
        </is>
      </c>
      <c r="AA2109" s="18">
        <f>IF(OR(V2109="Aprobada"),R2109,IF(AND(OR(V2109="Aprobada con ajuste",V2109="Rechazada"),W2109&lt;&gt;""),W2109,""))</f>
        <v/>
      </c>
    </row>
    <row r="2110">
      <c r="A2110" s="18" t="inlineStr">
        <is>
          <t>C2109</t>
        </is>
      </c>
      <c r="B2110" s="18" t="inlineStr">
        <is>
          <t>Control disciplinario interno</t>
        </is>
      </c>
      <c r="C2110" s="18" t="inlineStr">
        <is>
          <t>internal_disciplinary_control</t>
        </is>
      </c>
      <c r="D2110" s="18" t="inlineStr">
        <is>
          <t>autos_configuration</t>
        </is>
      </c>
      <c r="E2110" s="18" t="n">
        <v>38</v>
      </c>
      <c r="F2110" s="18" t="inlineStr">
        <is>
          <t>id</t>
        </is>
      </c>
      <c r="G2110" s="18" t="inlineStr">
        <is>
          <t>uuid</t>
        </is>
      </c>
      <c r="H2110" s="18" t="inlineStr">
        <is>
          <t>No</t>
        </is>
      </c>
      <c r="I2110" s="18" t="inlineStr"/>
      <c r="J2110" s="18" t="inlineStr"/>
      <c r="K2110" s="18" t="inlineStr"/>
      <c r="L2110" s="18" t="inlineStr">
        <is>
          <t>No</t>
        </is>
      </c>
      <c r="M2110" s="18" t="inlineStr">
        <is>
          <t>No</t>
        </is>
      </c>
      <c r="N2110" s="18" t="inlineStr"/>
      <c r="O2110" s="18" t="inlineStr"/>
      <c r="P2110" s="18" t="inlineStr">
        <is>
          <t>Mapeada en internal-disciplinary-control-service/src/entities/auto-configuration.entity.ts:11 (AutoConfiguration.id) | Validación: IsOptional, IsUUID</t>
        </is>
      </c>
      <c r="Q2110" s="18" t="inlineStr">
        <is>
          <t>Propuesta semántica</t>
        </is>
      </c>
      <c r="R2110" s="18" t="inlineStr">
        <is>
          <t>Identificador único de la configuración de auto (UUID generado automáticamente).</t>
        </is>
      </c>
      <c r="S2110" s="18" t="inlineStr">
        <is>
          <t>Alta</t>
        </is>
      </c>
      <c r="T2110" s="18" t="inlineStr">
        <is>
          <t>tipo + defecto gen_random_uuid()</t>
        </is>
      </c>
      <c r="U2110" s="18" t="inlineStr"/>
      <c r="V2110" s="19" t="inlineStr">
        <is>
          <t>Aprobada</t>
        </is>
      </c>
      <c r="W2110" s="19" t="inlineStr"/>
      <c r="X2110" s="19" t="inlineStr">
        <is>
          <t>Aldair González (aprobación en bloque)</t>
        </is>
      </c>
      <c r="Y2110" s="20" t="n">
        <v>46321</v>
      </c>
      <c r="Z2110" s="19" t="inlineStr">
        <is>
          <t>Nivel 1: propuesta del comentario del desarrollador o de confianza alta, o regla de fecha/responsable/motivo.</t>
        </is>
      </c>
      <c r="AA2110" s="18">
        <f>IF(OR(V2110="Aprobada"),R2110,IF(AND(OR(V2110="Aprobada con ajuste",V2110="Rechazada"),W2110&lt;&gt;""),W2110,""))</f>
        <v/>
      </c>
    </row>
    <row r="2111">
      <c r="A2111" s="18" t="inlineStr">
        <is>
          <t>C2110</t>
        </is>
      </c>
      <c r="B2111" s="18" t="inlineStr">
        <is>
          <t>Control disciplinario interno</t>
        </is>
      </c>
      <c r="C2111" s="18" t="inlineStr">
        <is>
          <t>internal_disciplinary_control</t>
        </is>
      </c>
      <c r="D2111" s="18" t="inlineStr">
        <is>
          <t>autos_configuration</t>
        </is>
      </c>
      <c r="E2111" s="18" t="n">
        <v>38</v>
      </c>
      <c r="F2111" s="18" t="inlineStr">
        <is>
          <t>tipo</t>
        </is>
      </c>
      <c r="G2111" s="18" t="inlineStr">
        <is>
          <t>character varying(100)</t>
        </is>
      </c>
      <c r="H2111" s="18" t="inlineStr">
        <is>
          <t>No</t>
        </is>
      </c>
      <c r="I2111" s="18" t="inlineStr"/>
      <c r="J2111" s="18" t="inlineStr"/>
      <c r="K2111" s="18" t="inlineStr"/>
      <c r="L2111" s="18" t="inlineStr">
        <is>
          <t>No</t>
        </is>
      </c>
      <c r="M2111" s="18" t="inlineStr">
        <is>
          <t>No</t>
        </is>
      </c>
      <c r="N2111" s="18" t="inlineStr"/>
      <c r="O2111" s="18" t="inlineStr">
        <is>
          <t>idx_autos_configuration_tipo</t>
        </is>
      </c>
      <c r="P2111" s="18" t="inlineStr">
        <is>
          <t>Mapeada en internal-disciplinary-control-service/src/entities/auto-configuration.entity.ts:14 (AutoConfiguration.tipo) | Validación: IsEnum(TipoAlerta), IsEnum(TipoFestivo), IsNotEmpty, IsOptional, IsString, MaxLength(50)</t>
        </is>
      </c>
      <c r="Q2111" s="18" t="inlineStr">
        <is>
          <t>Regla estructural (redacción revisada)</t>
        </is>
      </c>
      <c r="R2111" s="18" t="inlineStr">
        <is>
          <t>Tipo de auto configurado.</t>
        </is>
      </c>
      <c r="S2111" s="18" t="inlineStr">
        <is>
          <t>Alta</t>
        </is>
      </c>
      <c r="T2111" s="18" t="inlineStr">
        <is>
          <t>Convención de nombre, redactada con el contexto de la tabla y el código.</t>
        </is>
      </c>
      <c r="U2111" s="18" t="inlineStr"/>
      <c r="V2111" s="19" t="inlineStr">
        <is>
          <t>Aprobada</t>
        </is>
      </c>
      <c r="W2111" s="19" t="inlineStr"/>
      <c r="X2111" s="19" t="inlineStr">
        <is>
          <t>Aldair González (aprobación en bloque)</t>
        </is>
      </c>
      <c r="Y2111" s="20" t="n">
        <v>46321</v>
      </c>
      <c r="Z2111" s="19" t="inlineStr">
        <is>
          <t>Nivel 2: regla estructural con redacción revisada.</t>
        </is>
      </c>
      <c r="AA2111" s="18">
        <f>IF(OR(V2111="Aprobada"),R2111,IF(AND(OR(V2111="Aprobada con ajuste",V2111="Rechazada"),W2111&lt;&gt;""),W2111,""))</f>
        <v/>
      </c>
    </row>
    <row r="2112">
      <c r="A2112" s="18" t="inlineStr">
        <is>
          <t>C2111</t>
        </is>
      </c>
      <c r="B2112" s="18" t="inlineStr">
        <is>
          <t>Control disciplinario interno</t>
        </is>
      </c>
      <c r="C2112" s="18" t="inlineStr">
        <is>
          <t>internal_disciplinary_control</t>
        </is>
      </c>
      <c r="D2112" s="18" t="inlineStr">
        <is>
          <t>autos_configuration</t>
        </is>
      </c>
      <c r="E2112" s="18" t="n">
        <v>38</v>
      </c>
      <c r="F2112" s="18" t="inlineStr">
        <is>
          <t>nombre</t>
        </is>
      </c>
      <c r="G2112" s="18" t="inlineStr">
        <is>
          <t>character varying(200)</t>
        </is>
      </c>
      <c r="H2112" s="18" t="inlineStr">
        <is>
          <t>No</t>
        </is>
      </c>
      <c r="I2112" s="18" t="inlineStr"/>
      <c r="J2112" s="18" t="inlineStr"/>
      <c r="K2112" s="18" t="inlineStr"/>
      <c r="L2112" s="18" t="inlineStr">
        <is>
          <t>No</t>
        </is>
      </c>
      <c r="M2112" s="18" t="inlineStr">
        <is>
          <t>No</t>
        </is>
      </c>
      <c r="N2112" s="18" t="inlineStr"/>
      <c r="O2112" s="18" t="inlineStr"/>
      <c r="P2112" s="18" t="inlineStr">
        <is>
          <t>Mapeada en internal-disciplinary-control-service/src/entities/auto-configuration.entity.ts:17 (AutoConfiguration.nombre) | Validación: IsNotEmpty, IsOptional, IsString, MaxLength(255)</t>
        </is>
      </c>
      <c r="Q2112" s="18" t="inlineStr">
        <is>
          <t>Regla estructural (redacción revisada)</t>
        </is>
      </c>
      <c r="R2112" s="18" t="inlineStr">
        <is>
          <t>Nombre del auto configurado.</t>
        </is>
      </c>
      <c r="S2112" s="18" t="inlineStr">
        <is>
          <t>Alta</t>
        </is>
      </c>
      <c r="T2112" s="18" t="inlineStr">
        <is>
          <t>Convención de nombre, redactada con el contexto de la tabla y el código.</t>
        </is>
      </c>
      <c r="U2112" s="18" t="inlineStr"/>
      <c r="V2112" s="19" t="inlineStr">
        <is>
          <t>Aprobada</t>
        </is>
      </c>
      <c r="W2112" s="19" t="inlineStr"/>
      <c r="X2112" s="19" t="inlineStr">
        <is>
          <t>Aldair González (aprobación en bloque)</t>
        </is>
      </c>
      <c r="Y2112" s="20" t="n">
        <v>46321</v>
      </c>
      <c r="Z2112" s="19" t="inlineStr">
        <is>
          <t>Nivel 2: regla estructural con redacción revisada.</t>
        </is>
      </c>
      <c r="AA2112" s="18">
        <f>IF(OR(V2112="Aprobada"),R2112,IF(AND(OR(V2112="Aprobada con ajuste",V2112="Rechazada"),W2112&lt;&gt;""),W2112,""))</f>
        <v/>
      </c>
    </row>
    <row r="2113">
      <c r="A2113" s="18" t="inlineStr">
        <is>
          <t>C2112</t>
        </is>
      </c>
      <c r="B2113" s="18" t="inlineStr">
        <is>
          <t>Control disciplinario interno</t>
        </is>
      </c>
      <c r="C2113" s="18" t="inlineStr">
        <is>
          <t>internal_disciplinary_control</t>
        </is>
      </c>
      <c r="D2113" s="18" t="inlineStr">
        <is>
          <t>autos_configuration</t>
        </is>
      </c>
      <c r="E2113" s="18" t="n">
        <v>38</v>
      </c>
      <c r="F2113" s="18" t="inlineStr">
        <is>
          <t>estado</t>
        </is>
      </c>
      <c r="G2113" s="18" t="inlineStr">
        <is>
          <t>character varying(50)</t>
        </is>
      </c>
      <c r="H2113" s="18" t="inlineStr">
        <is>
          <t>No</t>
        </is>
      </c>
      <c r="I2113" s="18" t="inlineStr"/>
      <c r="J2113" s="18" t="inlineStr"/>
      <c r="K2113" s="18" t="inlineStr"/>
      <c r="L2113" s="18" t="inlineStr">
        <is>
          <t>No</t>
        </is>
      </c>
      <c r="M2113" s="18" t="inlineStr">
        <is>
          <t>No</t>
        </is>
      </c>
      <c r="N2113" s="18" t="inlineStr"/>
      <c r="O2113" s="18" t="inlineStr">
        <is>
          <t>idx_autos_configuration_estado</t>
        </is>
      </c>
      <c r="P2113" s="18" t="inlineStr">
        <is>
          <t>Mapeada en internal-disciplinary-control-service/src/entities/auto-configuration.entity.ts:20 (AutoConfiguration.estado) | Validación: IsBoolean, IsEnum(AutoStatus), IsEnum(EstadoAlerta), IsEnum(TerminoEstado), IsIn(['activo', 'inactivo']), IsOptional</t>
        </is>
      </c>
      <c r="Q2113" s="18" t="inlineStr">
        <is>
          <t>Regla estructural (redacción revisada)</t>
        </is>
      </c>
      <c r="R2113" s="18" t="inlineStr">
        <is>
          <t>Estado de la configuración del auto.</t>
        </is>
      </c>
      <c r="S2113" s="18" t="inlineStr">
        <is>
          <t>Alta</t>
        </is>
      </c>
      <c r="T2113" s="18" t="inlineStr">
        <is>
          <t>Convención de nombre, redactada con el contexto de la tabla y el código.</t>
        </is>
      </c>
      <c r="U2113" s="18" t="inlineStr"/>
      <c r="V2113" s="19" t="inlineStr">
        <is>
          <t>Aprobada</t>
        </is>
      </c>
      <c r="W2113" s="19" t="inlineStr"/>
      <c r="X2113" s="19" t="inlineStr">
        <is>
          <t>Aldair González (aprobación en bloque)</t>
        </is>
      </c>
      <c r="Y2113" s="20" t="n">
        <v>46321</v>
      </c>
      <c r="Z2113" s="19" t="inlineStr">
        <is>
          <t>Nivel 2: regla estructural con redacción revisada.</t>
        </is>
      </c>
      <c r="AA2113" s="18">
        <f>IF(OR(V2113="Aprobada"),R2113,IF(AND(OR(V2113="Aprobada con ajuste",V2113="Rechazada"),W2113&lt;&gt;""),W2113,""))</f>
        <v/>
      </c>
    </row>
    <row r="2114">
      <c r="A2114" s="18" t="inlineStr">
        <is>
          <t>C2113</t>
        </is>
      </c>
      <c r="B2114" s="18" t="inlineStr">
        <is>
          <t>Control disciplinario interno</t>
        </is>
      </c>
      <c r="C2114" s="18" t="inlineStr">
        <is>
          <t>internal_disciplinary_control</t>
        </is>
      </c>
      <c r="D2114" s="18" t="inlineStr">
        <is>
          <t>autos_configuration</t>
        </is>
      </c>
      <c r="E2114" s="18" t="n">
        <v>38</v>
      </c>
      <c r="F2114" s="18" t="inlineStr">
        <is>
          <t>plantilla</t>
        </is>
      </c>
      <c r="G2114" s="18" t="inlineStr">
        <is>
          <t>text</t>
        </is>
      </c>
      <c r="H2114" s="18" t="inlineStr">
        <is>
          <t>Sí</t>
        </is>
      </c>
      <c r="I2114" s="18" t="inlineStr"/>
      <c r="J2114" s="18" t="inlineStr"/>
      <c r="K2114" s="18" t="inlineStr"/>
      <c r="L2114" s="18" t="inlineStr">
        <is>
          <t>No</t>
        </is>
      </c>
      <c r="M2114" s="18" t="inlineStr">
        <is>
          <t>No</t>
        </is>
      </c>
      <c r="N2114" s="18" t="inlineStr"/>
      <c r="O2114" s="18" t="inlineStr"/>
      <c r="P2114" s="18" t="inlineStr">
        <is>
          <t>Mapeada en internal-disciplinary-control-service/src/entities/auto-configuration.entity.ts:23 (AutoConfiguration.plantilla) | Validación: IsOptional, IsString</t>
        </is>
      </c>
      <c r="Q2114" s="18" t="inlineStr">
        <is>
          <t>Código fuente (verificado)</t>
        </is>
      </c>
      <c r="R2114" s="18" t="inlineStr">
        <is>
          <t>Ruta del archivo de la plantilla del auto (Word.docx,.doc,.dotx,.rtf o PDF) cargado al servicio, con la forma /uploads/plantillas-autos/&lt;archivo&gt;.</t>
        </is>
      </c>
      <c r="S2114" s="18" t="inlineStr">
        <is>
          <t>Alta</t>
        </is>
      </c>
      <c r="T2114" s="18" t="inlineStr">
        <is>
          <t>internal-disciplinary-control-service/src/entities/auto-configuration.entity.ts:23-24: plantilla text nullable | internal-disciplinary-control-service/src/controllers/autos-configuration.controller.ts:250: fileUrl = /uploads/plantillas-autos/&lt;archivo&gt; | internal-disciplinary-control-service/src/controllers/autos-configuration.controller.ts:217-223: solo admite .docx, .doc, .dotx, .rtf o .pdf | internal-disciplinary-control-service/src/services/autos-configuration.service.ts:352: plantilla = plantillaUrl</t>
        </is>
      </c>
      <c r="U2114" s="18" t="inlineStr"/>
      <c r="V2114" s="19" t="inlineStr">
        <is>
          <t>Aprobada</t>
        </is>
      </c>
      <c r="W2114" s="19" t="inlineStr"/>
      <c r="X2114" s="19" t="inlineStr">
        <is>
          <t>Aldair González (aprobación en bloque)</t>
        </is>
      </c>
      <c r="Y2114" s="20" t="n">
        <v>46321</v>
      </c>
      <c r="Z2114" s="19" t="inlineStr">
        <is>
          <t>Nivel 3: verificada con el código de la aplicación.</t>
        </is>
      </c>
      <c r="AA2114" s="18">
        <f>IF(OR(V2114="Aprobada"),R2114,IF(AND(OR(V2114="Aprobada con ajuste",V2114="Rechazada"),W2114&lt;&gt;""),W2114,""))</f>
        <v/>
      </c>
    </row>
    <row r="2115">
      <c r="A2115" s="18" t="inlineStr">
        <is>
          <t>C2114</t>
        </is>
      </c>
      <c r="B2115" s="18" t="inlineStr">
        <is>
          <t>Control disciplinario interno</t>
        </is>
      </c>
      <c r="C2115" s="18" t="inlineStr">
        <is>
          <t>internal_disciplinary_control</t>
        </is>
      </c>
      <c r="D2115" s="18" t="inlineStr">
        <is>
          <t>autos_configuration</t>
        </is>
      </c>
      <c r="E2115" s="18" t="n">
        <v>38</v>
      </c>
      <c r="F2115" s="18" t="inlineStr">
        <is>
          <t>orden</t>
        </is>
      </c>
      <c r="G2115" s="18" t="inlineStr">
        <is>
          <t>integer</t>
        </is>
      </c>
      <c r="H2115" s="18" t="inlineStr">
        <is>
          <t>Sí</t>
        </is>
      </c>
      <c r="I2115" s="18" t="inlineStr"/>
      <c r="J2115" s="18" t="inlineStr"/>
      <c r="K2115" s="18" t="inlineStr"/>
      <c r="L2115" s="18" t="inlineStr">
        <is>
          <t>No</t>
        </is>
      </c>
      <c r="M2115" s="18" t="inlineStr">
        <is>
          <t>No</t>
        </is>
      </c>
      <c r="N2115" s="18" t="inlineStr"/>
      <c r="O2115" s="18" t="inlineStr">
        <is>
          <t>idx_autos_configuration_orden</t>
        </is>
      </c>
      <c r="P2115" s="18" t="inlineStr">
        <is>
          <t>Mapeada en internal-disciplinary-control-service/src/entities/auto-configuration.entity.ts:42 (AutoConfiguration.orden) | Validación: IsInt, IsNumber, IsOptional, Max(9999), Min(0)</t>
        </is>
      </c>
      <c r="Q2115" s="18" t="inlineStr">
        <is>
          <t>Regla estructural (redacción revisada)</t>
        </is>
      </c>
      <c r="R2115" s="18" t="inlineStr">
        <is>
          <t>Posición del auto en el listado.</t>
        </is>
      </c>
      <c r="S2115" s="18" t="inlineStr">
        <is>
          <t>Alta</t>
        </is>
      </c>
      <c r="T2115" s="18" t="inlineStr">
        <is>
          <t>Convención de nombre, redactada con el contexto de la tabla y el código.</t>
        </is>
      </c>
      <c r="U2115" s="18" t="inlineStr"/>
      <c r="V2115" s="19" t="inlineStr">
        <is>
          <t>Aprobada</t>
        </is>
      </c>
      <c r="W2115" s="19" t="inlineStr"/>
      <c r="X2115" s="19" t="inlineStr">
        <is>
          <t>Aldair González (aprobación en bloque)</t>
        </is>
      </c>
      <c r="Y2115" s="20" t="n">
        <v>46321</v>
      </c>
      <c r="Z2115" s="19" t="inlineStr">
        <is>
          <t>Nivel 2: regla estructural con redacción revisada.</t>
        </is>
      </c>
      <c r="AA2115" s="18">
        <f>IF(OR(V2115="Aprobada"),R2115,IF(AND(OR(V2115="Aprobada con ajuste",V2115="Rechazada"),W2115&lt;&gt;""),W2115,""))</f>
        <v/>
      </c>
    </row>
    <row r="2116">
      <c r="A2116" s="18" t="inlineStr">
        <is>
          <t>C2115</t>
        </is>
      </c>
      <c r="B2116" s="18" t="inlineStr">
        <is>
          <t>Control disciplinario interno</t>
        </is>
      </c>
      <c r="C2116" s="18" t="inlineStr">
        <is>
          <t>internal_disciplinary_control</t>
        </is>
      </c>
      <c r="D2116" s="18" t="inlineStr">
        <is>
          <t>autos_configuration</t>
        </is>
      </c>
      <c r="E2116" s="18" t="n">
        <v>38</v>
      </c>
      <c r="F2116" s="18" t="inlineStr">
        <is>
          <t>stage</t>
        </is>
      </c>
      <c r="G2116" s="18" t="inlineStr">
        <is>
          <t>character varying(50)</t>
        </is>
      </c>
      <c r="H2116" s="18" t="inlineStr">
        <is>
          <t>Sí</t>
        </is>
      </c>
      <c r="I2116" s="18" t="inlineStr"/>
      <c r="J2116" s="18" t="inlineStr"/>
      <c r="K2116" s="18" t="inlineStr"/>
      <c r="L2116" s="18" t="inlineStr">
        <is>
          <t>No</t>
        </is>
      </c>
      <c r="M2116" s="18" t="inlineStr">
        <is>
          <t>No</t>
        </is>
      </c>
      <c r="N2116" s="18" t="inlineStr"/>
      <c r="O2116" s="18" t="inlineStr"/>
      <c r="P2116" s="18" t="inlineStr">
        <is>
          <t>Mapeada en internal-disciplinary-control-service/src/entities/auto-configuration.entity.ts:39 (AutoConfiguration.stage) | Validación: IsOptional, IsString</t>
        </is>
      </c>
      <c r="Q2116" s="18" t="inlineStr">
        <is>
          <t>Código fuente (verificado)</t>
        </is>
      </c>
      <c r="R2116" s="18" t="inlineStr">
        <is>
          <t>Etapa del proceso disciplinario asociada al tipo de auto: RECEPCION, EVALUACION, VALORACION, INDAGACION_PREVIA, INVESTIGACION, JUZGAMIENTO o SEGUNDA_INSTANCIA; vacía si el auto está disponible para todas las etapas. En los autos de pliego de cargos se usa como etapa destino del proceso al aprobarse.</t>
        </is>
      </c>
      <c r="S2116" s="18" t="inlineStr">
        <is>
          <t>Alta</t>
        </is>
      </c>
      <c r="T2116" s="18" t="inlineStr">
        <is>
          <t>internal-disciplinary-control-service/src/dtos/autos-configuration.dto.ts:26: valores permitidos y NULL = todas las etapas | internal-disciplinary-control-service/src/services/autos-configuration.service.ts:111: en autos de apertura dinámicos se deriva del tipo | internal-disciplinary-control-service/src/services/auto.service.ts:440-447: etapa destino del proceso al aprobar el pliego de cargos</t>
        </is>
      </c>
      <c r="U2116" s="18" t="inlineStr"/>
      <c r="V2116" s="19" t="inlineStr">
        <is>
          <t>Aprobada</t>
        </is>
      </c>
      <c r="W2116" s="19" t="inlineStr"/>
      <c r="X2116" s="19" t="inlineStr">
        <is>
          <t>Aldair González (aprobación en bloque)</t>
        </is>
      </c>
      <c r="Y2116" s="20" t="n">
        <v>46321</v>
      </c>
      <c r="Z2116" s="19" t="inlineStr">
        <is>
          <t>Nivel 3: verificada con el código de la aplicación.</t>
        </is>
      </c>
      <c r="AA2116" s="18">
        <f>IF(OR(V2116="Aprobada"),R2116,IF(AND(OR(V2116="Aprobada con ajuste",V2116="Rechazada"),W2116&lt;&gt;""),W2116,""))</f>
        <v/>
      </c>
    </row>
    <row r="2117">
      <c r="A2117" s="18" t="inlineStr">
        <is>
          <t>C2116</t>
        </is>
      </c>
      <c r="B2117" s="18" t="inlineStr">
        <is>
          <t>Control disciplinario interno</t>
        </is>
      </c>
      <c r="C2117" s="18" t="inlineStr">
        <is>
          <t>internal_disciplinary_control</t>
        </is>
      </c>
      <c r="D2117" s="18" t="inlineStr">
        <is>
          <t>dias_festivos</t>
        </is>
      </c>
      <c r="E2117" s="18" t="n">
        <v>19</v>
      </c>
      <c r="F2117" s="18" t="inlineStr">
        <is>
          <t>fecha</t>
        </is>
      </c>
      <c r="G2117" s="18" t="inlineStr">
        <is>
          <t>date</t>
        </is>
      </c>
      <c r="H2117" s="18" t="inlineStr">
        <is>
          <t>No</t>
        </is>
      </c>
      <c r="I2117" s="18" t="inlineStr"/>
      <c r="J2117" s="18" t="inlineStr"/>
      <c r="K2117" s="18" t="inlineStr"/>
      <c r="L2117" s="18" t="inlineStr">
        <is>
          <t>No</t>
        </is>
      </c>
      <c r="M2117" s="18" t="inlineStr">
        <is>
          <t>No</t>
        </is>
      </c>
      <c r="N2117" s="18" t="inlineStr"/>
      <c r="O2117" s="18" t="inlineStr">
        <is>
          <t>idx_festivos_fecha, idx_unique_festivo_fecha_tipo_territorio</t>
        </is>
      </c>
      <c r="P2117" s="18" t="inlineStr">
        <is>
          <t>Mapeada en internal-disciplinary-control-service/src/entities/dia-festivo.entity.ts:26 (DiaFestivo.fecha) | Validación: IsDateString, IsNotEmpty, IsOptional</t>
        </is>
      </c>
      <c r="Q2117" s="18" t="inlineStr">
        <is>
          <t>Propuesta semántica</t>
        </is>
      </c>
      <c r="R2117" s="18" t="inlineStr">
        <is>
          <t>Fecha del día festivo; única por tipo y territorio.</t>
        </is>
      </c>
      <c r="S2117" s="18" t="inlineStr">
        <is>
          <t>Alta</t>
        </is>
      </c>
      <c r="T2117" s="18" t="inlineStr">
        <is>
          <t>nombre + índice único (fecha, tipo, territorio)</t>
        </is>
      </c>
      <c r="U2117" s="18" t="inlineStr"/>
      <c r="V2117" s="19" t="inlineStr">
        <is>
          <t>Aprobada</t>
        </is>
      </c>
      <c r="W2117" s="19" t="inlineStr"/>
      <c r="X2117" s="19" t="inlineStr">
        <is>
          <t>Aldair González (aprobación en bloque)</t>
        </is>
      </c>
      <c r="Y2117" s="20" t="n">
        <v>46321</v>
      </c>
      <c r="Z2117" s="19" t="inlineStr">
        <is>
          <t>Nivel 1: propuesta del comentario del desarrollador o de confianza alta, o regla de fecha/responsable/motivo.</t>
        </is>
      </c>
      <c r="AA2117" s="18">
        <f>IF(OR(V2117="Aprobada"),R2117,IF(AND(OR(V2117="Aprobada con ajuste",V2117="Rechazada"),W2117&lt;&gt;""),W2117,""))</f>
        <v/>
      </c>
    </row>
    <row r="2118">
      <c r="A2118" s="18" t="inlineStr">
        <is>
          <t>C2117</t>
        </is>
      </c>
      <c r="B2118" s="18" t="inlineStr">
        <is>
          <t>Control disciplinario interno</t>
        </is>
      </c>
      <c r="C2118" s="18" t="inlineStr">
        <is>
          <t>internal_disciplinary_control</t>
        </is>
      </c>
      <c r="D2118" s="18" t="inlineStr">
        <is>
          <t>dias_festivos</t>
        </is>
      </c>
      <c r="E2118" s="18" t="n">
        <v>19</v>
      </c>
      <c r="F2118" s="18" t="inlineStr">
        <is>
          <t>descripcion</t>
        </is>
      </c>
      <c r="G2118" s="18" t="inlineStr">
        <is>
          <t>character varying(200)</t>
        </is>
      </c>
      <c r="H2118" s="18" t="inlineStr">
        <is>
          <t>No</t>
        </is>
      </c>
      <c r="I2118" s="18" t="inlineStr"/>
      <c r="J2118" s="18" t="inlineStr"/>
      <c r="K2118" s="18" t="inlineStr"/>
      <c r="L2118" s="18" t="inlineStr">
        <is>
          <t>No</t>
        </is>
      </c>
      <c r="M2118" s="18" t="inlineStr">
        <is>
          <t>No</t>
        </is>
      </c>
      <c r="N2118" s="18" t="inlineStr"/>
      <c r="O2118" s="18" t="inlineStr"/>
      <c r="P2118" s="18" t="inlineStr">
        <is>
          <t>Mapeada en internal-disciplinary-control-service/src/entities/dia-festivo.entity.ts:29 (DiaFestivo.descripcion) | Validación: IsNotEmpty, IsObject, IsOptional, IsString</t>
        </is>
      </c>
      <c r="Q2118" s="18" t="inlineStr">
        <is>
          <t>Regla estructural (redacción revisada)</t>
        </is>
      </c>
      <c r="R2118" s="18" t="inlineStr">
        <is>
          <t>Descripción del día festivo.</t>
        </is>
      </c>
      <c r="S2118" s="18" t="inlineStr">
        <is>
          <t>Alta</t>
        </is>
      </c>
      <c r="T2118" s="18" t="inlineStr">
        <is>
          <t>Convención de nombre, redactada con el contexto de la tabla y el código.</t>
        </is>
      </c>
      <c r="U2118" s="18" t="inlineStr"/>
      <c r="V2118" s="19" t="inlineStr">
        <is>
          <t>Aprobada</t>
        </is>
      </c>
      <c r="W2118" s="19" t="inlineStr"/>
      <c r="X2118" s="19" t="inlineStr">
        <is>
          <t>Aldair González (aprobación en bloque)</t>
        </is>
      </c>
      <c r="Y2118" s="20" t="n">
        <v>46321</v>
      </c>
      <c r="Z2118" s="19" t="inlineStr">
        <is>
          <t>Nivel 2: regla estructural con redacción revisada.</t>
        </is>
      </c>
      <c r="AA2118" s="18">
        <f>IF(OR(V2118="Aprobada"),R2118,IF(AND(OR(V2118="Aprobada con ajuste",V2118="Rechazada"),W2118&lt;&gt;""),W2118,""))</f>
        <v/>
      </c>
    </row>
    <row r="2119">
      <c r="A2119" s="18" t="inlineStr">
        <is>
          <t>C2118</t>
        </is>
      </c>
      <c r="B2119" s="18" t="inlineStr">
        <is>
          <t>Control disciplinario interno</t>
        </is>
      </c>
      <c r="C2119" s="18" t="inlineStr">
        <is>
          <t>internal_disciplinary_control</t>
        </is>
      </c>
      <c r="D2119" s="18" t="inlineStr">
        <is>
          <t>dias_festivos</t>
        </is>
      </c>
      <c r="E2119" s="18" t="n">
        <v>19</v>
      </c>
      <c r="F2119" s="18" t="inlineStr">
        <is>
          <t>tipo</t>
        </is>
      </c>
      <c r="G2119" s="18" t="inlineStr">
        <is>
          <t>internal_disciplinary_control.tipo_festivo_enum</t>
        </is>
      </c>
      <c r="H2119" s="18" t="inlineStr">
        <is>
          <t>No</t>
        </is>
      </c>
      <c r="I2119" s="18" t="inlineStr">
        <is>
          <t>Enumerado</t>
        </is>
      </c>
      <c r="J2119" s="18" t="inlineStr">
        <is>
          <t>nacional, regional, institucional</t>
        </is>
      </c>
      <c r="K2119" s="18" t="inlineStr"/>
      <c r="L2119" s="18" t="inlineStr">
        <is>
          <t>Sí</t>
        </is>
      </c>
      <c r="M2119" s="18" t="inlineStr">
        <is>
          <t>No</t>
        </is>
      </c>
      <c r="N2119" s="18" t="inlineStr"/>
      <c r="O2119" s="18" t="inlineStr">
        <is>
          <t>idx_festivos_tipo, idx_unique_festivo_fecha_tipo_territorio</t>
        </is>
      </c>
      <c r="P2119" s="18" t="inlineStr">
        <is>
          <t>Mapeada en internal-disciplinary-control-service/src/entities/dia-festivo.entity.ts:32 (DiaFestivo.tipo) | Validación: IsEnum(TipoAlerta), IsEnum(TipoFestivo), IsNotEmpty, IsOptional, IsString, MaxLength(50)</t>
        </is>
      </c>
      <c r="Q2119" s="18" t="inlineStr">
        <is>
          <t>Regla estructural (redacción revisada)</t>
        </is>
      </c>
      <c r="R2119" s="18" t="inlineStr">
        <is>
          <t>Tipo de día festivo (nacional, regional o institucional).</t>
        </is>
      </c>
      <c r="S2119" s="18" t="inlineStr">
        <is>
          <t>Alta</t>
        </is>
      </c>
      <c r="T2119" s="18" t="inlineStr">
        <is>
          <t>Convención de nombre, redactada con el contexto de la tabla y el código.</t>
        </is>
      </c>
      <c r="U2119" s="18" t="inlineStr"/>
      <c r="V2119" s="19" t="inlineStr">
        <is>
          <t>Aprobada</t>
        </is>
      </c>
      <c r="W2119" s="19" t="inlineStr"/>
      <c r="X2119" s="19" t="inlineStr">
        <is>
          <t>Aldair González (aprobación en bloque)</t>
        </is>
      </c>
      <c r="Y2119" s="20" t="n">
        <v>46321</v>
      </c>
      <c r="Z2119" s="19" t="inlineStr">
        <is>
          <t>Nivel 2: regla estructural con redacción revisada.</t>
        </is>
      </c>
      <c r="AA2119" s="18">
        <f>IF(OR(V2119="Aprobada"),R2119,IF(AND(OR(V2119="Aprobada con ajuste",V2119="Rechazada"),W2119&lt;&gt;""),W2119,""))</f>
        <v/>
      </c>
    </row>
    <row r="2120">
      <c r="A2120" s="18" t="inlineStr">
        <is>
          <t>C2119</t>
        </is>
      </c>
      <c r="B2120" s="18" t="inlineStr">
        <is>
          <t>Control disciplinario interno</t>
        </is>
      </c>
      <c r="C2120" s="18" t="inlineStr">
        <is>
          <t>internal_disciplinary_control</t>
        </is>
      </c>
      <c r="D2120" s="18" t="inlineStr">
        <is>
          <t>dias_festivos</t>
        </is>
      </c>
      <c r="E2120" s="18" t="n">
        <v>19</v>
      </c>
      <c r="F2120" s="18" t="inlineStr">
        <is>
          <t>territorio</t>
        </is>
      </c>
      <c r="G2120" s="18" t="inlineStr">
        <is>
          <t>character varying(100)</t>
        </is>
      </c>
      <c r="H2120" s="18" t="inlineStr">
        <is>
          <t>Sí</t>
        </is>
      </c>
      <c r="I2120" s="18" t="inlineStr"/>
      <c r="J2120" s="18" t="inlineStr"/>
      <c r="K2120" s="18" t="inlineStr"/>
      <c r="L2120" s="18" t="inlineStr">
        <is>
          <t>No</t>
        </is>
      </c>
      <c r="M2120" s="18" t="inlineStr">
        <is>
          <t>No</t>
        </is>
      </c>
      <c r="N2120" s="18" t="inlineStr"/>
      <c r="O2120" s="18" t="inlineStr"/>
      <c r="P2120" s="18" t="inlineStr">
        <is>
          <t>internal-disciplinary-control-service/src/entities/dia-festivo.entity.ts:38: Solo si tipo = 'regional' | Validación: IsOptional, IsString</t>
        </is>
      </c>
      <c r="Q2120" s="18" t="inlineStr">
        <is>
          <t>Código fuente</t>
        </is>
      </c>
      <c r="R2120" s="18" t="inlineStr">
        <is>
          <t>Territorio al que aplica el día festivo; se diligencia solo si el tipo es regional.</t>
        </is>
      </c>
      <c r="S2120" s="18" t="inlineStr">
        <is>
          <t>Alta</t>
        </is>
      </c>
      <c r="T2120" s="18" t="inlineStr">
        <is>
          <t>código: internal-disciplinary-control-service/src/entities/dia-festivo.entity.ts:38</t>
        </is>
      </c>
      <c r="U2120" s="18" t="inlineStr"/>
      <c r="V2120" s="19" t="inlineStr">
        <is>
          <t>Aprobada</t>
        </is>
      </c>
      <c r="W2120" s="19" t="inlineStr"/>
      <c r="X2120" s="19" t="inlineStr">
        <is>
          <t>Aldair González (aprobación en bloque)</t>
        </is>
      </c>
      <c r="Y2120" s="20" t="n">
        <v>46321</v>
      </c>
      <c r="Z2120" s="19" t="inlineStr">
        <is>
          <t>Nivel 1: propuesta del comentario del desarrollador o de confianza alta, o regla de fecha/responsable/motivo.</t>
        </is>
      </c>
      <c r="AA2120" s="18">
        <f>IF(OR(V2120="Aprobada"),R2120,IF(AND(OR(V2120="Aprobada con ajuste",V2120="Rechazada"),W2120&lt;&gt;""),W2120,""))</f>
        <v/>
      </c>
    </row>
    <row r="2121">
      <c r="A2121" s="18" t="inlineStr">
        <is>
          <t>C2120</t>
        </is>
      </c>
      <c r="B2121" s="18" t="inlineStr">
        <is>
          <t>Control disciplinario interno</t>
        </is>
      </c>
      <c r="C2121" s="18" t="inlineStr">
        <is>
          <t>internal_disciplinary_control</t>
        </is>
      </c>
      <c r="D2121" s="18" t="inlineStr">
        <is>
          <t>dias_festivos</t>
        </is>
      </c>
      <c r="E2121" s="18" t="n">
        <v>19</v>
      </c>
      <c r="F2121" s="18" t="inlineStr">
        <is>
          <t>activo</t>
        </is>
      </c>
      <c r="G2121" s="18" t="inlineStr">
        <is>
          <t>boolean</t>
        </is>
      </c>
      <c r="H2121" s="18" t="inlineStr">
        <is>
          <t>No</t>
        </is>
      </c>
      <c r="I2121" s="18" t="inlineStr"/>
      <c r="J2121" s="18" t="inlineStr"/>
      <c r="K2121" s="18" t="inlineStr"/>
      <c r="L2121" s="18" t="inlineStr">
        <is>
          <t>No</t>
        </is>
      </c>
      <c r="M2121" s="18" t="inlineStr">
        <is>
          <t>No</t>
        </is>
      </c>
      <c r="N2121" s="18" t="inlineStr"/>
      <c r="O2121" s="18" t="inlineStr">
        <is>
          <t>idx_festivos_activo</t>
        </is>
      </c>
      <c r="P2121" s="18" t="inlineStr">
        <is>
          <t>Mapeada en internal-disciplinary-control-service/src/entities/dia-festivo.entity.ts:41 (DiaFestivo.activo) | Validación: IsBoolean, IsOptional</t>
        </is>
      </c>
      <c r="Q2121" s="18" t="inlineStr">
        <is>
          <t>Regla estructural (redacción revisada)</t>
        </is>
      </c>
      <c r="R2121" s="18" t="inlineStr">
        <is>
          <t>Indica si el día festivo está activo.</t>
        </is>
      </c>
      <c r="S2121" s="18" t="inlineStr">
        <is>
          <t>Alta</t>
        </is>
      </c>
      <c r="T2121" s="18" t="inlineStr">
        <is>
          <t>Convención de nombre, redactada con el contexto de la tabla y el código.</t>
        </is>
      </c>
      <c r="U2121" s="18" t="inlineStr"/>
      <c r="V2121" s="19" t="inlineStr">
        <is>
          <t>Aprobada</t>
        </is>
      </c>
      <c r="W2121" s="19" t="inlineStr"/>
      <c r="X2121" s="19" t="inlineStr">
        <is>
          <t>Aldair González (aprobación en bloque)</t>
        </is>
      </c>
      <c r="Y2121" s="20" t="n">
        <v>46321</v>
      </c>
      <c r="Z2121" s="19" t="inlineStr">
        <is>
          <t>Nivel 2: regla estructural con redacción revisada.</t>
        </is>
      </c>
      <c r="AA2121" s="18">
        <f>IF(OR(V2121="Aprobada"),R2121,IF(AND(OR(V2121="Aprobada con ajuste",V2121="Rechazada"),W2121&lt;&gt;""),W2121,""))</f>
        <v/>
      </c>
    </row>
    <row r="2122">
      <c r="A2122" s="18" t="inlineStr">
        <is>
          <t>C2121</t>
        </is>
      </c>
      <c r="B2122" s="18" t="inlineStr">
        <is>
          <t>Control disciplinario interno</t>
        </is>
      </c>
      <c r="C2122" s="18" t="inlineStr">
        <is>
          <t>internal_disciplinary_control</t>
        </is>
      </c>
      <c r="D2122" s="18" t="inlineStr">
        <is>
          <t>dias_festivos</t>
        </is>
      </c>
      <c r="E2122" s="18" t="n">
        <v>19</v>
      </c>
      <c r="F2122" s="18" t="inlineStr">
        <is>
          <t>creado_por_id</t>
        </is>
      </c>
      <c r="G2122" s="18" t="inlineStr">
        <is>
          <t>uuid</t>
        </is>
      </c>
      <c r="H2122" s="18" t="inlineStr">
        <is>
          <t>No</t>
        </is>
      </c>
      <c r="I2122" s="18" t="inlineStr"/>
      <c r="J2122" s="18" t="inlineStr"/>
      <c r="K2122" s="18" t="inlineStr"/>
      <c r="L2122" s="18" t="inlineStr">
        <is>
          <t>No</t>
        </is>
      </c>
      <c r="M2122" s="18" t="inlineStr">
        <is>
          <t>No</t>
        </is>
      </c>
      <c r="N2122" s="18" t="inlineStr"/>
      <c r="O2122" s="18" t="inlineStr"/>
      <c r="P2122" s="18" t="inlineStr">
        <is>
          <t>internal-disciplinary-control-service/src/entities/dia-festivo.entity.ts:44: FK a personas</t>
        </is>
      </c>
      <c r="Q2122" s="18" t="inlineStr">
        <is>
          <t>Código fuente (verificado)</t>
        </is>
      </c>
      <c r="R2122" s="18" t="inlineStr">
        <is>
          <t>Identificador de la persona que registró el día festivo.</t>
        </is>
      </c>
      <c r="S2122" s="18" t="inlineStr">
        <is>
          <t>Media</t>
        </is>
      </c>
      <c r="T2122" s="18" t="inlineStr">
        <is>
          <t>internal-disciplinary-control-service/src/entities/dia-festivo.entity.ts:44-45: uuid not null, comentario FK a personas | internal-disciplinary-control-service/src/controllers/dias-festivos.controller.ts:99-100: creadoPorId = req.user?.id o el UUID nulo 00000000-0000-0000-0000-000000000000 | internal-disciplinary-control-service/src/auth/jwt.strategy.ts:34: el token expone userId, no id</t>
        </is>
      </c>
      <c r="U2122" s="18" t="inlineStr">
        <is>
          <t>El controlador toma req.user.id, que la estrategia JWT no define (expone userId), y en ese caso guarda el UUID nulo: ¿qué identificador debe guardarse y referencia auth.personas o auth."user"?</t>
        </is>
      </c>
      <c r="V2122" s="19" t="inlineStr">
        <is>
          <t>Aprobada</t>
        </is>
      </c>
      <c r="W2122" s="19" t="inlineStr"/>
      <c r="X2122" s="19" t="inlineStr">
        <is>
          <t>Aldair González (validación del responsable de BD)</t>
        </is>
      </c>
      <c r="Y2122" s="20" t="n">
        <v>46321</v>
      </c>
      <c r="Z2122" s="19" t="inlineStr">
        <is>
          <t>Nivel 3: validada por decisión del responsable de la base de datos. Pregunta registrada para desarrollo: El controlador toma req.user.id, que la estrategia JWT no define (expone userId), y en ese caso guarda el UUID nulo: ¿qué identificador debe guardarse y referencia auth.personas o auth."user"?</t>
        </is>
      </c>
      <c r="AA2122" s="18">
        <f>IF(OR(V2122="Aprobada"),R2122,IF(AND(OR(V2122="Aprobada con ajuste",V2122="Rechazada"),W2122&lt;&gt;""),W2122,""))</f>
        <v/>
      </c>
    </row>
    <row r="2123">
      <c r="A2123" s="18" t="inlineStr">
        <is>
          <t>C2122</t>
        </is>
      </c>
      <c r="B2123" s="18" t="inlineStr">
        <is>
          <t>Control disciplinario interno</t>
        </is>
      </c>
      <c r="C2123" s="18" t="inlineStr">
        <is>
          <t>internal_disciplinary_control</t>
        </is>
      </c>
      <c r="D2123" s="18" t="inlineStr">
        <is>
          <t>disciplinary_news</t>
        </is>
      </c>
      <c r="E2123" s="18" t="n">
        <v>35</v>
      </c>
      <c r="F2123" s="18" t="inlineStr">
        <is>
          <t>radicado</t>
        </is>
      </c>
      <c r="G2123" s="18" t="inlineStr">
        <is>
          <t>character varying(255)</t>
        </is>
      </c>
      <c r="H2123" s="18" t="inlineStr">
        <is>
          <t>No</t>
        </is>
      </c>
      <c r="I2123" s="18" t="inlineStr">
        <is>
          <t>Única</t>
        </is>
      </c>
      <c r="J2123" s="18" t="inlineStr"/>
      <c r="K2123" s="18" t="inlineStr"/>
      <c r="L2123" s="18" t="inlineStr">
        <is>
          <t>No</t>
        </is>
      </c>
      <c r="M2123" s="18" t="inlineStr">
        <is>
          <t>No</t>
        </is>
      </c>
      <c r="N2123" s="18" t="inlineStr"/>
      <c r="O2123" s="18" t="inlineStr">
        <is>
          <t>disciplinary_news_radicado_key, idx_disciplinary_news_radicado, idx_news_radicado</t>
        </is>
      </c>
      <c r="P2123" s="18" t="inlineStr">
        <is>
          <t>internal-disciplinary-control-service/src/entities/disciplinary-news.entity.ts:64: ND-2025-001 | Validación: IsOptional, IsString</t>
        </is>
      </c>
      <c r="Q2123" s="18" t="inlineStr">
        <is>
          <t>Código fuente</t>
        </is>
      </c>
      <c r="R2123" s="18" t="inlineStr">
        <is>
          <t>Número de radicado único de la noticia disciplinaria, por ejemplo ND-2025-001.</t>
        </is>
      </c>
      <c r="S2123" s="18" t="inlineStr">
        <is>
          <t>Alta</t>
        </is>
      </c>
      <c r="T2123" s="18" t="inlineStr">
        <is>
          <t>código: internal-disciplinary-control-service/src/entities/disciplinary-news.entity.ts:64</t>
        </is>
      </c>
      <c r="U2123" s="18" t="inlineStr"/>
      <c r="V2123" s="19" t="inlineStr">
        <is>
          <t>Aprobada</t>
        </is>
      </c>
      <c r="W2123" s="19" t="inlineStr"/>
      <c r="X2123" s="19" t="inlineStr">
        <is>
          <t>Aldair González (aprobación en bloque)</t>
        </is>
      </c>
      <c r="Y2123" s="20" t="n">
        <v>46321</v>
      </c>
      <c r="Z2123" s="19" t="inlineStr">
        <is>
          <t>Nivel 1: propuesta del comentario del desarrollador o de confianza alta, o regla de fecha/responsable/motivo.</t>
        </is>
      </c>
      <c r="AA2123" s="18">
        <f>IF(OR(V2123="Aprobada"),R2123,IF(AND(OR(V2123="Aprobada con ajuste",V2123="Rechazada"),W2123&lt;&gt;""),W2123,""))</f>
        <v/>
      </c>
    </row>
    <row r="2124">
      <c r="A2124" s="18" t="inlineStr">
        <is>
          <t>C2123</t>
        </is>
      </c>
      <c r="B2124" s="18" t="inlineStr">
        <is>
          <t>Control disciplinario interno</t>
        </is>
      </c>
      <c r="C2124" s="18" t="inlineStr">
        <is>
          <t>internal_disciplinary_control</t>
        </is>
      </c>
      <c r="D2124" s="18" t="inlineStr">
        <is>
          <t>disciplinary_news</t>
        </is>
      </c>
      <c r="E2124" s="18" t="n">
        <v>35</v>
      </c>
      <c r="F2124" s="18" t="inlineStr">
        <is>
          <t>fechaRecepcion</t>
        </is>
      </c>
      <c r="G2124" s="18" t="inlineStr">
        <is>
          <t>timestamp without time zone</t>
        </is>
      </c>
      <c r="H2124" s="18" t="inlineStr">
        <is>
          <t>No</t>
        </is>
      </c>
      <c r="I2124" s="18" t="inlineStr"/>
      <c r="J2124" s="18" t="inlineStr"/>
      <c r="K2124" s="18" t="inlineStr"/>
      <c r="L2124" s="18" t="inlineStr">
        <is>
          <t>No</t>
        </is>
      </c>
      <c r="M2124" s="18" t="inlineStr">
        <is>
          <t>No</t>
        </is>
      </c>
      <c r="N2124" s="18" t="inlineStr"/>
      <c r="O2124" s="18" t="inlineStr">
        <is>
          <t>idx_news_fecha</t>
        </is>
      </c>
      <c r="P2124" s="18" t="inlineStr">
        <is>
          <t>Mapeada en internal-disciplinary-control-service/src/entities/disciplinary-news.entity.ts:68 (DisciplinaryNews.fechaRecepcion)</t>
        </is>
      </c>
      <c r="Q2124" s="18" t="inlineStr">
        <is>
          <t>Propuesta semántica</t>
        </is>
      </c>
      <c r="R2124" s="18" t="inlineStr">
        <is>
          <t>Fecha y hora de recepción de la noticia disciplinaria. Por defecto, la fecha y hora de creación del registro.</t>
        </is>
      </c>
      <c r="S2124" s="18" t="inlineStr">
        <is>
          <t>Alta</t>
        </is>
      </c>
      <c r="T2124" s="18" t="inlineStr">
        <is>
          <t>nombre + tipo + defecto</t>
        </is>
      </c>
      <c r="U2124" s="18" t="inlineStr"/>
      <c r="V2124" s="19" t="inlineStr">
        <is>
          <t>Aprobada</t>
        </is>
      </c>
      <c r="W2124" s="19" t="inlineStr"/>
      <c r="X2124" s="19" t="inlineStr">
        <is>
          <t>Aldair González (aprobación en bloque)</t>
        </is>
      </c>
      <c r="Y2124" s="20" t="n">
        <v>46321</v>
      </c>
      <c r="Z2124" s="19" t="inlineStr">
        <is>
          <t>Nivel 1: propuesta del comentario del desarrollador o de confianza alta, o regla de fecha/responsable/motivo.</t>
        </is>
      </c>
      <c r="AA2124" s="18">
        <f>IF(OR(V2124="Aprobada"),R2124,IF(AND(OR(V2124="Aprobada con ajuste",V2124="Rechazada"),W2124&lt;&gt;""),W2124,""))</f>
        <v/>
      </c>
    </row>
    <row r="2125">
      <c r="A2125" s="18" t="inlineStr">
        <is>
          <t>C2124</t>
        </is>
      </c>
      <c r="B2125" s="18" t="inlineStr">
        <is>
          <t>Control disciplinario interno</t>
        </is>
      </c>
      <c r="C2125" s="18" t="inlineStr">
        <is>
          <t>internal_disciplinary_control</t>
        </is>
      </c>
      <c r="D2125" s="18" t="inlineStr">
        <is>
          <t>disciplinary_news</t>
        </is>
      </c>
      <c r="E2125" s="18" t="n">
        <v>35</v>
      </c>
      <c r="F2125" s="18" t="inlineStr">
        <is>
          <t>origen</t>
        </is>
      </c>
      <c r="G2125" s="18" t="inlineStr">
        <is>
          <t>internal_disciplinary_control.disciplinary_news_origen_enum</t>
        </is>
      </c>
      <c r="H2125" s="18" t="inlineStr">
        <is>
          <t>Sí</t>
        </is>
      </c>
      <c r="I2125" s="18" t="inlineStr">
        <is>
          <t>Enumerado</t>
        </is>
      </c>
      <c r="J2125" s="18" t="inlineStr">
        <is>
          <t>ANONIMO, QUEJOSO, OFICIO, REMISION, POR_DETERMINAR</t>
        </is>
      </c>
      <c r="K2125" s="18" t="inlineStr"/>
      <c r="L2125" s="18" t="inlineStr">
        <is>
          <t>Sí</t>
        </is>
      </c>
      <c r="M2125" s="18" t="inlineStr">
        <is>
          <t>No</t>
        </is>
      </c>
      <c r="N2125" s="18" t="inlineStr"/>
      <c r="O2125" s="18" t="inlineStr"/>
      <c r="P2125" s="18" t="inlineStr">
        <is>
          <t>Mapeada en internal-disciplinary-control-service/src/entities/disciplinary-news.entity.ts:74 (DisciplinaryNews.origen)</t>
        </is>
      </c>
      <c r="Q2125" s="18" t="inlineStr">
        <is>
          <t>Propuesta semántica</t>
        </is>
      </c>
      <c r="R2125" s="18" t="inlineStr">
        <is>
          <t>Origen de la noticia disciplinaria. Valores permitidos: ANONIMO, QUEJOSO, OFICIO, REMISION, POR_DETERMINAR.</t>
        </is>
      </c>
      <c r="S2125" s="18" t="inlineStr">
        <is>
          <t>Alta</t>
        </is>
      </c>
      <c r="T2125" s="18" t="inlineStr">
        <is>
          <t>valores del tipo enumerado</t>
        </is>
      </c>
      <c r="U2125" s="18" t="inlineStr"/>
      <c r="V2125" s="19" t="inlineStr">
        <is>
          <t>Aprobada</t>
        </is>
      </c>
      <c r="W2125" s="19" t="inlineStr"/>
      <c r="X2125" s="19" t="inlineStr">
        <is>
          <t>Aldair González (aprobación en bloque)</t>
        </is>
      </c>
      <c r="Y2125" s="20" t="n">
        <v>46321</v>
      </c>
      <c r="Z2125" s="19" t="inlineStr">
        <is>
          <t>Nivel 1: propuesta del comentario del desarrollador o de confianza alta, o regla de fecha/responsable/motivo.</t>
        </is>
      </c>
      <c r="AA2125" s="18">
        <f>IF(OR(V2125="Aprobada"),R2125,IF(AND(OR(V2125="Aprobada con ajuste",V2125="Rechazada"),W2125&lt;&gt;""),W2125,""))</f>
        <v/>
      </c>
    </row>
    <row r="2126">
      <c r="A2126" s="18" t="inlineStr">
        <is>
          <t>C2125</t>
        </is>
      </c>
      <c r="B2126" s="18" t="inlineStr">
        <is>
          <t>Control disciplinario interno</t>
        </is>
      </c>
      <c r="C2126" s="18" t="inlineStr">
        <is>
          <t>internal_disciplinary_control</t>
        </is>
      </c>
      <c r="D2126" s="18" t="inlineStr">
        <is>
          <t>disciplinary_news</t>
        </is>
      </c>
      <c r="E2126" s="18" t="n">
        <v>35</v>
      </c>
      <c r="F2126" s="18" t="inlineStr">
        <is>
          <t>territorial</t>
        </is>
      </c>
      <c r="G2126" s="18" t="inlineStr">
        <is>
          <t>character varying(100)</t>
        </is>
      </c>
      <c r="H2126" s="18" t="inlineStr">
        <is>
          <t>Sí</t>
        </is>
      </c>
      <c r="I2126" s="18" t="inlineStr"/>
      <c r="J2126" s="18" t="inlineStr"/>
      <c r="K2126" s="18" t="inlineStr"/>
      <c r="L2126" s="18" t="inlineStr">
        <is>
          <t>No</t>
        </is>
      </c>
      <c r="M2126" s="18" t="inlineStr">
        <is>
          <t>No</t>
        </is>
      </c>
      <c r="N2126" s="18" t="inlineStr"/>
      <c r="O2126" s="18" t="inlineStr">
        <is>
          <t>idx_news_territorial</t>
        </is>
      </c>
      <c r="P2126" s="18" t="inlineStr">
        <is>
          <t>Mapeada en internal-disciplinary-control-service/src/entities/disciplinary-news.entity.ts:77 (DisciplinaryNews.territorial) | Validación: IsString</t>
        </is>
      </c>
      <c r="Q2126" s="18" t="inlineStr">
        <is>
          <t>Código fuente (verificado)</t>
        </is>
      </c>
      <c r="R2126" s="18" t="inlineStr">
        <is>
          <t>Dirección territorial de la noticia disciplinaria, en texto obligatorio digitado en el formulario.</t>
        </is>
      </c>
      <c r="S2126" s="18" t="inlineStr">
        <is>
          <t>Media</t>
        </is>
      </c>
      <c r="T2126" s="18" t="inlineStr">
        <is>
          <t>internal-disciplinary-control-service/src/entities/disciplinary-news.entity.ts:77-78: territorial not null | internal-disciplinary-control-service/src/dtos/create-disciplinary-news.dto.ts:131-132: IsString | internal-disciplinary-control-service/src/services/news.service.ts:639-644: se actualiza con el texto recibido y queda en el historial</t>
        </is>
      </c>
      <c r="U2126" s="18" t="inlineStr">
        <is>
          <t>¿La territorial de la noticia es la del denunciado o la de recepción, y proviene de un catálogo? El código la recibe como texto libre.</t>
        </is>
      </c>
      <c r="V2126" s="19" t="inlineStr">
        <is>
          <t>Aprobada</t>
        </is>
      </c>
      <c r="W2126" s="19" t="inlineStr"/>
      <c r="X2126" s="19" t="inlineStr">
        <is>
          <t>Aldair González (validación del responsable de BD)</t>
        </is>
      </c>
      <c r="Y2126" s="20" t="n">
        <v>46321</v>
      </c>
      <c r="Z2126" s="19" t="inlineStr">
        <is>
          <t>Nivel 3: validada por decisión del responsable de la base de datos. Pregunta registrada para desarrollo: ¿La territorial de la noticia es la del denunciado o la de recepción, y proviene de un catálogo? El código la recibe como texto libre.</t>
        </is>
      </c>
      <c r="AA2126" s="18">
        <f>IF(OR(V2126="Aprobada"),R2126,IF(AND(OR(V2126="Aprobada con ajuste",V2126="Rechazada"),W2126&lt;&gt;""),W2126,""))</f>
        <v/>
      </c>
    </row>
    <row r="2127">
      <c r="A2127" s="18" t="inlineStr">
        <is>
          <t>C2126</t>
        </is>
      </c>
      <c r="B2127" s="18" t="inlineStr">
        <is>
          <t>Control disciplinario interno</t>
        </is>
      </c>
      <c r="C2127" s="18" t="inlineStr">
        <is>
          <t>internal_disciplinary_control</t>
        </is>
      </c>
      <c r="D2127" s="18" t="inlineStr">
        <is>
          <t>disciplinary_news</t>
        </is>
      </c>
      <c r="E2127" s="18" t="n">
        <v>35</v>
      </c>
      <c r="F2127" s="18" t="inlineStr">
        <is>
          <t>dependenciaDenunciado</t>
        </is>
      </c>
      <c r="G2127" s="18" t="inlineStr">
        <is>
          <t>character varying(255)</t>
        </is>
      </c>
      <c r="H2127" s="18" t="inlineStr">
        <is>
          <t>Sí</t>
        </is>
      </c>
      <c r="I2127" s="18" t="inlineStr"/>
      <c r="J2127" s="18" t="inlineStr"/>
      <c r="K2127" s="18" t="inlineStr"/>
      <c r="L2127" s="18" t="inlineStr">
        <is>
          <t>No</t>
        </is>
      </c>
      <c r="M2127" s="18" t="inlineStr">
        <is>
          <t>No</t>
        </is>
      </c>
      <c r="N2127" s="18" t="inlineStr"/>
      <c r="O2127" s="18" t="inlineStr"/>
      <c r="P2127" s="18" t="inlineStr">
        <is>
          <t>Mapeada en internal-disciplinary-control-service/src/entities/disciplinary-news.entity.ts:80 (DisciplinaryNews.dependenciaDenunciado) | Validación: IsString</t>
        </is>
      </c>
      <c r="Q2127" s="18" t="inlineStr">
        <is>
          <t>Propuesta semántica</t>
        </is>
      </c>
      <c r="R2127" s="18" t="inlineStr">
        <is>
          <t>Dependencia a la que pertenece el denunciado.</t>
        </is>
      </c>
      <c r="S2127" s="18" t="inlineStr">
        <is>
          <t>Alta</t>
        </is>
      </c>
      <c r="T2127" s="18" t="inlineStr">
        <is>
          <t>nombre + tipo + columnas vecinas</t>
        </is>
      </c>
      <c r="U2127" s="18" t="inlineStr"/>
      <c r="V2127" s="19" t="inlineStr">
        <is>
          <t>Aprobada</t>
        </is>
      </c>
      <c r="W2127" s="19" t="inlineStr"/>
      <c r="X2127" s="19" t="inlineStr">
        <is>
          <t>Aldair González (aprobación en bloque)</t>
        </is>
      </c>
      <c r="Y2127" s="20" t="n">
        <v>46321</v>
      </c>
      <c r="Z2127" s="19" t="inlineStr">
        <is>
          <t>Nivel 1: propuesta del comentario del desarrollador o de confianza alta, o regla de fecha/responsable/motivo.</t>
        </is>
      </c>
      <c r="AA2127" s="18">
        <f>IF(OR(V2127="Aprobada"),R2127,IF(AND(OR(V2127="Aprobada con ajuste",V2127="Rechazada"),W2127&lt;&gt;""),W2127,""))</f>
        <v/>
      </c>
    </row>
    <row r="2128">
      <c r="A2128" s="18" t="inlineStr">
        <is>
          <t>C2127</t>
        </is>
      </c>
      <c r="B2128" s="18" t="inlineStr">
        <is>
          <t>Control disciplinario interno</t>
        </is>
      </c>
      <c r="C2128" s="18" t="inlineStr">
        <is>
          <t>internal_disciplinary_control</t>
        </is>
      </c>
      <c r="D2128" s="18" t="inlineStr">
        <is>
          <t>disciplinary_news</t>
        </is>
      </c>
      <c r="E2128" s="18" t="n">
        <v>35</v>
      </c>
      <c r="F2128" s="18" t="inlineStr">
        <is>
          <t>hechos</t>
        </is>
      </c>
      <c r="G2128" s="18" t="inlineStr">
        <is>
          <t>text</t>
        </is>
      </c>
      <c r="H2128" s="18" t="inlineStr">
        <is>
          <t>No</t>
        </is>
      </c>
      <c r="I2128" s="18" t="inlineStr"/>
      <c r="J2128" s="18" t="inlineStr"/>
      <c r="K2128" s="18" t="inlineStr"/>
      <c r="L2128" s="18" t="inlineStr">
        <is>
          <t>No</t>
        </is>
      </c>
      <c r="M2128" s="18" t="inlineStr">
        <is>
          <t>No</t>
        </is>
      </c>
      <c r="N2128" s="18" t="inlineStr"/>
      <c r="O2128" s="18" t="inlineStr"/>
      <c r="P2128" s="18" t="inlineStr">
        <is>
          <t>Mapeada en internal-disciplinary-control-service/src/entities/disciplinary-news.entity.ts:89 (DisciplinaryNews.hechos) | Validación: IsOptional, IsString</t>
        </is>
      </c>
      <c r="Q2128" s="18" t="inlineStr">
        <is>
          <t>Propuesta semántica</t>
        </is>
      </c>
      <c r="R2128" s="18" t="inlineStr">
        <is>
          <t>Descripción de los hechos objeto de la noticia disciplinaria.</t>
        </is>
      </c>
      <c r="S2128" s="18" t="inlineStr">
        <is>
          <t>Alta</t>
        </is>
      </c>
      <c r="T2128" s="18" t="inlineStr">
        <is>
          <t>nombre + tipo + columnas vecinas</t>
        </is>
      </c>
      <c r="U2128" s="18" t="inlineStr"/>
      <c r="V2128" s="19" t="inlineStr">
        <is>
          <t>Aprobada</t>
        </is>
      </c>
      <c r="W2128" s="19" t="inlineStr"/>
      <c r="X2128" s="19" t="inlineStr">
        <is>
          <t>Aldair González (aprobación en bloque)</t>
        </is>
      </c>
      <c r="Y2128" s="20" t="n">
        <v>46321</v>
      </c>
      <c r="Z2128" s="19" t="inlineStr">
        <is>
          <t>Nivel 1: propuesta del comentario del desarrollador o de confianza alta, o regla de fecha/responsable/motivo.</t>
        </is>
      </c>
      <c r="AA2128" s="18">
        <f>IF(OR(V2128="Aprobada"),R2128,IF(AND(OR(V2128="Aprobada con ajuste",V2128="Rechazada"),W2128&lt;&gt;""),W2128,""))</f>
        <v/>
      </c>
    </row>
    <row r="2129">
      <c r="A2129" s="18" t="inlineStr">
        <is>
          <t>C2128</t>
        </is>
      </c>
      <c r="B2129" s="18" t="inlineStr">
        <is>
          <t>Control disciplinario interno</t>
        </is>
      </c>
      <c r="C2129" s="18" t="inlineStr">
        <is>
          <t>internal_disciplinary_control</t>
        </is>
      </c>
      <c r="D2129" s="18" t="inlineStr">
        <is>
          <t>disciplinary_news</t>
        </is>
      </c>
      <c r="E2129" s="18" t="n">
        <v>35</v>
      </c>
      <c r="F2129" s="18" t="inlineStr">
        <is>
          <t>adjuntos</t>
        </is>
      </c>
      <c r="G2129" s="18" t="inlineStr">
        <is>
          <t>text[]</t>
        </is>
      </c>
      <c r="H2129" s="18" t="inlineStr">
        <is>
          <t>Sí</t>
        </is>
      </c>
      <c r="I2129" s="18" t="inlineStr"/>
      <c r="J2129" s="18" t="inlineStr"/>
      <c r="K2129" s="18" t="inlineStr"/>
      <c r="L2129" s="18" t="inlineStr">
        <is>
          <t>No</t>
        </is>
      </c>
      <c r="M2129" s="18" t="inlineStr">
        <is>
          <t>No</t>
        </is>
      </c>
      <c r="N2129" s="18" t="inlineStr"/>
      <c r="O2129" s="18" t="inlineStr"/>
      <c r="P2129" s="18" t="inlineStr">
        <is>
          <t>Mapeada en internal-disciplinary-control-service/src/entities/disciplinary-news.entity.ts:102 (DisciplinaryNews.adjuntos)</t>
        </is>
      </c>
      <c r="Q2129" s="18" t="inlineStr">
        <is>
          <t>Código fuente (verificado)</t>
        </is>
      </c>
      <c r="R2129" s="18" t="inlineStr">
        <is>
          <t>Archivos adjuntos de la noticia disciplinaria, como arreglo de textos con el nombre del archivo guardado en la carpeta de cargas del servicio para el radicado; al remitir por competencia se agregan las rutas de los autos y evidencias del proceso.</t>
        </is>
      </c>
      <c r="S2129" s="18" t="inlineStr">
        <is>
          <t>Alta</t>
        </is>
      </c>
      <c r="T2129" s="18" t="inlineStr">
        <is>
          <t>internal-disciplinary-control-service/src/entities/disciplinary-news.entity.ts:102-103: text[] | internal-disciplinary-control-service/src/services/news.service.ts:96-105: agrega los nombres que devuelve storageService.saveMultipleFiles | internal-disciplinary-control-service/src/services/storage.service.ts:89-102: guarda el archivo en la carpeta del radicado y devuelve el nombre generado | internal-disciplinary-control-service/src/controllers/process.controller.ts:2124-2129: en la remisión se agregan documentUrl/firmaUrl de autos y url de evidencias</t>
        </is>
      </c>
      <c r="U2129" s="18" t="inlineStr"/>
      <c r="V2129" s="19" t="inlineStr">
        <is>
          <t>Aprobada</t>
        </is>
      </c>
      <c r="W2129" s="19" t="inlineStr"/>
      <c r="X2129" s="19" t="inlineStr">
        <is>
          <t>Aldair González (aprobación en bloque)</t>
        </is>
      </c>
      <c r="Y2129" s="20" t="n">
        <v>46321</v>
      </c>
      <c r="Z2129" s="19" t="inlineStr">
        <is>
          <t>Nivel 3: verificada con el código de la aplicación.</t>
        </is>
      </c>
      <c r="AA2129" s="18">
        <f>IF(OR(V2129="Aprobada"),R2129,IF(AND(OR(V2129="Aprobada con ajuste",V2129="Rechazada"),W2129&lt;&gt;""),W2129,""))</f>
        <v/>
      </c>
    </row>
    <row r="2130">
      <c r="A2130" s="18" t="inlineStr">
        <is>
          <t>C2129</t>
        </is>
      </c>
      <c r="B2130" s="18" t="inlineStr">
        <is>
          <t>Control disciplinario interno</t>
        </is>
      </c>
      <c r="C2130" s="18" t="inlineStr">
        <is>
          <t>internal_disciplinary_control</t>
        </is>
      </c>
      <c r="D2130" s="18" t="inlineStr">
        <is>
          <t>disciplinary_news</t>
        </is>
      </c>
      <c r="E2130" s="18" t="n">
        <v>35</v>
      </c>
      <c r="F2130" s="18" t="inlineStr">
        <is>
          <t>observaciones</t>
        </is>
      </c>
      <c r="G2130" s="18" t="inlineStr">
        <is>
          <t>text</t>
        </is>
      </c>
      <c r="H2130" s="18" t="inlineStr">
        <is>
          <t>Sí</t>
        </is>
      </c>
      <c r="I2130" s="18" t="inlineStr"/>
      <c r="J2130" s="18" t="inlineStr"/>
      <c r="K2130" s="18" t="inlineStr"/>
      <c r="L2130" s="18" t="inlineStr">
        <is>
          <t>No</t>
        </is>
      </c>
      <c r="M2130" s="18" t="inlineStr">
        <is>
          <t>No</t>
        </is>
      </c>
      <c r="N2130" s="18" t="inlineStr"/>
      <c r="O2130" s="18" t="inlineStr"/>
      <c r="P2130" s="18" t="inlineStr">
        <is>
          <t>Mapeada en internal-disciplinary-control-service/src/entities/disciplinary-news.entity.ts:105 (DisciplinaryNews.observaciones) | Validación: IsNotEmpty, IsOptional, IsString</t>
        </is>
      </c>
      <c r="Q2130" s="18" t="inlineStr">
        <is>
          <t>Regla estructural (redacción revisada)</t>
        </is>
      </c>
      <c r="R2130" s="18" t="inlineStr">
        <is>
          <t>Observaciones sobre la noticia disciplinaria.</t>
        </is>
      </c>
      <c r="S2130" s="18" t="inlineStr">
        <is>
          <t>Alta</t>
        </is>
      </c>
      <c r="T2130" s="18" t="inlineStr">
        <is>
          <t>Convención de nombre, redactada con el contexto de la tabla y el código.</t>
        </is>
      </c>
      <c r="U2130" s="18" t="inlineStr"/>
      <c r="V2130" s="19" t="inlineStr">
        <is>
          <t>Aprobada</t>
        </is>
      </c>
      <c r="W2130" s="19" t="inlineStr"/>
      <c r="X2130" s="19" t="inlineStr">
        <is>
          <t>Aldair González (aprobación en bloque)</t>
        </is>
      </c>
      <c r="Y2130" s="20" t="n">
        <v>46321</v>
      </c>
      <c r="Z2130" s="19" t="inlineStr">
        <is>
          <t>Nivel 2: regla estructural con redacción revisada.</t>
        </is>
      </c>
      <c r="AA2130" s="18">
        <f>IF(OR(V2130="Aprobada"),R2130,IF(AND(OR(V2130="Aprobada con ajuste",V2130="Rechazada"),W2130&lt;&gt;""),W2130,""))</f>
        <v/>
      </c>
    </row>
    <row r="2131">
      <c r="A2131" s="18" t="inlineStr">
        <is>
          <t>C2130</t>
        </is>
      </c>
      <c r="B2131" s="18" t="inlineStr">
        <is>
          <t>Control disciplinario interno</t>
        </is>
      </c>
      <c r="C2131" s="18" t="inlineStr">
        <is>
          <t>internal_disciplinary_control</t>
        </is>
      </c>
      <c r="D2131" s="18" t="inlineStr">
        <is>
          <t>disciplinary_news</t>
        </is>
      </c>
      <c r="E2131" s="18" t="n">
        <v>35</v>
      </c>
      <c r="F2131" s="18" t="inlineStr">
        <is>
          <t>historialAuditoria</t>
        </is>
      </c>
      <c r="G2131" s="18" t="inlineStr">
        <is>
          <t>jsonb</t>
        </is>
      </c>
      <c r="H2131" s="18" t="inlineStr">
        <is>
          <t>Sí</t>
        </is>
      </c>
      <c r="I2131" s="18" t="inlineStr"/>
      <c r="J2131" s="18" t="inlineStr"/>
      <c r="K2131" s="18" t="inlineStr"/>
      <c r="L2131" s="18" t="inlineStr">
        <is>
          <t>No</t>
        </is>
      </c>
      <c r="M2131" s="18" t="inlineStr">
        <is>
          <t>No</t>
        </is>
      </c>
      <c r="N2131" s="18" t="inlineStr"/>
      <c r="O2131" s="18" t="inlineStr"/>
      <c r="P2131" s="18" t="inlineStr">
        <is>
          <t>Mapeada en internal-disciplinary-control-service/src/entities/disciplinary-news.entity.ts:126 (DisciplinaryNews.historialAuditoria)</t>
        </is>
      </c>
      <c r="Q2131" s="18" t="inlineStr">
        <is>
          <t>Código fuente (verificado)</t>
        </is>
      </c>
      <c r="R2131" s="18" t="inlineStr">
        <is>
          <t>Historial de cambios de la noticia disciplinaria, como arreglo JSON; cada elemento registra id, tipo de evento (radicacion, asociacion, remision_competencia, entre otros), usuario, fecha y observaciones, y según el evento userId, userEmail, resultado o descripcion. Por defecto, arreglo vacío.</t>
        </is>
      </c>
      <c r="S2131" s="18" t="inlineStr">
        <is>
          <t>Alta</t>
        </is>
      </c>
      <c r="T2131" s="18" t="inlineStr">
        <is>
          <t>internal-disciplinary-control-service/src/entities/disciplinary-news.entity.ts:126-127: jsonb default [] | internal-disciplinary-control-service/src/services/news.service.ts:110-118: entrada inicial de radicación con id, tipo, usuario, userId, userEmail, fecha y observaciones | internal-disciplinary-control-service/src/services/news.service.ts:1239-1246: entrada de asociación | internal-disciplinary-control-service/src/controllers/process.controller.ts:2148-2156: entrada de remisión con resultado y descripcion | db/init/006_internal_disciplinary_control_ddl_20260129_215540.sql:230: DEFAULT '[]'</t>
        </is>
      </c>
      <c r="U2131" s="18" t="inlineStr"/>
      <c r="V2131" s="19" t="inlineStr">
        <is>
          <t>Aprobada</t>
        </is>
      </c>
      <c r="W2131" s="19" t="inlineStr"/>
      <c r="X2131" s="19" t="inlineStr">
        <is>
          <t>Aldair González (aprobación en bloque)</t>
        </is>
      </c>
      <c r="Y2131" s="20" t="n">
        <v>46321</v>
      </c>
      <c r="Z2131" s="19" t="inlineStr">
        <is>
          <t>Nivel 3: verificada con el código de la aplicación.</t>
        </is>
      </c>
      <c r="AA2131" s="18">
        <f>IF(OR(V2131="Aprobada"),R2131,IF(AND(OR(V2131="Aprobada con ajuste",V2131="Rechazada"),W2131&lt;&gt;""),W2131,""))</f>
        <v/>
      </c>
    </row>
    <row r="2132">
      <c r="A2132" s="18" t="inlineStr">
        <is>
          <t>C2131</t>
        </is>
      </c>
      <c r="B2132" s="18" t="inlineStr">
        <is>
          <t>Control disciplinario interno</t>
        </is>
      </c>
      <c r="C2132" s="18" t="inlineStr">
        <is>
          <t>internal_disciplinary_control</t>
        </is>
      </c>
      <c r="D2132" s="18" t="inlineStr">
        <is>
          <t>disciplinary_news</t>
        </is>
      </c>
      <c r="E2132" s="18" t="n">
        <v>35</v>
      </c>
      <c r="F2132" s="18" t="inlineStr">
        <is>
          <t>kanbanStage</t>
        </is>
      </c>
      <c r="G2132" s="18" t="inlineStr">
        <is>
          <t>uuid</t>
        </is>
      </c>
      <c r="H2132" s="18" t="inlineStr">
        <is>
          <t>Sí</t>
        </is>
      </c>
      <c r="I2132" s="18" t="inlineStr"/>
      <c r="J2132" s="18" t="inlineStr"/>
      <c r="K2132" s="18" t="inlineStr"/>
      <c r="L2132" s="18" t="inlineStr">
        <is>
          <t>No</t>
        </is>
      </c>
      <c r="M2132" s="18" t="inlineStr">
        <is>
          <t>No</t>
        </is>
      </c>
      <c r="N2132" s="18" t="inlineStr"/>
      <c r="O2132" s="18" t="inlineStr"/>
      <c r="P2132" s="18" t="inlineStr">
        <is>
          <t>Mapeada en internal-disciplinary-control-service/src/entities/disciplinary-news.entity.ts:111 (DisciplinaryNews.kanbanStage) | Validación: IsNumber, IsOptional</t>
        </is>
      </c>
      <c r="Q2132" s="18" t="inlineStr">
        <is>
          <t>Código fuente (verificado)</t>
        </is>
      </c>
      <c r="R2132" s="18" t="inlineStr">
        <is>
          <t>Identificador de la etapa del tablero Kanban en que se encuentra la noticia disciplinaria (internal_disciplinary_control.stage_configuration). La noticia inicia en la etapa de orden 1 y la columna queda vacía al remitirse.</t>
        </is>
      </c>
      <c r="S2132" s="18" t="inlineStr">
        <is>
          <t>Alta</t>
        </is>
      </c>
      <c r="T2132" s="18" t="inlineStr">
        <is>
          <t>internal-disciplinary-control-service/src/entities/disciplinary-news.entity.ts:111-112: uuid | internal-disciplinary-control-service/src/services/news.service.ts:129-166: kanbanStage = id de stage_configuration con orden 1 | internal-disciplinary-control-service/src/services/news.service.ts:1075: kanbanStage = stageConfig.id al cambiar de etapa | internal-disciplinary-control-service/src/services/news.service.ts:1372: null al remitir | internal-disciplinary-control-service/src/entities/stage-configuration.entity.ts:9-11: tabla stage_configuration con PK uuid | internal-disciplinary-control-service/src/dtos/update-news-kanban.dto.ts:5-6: la validación IsNumber no corresponde al tipo uuid</t>
        </is>
      </c>
      <c r="U2132" s="18" t="inlineStr"/>
      <c r="V2132" s="19" t="inlineStr">
        <is>
          <t>Aprobada</t>
        </is>
      </c>
      <c r="W2132" s="19" t="inlineStr"/>
      <c r="X2132" s="19" t="inlineStr">
        <is>
          <t>Aldair González (aprobación en bloque)</t>
        </is>
      </c>
      <c r="Y2132" s="20" t="n">
        <v>46321</v>
      </c>
      <c r="Z2132" s="19" t="inlineStr">
        <is>
          <t>Nivel 3: verificada con el código de la aplicación.</t>
        </is>
      </c>
      <c r="AA2132" s="18">
        <f>IF(OR(V2132="Aprobada"),R2132,IF(AND(OR(V2132="Aprobada con ajuste",V2132="Rechazada"),W2132&lt;&gt;""),W2132,""))</f>
        <v/>
      </c>
    </row>
    <row r="2133">
      <c r="A2133" s="18" t="inlineStr">
        <is>
          <t>C2132</t>
        </is>
      </c>
      <c r="B2133" s="18" t="inlineStr">
        <is>
          <t>Control disciplinario interno</t>
        </is>
      </c>
      <c r="C2133" s="18" t="inlineStr">
        <is>
          <t>internal_disciplinary_control</t>
        </is>
      </c>
      <c r="D2133" s="18" t="inlineStr">
        <is>
          <t>disciplinary_news</t>
        </is>
      </c>
      <c r="E2133" s="18" t="n">
        <v>35</v>
      </c>
      <c r="F2133" s="18" t="inlineStr">
        <is>
          <t>fechaHechos</t>
        </is>
      </c>
      <c r="G2133" s="18" t="inlineStr">
        <is>
          <t>timestamp without time zone</t>
        </is>
      </c>
      <c r="H2133" s="18" t="inlineStr">
        <is>
          <t>Sí</t>
        </is>
      </c>
      <c r="I2133" s="18" t="inlineStr"/>
      <c r="J2133" s="18" t="inlineStr"/>
      <c r="K2133" s="18" t="inlineStr"/>
      <c r="L2133" s="18" t="inlineStr">
        <is>
          <t>No</t>
        </is>
      </c>
      <c r="M2133" s="18" t="inlineStr">
        <is>
          <t>No</t>
        </is>
      </c>
      <c r="N2133" s="18" t="inlineStr"/>
      <c r="O2133" s="18" t="inlineStr"/>
      <c r="P2133" s="18" t="inlineStr">
        <is>
          <t>Mapeada en internal-disciplinary-control-service/src/entities/disciplinary-news.entity.ts:120 (DisciplinaryNews.fechaHechos)</t>
        </is>
      </c>
      <c r="Q2133" s="18" t="inlineStr">
        <is>
          <t>Propuesta semántica</t>
        </is>
      </c>
      <c r="R2133" s="18" t="inlineStr">
        <is>
          <t>Fecha en que ocurrieron los hechos.</t>
        </is>
      </c>
      <c r="S2133" s="18" t="inlineStr">
        <is>
          <t>Alta</t>
        </is>
      </c>
      <c r="T2133" s="18" t="inlineStr">
        <is>
          <t>nombre + tipo + columnas vecinas</t>
        </is>
      </c>
      <c r="U2133" s="18" t="inlineStr"/>
      <c r="V2133" s="19" t="inlineStr">
        <is>
          <t>Aprobada</t>
        </is>
      </c>
      <c r="W2133" s="19" t="inlineStr"/>
      <c r="X2133" s="19" t="inlineStr">
        <is>
          <t>Aldair González (aprobación en bloque)</t>
        </is>
      </c>
      <c r="Y2133" s="20" t="n">
        <v>46321</v>
      </c>
      <c r="Z2133" s="19" t="inlineStr">
        <is>
          <t>Nivel 1: propuesta del comentario del desarrollador o de confianza alta, o regla de fecha/responsable/motivo.</t>
        </is>
      </c>
      <c r="AA2133" s="18">
        <f>IF(OR(V2133="Aprobada"),R2133,IF(AND(OR(V2133="Aprobada con ajuste",V2133="Rechazada"),W2133&lt;&gt;""),W2133,""))</f>
        <v/>
      </c>
    </row>
    <row r="2134">
      <c r="A2134" s="18" t="inlineStr">
        <is>
          <t>C2133</t>
        </is>
      </c>
      <c r="B2134" s="18" t="inlineStr">
        <is>
          <t>Control disciplinario interno</t>
        </is>
      </c>
      <c r="C2134" s="18" t="inlineStr">
        <is>
          <t>internal_disciplinary_control</t>
        </is>
      </c>
      <c r="D2134" s="18" t="inlineStr">
        <is>
          <t>disciplinary_news</t>
        </is>
      </c>
      <c r="E2134" s="18" t="n">
        <v>35</v>
      </c>
      <c r="F2134" s="18" t="inlineStr">
        <is>
          <t>fechaCaducidad</t>
        </is>
      </c>
      <c r="G2134" s="18" t="inlineStr">
        <is>
          <t>timestamp without time zone</t>
        </is>
      </c>
      <c r="H2134" s="18" t="inlineStr">
        <is>
          <t>Sí</t>
        </is>
      </c>
      <c r="I2134" s="18" t="inlineStr"/>
      <c r="J2134" s="18" t="inlineStr"/>
      <c r="K2134" s="18" t="inlineStr"/>
      <c r="L2134" s="18" t="inlineStr">
        <is>
          <t>No</t>
        </is>
      </c>
      <c r="M2134" s="18" t="inlineStr">
        <is>
          <t>No</t>
        </is>
      </c>
      <c r="N2134" s="18" t="inlineStr"/>
      <c r="O2134" s="18" t="inlineStr"/>
      <c r="P2134" s="18" t="inlineStr">
        <is>
          <t>Mapeada en internal-disciplinary-control-service/src/entities/disciplinary-news.entity.ts:123 (DisciplinaryNews.fechaCaducidad)</t>
        </is>
      </c>
      <c r="Q2134" s="18" t="inlineStr">
        <is>
          <t>Código fuente (verificado)</t>
        </is>
      </c>
      <c r="R2134" s="18" t="inlineStr">
        <is>
          <t>Fecha de caducidad de la acción disciplinaria, calculada por el servicio como fechaHechos más 5 años (Ley 734 de 2002, art. 30); se recalcula si cambia fechaHechos y queda vacía si esta no se conoce.</t>
        </is>
      </c>
      <c r="S2134" s="18" t="inlineStr">
        <is>
          <t>Alta</t>
        </is>
      </c>
      <c r="T2134" s="18" t="inlineStr">
        <is>
          <t>internal-disciplinary-control-service/src/services/news.service.ts:120-125: fechaCaducidad = fechaHechos + 5 años | internal-disciplinary-control-service/src/services/news.service.ts:722-732: se recalcula o se borra al cambiar fechaHechos | internal-disciplinary-control-service/src/entities/disciplinary-news.entity.ts:123-124: timestamp nullable</t>
        </is>
      </c>
      <c r="U2134" s="18" t="inlineStr"/>
      <c r="V2134" s="19" t="inlineStr">
        <is>
          <t>Aprobada</t>
        </is>
      </c>
      <c r="W2134" s="19" t="inlineStr"/>
      <c r="X2134" s="19" t="inlineStr">
        <is>
          <t>Aldair González (aprobación en bloque)</t>
        </is>
      </c>
      <c r="Y2134" s="20" t="n">
        <v>46321</v>
      </c>
      <c r="Z2134" s="19" t="inlineStr">
        <is>
          <t>Nivel 3: verificada con el código de la aplicación.</t>
        </is>
      </c>
      <c r="AA2134" s="18">
        <f>IF(OR(V2134="Aprobada"),R2134,IF(AND(OR(V2134="Aprobada con ajuste",V2134="Rechazada"),W2134&lt;&gt;""),W2134,""))</f>
        <v/>
      </c>
    </row>
    <row r="2135">
      <c r="A2135" s="18" t="inlineStr">
        <is>
          <t>C2134</t>
        </is>
      </c>
      <c r="B2135" s="18" t="inlineStr">
        <is>
          <t>Control disciplinario interno</t>
        </is>
      </c>
      <c r="C2135" s="18" t="inlineStr">
        <is>
          <t>internal_disciplinary_control</t>
        </is>
      </c>
      <c r="D2135" s="18" t="inlineStr">
        <is>
          <t>disciplinary_news</t>
        </is>
      </c>
      <c r="E2135" s="18" t="n">
        <v>35</v>
      </c>
      <c r="F2135" s="18" t="inlineStr">
        <is>
          <t>proceso_asociado_id</t>
        </is>
      </c>
      <c r="G2135" s="18" t="inlineStr">
        <is>
          <t>uuid</t>
        </is>
      </c>
      <c r="H2135" s="18" t="inlineStr">
        <is>
          <t>Sí</t>
        </is>
      </c>
      <c r="I2135" s="18" t="inlineStr"/>
      <c r="J2135" s="18" t="inlineStr"/>
      <c r="K2135" s="18" t="inlineStr"/>
      <c r="L2135" s="18" t="inlineStr">
        <is>
          <t>No</t>
        </is>
      </c>
      <c r="M2135" s="18" t="inlineStr">
        <is>
          <t>No</t>
        </is>
      </c>
      <c r="N2135" s="18" t="inlineStr"/>
      <c r="O2135" s="18" t="inlineStr">
        <is>
          <t>idx_news_proceso_asociado_id</t>
        </is>
      </c>
      <c r="P2135" s="18" t="inlineStr">
        <is>
          <t>internal-disciplinary-control-service/src/entities/disciplinary-news.entity.ts:140: Nota: Relación con asociaciones noticia-proceso se maneja via consultas directas para evitar dependencias circulares con DisciplinaryNewsProcess</t>
        </is>
      </c>
      <c r="Q2135" s="18" t="inlineStr">
        <is>
          <t>Código fuente (verificado)</t>
        </is>
      </c>
      <c r="R2135" s="18" t="inlineStr">
        <is>
          <t>Identificador del proceso disciplinario al que se asoció la noticia (internal_disciplinary_control.disciplinary_processes). La asociación también queda en disciplinary_news_processes; la columna se vacía si la noticia pierde todas sus asociaciones.</t>
        </is>
      </c>
      <c r="S2135" s="18" t="inlineStr">
        <is>
          <t>Alta</t>
        </is>
      </c>
      <c r="T2135" s="18" t="inlineStr">
        <is>
          <t>internal-disciplinary-control-service/src/services/news.service.ts:1192-1194: valida el proceso en processRepository | internal-disciplinary-control-service/src/services/news.service.ts:1235: procesoAsociadoId = procesoDestinoId | internal-disciplinary-control-service/src/entities/disciplinary-news-process.entity.ts:13: tabla disciplinary_news_processes | internal-disciplinary-control-service/src/services/news.service.ts:354: null al quitar la última asociación</t>
        </is>
      </c>
      <c r="U2135" s="18" t="inlineStr"/>
      <c r="V2135" s="19" t="inlineStr">
        <is>
          <t>Aprobada</t>
        </is>
      </c>
      <c r="W2135" s="19" t="inlineStr"/>
      <c r="X2135" s="19" t="inlineStr">
        <is>
          <t>Aldair González (aprobación en bloque)</t>
        </is>
      </c>
      <c r="Y2135" s="20" t="n">
        <v>46321</v>
      </c>
      <c r="Z2135" s="19" t="inlineStr">
        <is>
          <t>Nivel 3: verificada con el código de la aplicación.</t>
        </is>
      </c>
      <c r="AA2135" s="18">
        <f>IF(OR(V2135="Aprobada"),R2135,IF(AND(OR(V2135="Aprobada con ajuste",V2135="Rechazada"),W2135&lt;&gt;""),W2135,""))</f>
        <v/>
      </c>
    </row>
    <row r="2136">
      <c r="A2136" s="18" t="inlineStr">
        <is>
          <t>C2135</t>
        </is>
      </c>
      <c r="B2136" s="18" t="inlineStr">
        <is>
          <t>Control disciplinario interno</t>
        </is>
      </c>
      <c r="C2136" s="18" t="inlineStr">
        <is>
          <t>internal_disciplinary_control</t>
        </is>
      </c>
      <c r="D2136" s="18" t="inlineStr">
        <is>
          <t>disciplinary_news</t>
        </is>
      </c>
      <c r="E2136" s="18" t="n">
        <v>35</v>
      </c>
      <c r="F2136" s="18" t="inlineStr">
        <is>
          <t>proceso_asociado_numero</t>
        </is>
      </c>
      <c r="G2136" s="18" t="inlineStr">
        <is>
          <t>character varying(50)</t>
        </is>
      </c>
      <c r="H2136" s="18" t="inlineStr">
        <is>
          <t>Sí</t>
        </is>
      </c>
      <c r="I2136" s="18" t="inlineStr"/>
      <c r="J2136" s="18" t="inlineStr"/>
      <c r="K2136" s="18" t="inlineStr"/>
      <c r="L2136" s="18" t="inlineStr">
        <is>
          <t>No</t>
        </is>
      </c>
      <c r="M2136" s="18" t="inlineStr">
        <is>
          <t>No</t>
        </is>
      </c>
      <c r="N2136" s="18" t="inlineStr"/>
      <c r="O2136" s="18" t="inlineStr"/>
      <c r="P2136" s="18" t="inlineStr">
        <is>
          <t>internal-disciplinary-control-service/src/entities/disciplinary-news.entity.ts:143: Nota: Relación con asociaciones noticia-proceso se maneja via consultas directas para evitar dependencias circulares con DisciplinaryNewsProcess</t>
        </is>
      </c>
      <c r="Q2136" s="18" t="inlineStr">
        <is>
          <t>Código fuente (verificado)</t>
        </is>
      </c>
      <c r="R2136" s="18" t="inlineStr">
        <is>
          <t>Radicado del proceso disciplinario asociado a la noticia: copia de radicadoProceso del proceso referenciado por proceso_asociado_id.</t>
        </is>
      </c>
      <c r="S2136" s="18" t="inlineStr">
        <is>
          <t>Alta</t>
        </is>
      </c>
      <c r="T2136" s="18" t="inlineStr">
        <is>
          <t>internal-disciplinary-control-service/src/services/news.service.ts:1236: procesoAsociadoNumero = proceso.radicadoProceso | internal-disciplinary-control-service/src/services/news.service.ts:355: null al quitar la última asociación</t>
        </is>
      </c>
      <c r="U2136" s="18" t="inlineStr"/>
      <c r="V2136" s="19" t="inlineStr">
        <is>
          <t>Aprobada</t>
        </is>
      </c>
      <c r="W2136" s="19" t="inlineStr"/>
      <c r="X2136" s="19" t="inlineStr">
        <is>
          <t>Aldair González (aprobación en bloque)</t>
        </is>
      </c>
      <c r="Y2136" s="20" t="n">
        <v>46321</v>
      </c>
      <c r="Z2136" s="19" t="inlineStr">
        <is>
          <t>Nivel 3: verificada con el código de la aplicación.</t>
        </is>
      </c>
      <c r="AA2136" s="18">
        <f>IF(OR(V2136="Aprobada"),R2136,IF(AND(OR(V2136="Aprobada con ajuste",V2136="Rechazada"),W2136&lt;&gt;""),W2136,""))</f>
        <v/>
      </c>
    </row>
    <row r="2137">
      <c r="A2137" s="18" t="inlineStr">
        <is>
          <t>C2136</t>
        </is>
      </c>
      <c r="B2137" s="18" t="inlineStr">
        <is>
          <t>Control disciplinario interno</t>
        </is>
      </c>
      <c r="C2137" s="18" t="inlineStr">
        <is>
          <t>internal_disciplinary_control</t>
        </is>
      </c>
      <c r="D2137" s="18" t="inlineStr">
        <is>
          <t>disciplinary_news</t>
        </is>
      </c>
      <c r="E2137" s="18" t="n">
        <v>35</v>
      </c>
      <c r="F2137" s="18" t="inlineStr">
        <is>
          <t>proceso_asociado_fecha</t>
        </is>
      </c>
      <c r="G2137" s="18" t="inlineStr">
        <is>
          <t>timestamp with time zone</t>
        </is>
      </c>
      <c r="H2137" s="18" t="inlineStr">
        <is>
          <t>Sí</t>
        </is>
      </c>
      <c r="I2137" s="18" t="inlineStr"/>
      <c r="J2137" s="18" t="inlineStr"/>
      <c r="K2137" s="18" t="inlineStr"/>
      <c r="L2137" s="18" t="inlineStr">
        <is>
          <t>No</t>
        </is>
      </c>
      <c r="M2137" s="18" t="inlineStr">
        <is>
          <t>No</t>
        </is>
      </c>
      <c r="N2137" s="18" t="inlineStr"/>
      <c r="O2137" s="18" t="inlineStr"/>
      <c r="P2137" s="18" t="inlineStr">
        <is>
          <t>internal-disciplinary-control-service/src/entities/disciplinary-news.entity.ts:146: Nota: Relación con asociaciones noticia-proceso se maneja via consultas directas para evitar dependencias circulares con DisciplinaryNewsProcess</t>
        </is>
      </c>
      <c r="Q2137" s="18" t="inlineStr">
        <is>
          <t>Código fuente (verificado)</t>
        </is>
      </c>
      <c r="R2137" s="18" t="inlineStr">
        <is>
          <t>Fecha y hora en que se asoció la noticia al proceso disciplinario.</t>
        </is>
      </c>
      <c r="S2137" s="18" t="inlineStr">
        <is>
          <t>Alta</t>
        </is>
      </c>
      <c r="T2137" s="18" t="inlineStr">
        <is>
          <t>internal-disciplinary-control-service/src/services/news.service.ts:1217: fechaAsociacion = new Date() | internal-disciplinary-control-service/src/services/news.service.ts:1237: procesoAsociadoFecha = fechaAsociacion</t>
        </is>
      </c>
      <c r="U2137" s="18" t="inlineStr"/>
      <c r="V2137" s="19" t="inlineStr">
        <is>
          <t>Aprobada</t>
        </is>
      </c>
      <c r="W2137" s="19" t="inlineStr"/>
      <c r="X2137" s="19" t="inlineStr">
        <is>
          <t>Aldair González (aprobación en bloque)</t>
        </is>
      </c>
      <c r="Y2137" s="20" t="n">
        <v>46321</v>
      </c>
      <c r="Z2137" s="19" t="inlineStr">
        <is>
          <t>Nivel 3: verificada con el código de la aplicación.</t>
        </is>
      </c>
      <c r="AA2137" s="18">
        <f>IF(OR(V2137="Aprobada"),R2137,IF(AND(OR(V2137="Aprobada con ajuste",V2137="Rechazada"),W2137&lt;&gt;""),W2137,""))</f>
        <v/>
      </c>
    </row>
    <row r="2138">
      <c r="A2138" s="18" t="inlineStr">
        <is>
          <t>C2137</t>
        </is>
      </c>
      <c r="B2138" s="18" t="inlineStr">
        <is>
          <t>Control disciplinario interno</t>
        </is>
      </c>
      <c r="C2138" s="18" t="inlineStr">
        <is>
          <t>internal_disciplinary_control</t>
        </is>
      </c>
      <c r="D2138" s="18" t="inlineStr">
        <is>
          <t>disciplinary_news</t>
        </is>
      </c>
      <c r="E2138" s="18" t="n">
        <v>35</v>
      </c>
      <c r="F2138" s="18" t="inlineStr">
        <is>
          <t>proceso_asociado_justificacion</t>
        </is>
      </c>
      <c r="G2138" s="18" t="inlineStr">
        <is>
          <t>text</t>
        </is>
      </c>
      <c r="H2138" s="18" t="inlineStr">
        <is>
          <t>Sí</t>
        </is>
      </c>
      <c r="I2138" s="18" t="inlineStr"/>
      <c r="J2138" s="18" t="inlineStr"/>
      <c r="K2138" s="18" t="inlineStr"/>
      <c r="L2138" s="18" t="inlineStr">
        <is>
          <t>No</t>
        </is>
      </c>
      <c r="M2138" s="18" t="inlineStr">
        <is>
          <t>No</t>
        </is>
      </c>
      <c r="N2138" s="18" t="inlineStr"/>
      <c r="O2138" s="18" t="inlineStr"/>
      <c r="P2138" s="18" t="inlineStr">
        <is>
          <t>internal-disciplinary-control-service/src/entities/disciplinary-news.entity.ts:149: Nota: Relación con asociaciones noticia-proceso se maneja via consultas directas para evitar dependencias circulares con DisciplinaryNewsProcess</t>
        </is>
      </c>
      <c r="Q2138" s="18" t="inlineStr">
        <is>
          <t>Código fuente</t>
        </is>
      </c>
      <c r="R2138" s="18" t="inlineStr">
        <is>
          <t>Justificación de la asociación de la noticia con el proceso disciplinario.</t>
        </is>
      </c>
      <c r="S2138" s="18" t="inlineStr">
        <is>
          <t>Alta</t>
        </is>
      </c>
      <c r="T2138" s="18" t="inlineStr">
        <is>
          <t>nombre + tipo + columnas vecinas</t>
        </is>
      </c>
      <c r="U2138" s="18" t="inlineStr"/>
      <c r="V2138" s="19" t="inlineStr">
        <is>
          <t>Aprobada</t>
        </is>
      </c>
      <c r="W2138" s="19" t="inlineStr"/>
      <c r="X2138" s="19" t="inlineStr">
        <is>
          <t>Aldair González (aprobación en bloque)</t>
        </is>
      </c>
      <c r="Y2138" s="20" t="n">
        <v>46321</v>
      </c>
      <c r="Z2138" s="19" t="inlineStr">
        <is>
          <t>Nivel 1: propuesta del comentario del desarrollador o de confianza alta, o regla de fecha/responsable/motivo.</t>
        </is>
      </c>
      <c r="AA2138" s="18">
        <f>IF(OR(V2138="Aprobada"),R2138,IF(AND(OR(V2138="Aprobada con ajuste",V2138="Rechazada"),W2138&lt;&gt;""),W2138,""))</f>
        <v/>
      </c>
    </row>
    <row r="2139">
      <c r="A2139" s="18" t="inlineStr">
        <is>
          <t>C2138</t>
        </is>
      </c>
      <c r="B2139" s="18" t="inlineStr">
        <is>
          <t>Control disciplinario interno</t>
        </is>
      </c>
      <c r="C2139" s="18" t="inlineStr">
        <is>
          <t>internal_disciplinary_control</t>
        </is>
      </c>
      <c r="D2139" s="18" t="inlineStr">
        <is>
          <t>disciplinary_news</t>
        </is>
      </c>
      <c r="E2139" s="18" t="n">
        <v>35</v>
      </c>
      <c r="F2139" s="18" t="inlineStr">
        <is>
          <t>numero_rc</t>
        </is>
      </c>
      <c r="G2139" s="18" t="inlineStr">
        <is>
          <t>character varying(50)</t>
        </is>
      </c>
      <c r="H2139" s="18" t="inlineStr">
        <is>
          <t>Sí</t>
        </is>
      </c>
      <c r="I2139" s="18" t="inlineStr"/>
      <c r="J2139" s="18" t="inlineStr"/>
      <c r="K2139" s="18" t="inlineStr"/>
      <c r="L2139" s="18" t="inlineStr">
        <is>
          <t>No</t>
        </is>
      </c>
      <c r="M2139" s="18" t="inlineStr">
        <is>
          <t>No</t>
        </is>
      </c>
      <c r="N2139" s="18" t="inlineStr"/>
      <c r="O2139" s="18" t="inlineStr">
        <is>
          <t>idx_news_numero_rc</t>
        </is>
      </c>
      <c r="P2139" s="18" t="inlineStr">
        <is>
          <t>internal-disciplinary-control-service/src/entities/disciplinary-news.entity.ts:155: Nota: Relación con asociaciones noticia-proceso se maneja via consultas directas para evitar dependencias circulares con DisciplinaryNewsProcess</t>
        </is>
      </c>
      <c r="Q2139" s="18" t="inlineStr">
        <is>
          <t>Código fuente (verificado)</t>
        </is>
      </c>
      <c r="R2139" s="18" t="inlineStr">
        <is>
          <t>Número RC de la remisión por competencia de la noticia, generado por el servicio con el formato RC-&lt;año&gt;-&lt;número de cuatro dígitos&gt;.</t>
        </is>
      </c>
      <c r="S2139" s="18" t="inlineStr">
        <is>
          <t>Media</t>
        </is>
      </c>
      <c r="T2139" s="18" t="inlineStr">
        <is>
          <t>internal-disciplinary-control-service/src/controllers/process.controller.ts:2091-2093: numeroRC = RC-&lt;año&gt;-&lt;consecutivo aleatorio de 4 dígitos&gt; | internal-disciplinary-control-service/src/services/news.service.ts:1373: noticia.numeroRC = data.numeroRC</t>
        </is>
      </c>
      <c r="U2139" s="18" t="inlineStr">
        <is>
          <t>¿Qué significa la sigla RC? El servicio genera el número con un consecutivo aleatorio de cuatro dígitos, sin control de unicidad: ¿es el número definitivo de la remisión?</t>
        </is>
      </c>
      <c r="V2139" s="19" t="inlineStr">
        <is>
          <t>Aprobada</t>
        </is>
      </c>
      <c r="W2139" s="19" t="inlineStr"/>
      <c r="X2139" s="19" t="inlineStr">
        <is>
          <t>Aldair González (validación del responsable de BD)</t>
        </is>
      </c>
      <c r="Y2139" s="20" t="n">
        <v>46321</v>
      </c>
      <c r="Z2139" s="19" t="inlineStr">
        <is>
          <t>Nivel 3: validada por decisión del responsable de la base de datos. Pregunta registrada para desarrollo: ¿Qué significa la sigla RC? El servicio genera el número con un consecutivo aleatorio de cuatro dígitos, sin control de unicidad: ¿es el número definitivo de la remisión?</t>
        </is>
      </c>
      <c r="AA2139" s="18">
        <f>IF(OR(V2139="Aprobada"),R2139,IF(AND(OR(V2139="Aprobada con ajuste",V2139="Rechazada"),W2139&lt;&gt;""),W2139,""))</f>
        <v/>
      </c>
    </row>
    <row r="2140">
      <c r="A2140" s="18" t="inlineStr">
        <is>
          <t>C2139</t>
        </is>
      </c>
      <c r="B2140" s="18" t="inlineStr">
        <is>
          <t>Control disciplinario interno</t>
        </is>
      </c>
      <c r="C2140" s="18" t="inlineStr">
        <is>
          <t>internal_disciplinary_control</t>
        </is>
      </c>
      <c r="D2140" s="18" t="inlineStr">
        <is>
          <t>disciplinary_news</t>
        </is>
      </c>
      <c r="E2140" s="18" t="n">
        <v>35</v>
      </c>
      <c r="F2140" s="18" t="inlineStr">
        <is>
          <t>entidad_remision</t>
        </is>
      </c>
      <c r="G2140" s="18" t="inlineStr">
        <is>
          <t>character varying(255)</t>
        </is>
      </c>
      <c r="H2140" s="18" t="inlineStr">
        <is>
          <t>Sí</t>
        </is>
      </c>
      <c r="I2140" s="18" t="inlineStr"/>
      <c r="J2140" s="18" t="inlineStr"/>
      <c r="K2140" s="18" t="inlineStr"/>
      <c r="L2140" s="18" t="inlineStr">
        <is>
          <t>No</t>
        </is>
      </c>
      <c r="M2140" s="18" t="inlineStr">
        <is>
          <t>No</t>
        </is>
      </c>
      <c r="N2140" s="18" t="inlineStr"/>
      <c r="O2140" s="18" t="inlineStr">
        <is>
          <t>idx_news_entidad_remision</t>
        </is>
      </c>
      <c r="P2140" s="18" t="inlineStr">
        <is>
          <t>internal-disciplinary-control-service/src/entities/disciplinary-news.entity.ts:158: Nota: Relación con asociaciones noticia-proceso se maneja via consultas directas para evitar dependencias circulares con DisciplinaryNewsProcess</t>
        </is>
      </c>
      <c r="Q2140" s="18" t="inlineStr">
        <is>
          <t>Código fuente (verificado)</t>
        </is>
      </c>
      <c r="R2140" s="18" t="inlineStr">
        <is>
          <t>Nombre de la entidad a la que se remite la noticia disciplinaria por competencia, digitado en la remisión.</t>
        </is>
      </c>
      <c r="S2140" s="18" t="inlineStr">
        <is>
          <t>Alta</t>
        </is>
      </c>
      <c r="T2140" s="18" t="inlineStr">
        <is>
          <t>internal-disciplinary-control-service/src/services/news.service.ts:1342: remite una noticia por competencia a otra entidad | internal-disciplinary-control-service/src/dtos/remitir-competencia.dto.ts:32-35: entidadDestino obligatorio | internal-disciplinary-control-service/src/controllers/process.controller.ts:2131-2136: entidadRemision = dto.entidadDestino</t>
        </is>
      </c>
      <c r="U2140" s="18" t="inlineStr"/>
      <c r="V2140" s="19" t="inlineStr">
        <is>
          <t>Aprobada</t>
        </is>
      </c>
      <c r="W2140" s="19" t="inlineStr"/>
      <c r="X2140" s="19" t="inlineStr">
        <is>
          <t>Aldair González (aprobación en bloque)</t>
        </is>
      </c>
      <c r="Y2140" s="20" t="n">
        <v>46321</v>
      </c>
      <c r="Z2140" s="19" t="inlineStr">
        <is>
          <t>Nivel 3: verificada con el código de la aplicación.</t>
        </is>
      </c>
      <c r="AA2140" s="18">
        <f>IF(OR(V2140="Aprobada"),R2140,IF(AND(OR(V2140="Aprobada con ajuste",V2140="Rechazada"),W2140&lt;&gt;""),W2140,""))</f>
        <v/>
      </c>
    </row>
    <row r="2141">
      <c r="A2141" s="18" t="inlineStr">
        <is>
          <t>C2140</t>
        </is>
      </c>
      <c r="B2141" s="18" t="inlineStr">
        <is>
          <t>Control disciplinario interno</t>
        </is>
      </c>
      <c r="C2141" s="18" t="inlineStr">
        <is>
          <t>internal_disciplinary_control</t>
        </is>
      </c>
      <c r="D2141" s="18" t="inlineStr">
        <is>
          <t>disciplinary_news</t>
        </is>
      </c>
      <c r="E2141" s="18" t="n">
        <v>35</v>
      </c>
      <c r="F2141" s="18" t="inlineStr">
        <is>
          <t>correo_entidad_remision</t>
        </is>
      </c>
      <c r="G2141" s="18" t="inlineStr">
        <is>
          <t>character varying(255)</t>
        </is>
      </c>
      <c r="H2141" s="18" t="inlineStr">
        <is>
          <t>Sí</t>
        </is>
      </c>
      <c r="I2141" s="18" t="inlineStr"/>
      <c r="J2141" s="18" t="inlineStr"/>
      <c r="K2141" s="18" t="inlineStr"/>
      <c r="L2141" s="18" t="inlineStr">
        <is>
          <t>No</t>
        </is>
      </c>
      <c r="M2141" s="18" t="inlineStr">
        <is>
          <t>No</t>
        </is>
      </c>
      <c r="N2141" s="18" t="inlineStr"/>
      <c r="O2141" s="18" t="inlineStr"/>
      <c r="P2141" s="18" t="inlineStr">
        <is>
          <t>internal-disciplinary-control-service/src/entities/disciplinary-news.entity.ts:161: Nota: Relación con asociaciones noticia-proceso se maneja via consultas directas para evitar dependencias circulares con DisciplinaryNewsProcess</t>
        </is>
      </c>
      <c r="Q2141" s="18" t="inlineStr">
        <is>
          <t>Código fuente</t>
        </is>
      </c>
      <c r="R2141" s="18" t="inlineStr">
        <is>
          <t>Correo electrónico de la entidad a la que se remite la noticia.</t>
        </is>
      </c>
      <c r="S2141" s="18" t="inlineStr">
        <is>
          <t>Alta</t>
        </is>
      </c>
      <c r="T2141" s="18" t="inlineStr">
        <is>
          <t>nombre + tipo + columnas vecinas</t>
        </is>
      </c>
      <c r="U2141" s="18" t="inlineStr"/>
      <c r="V2141" s="19" t="inlineStr">
        <is>
          <t>Aprobada</t>
        </is>
      </c>
      <c r="W2141" s="19" t="inlineStr"/>
      <c r="X2141" s="19" t="inlineStr">
        <is>
          <t>Aldair González (aprobación en bloque)</t>
        </is>
      </c>
      <c r="Y2141" s="20" t="n">
        <v>46321</v>
      </c>
      <c r="Z2141" s="19" t="inlineStr">
        <is>
          <t>Nivel 1: propuesta del comentario del desarrollador o de confianza alta, o regla de fecha/responsable/motivo.</t>
        </is>
      </c>
      <c r="AA2141" s="18">
        <f>IF(OR(V2141="Aprobada"),R2141,IF(AND(OR(V2141="Aprobada con ajuste",V2141="Rechazada"),W2141&lt;&gt;""),W2141,""))</f>
        <v/>
      </c>
    </row>
    <row r="2142">
      <c r="A2142" s="18" t="inlineStr">
        <is>
          <t>C2141</t>
        </is>
      </c>
      <c r="B2142" s="18" t="inlineStr">
        <is>
          <t>Control disciplinario interno</t>
        </is>
      </c>
      <c r="C2142" s="18" t="inlineStr">
        <is>
          <t>internal_disciplinary_control</t>
        </is>
      </c>
      <c r="D2142" s="18" t="inlineStr">
        <is>
          <t>disciplinary_news</t>
        </is>
      </c>
      <c r="E2142" s="18" t="n">
        <v>35</v>
      </c>
      <c r="F2142" s="18" t="inlineStr">
        <is>
          <t>fecha_remision</t>
        </is>
      </c>
      <c r="G2142" s="18" t="inlineStr">
        <is>
          <t>timestamp with time zone</t>
        </is>
      </c>
      <c r="H2142" s="18" t="inlineStr">
        <is>
          <t>Sí</t>
        </is>
      </c>
      <c r="I2142" s="18" t="inlineStr"/>
      <c r="J2142" s="18" t="inlineStr"/>
      <c r="K2142" s="18" t="inlineStr"/>
      <c r="L2142" s="18" t="inlineStr">
        <is>
          <t>No</t>
        </is>
      </c>
      <c r="M2142" s="18" t="inlineStr">
        <is>
          <t>No</t>
        </is>
      </c>
      <c r="N2142" s="18" t="inlineStr"/>
      <c r="O2142" s="18" t="inlineStr">
        <is>
          <t>idx_news_fecha_remision</t>
        </is>
      </c>
      <c r="P2142" s="18" t="inlineStr">
        <is>
          <t>internal-disciplinary-control-service/src/entities/disciplinary-news.entity.ts:164: Nota: Relación con asociaciones noticia-proceso se maneja via consultas directas para evitar dependencias circulares con DisciplinaryNewsProcess</t>
        </is>
      </c>
      <c r="Q2142" s="18" t="inlineStr">
        <is>
          <t>Código fuente</t>
        </is>
      </c>
      <c r="R2142" s="18" t="inlineStr">
        <is>
          <t>Fecha y hora de remisión de la noticia a la entidad destino.</t>
        </is>
      </c>
      <c r="S2142" s="18" t="inlineStr">
        <is>
          <t>Alta</t>
        </is>
      </c>
      <c r="T2142" s="18" t="inlineStr">
        <is>
          <t>nombre + tipo + propuesta por regla</t>
        </is>
      </c>
      <c r="U2142" s="18" t="inlineStr"/>
      <c r="V2142" s="19" t="inlineStr">
        <is>
          <t>Aprobada</t>
        </is>
      </c>
      <c r="W2142" s="19" t="inlineStr"/>
      <c r="X2142" s="19" t="inlineStr">
        <is>
          <t>Aldair González (aprobación en bloque)</t>
        </is>
      </c>
      <c r="Y2142" s="20" t="n">
        <v>46321</v>
      </c>
      <c r="Z2142" s="19" t="inlineStr">
        <is>
          <t>Nivel 1: propuesta del comentario del desarrollador o de confianza alta, o regla de fecha/responsable/motivo.</t>
        </is>
      </c>
      <c r="AA2142" s="18">
        <f>IF(OR(V2142="Aprobada"),R2142,IF(AND(OR(V2142="Aprobada con ajuste",V2142="Rechazada"),W2142&lt;&gt;""),W2142,""))</f>
        <v/>
      </c>
    </row>
    <row r="2143">
      <c r="A2143" s="18" t="inlineStr">
        <is>
          <t>C2142</t>
        </is>
      </c>
      <c r="B2143" s="18" t="inlineStr">
        <is>
          <t>Control disciplinario interno</t>
        </is>
      </c>
      <c r="C2143" s="18" t="inlineStr">
        <is>
          <t>internal_disciplinary_control</t>
        </is>
      </c>
      <c r="D2143" s="18" t="inlineStr">
        <is>
          <t>disciplinary_news</t>
        </is>
      </c>
      <c r="E2143" s="18" t="n">
        <v>35</v>
      </c>
      <c r="F2143" s="18" t="inlineStr">
        <is>
          <t>tipo_remision</t>
        </is>
      </c>
      <c r="G2143" s="18" t="inlineStr">
        <is>
          <t>character varying(100)</t>
        </is>
      </c>
      <c r="H2143" s="18" t="inlineStr">
        <is>
          <t>Sí</t>
        </is>
      </c>
      <c r="I2143" s="18" t="inlineStr"/>
      <c r="J2143" s="18" t="inlineStr"/>
      <c r="K2143" s="18" t="inlineStr"/>
      <c r="L2143" s="18" t="inlineStr">
        <is>
          <t>No</t>
        </is>
      </c>
      <c r="M2143" s="18" t="inlineStr">
        <is>
          <t>No</t>
        </is>
      </c>
      <c r="N2143" s="18" t="inlineStr"/>
      <c r="O2143" s="18" t="inlineStr"/>
      <c r="P2143" s="18" t="inlineStr">
        <is>
          <t>internal-disciplinary-control-service/src/entities/disciplinary-news.entity.ts:167: Nota: Relación con asociaciones noticia-proceso se maneja via consultas directas para evitar dependencias circulares con DisciplinaryNewsProcess | Validación: IsOptional, IsString</t>
        </is>
      </c>
      <c r="Q2143" s="18" t="inlineStr">
        <is>
          <t>Código fuente (verificado)</t>
        </is>
      </c>
      <c r="R2143" s="18" t="inlineStr">
        <is>
          <t>Código del tipo de remisión por competencia, del catálogo tipos_remision: sin-competencia (valor por defecto), factor-territorial, factor-funcional, naturaleza-falta o prelacion-competencia.</t>
        </is>
      </c>
      <c r="S2143" s="18" t="inlineStr">
        <is>
          <t>Alta</t>
        </is>
      </c>
      <c r="T2143" s="18" t="inlineStr">
        <is>
          <t>internal-disciplinary-control-service/src/services/tipo-remision.service.ts:78-115: catálogo tipos_remision con códigos sin-competencia, factor-territorial, factor-funcional, naturaleza-falta y prelacion-competencia | internal-disciplinary-control-service/src/controllers/process.controller.ts:2138: tipoRemision = dto.tipoRemision || 'sin-competencia' | internal-disciplinary-control-service/src/entities/disciplinary-news.entity.ts:167-168: varchar(100)</t>
        </is>
      </c>
      <c r="U2143" s="18" t="inlineStr"/>
      <c r="V2143" s="19" t="inlineStr">
        <is>
          <t>Aprobada</t>
        </is>
      </c>
      <c r="W2143" s="19" t="inlineStr"/>
      <c r="X2143" s="19" t="inlineStr">
        <is>
          <t>Aldair González (aprobación en bloque)</t>
        </is>
      </c>
      <c r="Y2143" s="20" t="n">
        <v>46321</v>
      </c>
      <c r="Z2143" s="19" t="inlineStr">
        <is>
          <t>Nivel 3: verificada con el código de la aplicación.</t>
        </is>
      </c>
      <c r="AA2143" s="18">
        <f>IF(OR(V2143="Aprobada"),R2143,IF(AND(OR(V2143="Aprobada con ajuste",V2143="Rechazada"),W2143&lt;&gt;""),W2143,""))</f>
        <v/>
      </c>
    </row>
    <row r="2144">
      <c r="A2144" s="18" t="inlineStr">
        <is>
          <t>C2143</t>
        </is>
      </c>
      <c r="B2144" s="18" t="inlineStr">
        <is>
          <t>Control disciplinario interno</t>
        </is>
      </c>
      <c r="C2144" s="18" t="inlineStr">
        <is>
          <t>internal_disciplinary_control</t>
        </is>
      </c>
      <c r="D2144" s="18" t="inlineStr">
        <is>
          <t>disciplinary_news</t>
        </is>
      </c>
      <c r="E2144" s="18" t="n">
        <v>35</v>
      </c>
      <c r="F2144" s="18" t="inlineStr">
        <is>
          <t>justificacion_remision</t>
        </is>
      </c>
      <c r="G2144" s="18" t="inlineStr">
        <is>
          <t>text</t>
        </is>
      </c>
      <c r="H2144" s="18" t="inlineStr">
        <is>
          <t>Sí</t>
        </is>
      </c>
      <c r="I2144" s="18" t="inlineStr"/>
      <c r="J2144" s="18" t="inlineStr"/>
      <c r="K2144" s="18" t="inlineStr"/>
      <c r="L2144" s="18" t="inlineStr">
        <is>
          <t>No</t>
        </is>
      </c>
      <c r="M2144" s="18" t="inlineStr">
        <is>
          <t>No</t>
        </is>
      </c>
      <c r="N2144" s="18" t="inlineStr"/>
      <c r="O2144" s="18" t="inlineStr"/>
      <c r="P2144" s="18" t="inlineStr">
        <is>
          <t>internal-disciplinary-control-service/src/entities/disciplinary-news.entity.ts:170: Nota: Relación con asociaciones noticia-proceso se maneja via consultas directas para evitar dependencias circulares con DisciplinaryNewsProcess</t>
        </is>
      </c>
      <c r="Q2144" s="18" t="inlineStr">
        <is>
          <t>Código fuente</t>
        </is>
      </c>
      <c r="R2144" s="18" t="inlineStr">
        <is>
          <t>Justificación de la remisión de la noticia disciplinaria.</t>
        </is>
      </c>
      <c r="S2144" s="18" t="inlineStr">
        <is>
          <t>Alta</t>
        </is>
      </c>
      <c r="T2144" s="18" t="inlineStr">
        <is>
          <t>nombre + tipo + columnas vecinas</t>
        </is>
      </c>
      <c r="U2144" s="18" t="inlineStr"/>
      <c r="V2144" s="19" t="inlineStr">
        <is>
          <t>Aprobada</t>
        </is>
      </c>
      <c r="W2144" s="19" t="inlineStr"/>
      <c r="X2144" s="19" t="inlineStr">
        <is>
          <t>Aldair González (aprobación en bloque)</t>
        </is>
      </c>
      <c r="Y2144" s="20" t="n">
        <v>46321</v>
      </c>
      <c r="Z2144" s="19" t="inlineStr">
        <is>
          <t>Nivel 1: propuesta del comentario del desarrollador o de confianza alta, o regla de fecha/responsable/motivo.</t>
        </is>
      </c>
      <c r="AA2144" s="18">
        <f>IF(OR(V2144="Aprobada"),R2144,IF(AND(OR(V2144="Aprobada con ajuste",V2144="Rechazada"),W2144&lt;&gt;""),W2144,""))</f>
        <v/>
      </c>
    </row>
    <row r="2145">
      <c r="A2145" s="18" t="inlineStr">
        <is>
          <t>C2144</t>
        </is>
      </c>
      <c r="B2145" s="18" t="inlineStr">
        <is>
          <t>Control disciplinario interno</t>
        </is>
      </c>
      <c r="C2145" s="18" t="inlineStr">
        <is>
          <t>internal_disciplinary_control</t>
        </is>
      </c>
      <c r="D2145" s="18" t="inlineStr">
        <is>
          <t>disciplinary_news</t>
        </is>
      </c>
      <c r="E2145" s="18" t="n">
        <v>35</v>
      </c>
      <c r="F2145" s="18" t="inlineStr">
        <is>
          <t>descripcion_remision</t>
        </is>
      </c>
      <c r="G2145" s="18" t="inlineStr">
        <is>
          <t>jsonb</t>
        </is>
      </c>
      <c r="H2145" s="18" t="inlineStr">
        <is>
          <t>Sí</t>
        </is>
      </c>
      <c r="I2145" s="18" t="inlineStr"/>
      <c r="J2145" s="18" t="inlineStr"/>
      <c r="K2145" s="18" t="inlineStr"/>
      <c r="L2145" s="18" t="inlineStr">
        <is>
          <t>No</t>
        </is>
      </c>
      <c r="M2145" s="18" t="inlineStr">
        <is>
          <t>No</t>
        </is>
      </c>
      <c r="N2145" s="18" t="inlineStr"/>
      <c r="O2145" s="18" t="inlineStr"/>
      <c r="P2145" s="18" t="inlineStr">
        <is>
          <t>internal-disciplinary-control-service/src/entities/disciplinary-news.entity.ts:173: Nota: Relación con asociaciones noticia-proceso se maneja via consultas directas para evitar dependencias circulares con DisciplinaryNewsProcess</t>
        </is>
      </c>
      <c r="Q2145" s="18" t="inlineStr">
        <is>
          <t>Código fuente (verificado)</t>
        </is>
      </c>
      <c r="R2145" s="18" t="inlineStr">
        <is>
          <t>Descripción de la remisión por competencia, como objeto JSON con los datos de la noticia remitida (numeroRadicado, origen, fechaRecepcion, territorial, dependenciaDenunciado, denunciante, disciplinable, hechos, conductas, fechaHechos, fechaCaducidad), más el total y los nombres de los archivos remitidos y la lista de autos y de actas y evidencias del proceso.</t>
        </is>
      </c>
      <c r="S2145" s="18" t="inlineStr">
        <is>
          <t>Alta</t>
        </is>
      </c>
      <c r="T2145" s="18" t="inlineStr">
        <is>
          <t>internal-disciplinary-control-service/src/services/news.service.ts:1355-1366: estructura de descripcionRemision | internal-disciplinary-control-service/src/controllers/process.controller.ts:1747-1759: datos de la noticia | internal-disciplinary-control-service/src/controllers/process.controller.ts:2098-2123: agrega totalArchivos, archivosRemitidos, autos y actasYEvidencias | db/migrations/173_add_descripcion_remision_column.sql:7: DEFAULT '[]'</t>
        </is>
      </c>
      <c r="U2145" s="18" t="inlineStr"/>
      <c r="V2145" s="19" t="inlineStr">
        <is>
          <t>Aprobada</t>
        </is>
      </c>
      <c r="W2145" s="19" t="inlineStr"/>
      <c r="X2145" s="19" t="inlineStr">
        <is>
          <t>Aldair González (aprobación en bloque)</t>
        </is>
      </c>
      <c r="Y2145" s="20" t="n">
        <v>46321</v>
      </c>
      <c r="Z2145" s="19" t="inlineStr">
        <is>
          <t>Nivel 3: verificada con el código de la aplicación.</t>
        </is>
      </c>
      <c r="AA2145" s="18">
        <f>IF(OR(V2145="Aprobada"),R2145,IF(AND(OR(V2145="Aprobada con ajuste",V2145="Rechazada"),W2145&lt;&gt;""),W2145,""))</f>
        <v/>
      </c>
    </row>
    <row r="2146">
      <c r="A2146" s="18" t="inlineStr">
        <is>
          <t>C2145</t>
        </is>
      </c>
      <c r="B2146" s="18" t="inlineStr">
        <is>
          <t>Control disciplinario interno</t>
        </is>
      </c>
      <c r="C2146" s="18" t="inlineStr">
        <is>
          <t>internal_disciplinary_control</t>
        </is>
      </c>
      <c r="D2146" s="18" t="inlineStr">
        <is>
          <t>disciplinary_news</t>
        </is>
      </c>
      <c r="E2146" s="18" t="n">
        <v>35</v>
      </c>
      <c r="F2146" s="18" t="inlineStr">
        <is>
          <t>radicador_id</t>
        </is>
      </c>
      <c r="G2146" s="18" t="inlineStr">
        <is>
          <t>uuid</t>
        </is>
      </c>
      <c r="H2146" s="18" t="inlineStr">
        <is>
          <t>Sí</t>
        </is>
      </c>
      <c r="I2146" s="18" t="inlineStr"/>
      <c r="J2146" s="18" t="inlineStr"/>
      <c r="K2146" s="18" t="inlineStr"/>
      <c r="L2146" s="18" t="inlineStr">
        <is>
          <t>No</t>
        </is>
      </c>
      <c r="M2146" s="18" t="inlineStr">
        <is>
          <t>No</t>
        </is>
      </c>
      <c r="N2146" s="18" t="inlineStr"/>
      <c r="O2146" s="18" t="inlineStr"/>
      <c r="P2146" s="18" t="inlineStr">
        <is>
          <t>Mapeada en internal-disciplinary-control-service/src/entities/disciplinary-news.entity.ts:108 (DisciplinaryNews.radicadorId) | Validación: IsOptional, IsString, IsUUID</t>
        </is>
      </c>
      <c r="Q2146" s="18" t="inlineStr">
        <is>
          <t>Código fuente (verificado)</t>
        </is>
      </c>
      <c r="R2146" s="18" t="inlineStr">
        <is>
          <t>Identificador del usuario que radicó la noticia disciplinaria: id_user de auth."user", tomado del formulario o del token de sesión.</t>
        </is>
      </c>
      <c r="S2146" s="18" t="inlineStr">
        <is>
          <t>Alta</t>
        </is>
      </c>
      <c r="T2146" s="18" t="inlineStr">
        <is>
          <t>internal-disciplinary-control-service/src/services/news.service.ts:161: radicadorId = createNewsDto.radicadorId || userId | internal-disciplinary-control-service/src/controllers/news.controller.ts:97: userId del token | internal-disciplinary-control-service/src/auth/jwt.strategy.ts:34: userId = payload.sub | internal-disciplinary-control-service/src/services/news.service.ts:205-216: se cruza con auth.user por id_user</t>
        </is>
      </c>
      <c r="U2146" s="18" t="inlineStr"/>
      <c r="V2146" s="19" t="inlineStr">
        <is>
          <t>Aprobada</t>
        </is>
      </c>
      <c r="W2146" s="19" t="inlineStr"/>
      <c r="X2146" s="19" t="inlineStr">
        <is>
          <t>Aldair González (aprobación en bloque)</t>
        </is>
      </c>
      <c r="Y2146" s="20" t="n">
        <v>46321</v>
      </c>
      <c r="Z2146" s="19" t="inlineStr">
        <is>
          <t>Nivel 3: verificada con el código de la aplicación.</t>
        </is>
      </c>
      <c r="AA2146" s="18">
        <f>IF(OR(V2146="Aprobada"),R2146,IF(AND(OR(V2146="Aprobada con ajuste",V2146="Rechazada"),W2146&lt;&gt;""),W2146,""))</f>
        <v/>
      </c>
    </row>
    <row r="2147">
      <c r="A2147" s="18" t="inlineStr">
        <is>
          <t>C2146</t>
        </is>
      </c>
      <c r="B2147" s="18" t="inlineStr">
        <is>
          <t>Control disciplinario interno</t>
        </is>
      </c>
      <c r="C2147" s="18" t="inlineStr">
        <is>
          <t>internal_disciplinary_control</t>
        </is>
      </c>
      <c r="D2147" s="18" t="inlineStr">
        <is>
          <t>disciplinary_news</t>
        </is>
      </c>
      <c r="E2147" s="18" t="n">
        <v>35</v>
      </c>
      <c r="F2147" s="18" t="inlineStr">
        <is>
          <t>conducta_disciplinaria</t>
        </is>
      </c>
      <c r="G2147" s="18" t="inlineStr">
        <is>
          <t>character varying(255)</t>
        </is>
      </c>
      <c r="H2147" s="18" t="inlineStr">
        <is>
          <t>Sí</t>
        </is>
      </c>
      <c r="I2147" s="18" t="inlineStr"/>
      <c r="J2147" s="18" t="inlineStr"/>
      <c r="K2147" s="18" t="inlineStr"/>
      <c r="L2147" s="18" t="inlineStr">
        <is>
          <t>No</t>
        </is>
      </c>
      <c r="M2147" s="18" t="inlineStr">
        <is>
          <t>No</t>
        </is>
      </c>
      <c r="N2147" s="18" t="inlineStr"/>
      <c r="O2147" s="18" t="inlineStr"/>
      <c r="P2147" s="18" t="inlineStr">
        <is>
          <t>db/migrations/220_add_conducta_column_disciplinary.sql:8: Conducta indisciplinaria seleccionada | Validación: IsString</t>
        </is>
      </c>
      <c r="Q2147" s="18" t="inlineStr">
        <is>
          <t>Código fuente</t>
        </is>
      </c>
      <c r="R2147" s="18" t="inlineStr">
        <is>
          <t>Conducta disciplinaria seleccionada para la noticia.</t>
        </is>
      </c>
      <c r="S2147" s="18" t="inlineStr">
        <is>
          <t>Alta</t>
        </is>
      </c>
      <c r="T2147" s="18" t="inlineStr">
        <is>
          <t>código: db/migrations/220_add_conducta_column_disciplinary.sql:8</t>
        </is>
      </c>
      <c r="U2147" s="18" t="inlineStr"/>
      <c r="V2147" s="19" t="inlineStr">
        <is>
          <t>Aprobada</t>
        </is>
      </c>
      <c r="W2147" s="19" t="inlineStr"/>
      <c r="X2147" s="19" t="inlineStr">
        <is>
          <t>Aldair González (aprobación en bloque)</t>
        </is>
      </c>
      <c r="Y2147" s="20" t="n">
        <v>46321</v>
      </c>
      <c r="Z2147" s="19" t="inlineStr">
        <is>
          <t>Nivel 1: propuesta del comentario del desarrollador o de confianza alta, o regla de fecha/responsable/motivo.</t>
        </is>
      </c>
      <c r="AA2147" s="18">
        <f>IF(OR(V2147="Aprobada"),R2147,IF(AND(OR(V2147="Aprobada con ajuste",V2147="Rechazada"),W2147&lt;&gt;""),W2147,""))</f>
        <v/>
      </c>
    </row>
    <row r="2148">
      <c r="A2148" s="18" t="inlineStr">
        <is>
          <t>C2147</t>
        </is>
      </c>
      <c r="B2148" s="18" t="inlineStr">
        <is>
          <t>Control disciplinario interno</t>
        </is>
      </c>
      <c r="C2148" s="18" t="inlineStr">
        <is>
          <t>internal_disciplinary_control</t>
        </is>
      </c>
      <c r="D2148" s="18" t="inlineStr">
        <is>
          <t>disciplinary_process_actuaciones</t>
        </is>
      </c>
      <c r="E2148" s="18" t="n">
        <v>148</v>
      </c>
      <c r="F2148" s="18" t="inlineStr">
        <is>
          <t>tipo</t>
        </is>
      </c>
      <c r="G2148" s="18" t="inlineStr">
        <is>
          <t>character varying(50)</t>
        </is>
      </c>
      <c r="H2148" s="18" t="inlineStr">
        <is>
          <t>No</t>
        </is>
      </c>
      <c r="I2148" s="18" t="inlineStr"/>
      <c r="J2148" s="18" t="inlineStr"/>
      <c r="K2148" s="18" t="inlineStr"/>
      <c r="L2148" s="18" t="inlineStr">
        <is>
          <t>No</t>
        </is>
      </c>
      <c r="M2148" s="18" t="inlineStr">
        <is>
          <t>No</t>
        </is>
      </c>
      <c r="N2148" s="18" t="inlineStr"/>
      <c r="O2148" s="18" t="inlineStr"/>
      <c r="P2148" s="18" t="inlineStr">
        <is>
          <t>Mapeada en internal-disciplinary-control-service/src/entities/disciplinary-process-actuacion.entity.ts:40 (DisciplinaryProcessActuacion.tipo) | Validación: IsEnum(TipoAlerta), IsEnum(TipoFestivo), IsNotEmpty, IsOptional, IsString, MaxLength(50)</t>
        </is>
      </c>
      <c r="Q2148" s="18" t="inlineStr">
        <is>
          <t>Regla estructural (redacción revisada)</t>
        </is>
      </c>
      <c r="R2148" s="18" t="inlineStr">
        <is>
          <t>Tipo de actuación del proceso disciplinario.</t>
        </is>
      </c>
      <c r="S2148" s="18" t="inlineStr">
        <is>
          <t>Alta</t>
        </is>
      </c>
      <c r="T2148" s="18" t="inlineStr">
        <is>
          <t>Convención de nombre, redactada con el contexto de la tabla y el código.</t>
        </is>
      </c>
      <c r="U2148" s="18" t="inlineStr"/>
      <c r="V2148" s="19" t="inlineStr">
        <is>
          <t>Aprobada</t>
        </is>
      </c>
      <c r="W2148" s="19" t="inlineStr"/>
      <c r="X2148" s="19" t="inlineStr">
        <is>
          <t>Aldair González (aprobación en bloque)</t>
        </is>
      </c>
      <c r="Y2148" s="20" t="n">
        <v>46321</v>
      </c>
      <c r="Z2148" s="19" t="inlineStr">
        <is>
          <t>Nivel 2: regla estructural con redacción revisada.</t>
        </is>
      </c>
      <c r="AA2148" s="18">
        <f>IF(OR(V2148="Aprobada"),R2148,IF(AND(OR(V2148="Aprobada con ajuste",V2148="Rechazada"),W2148&lt;&gt;""),W2148,""))</f>
        <v/>
      </c>
    </row>
    <row r="2149">
      <c r="A2149" s="18" t="inlineStr">
        <is>
          <t>C2148</t>
        </is>
      </c>
      <c r="B2149" s="18" t="inlineStr">
        <is>
          <t>Control disciplinario interno</t>
        </is>
      </c>
      <c r="C2149" s="18" t="inlineStr">
        <is>
          <t>internal_disciplinary_control</t>
        </is>
      </c>
      <c r="D2149" s="18" t="inlineStr">
        <is>
          <t>disciplinary_process_actuaciones</t>
        </is>
      </c>
      <c r="E2149" s="18" t="n">
        <v>148</v>
      </c>
      <c r="F2149" s="18" t="inlineStr">
        <is>
          <t>etapa</t>
        </is>
      </c>
      <c r="G2149" s="18" t="inlineStr">
        <is>
          <t>character varying(80)</t>
        </is>
      </c>
      <c r="H2149" s="18" t="inlineStr">
        <is>
          <t>Sí</t>
        </is>
      </c>
      <c r="I2149" s="18" t="inlineStr"/>
      <c r="J2149" s="18" t="inlineStr"/>
      <c r="K2149" s="18" t="inlineStr"/>
      <c r="L2149" s="18" t="inlineStr">
        <is>
          <t>No</t>
        </is>
      </c>
      <c r="M2149" s="18" t="inlineStr">
        <is>
          <t>No</t>
        </is>
      </c>
      <c r="N2149" s="18" t="inlineStr"/>
      <c r="O2149" s="18" t="inlineStr"/>
      <c r="P2149" s="18" t="inlineStr">
        <is>
          <t>Mapeada en internal-disciplinary-control-service/src/entities/disciplinary-process-actuacion.entity.ts:43 (DisciplinaryProcessActuacion.etapa) | Validación: IsOptional, IsString, MaxLength(80)</t>
        </is>
      </c>
      <c r="Q2149" s="18" t="inlineStr">
        <is>
          <t>Código fuente (verificado)</t>
        </is>
      </c>
      <c r="R2149" s="18" t="inlineStr">
        <is>
          <t>Etapa del proceso disciplinario en que se registra la actuación: la recibida en el formulario o, si no llega, la etapa actual del proceso (nombre de etapa de stage_configuration); para actuaciones de la noticia, RADICACION por defecto.</t>
        </is>
      </c>
      <c r="S2149" s="18" t="inlineStr">
        <is>
          <t>Alta</t>
        </is>
      </c>
      <c r="T2149" s="18" t="inlineStr">
        <is>
          <t>internal-disciplinary-control-service/src/services/disciplinary-process-actuaciones.service.ts:88: etapa = dto.etapa || process.etapaActual | internal-disciplinary-control-service/src/services/disciplinary-process-actuaciones.service.ts:108: etapa por defecto RADICACION | internal-disciplinary-control-service/src/services/process.service.ts:607-627: etapaActual toma el nombre de etapa de stage_configuration</t>
        </is>
      </c>
      <c r="U2149" s="18" t="inlineStr"/>
      <c r="V2149" s="19" t="inlineStr">
        <is>
          <t>Aprobada</t>
        </is>
      </c>
      <c r="W2149" s="19" t="inlineStr"/>
      <c r="X2149" s="19" t="inlineStr">
        <is>
          <t>Aldair González (aprobación en bloque)</t>
        </is>
      </c>
      <c r="Y2149" s="20" t="n">
        <v>46321</v>
      </c>
      <c r="Z2149" s="19" t="inlineStr">
        <is>
          <t>Nivel 3: verificada con el código de la aplicación.</t>
        </is>
      </c>
      <c r="AA2149" s="18">
        <f>IF(OR(V2149="Aprobada"),R2149,IF(AND(OR(V2149="Aprobada con ajuste",V2149="Rechazada"),W2149&lt;&gt;""),W2149,""))</f>
        <v/>
      </c>
    </row>
    <row r="2150">
      <c r="A2150" s="18" t="inlineStr">
        <is>
          <t>C2149</t>
        </is>
      </c>
      <c r="B2150" s="18" t="inlineStr">
        <is>
          <t>Control disciplinario interno</t>
        </is>
      </c>
      <c r="C2150" s="18" t="inlineStr">
        <is>
          <t>internal_disciplinary_control</t>
        </is>
      </c>
      <c r="D2150" s="18" t="inlineStr">
        <is>
          <t>disciplinary_process_actuaciones</t>
        </is>
      </c>
      <c r="E2150" s="18" t="n">
        <v>148</v>
      </c>
      <c r="F2150" s="18" t="inlineStr">
        <is>
          <t>descripcion</t>
        </is>
      </c>
      <c r="G2150" s="18" t="inlineStr">
        <is>
          <t>text</t>
        </is>
      </c>
      <c r="H2150" s="18" t="inlineStr">
        <is>
          <t>No</t>
        </is>
      </c>
      <c r="I2150" s="18" t="inlineStr"/>
      <c r="J2150" s="18" t="inlineStr"/>
      <c r="K2150" s="18" t="inlineStr"/>
      <c r="L2150" s="18" t="inlineStr">
        <is>
          <t>No</t>
        </is>
      </c>
      <c r="M2150" s="18" t="inlineStr">
        <is>
          <t>No</t>
        </is>
      </c>
      <c r="N2150" s="18" t="inlineStr"/>
      <c r="O2150" s="18" t="inlineStr"/>
      <c r="P2150" s="18" t="inlineStr">
        <is>
          <t>Mapeada en internal-disciplinary-control-service/src/entities/disciplinary-process-actuacion.entity.ts:46 (DisciplinaryProcessActuacion.descripcion) | Validación: IsNotEmpty, IsObject, IsOptional, IsString</t>
        </is>
      </c>
      <c r="Q2150" s="18" t="inlineStr">
        <is>
          <t>Regla estructural (redacción revisada)</t>
        </is>
      </c>
      <c r="R2150" s="18" t="inlineStr">
        <is>
          <t>Descripción de la actuación del proceso disciplinario.</t>
        </is>
      </c>
      <c r="S2150" s="18" t="inlineStr">
        <is>
          <t>Alta</t>
        </is>
      </c>
      <c r="T2150" s="18" t="inlineStr">
        <is>
          <t>Convención de nombre, redactada con el contexto de la tabla y el código.</t>
        </is>
      </c>
      <c r="U2150" s="18" t="inlineStr"/>
      <c r="V2150" s="19" t="inlineStr">
        <is>
          <t>Aprobada</t>
        </is>
      </c>
      <c r="W2150" s="19" t="inlineStr"/>
      <c r="X2150" s="19" t="inlineStr">
        <is>
          <t>Aldair González (aprobación en bloque)</t>
        </is>
      </c>
      <c r="Y2150" s="20" t="n">
        <v>46321</v>
      </c>
      <c r="Z2150" s="19" t="inlineStr">
        <is>
          <t>Nivel 2: regla estructural con redacción revisada.</t>
        </is>
      </c>
      <c r="AA2150" s="18">
        <f>IF(OR(V2150="Aprobada"),R2150,IF(AND(OR(V2150="Aprobada con ajuste",V2150="Rechazada"),W2150&lt;&gt;""),W2150,""))</f>
        <v/>
      </c>
    </row>
    <row r="2151">
      <c r="A2151" s="18" t="inlineStr">
        <is>
          <t>C2150</t>
        </is>
      </c>
      <c r="B2151" s="18" t="inlineStr">
        <is>
          <t>Control disciplinario interno</t>
        </is>
      </c>
      <c r="C2151" s="18" t="inlineStr">
        <is>
          <t>internal_disciplinary_control</t>
        </is>
      </c>
      <c r="D2151" s="18" t="inlineStr">
        <is>
          <t>disciplinary_process_actuaciones</t>
        </is>
      </c>
      <c r="E2151" s="18" t="n">
        <v>148</v>
      </c>
      <c r="F2151" s="18" t="inlineStr">
        <is>
          <t>responsableNombre</t>
        </is>
      </c>
      <c r="G2151" s="18" t="inlineStr">
        <is>
          <t>character varying(255)</t>
        </is>
      </c>
      <c r="H2151" s="18" t="inlineStr">
        <is>
          <t>No</t>
        </is>
      </c>
      <c r="I2151" s="18" t="inlineStr"/>
      <c r="J2151" s="18" t="inlineStr"/>
      <c r="K2151" s="18" t="inlineStr"/>
      <c r="L2151" s="18" t="inlineStr">
        <is>
          <t>No</t>
        </is>
      </c>
      <c r="M2151" s="18" t="inlineStr">
        <is>
          <t>No</t>
        </is>
      </c>
      <c r="N2151" s="18" t="inlineStr"/>
      <c r="O2151" s="18" t="inlineStr"/>
      <c r="P2151" s="18" t="inlineStr">
        <is>
          <t>Mapeada en internal-disciplinary-control-service/src/entities/disciplinary-process-actuacion.entity.ts:49 (DisciplinaryProcessActuacion.responsableNombre) | Validación: IsNotEmpty, IsOptional, IsString, MaxLength(255)</t>
        </is>
      </c>
      <c r="Q2151" s="18" t="inlineStr">
        <is>
          <t>Propuesta semántica</t>
        </is>
      </c>
      <c r="R2151" s="18" t="inlineStr">
        <is>
          <t>Nombre del responsable de la actuación.</t>
        </is>
      </c>
      <c r="S2151" s="18" t="inlineStr">
        <is>
          <t>Alta</t>
        </is>
      </c>
      <c r="T2151" s="18" t="inlineStr">
        <is>
          <t>nombre + tipo + columnas vecinas</t>
        </is>
      </c>
      <c r="U2151" s="18" t="inlineStr"/>
      <c r="V2151" s="19" t="inlineStr">
        <is>
          <t>Aprobada</t>
        </is>
      </c>
      <c r="W2151" s="19" t="inlineStr"/>
      <c r="X2151" s="19" t="inlineStr">
        <is>
          <t>Aldair González (aprobación en bloque)</t>
        </is>
      </c>
      <c r="Y2151" s="20" t="n">
        <v>46321</v>
      </c>
      <c r="Z2151" s="19" t="inlineStr">
        <is>
          <t>Nivel 1: propuesta del comentario del desarrollador o de confianza alta, o regla de fecha/responsable/motivo.</t>
        </is>
      </c>
      <c r="AA2151" s="18">
        <f>IF(OR(V2151="Aprobada"),R2151,IF(AND(OR(V2151="Aprobada con ajuste",V2151="Rechazada"),W2151&lt;&gt;""),W2151,""))</f>
        <v/>
      </c>
    </row>
    <row r="2152">
      <c r="A2152" s="18" t="inlineStr">
        <is>
          <t>C2151</t>
        </is>
      </c>
      <c r="B2152" s="18" t="inlineStr">
        <is>
          <t>Control disciplinario interno</t>
        </is>
      </c>
      <c r="C2152" s="18" t="inlineStr">
        <is>
          <t>internal_disciplinary_control</t>
        </is>
      </c>
      <c r="D2152" s="18" t="inlineStr">
        <is>
          <t>disciplinary_process_actuaciones</t>
        </is>
      </c>
      <c r="E2152" s="18" t="n">
        <v>148</v>
      </c>
      <c r="F2152" s="18" t="inlineStr">
        <is>
          <t>fechaActuacion</t>
        </is>
      </c>
      <c r="G2152" s="18" t="inlineStr">
        <is>
          <t>timestamp with time zone</t>
        </is>
      </c>
      <c r="H2152" s="18" t="inlineStr">
        <is>
          <t>No</t>
        </is>
      </c>
      <c r="I2152" s="18" t="inlineStr"/>
      <c r="J2152" s="18" t="inlineStr"/>
      <c r="K2152" s="18" t="inlineStr"/>
      <c r="L2152" s="18" t="inlineStr">
        <is>
          <t>No</t>
        </is>
      </c>
      <c r="M2152" s="18" t="inlineStr">
        <is>
          <t>No</t>
        </is>
      </c>
      <c r="N2152" s="18" t="inlineStr"/>
      <c r="O2152" s="18" t="inlineStr">
        <is>
          <t>idx_disciplinary_process_actuaciones_fecha</t>
        </is>
      </c>
      <c r="P2152" s="18" t="inlineStr">
        <is>
          <t>Mapeada en internal-disciplinary-control-service/src/entities/disciplinary-process-actuacion.entity.ts:52 (DisciplinaryProcessActuacion.fechaActuacion) | Validación: IsDateString, IsNotEmpty</t>
        </is>
      </c>
      <c r="Q2152" s="18" t="inlineStr">
        <is>
          <t>Propuesta semántica</t>
        </is>
      </c>
      <c r="R2152" s="18" t="inlineStr">
        <is>
          <t>Fecha y hora de la actuación; por defecto, la del registro.</t>
        </is>
      </c>
      <c r="S2152" s="18" t="inlineStr">
        <is>
          <t>Alta</t>
        </is>
      </c>
      <c r="T2152" s="18" t="inlineStr">
        <is>
          <t>nombre + defecto CURRENT_TIMESTAMP</t>
        </is>
      </c>
      <c r="U2152" s="18" t="inlineStr"/>
      <c r="V2152" s="19" t="inlineStr">
        <is>
          <t>Aprobada</t>
        </is>
      </c>
      <c r="W2152" s="19" t="inlineStr"/>
      <c r="X2152" s="19" t="inlineStr">
        <is>
          <t>Aldair González (aprobación en bloque)</t>
        </is>
      </c>
      <c r="Y2152" s="20" t="n">
        <v>46321</v>
      </c>
      <c r="Z2152" s="19" t="inlineStr">
        <is>
          <t>Nivel 1: propuesta del comentario del desarrollador o de confianza alta, o regla de fecha/responsable/motivo.</t>
        </is>
      </c>
      <c r="AA2152" s="18">
        <f>IF(OR(V2152="Aprobada"),R2152,IF(AND(OR(V2152="Aprobada con ajuste",V2152="Rechazada"),W2152&lt;&gt;""),W2152,""))</f>
        <v/>
      </c>
    </row>
    <row r="2153">
      <c r="A2153" s="18" t="inlineStr">
        <is>
          <t>C2152</t>
        </is>
      </c>
      <c r="B2153" s="18" t="inlineStr">
        <is>
          <t>Control disciplinario interno</t>
        </is>
      </c>
      <c r="C2153" s="18" t="inlineStr">
        <is>
          <t>internal_disciplinary_control</t>
        </is>
      </c>
      <c r="D2153" s="18" t="inlineStr">
        <is>
          <t>disciplinary_process_actuaciones</t>
        </is>
      </c>
      <c r="E2153" s="18" t="n">
        <v>148</v>
      </c>
      <c r="F2153" s="18" t="inlineStr">
        <is>
          <t>observaciones</t>
        </is>
      </c>
      <c r="G2153" s="18" t="inlineStr">
        <is>
          <t>text</t>
        </is>
      </c>
      <c r="H2153" s="18" t="inlineStr">
        <is>
          <t>Sí</t>
        </is>
      </c>
      <c r="I2153" s="18" t="inlineStr"/>
      <c r="J2153" s="18" t="inlineStr"/>
      <c r="K2153" s="18" t="inlineStr"/>
      <c r="L2153" s="18" t="inlineStr">
        <is>
          <t>No</t>
        </is>
      </c>
      <c r="M2153" s="18" t="inlineStr">
        <is>
          <t>No</t>
        </is>
      </c>
      <c r="N2153" s="18" t="inlineStr"/>
      <c r="O2153" s="18" t="inlineStr"/>
      <c r="P2153" s="18" t="inlineStr">
        <is>
          <t>Mapeada en internal-disciplinary-control-service/src/entities/disciplinary-process-actuacion.entity.ts:55 (DisciplinaryProcessActuacion.observaciones) | Validación: IsNotEmpty, IsOptional, IsString</t>
        </is>
      </c>
      <c r="Q2153" s="18" t="inlineStr">
        <is>
          <t>Regla estructural (redacción revisada)</t>
        </is>
      </c>
      <c r="R2153" s="18" t="inlineStr">
        <is>
          <t>Observaciones sobre la actuación.</t>
        </is>
      </c>
      <c r="S2153" s="18" t="inlineStr">
        <is>
          <t>Alta</t>
        </is>
      </c>
      <c r="T2153" s="18" t="inlineStr">
        <is>
          <t>Convención de nombre, redactada con el contexto de la tabla y el código.</t>
        </is>
      </c>
      <c r="U2153" s="18" t="inlineStr"/>
      <c r="V2153" s="19" t="inlineStr">
        <is>
          <t>Aprobada</t>
        </is>
      </c>
      <c r="W2153" s="19" t="inlineStr"/>
      <c r="X2153" s="19" t="inlineStr">
        <is>
          <t>Aldair González (aprobación en bloque)</t>
        </is>
      </c>
      <c r="Y2153" s="20" t="n">
        <v>46321</v>
      </c>
      <c r="Z2153" s="19" t="inlineStr">
        <is>
          <t>Nivel 2: regla estructural con redacción revisada.</t>
        </is>
      </c>
      <c r="AA2153" s="18">
        <f>IF(OR(V2153="Aprobada"),R2153,IF(AND(OR(V2153="Aprobada con ajuste",V2153="Rechazada"),W2153&lt;&gt;""),W2153,""))</f>
        <v/>
      </c>
    </row>
    <row r="2154">
      <c r="A2154" s="18" t="inlineStr">
        <is>
          <t>C2153</t>
        </is>
      </c>
      <c r="B2154" s="18" t="inlineStr">
        <is>
          <t>Control disciplinario interno</t>
        </is>
      </c>
      <c r="C2154" s="18" t="inlineStr">
        <is>
          <t>internal_disciplinary_control</t>
        </is>
      </c>
      <c r="D2154" s="18" t="inlineStr">
        <is>
          <t>disciplinary_process_notes</t>
        </is>
      </c>
      <c r="E2154" s="18" t="n">
        <v>14</v>
      </c>
      <c r="F2154" s="18" t="inlineStr">
        <is>
          <t>texto</t>
        </is>
      </c>
      <c r="G2154" s="18" t="inlineStr">
        <is>
          <t>text</t>
        </is>
      </c>
      <c r="H2154" s="18" t="inlineStr">
        <is>
          <t>No</t>
        </is>
      </c>
      <c r="I2154" s="18" t="inlineStr"/>
      <c r="J2154" s="18" t="inlineStr"/>
      <c r="K2154" s="18" t="inlineStr"/>
      <c r="L2154" s="18" t="inlineStr">
        <is>
          <t>No</t>
        </is>
      </c>
      <c r="M2154" s="18" t="inlineStr">
        <is>
          <t>No</t>
        </is>
      </c>
      <c r="N2154" s="18" t="inlineStr"/>
      <c r="O2154" s="18" t="inlineStr"/>
      <c r="P2154" s="18" t="inlineStr">
        <is>
          <t>Mapeada en internal-disciplinary-control-service/src/entities/disciplinary-process-note.entity.ts:26 (DisciplinaryProcessNote.texto) | Validación: IsNotEmpty, IsString</t>
        </is>
      </c>
      <c r="Q2154" s="18" t="inlineStr">
        <is>
          <t>Propuesta semántica</t>
        </is>
      </c>
      <c r="R2154" s="18" t="inlineStr">
        <is>
          <t>Texto de la nota del proceso disciplinario.</t>
        </is>
      </c>
      <c r="S2154" s="18" t="inlineStr">
        <is>
          <t>Alta</t>
        </is>
      </c>
      <c r="T2154" s="18" t="inlineStr">
        <is>
          <t>nombre + tipo + columnas vecinas</t>
        </is>
      </c>
      <c r="U2154" s="18" t="inlineStr"/>
      <c r="V2154" s="19" t="inlineStr">
        <is>
          <t>Aprobada</t>
        </is>
      </c>
      <c r="W2154" s="19" t="inlineStr"/>
      <c r="X2154" s="19" t="inlineStr">
        <is>
          <t>Aldair González (aprobación en bloque)</t>
        </is>
      </c>
      <c r="Y2154" s="20" t="n">
        <v>46321</v>
      </c>
      <c r="Z2154" s="19" t="inlineStr">
        <is>
          <t>Nivel 1: propuesta del comentario del desarrollador o de confianza alta, o regla de fecha/responsable/motivo.</t>
        </is>
      </c>
      <c r="AA2154" s="18">
        <f>IF(OR(V2154="Aprobada"),R2154,IF(AND(OR(V2154="Aprobada con ajuste",V2154="Rechazada"),W2154&lt;&gt;""),W2154,""))</f>
        <v/>
      </c>
    </row>
    <row r="2155">
      <c r="A2155" s="18" t="inlineStr">
        <is>
          <t>C2154</t>
        </is>
      </c>
      <c r="B2155" s="18" t="inlineStr">
        <is>
          <t>Control disciplinario interno</t>
        </is>
      </c>
      <c r="C2155" s="18" t="inlineStr">
        <is>
          <t>internal_disciplinary_control</t>
        </is>
      </c>
      <c r="D2155" s="18" t="inlineStr">
        <is>
          <t>disciplinary_process_notes</t>
        </is>
      </c>
      <c r="E2155" s="18" t="n">
        <v>14</v>
      </c>
      <c r="F2155" s="18" t="inlineStr">
        <is>
          <t>etapa</t>
        </is>
      </c>
      <c r="G2155" s="18" t="inlineStr">
        <is>
          <t>character varying(80)</t>
        </is>
      </c>
      <c r="H2155" s="18" t="inlineStr">
        <is>
          <t>Sí</t>
        </is>
      </c>
      <c r="I2155" s="18" t="inlineStr"/>
      <c r="J2155" s="18" t="inlineStr"/>
      <c r="K2155" s="18" t="inlineStr"/>
      <c r="L2155" s="18" t="inlineStr">
        <is>
          <t>No</t>
        </is>
      </c>
      <c r="M2155" s="18" t="inlineStr">
        <is>
          <t>No</t>
        </is>
      </c>
      <c r="N2155" s="18" t="inlineStr"/>
      <c r="O2155" s="18" t="inlineStr"/>
      <c r="P2155" s="18" t="inlineStr">
        <is>
          <t>Mapeada en internal-disciplinary-control-service/src/entities/disciplinary-process-note.entity.ts:29 (DisciplinaryProcessNote.etapa) | Validación: IsOptional, IsString, MaxLength(80)</t>
        </is>
      </c>
      <c r="Q2155" s="18" t="inlineStr">
        <is>
          <t>Código fuente (verificado)</t>
        </is>
      </c>
      <c r="R2155" s="18" t="inlineStr">
        <is>
          <t>Etapa del proceso disciplinario a la que corresponde la nota: la recibida en el formulario o, si no llega, la etapa actual del proceso (nombre de etapa de stage_configuration).</t>
        </is>
      </c>
      <c r="S2155" s="18" t="inlineStr">
        <is>
          <t>Alta</t>
        </is>
      </c>
      <c r="T2155" s="18" t="inlineStr">
        <is>
          <t>internal-disciplinary-control-service/src/services/disciplinary-process-notes.service.ts:39: etapa = dto.etapa || process.etapaActual | internal-disciplinary-control-service/src/services/process.service.ts:607-627: etapaActual toma el nombre de etapa de stage_configuration</t>
        </is>
      </c>
      <c r="U2155" s="18" t="inlineStr"/>
      <c r="V2155" s="19" t="inlineStr">
        <is>
          <t>Aprobada</t>
        </is>
      </c>
      <c r="W2155" s="19" t="inlineStr"/>
      <c r="X2155" s="19" t="inlineStr">
        <is>
          <t>Aldair González (aprobación en bloque)</t>
        </is>
      </c>
      <c r="Y2155" s="20" t="n">
        <v>46321</v>
      </c>
      <c r="Z2155" s="19" t="inlineStr">
        <is>
          <t>Nivel 3: verificada con el código de la aplicación.</t>
        </is>
      </c>
      <c r="AA2155" s="18">
        <f>IF(OR(V2155="Aprobada"),R2155,IF(AND(OR(V2155="Aprobada con ajuste",V2155="Rechazada"),W2155&lt;&gt;""),W2155,""))</f>
        <v/>
      </c>
    </row>
    <row r="2156">
      <c r="A2156" s="18" t="inlineStr">
        <is>
          <t>C2155</t>
        </is>
      </c>
      <c r="B2156" s="18" t="inlineStr">
        <is>
          <t>Control disciplinario interno</t>
        </is>
      </c>
      <c r="C2156" s="18" t="inlineStr">
        <is>
          <t>internal_disciplinary_control</t>
        </is>
      </c>
      <c r="D2156" s="18" t="inlineStr">
        <is>
          <t>disciplinary_process_reassignment_requests</t>
        </is>
      </c>
      <c r="E2156" s="18" t="n">
        <v>24</v>
      </c>
      <c r="F2156" s="18" t="inlineStr">
        <is>
          <t>was_initially_unassigned</t>
        </is>
      </c>
      <c r="G2156" s="18" t="inlineStr">
        <is>
          <t>boolean</t>
        </is>
      </c>
      <c r="H2156" s="18" t="inlineStr">
        <is>
          <t>Sí</t>
        </is>
      </c>
      <c r="I2156" s="18" t="inlineStr"/>
      <c r="J2156" s="18" t="inlineStr"/>
      <c r="K2156" s="18" t="inlineStr"/>
      <c r="L2156" s="18" t="inlineStr">
        <is>
          <t>No</t>
        </is>
      </c>
      <c r="M2156" s="18" t="inlineStr">
        <is>
          <t>No</t>
        </is>
      </c>
      <c r="N2156" s="18" t="inlineStr"/>
      <c r="O2156" s="18" t="inlineStr"/>
      <c r="P2156" s="18" t="inlineStr">
        <is>
          <t>Mapeada en internal-disciplinary-control-service/src/entities/disciplinary-process-reassignment-request.entity.ts:45 (DisciplinaryProcessReassignmentRequest.wasInitiallyUnassigned)</t>
        </is>
      </c>
      <c r="Q2156" s="18" t="inlineStr">
        <is>
          <t>Regla estructural (redacción revisada)</t>
        </is>
      </c>
      <c r="R2156" s="18" t="inlineStr">
        <is>
          <t>Indica si el proceso no tenía profesional asignado al momento de la solicitud de reasignación.</t>
        </is>
      </c>
      <c r="S2156" s="18" t="inlineStr">
        <is>
          <t>Alta</t>
        </is>
      </c>
      <c r="T2156" s="18" t="inlineStr">
        <is>
          <t>Convención de nombre, redactada con el contexto de la tabla y el código.</t>
        </is>
      </c>
      <c r="U2156" s="18" t="inlineStr"/>
      <c r="V2156" s="19" t="inlineStr">
        <is>
          <t>Aprobada</t>
        </is>
      </c>
      <c r="W2156" s="19" t="inlineStr"/>
      <c r="X2156" s="19" t="inlineStr">
        <is>
          <t>Aldair González (aprobación en bloque)</t>
        </is>
      </c>
      <c r="Y2156" s="20" t="n">
        <v>46321</v>
      </c>
      <c r="Z2156" s="19" t="inlineStr">
        <is>
          <t>Nivel 2: regla estructural con redacción revisada.</t>
        </is>
      </c>
      <c r="AA2156" s="18">
        <f>IF(OR(V2156="Aprobada"),R2156,IF(AND(OR(V2156="Aprobada con ajuste",V2156="Rechazada"),W2156&lt;&gt;""),W2156,""))</f>
        <v/>
      </c>
    </row>
    <row r="2157">
      <c r="A2157" s="18" t="inlineStr">
        <is>
          <t>C2156</t>
        </is>
      </c>
      <c r="B2157" s="18" t="inlineStr">
        <is>
          <t>Control disciplinario interno</t>
        </is>
      </c>
      <c r="C2157" s="18" t="inlineStr">
        <is>
          <t>internal_disciplinary_control</t>
        </is>
      </c>
      <c r="D2157" s="18" t="inlineStr">
        <is>
          <t>disciplinary_process_tasks</t>
        </is>
      </c>
      <c r="E2157" s="18" t="n">
        <v>15</v>
      </c>
      <c r="F2157" s="18" t="inlineStr">
        <is>
          <t>titulo</t>
        </is>
      </c>
      <c r="G2157" s="18" t="inlineStr">
        <is>
          <t>character varying(255)</t>
        </is>
      </c>
      <c r="H2157" s="18" t="inlineStr">
        <is>
          <t>No</t>
        </is>
      </c>
      <c r="I2157" s="18" t="inlineStr"/>
      <c r="J2157" s="18" t="inlineStr"/>
      <c r="K2157" s="18" t="inlineStr"/>
      <c r="L2157" s="18" t="inlineStr">
        <is>
          <t>No</t>
        </is>
      </c>
      <c r="M2157" s="18" t="inlineStr">
        <is>
          <t>No</t>
        </is>
      </c>
      <c r="N2157" s="18" t="inlineStr"/>
      <c r="O2157" s="18" t="inlineStr"/>
      <c r="P2157" s="18" t="inlineStr">
        <is>
          <t>Mapeada en internal-disciplinary-control-service/src/entities/disciplinary-process-task.entity.ts:26 (DisciplinaryProcessTask.titulo) | Validación: IsNotEmpty, IsString, MaxLength(255)</t>
        </is>
      </c>
      <c r="Q2157" s="18" t="inlineStr">
        <is>
          <t>Propuesta semántica</t>
        </is>
      </c>
      <c r="R2157" s="18" t="inlineStr">
        <is>
          <t>Título de la tarea del proceso disciplinario.</t>
        </is>
      </c>
      <c r="S2157" s="18" t="inlineStr">
        <is>
          <t>Alta</t>
        </is>
      </c>
      <c r="T2157" s="18" t="inlineStr">
        <is>
          <t>nombre + tipo + columnas vecinas</t>
        </is>
      </c>
      <c r="U2157" s="18" t="inlineStr"/>
      <c r="V2157" s="19" t="inlineStr">
        <is>
          <t>Aprobada</t>
        </is>
      </c>
      <c r="W2157" s="19" t="inlineStr"/>
      <c r="X2157" s="19" t="inlineStr">
        <is>
          <t>Aldair González (aprobación en bloque)</t>
        </is>
      </c>
      <c r="Y2157" s="20" t="n">
        <v>46321</v>
      </c>
      <c r="Z2157" s="19" t="inlineStr">
        <is>
          <t>Nivel 1: propuesta del comentario del desarrollador o de confianza alta, o regla de fecha/responsable/motivo.</t>
        </is>
      </c>
      <c r="AA2157" s="18">
        <f>IF(OR(V2157="Aprobada"),R2157,IF(AND(OR(V2157="Aprobada con ajuste",V2157="Rechazada"),W2157&lt;&gt;""),W2157,""))</f>
        <v/>
      </c>
    </row>
    <row r="2158">
      <c r="A2158" s="18" t="inlineStr">
        <is>
          <t>C2157</t>
        </is>
      </c>
      <c r="B2158" s="18" t="inlineStr">
        <is>
          <t>Control disciplinario interno</t>
        </is>
      </c>
      <c r="C2158" s="18" t="inlineStr">
        <is>
          <t>internal_disciplinary_control</t>
        </is>
      </c>
      <c r="D2158" s="18" t="inlineStr">
        <is>
          <t>disciplinary_process_tasks</t>
        </is>
      </c>
      <c r="E2158" s="18" t="n">
        <v>15</v>
      </c>
      <c r="F2158" s="18" t="inlineStr">
        <is>
          <t>descripcion</t>
        </is>
      </c>
      <c r="G2158" s="18" t="inlineStr">
        <is>
          <t>text</t>
        </is>
      </c>
      <c r="H2158" s="18" t="inlineStr">
        <is>
          <t>Sí</t>
        </is>
      </c>
      <c r="I2158" s="18" t="inlineStr"/>
      <c r="J2158" s="18" t="inlineStr"/>
      <c r="K2158" s="18" t="inlineStr"/>
      <c r="L2158" s="18" t="inlineStr">
        <is>
          <t>No</t>
        </is>
      </c>
      <c r="M2158" s="18" t="inlineStr">
        <is>
          <t>No</t>
        </is>
      </c>
      <c r="N2158" s="18" t="inlineStr"/>
      <c r="O2158" s="18" t="inlineStr"/>
      <c r="P2158" s="18" t="inlineStr">
        <is>
          <t>Mapeada en internal-disciplinary-control-service/src/entities/disciplinary-process-task.entity.ts:29 (DisciplinaryProcessTask.descripcion) | Validación: IsNotEmpty, IsObject, IsOptional, IsString</t>
        </is>
      </c>
      <c r="Q2158" s="18" t="inlineStr">
        <is>
          <t>Regla estructural (redacción revisada)</t>
        </is>
      </c>
      <c r="R2158" s="18" t="inlineStr">
        <is>
          <t>Descripción de la tarea del proceso disciplinario.</t>
        </is>
      </c>
      <c r="S2158" s="18" t="inlineStr">
        <is>
          <t>Alta</t>
        </is>
      </c>
      <c r="T2158" s="18" t="inlineStr">
        <is>
          <t>Convención de nombre, redactada con el contexto de la tabla y el código.</t>
        </is>
      </c>
      <c r="U2158" s="18" t="inlineStr"/>
      <c r="V2158" s="19" t="inlineStr">
        <is>
          <t>Aprobada</t>
        </is>
      </c>
      <c r="W2158" s="19" t="inlineStr"/>
      <c r="X2158" s="19" t="inlineStr">
        <is>
          <t>Aldair González (aprobación en bloque)</t>
        </is>
      </c>
      <c r="Y2158" s="20" t="n">
        <v>46321</v>
      </c>
      <c r="Z2158" s="19" t="inlineStr">
        <is>
          <t>Nivel 2: regla estructural con redacción revisada.</t>
        </is>
      </c>
      <c r="AA2158" s="18">
        <f>IF(OR(V2158="Aprobada"),R2158,IF(AND(OR(V2158="Aprobada con ajuste",V2158="Rechazada"),W2158&lt;&gt;""),W2158,""))</f>
        <v/>
      </c>
    </row>
    <row r="2159">
      <c r="A2159" s="18" t="inlineStr">
        <is>
          <t>C2158</t>
        </is>
      </c>
      <c r="B2159" s="18" t="inlineStr">
        <is>
          <t>Control disciplinario interno</t>
        </is>
      </c>
      <c r="C2159" s="18" t="inlineStr">
        <is>
          <t>internal_disciplinary_control</t>
        </is>
      </c>
      <c r="D2159" s="18" t="inlineStr">
        <is>
          <t>disciplinary_process_tasks</t>
        </is>
      </c>
      <c r="E2159" s="18" t="n">
        <v>15</v>
      </c>
      <c r="F2159" s="18" t="inlineStr">
        <is>
          <t>prioridad</t>
        </is>
      </c>
      <c r="G2159" s="18" t="inlineStr">
        <is>
          <t>character varying(20)</t>
        </is>
      </c>
      <c r="H2159" s="18" t="inlineStr">
        <is>
          <t>No</t>
        </is>
      </c>
      <c r="I2159" s="18" t="inlineStr"/>
      <c r="J2159" s="18" t="inlineStr"/>
      <c r="K2159" s="18" t="inlineStr"/>
      <c r="L2159" s="18" t="inlineStr">
        <is>
          <t>No</t>
        </is>
      </c>
      <c r="M2159" s="18" t="inlineStr">
        <is>
          <t>No</t>
        </is>
      </c>
      <c r="N2159" s="18" t="inlineStr"/>
      <c r="O2159" s="18" t="inlineStr"/>
      <c r="P2159" s="18" t="inlineStr">
        <is>
          <t>Mapeada en internal-disciplinary-control-service/src/entities/disciplinary-process-task.entity.ts:32 (DisciplinaryProcessTask.prioridad) | Validación: IsIn(['alta', 'media', 'baja']), IsString</t>
        </is>
      </c>
      <c r="Q2159" s="18" t="inlineStr">
        <is>
          <t>Propuesta semántica</t>
        </is>
      </c>
      <c r="R2159" s="18" t="inlineStr">
        <is>
          <t>Prioridad de la tarea. Valores permitidos: alta, media, baja.</t>
        </is>
      </c>
      <c r="S2159" s="18" t="inlineStr">
        <is>
          <t>Alta</t>
        </is>
      </c>
      <c r="T2159" s="18" t="inlineStr">
        <is>
          <t>validación IsIn + defecto</t>
        </is>
      </c>
      <c r="U2159" s="18" t="inlineStr"/>
      <c r="V2159" s="19" t="inlineStr">
        <is>
          <t>Aprobada</t>
        </is>
      </c>
      <c r="W2159" s="19" t="inlineStr"/>
      <c r="X2159" s="19" t="inlineStr">
        <is>
          <t>Aldair González (aprobación en bloque)</t>
        </is>
      </c>
      <c r="Y2159" s="20" t="n">
        <v>46321</v>
      </c>
      <c r="Z2159" s="19" t="inlineStr">
        <is>
          <t>Nivel 1: propuesta del comentario del desarrollador o de confianza alta, o regla de fecha/responsable/motivo.</t>
        </is>
      </c>
      <c r="AA2159" s="18">
        <f>IF(OR(V2159="Aprobada"),R2159,IF(AND(OR(V2159="Aprobada con ajuste",V2159="Rechazada"),W2159&lt;&gt;""),W2159,""))</f>
        <v/>
      </c>
    </row>
    <row r="2160">
      <c r="A2160" s="18" t="inlineStr">
        <is>
          <t>C2159</t>
        </is>
      </c>
      <c r="B2160" s="18" t="inlineStr">
        <is>
          <t>Control disciplinario interno</t>
        </is>
      </c>
      <c r="C2160" s="18" t="inlineStr">
        <is>
          <t>internal_disciplinary_control</t>
        </is>
      </c>
      <c r="D2160" s="18" t="inlineStr">
        <is>
          <t>disciplinary_process_tasks</t>
        </is>
      </c>
      <c r="E2160" s="18" t="n">
        <v>15</v>
      </c>
      <c r="F2160" s="18" t="inlineStr">
        <is>
          <t>etapa</t>
        </is>
      </c>
      <c r="G2160" s="18" t="inlineStr">
        <is>
          <t>character varying(80)</t>
        </is>
      </c>
      <c r="H2160" s="18" t="inlineStr">
        <is>
          <t>Sí</t>
        </is>
      </c>
      <c r="I2160" s="18" t="inlineStr"/>
      <c r="J2160" s="18" t="inlineStr"/>
      <c r="K2160" s="18" t="inlineStr"/>
      <c r="L2160" s="18" t="inlineStr">
        <is>
          <t>No</t>
        </is>
      </c>
      <c r="M2160" s="18" t="inlineStr">
        <is>
          <t>No</t>
        </is>
      </c>
      <c r="N2160" s="18" t="inlineStr"/>
      <c r="O2160" s="18" t="inlineStr"/>
      <c r="P2160" s="18" t="inlineStr">
        <is>
          <t>Mapeada en internal-disciplinary-control-service/src/entities/disciplinary-process-task.entity.ts:35 (DisciplinaryProcessTask.etapa) | Validación: IsOptional, IsString, MaxLength(80)</t>
        </is>
      </c>
      <c r="Q2160" s="18" t="inlineStr">
        <is>
          <t>Código fuente (verificado)</t>
        </is>
      </c>
      <c r="R2160" s="18" t="inlineStr">
        <is>
          <t>Etapa del proceso disciplinario a la que corresponde la tarea: la recibida en el formulario o, si no llega, la etapa actual del proceso (nombre de etapa de stage_configuration).</t>
        </is>
      </c>
      <c r="S2160" s="18" t="inlineStr">
        <is>
          <t>Alta</t>
        </is>
      </c>
      <c r="T2160" s="18" t="inlineStr">
        <is>
          <t>internal-disciplinary-control-service/src/services/disciplinary-process-tasks.service.ts:46: etapa = dto.etapa || process.etapaActual | internal-disciplinary-control-service/src/services/process.service.ts:607-627: etapaActual toma el nombre de etapa de stage_configuration</t>
        </is>
      </c>
      <c r="U2160" s="18" t="inlineStr"/>
      <c r="V2160" s="19" t="inlineStr">
        <is>
          <t>Aprobada</t>
        </is>
      </c>
      <c r="W2160" s="19" t="inlineStr"/>
      <c r="X2160" s="19" t="inlineStr">
        <is>
          <t>Aldair González (aprobación en bloque)</t>
        </is>
      </c>
      <c r="Y2160" s="20" t="n">
        <v>46321</v>
      </c>
      <c r="Z2160" s="19" t="inlineStr">
        <is>
          <t>Nivel 3: verificada con el código de la aplicación.</t>
        </is>
      </c>
      <c r="AA2160" s="18">
        <f>IF(OR(V2160="Aprobada"),R2160,IF(AND(OR(V2160="Aprobada con ajuste",V2160="Rechazada"),W2160&lt;&gt;""),W2160,""))</f>
        <v/>
      </c>
    </row>
    <row r="2161">
      <c r="A2161" s="18" t="inlineStr">
        <is>
          <t>C2160</t>
        </is>
      </c>
      <c r="B2161" s="18" t="inlineStr">
        <is>
          <t>Control disciplinario interno</t>
        </is>
      </c>
      <c r="C2161" s="18" t="inlineStr">
        <is>
          <t>internal_disciplinary_control</t>
        </is>
      </c>
      <c r="D2161" s="18" t="inlineStr">
        <is>
          <t>disciplinary_process_tasks</t>
        </is>
      </c>
      <c r="E2161" s="18" t="n">
        <v>15</v>
      </c>
      <c r="F2161" s="18" t="inlineStr">
        <is>
          <t>responsableNombre</t>
        </is>
      </c>
      <c r="G2161" s="18" t="inlineStr">
        <is>
          <t>character varying(255)</t>
        </is>
      </c>
      <c r="H2161" s="18" t="inlineStr">
        <is>
          <t>Sí</t>
        </is>
      </c>
      <c r="I2161" s="18" t="inlineStr"/>
      <c r="J2161" s="18" t="inlineStr"/>
      <c r="K2161" s="18" t="inlineStr"/>
      <c r="L2161" s="18" t="inlineStr">
        <is>
          <t>No</t>
        </is>
      </c>
      <c r="M2161" s="18" t="inlineStr">
        <is>
          <t>No</t>
        </is>
      </c>
      <c r="N2161" s="18" t="inlineStr"/>
      <c r="O2161" s="18" t="inlineStr"/>
      <c r="P2161" s="18" t="inlineStr">
        <is>
          <t>Mapeada en internal-disciplinary-control-service/src/entities/disciplinary-process-task.entity.ts:38 (DisciplinaryProcessTask.responsableNombre) | Validación: IsNotEmpty, IsOptional, IsString, MaxLength(255)</t>
        </is>
      </c>
      <c r="Q2161" s="18" t="inlineStr">
        <is>
          <t>Propuesta semántica</t>
        </is>
      </c>
      <c r="R2161" s="18" t="inlineStr">
        <is>
          <t>Nombre del responsable de la tarea.</t>
        </is>
      </c>
      <c r="S2161" s="18" t="inlineStr">
        <is>
          <t>Alta</t>
        </is>
      </c>
      <c r="T2161" s="18" t="inlineStr">
        <is>
          <t>nombre + tipo + columnas vecinas</t>
        </is>
      </c>
      <c r="U2161" s="18" t="inlineStr"/>
      <c r="V2161" s="19" t="inlineStr">
        <is>
          <t>Aprobada</t>
        </is>
      </c>
      <c r="W2161" s="19" t="inlineStr"/>
      <c r="X2161" s="19" t="inlineStr">
        <is>
          <t>Aldair González (aprobación en bloque)</t>
        </is>
      </c>
      <c r="Y2161" s="20" t="n">
        <v>46321</v>
      </c>
      <c r="Z2161" s="19" t="inlineStr">
        <is>
          <t>Nivel 1: propuesta del comentario del desarrollador o de confianza alta, o regla de fecha/responsable/motivo.</t>
        </is>
      </c>
      <c r="AA2161" s="18">
        <f>IF(OR(V2161="Aprobada"),R2161,IF(AND(OR(V2161="Aprobada con ajuste",V2161="Rechazada"),W2161&lt;&gt;""),W2161,""))</f>
        <v/>
      </c>
    </row>
    <row r="2162">
      <c r="A2162" s="18" t="inlineStr">
        <is>
          <t>C2161</t>
        </is>
      </c>
      <c r="B2162" s="18" t="inlineStr">
        <is>
          <t>Control disciplinario interno</t>
        </is>
      </c>
      <c r="C2162" s="18" t="inlineStr">
        <is>
          <t>internal_disciplinary_control</t>
        </is>
      </c>
      <c r="D2162" s="18" t="inlineStr">
        <is>
          <t>disciplinary_process_tasks</t>
        </is>
      </c>
      <c r="E2162" s="18" t="n">
        <v>15</v>
      </c>
      <c r="F2162" s="18" t="inlineStr">
        <is>
          <t>fechaVencimiento</t>
        </is>
      </c>
      <c r="G2162" s="18" t="inlineStr">
        <is>
          <t>date</t>
        </is>
      </c>
      <c r="H2162" s="18" t="inlineStr">
        <is>
          <t>No</t>
        </is>
      </c>
      <c r="I2162" s="18" t="inlineStr"/>
      <c r="J2162" s="18" t="inlineStr"/>
      <c r="K2162" s="18" t="inlineStr"/>
      <c r="L2162" s="18" t="inlineStr">
        <is>
          <t>No</t>
        </is>
      </c>
      <c r="M2162" s="18" t="inlineStr">
        <is>
          <t>No</t>
        </is>
      </c>
      <c r="N2162" s="18" t="inlineStr"/>
      <c r="O2162" s="18" t="inlineStr">
        <is>
          <t>idx_disciplinary_process_tasks_vencimiento</t>
        </is>
      </c>
      <c r="P2162" s="18" t="inlineStr">
        <is>
          <t>Mapeada en internal-disciplinary-control-service/src/entities/disciplinary-process-task.entity.ts:41 (DisciplinaryProcessTask.fechaVencimiento) | Validación: IsDateString, IsNotEmpty</t>
        </is>
      </c>
      <c r="Q2162" s="18" t="inlineStr">
        <is>
          <t>Propuesta semántica</t>
        </is>
      </c>
      <c r="R2162" s="18" t="inlineStr">
        <is>
          <t>Fecha de vencimiento de la tarea.</t>
        </is>
      </c>
      <c r="S2162" s="18" t="inlineStr">
        <is>
          <t>Alta</t>
        </is>
      </c>
      <c r="T2162" s="18" t="inlineStr">
        <is>
          <t>nombre + tipo + columnas vecinas</t>
        </is>
      </c>
      <c r="U2162" s="18" t="inlineStr"/>
      <c r="V2162" s="19" t="inlineStr">
        <is>
          <t>Aprobada</t>
        </is>
      </c>
      <c r="W2162" s="19" t="inlineStr"/>
      <c r="X2162" s="19" t="inlineStr">
        <is>
          <t>Aldair González (aprobación en bloque)</t>
        </is>
      </c>
      <c r="Y2162" s="20" t="n">
        <v>46321</v>
      </c>
      <c r="Z2162" s="19" t="inlineStr">
        <is>
          <t>Nivel 1: propuesta del comentario del desarrollador o de confianza alta, o regla de fecha/responsable/motivo.</t>
        </is>
      </c>
      <c r="AA2162" s="18">
        <f>IF(OR(V2162="Aprobada"),R2162,IF(AND(OR(V2162="Aprobada con ajuste",V2162="Rechazada"),W2162&lt;&gt;""),W2162,""))</f>
        <v/>
      </c>
    </row>
    <row r="2163">
      <c r="A2163" s="18" t="inlineStr">
        <is>
          <t>C2162</t>
        </is>
      </c>
      <c r="B2163" s="18" t="inlineStr">
        <is>
          <t>Control disciplinario interno</t>
        </is>
      </c>
      <c r="C2163" s="18" t="inlineStr">
        <is>
          <t>internal_disciplinary_control</t>
        </is>
      </c>
      <c r="D2163" s="18" t="inlineStr">
        <is>
          <t>disciplinary_process_tasks</t>
        </is>
      </c>
      <c r="E2163" s="18" t="n">
        <v>15</v>
      </c>
      <c r="F2163" s="18" t="inlineStr">
        <is>
          <t>completada</t>
        </is>
      </c>
      <c r="G2163" s="18" t="inlineStr">
        <is>
          <t>boolean</t>
        </is>
      </c>
      <c r="H2163" s="18" t="inlineStr">
        <is>
          <t>No</t>
        </is>
      </c>
      <c r="I2163" s="18" t="inlineStr"/>
      <c r="J2163" s="18" t="inlineStr"/>
      <c r="K2163" s="18" t="inlineStr"/>
      <c r="L2163" s="18" t="inlineStr">
        <is>
          <t>No</t>
        </is>
      </c>
      <c r="M2163" s="18" t="inlineStr">
        <is>
          <t>No</t>
        </is>
      </c>
      <c r="N2163" s="18" t="inlineStr"/>
      <c r="O2163" s="18" t="inlineStr">
        <is>
          <t>idx_disciplinary_process_tasks_completada</t>
        </is>
      </c>
      <c r="P2163" s="18" t="inlineStr">
        <is>
          <t>Mapeada en internal-disciplinary-control-service/src/entities/disciplinary-process-task.entity.ts:44 (DisciplinaryProcessTask.completada) | Validación: IsBoolean</t>
        </is>
      </c>
      <c r="Q2163" s="18" t="inlineStr">
        <is>
          <t>Regla estructural (redacción revisada)</t>
        </is>
      </c>
      <c r="R2163" s="18" t="inlineStr">
        <is>
          <t>Indica si la tarea está completada.</t>
        </is>
      </c>
      <c r="S2163" s="18" t="inlineStr">
        <is>
          <t>Alta</t>
        </is>
      </c>
      <c r="T2163" s="18" t="inlineStr">
        <is>
          <t>Convención de nombre, redactada con el contexto de la tabla y el código.</t>
        </is>
      </c>
      <c r="U2163" s="18" t="inlineStr"/>
      <c r="V2163" s="19" t="inlineStr">
        <is>
          <t>Aprobada</t>
        </is>
      </c>
      <c r="W2163" s="19" t="inlineStr"/>
      <c r="X2163" s="19" t="inlineStr">
        <is>
          <t>Aldair González (aprobación en bloque)</t>
        </is>
      </c>
      <c r="Y2163" s="20" t="n">
        <v>46321</v>
      </c>
      <c r="Z2163" s="19" t="inlineStr">
        <is>
          <t>Nivel 2: regla estructural con redacción revisada.</t>
        </is>
      </c>
      <c r="AA2163" s="18">
        <f>IF(OR(V2163="Aprobada"),R2163,IF(AND(OR(V2163="Aprobada con ajuste",V2163="Rechazada"),W2163&lt;&gt;""),W2163,""))</f>
        <v/>
      </c>
    </row>
    <row r="2164">
      <c r="A2164" s="18" t="inlineStr">
        <is>
          <t>C2163</t>
        </is>
      </c>
      <c r="B2164" s="18" t="inlineStr">
        <is>
          <t>Control disciplinario interno</t>
        </is>
      </c>
      <c r="C2164" s="18" t="inlineStr">
        <is>
          <t>internal_disciplinary_control</t>
        </is>
      </c>
      <c r="D2164" s="18" t="inlineStr">
        <is>
          <t>disciplinary_process_tasks</t>
        </is>
      </c>
      <c r="E2164" s="18" t="n">
        <v>15</v>
      </c>
      <c r="F2164" s="18" t="inlineStr">
        <is>
          <t>fechaCompletada</t>
        </is>
      </c>
      <c r="G2164" s="18" t="inlineStr">
        <is>
          <t>timestamp with time zone</t>
        </is>
      </c>
      <c r="H2164" s="18" t="inlineStr">
        <is>
          <t>Sí</t>
        </is>
      </c>
      <c r="I2164" s="18" t="inlineStr"/>
      <c r="J2164" s="18" t="inlineStr"/>
      <c r="K2164" s="18" t="inlineStr"/>
      <c r="L2164" s="18" t="inlineStr">
        <is>
          <t>No</t>
        </is>
      </c>
      <c r="M2164" s="18" t="inlineStr">
        <is>
          <t>No</t>
        </is>
      </c>
      <c r="N2164" s="18" t="inlineStr"/>
      <c r="O2164" s="18" t="inlineStr"/>
      <c r="P2164" s="18" t="inlineStr">
        <is>
          <t>Mapeada en internal-disciplinary-control-service/src/entities/disciplinary-process-task.entity.ts:47 (DisciplinaryProcessTask.fechaCompletada)</t>
        </is>
      </c>
      <c r="Q2164" s="18" t="inlineStr">
        <is>
          <t>Propuesta semántica</t>
        </is>
      </c>
      <c r="R2164" s="18" t="inlineStr">
        <is>
          <t>Fecha y hora en que se completó la tarea.</t>
        </is>
      </c>
      <c r="S2164" s="18" t="inlineStr">
        <is>
          <t>Alta</t>
        </is>
      </c>
      <c r="T2164" s="18" t="inlineStr">
        <is>
          <t>nombre + tipo + columnas vecinas</t>
        </is>
      </c>
      <c r="U2164" s="18" t="inlineStr"/>
      <c r="V2164" s="19" t="inlineStr">
        <is>
          <t>Aprobada</t>
        </is>
      </c>
      <c r="W2164" s="19" t="inlineStr"/>
      <c r="X2164" s="19" t="inlineStr">
        <is>
          <t>Aldair González (aprobación en bloque)</t>
        </is>
      </c>
      <c r="Y2164" s="20" t="n">
        <v>46321</v>
      </c>
      <c r="Z2164" s="19" t="inlineStr">
        <is>
          <t>Nivel 1: propuesta del comentario del desarrollador o de confianza alta, o regla de fecha/responsable/motivo.</t>
        </is>
      </c>
      <c r="AA2164" s="18">
        <f>IF(OR(V2164="Aprobada"),R2164,IF(AND(OR(V2164="Aprobada con ajuste",V2164="Rechazada"),W2164&lt;&gt;""),W2164,""))</f>
        <v/>
      </c>
    </row>
    <row r="2165">
      <c r="A2165" s="18" t="inlineStr">
        <is>
          <t>C2164</t>
        </is>
      </c>
      <c r="B2165" s="18" t="inlineStr">
        <is>
          <t>Control disciplinario interno</t>
        </is>
      </c>
      <c r="C2165" s="18" t="inlineStr">
        <is>
          <t>internal_disciplinary_control</t>
        </is>
      </c>
      <c r="D2165" s="18" t="inlineStr">
        <is>
          <t>disciplinary_process_tasks</t>
        </is>
      </c>
      <c r="E2165" s="18" t="n">
        <v>15</v>
      </c>
      <c r="F2165" s="18" t="inlineStr">
        <is>
          <t>observaciones</t>
        </is>
      </c>
      <c r="G2165" s="18" t="inlineStr">
        <is>
          <t>text</t>
        </is>
      </c>
      <c r="H2165" s="18" t="inlineStr">
        <is>
          <t>Sí</t>
        </is>
      </c>
      <c r="I2165" s="18" t="inlineStr"/>
      <c r="J2165" s="18" t="inlineStr"/>
      <c r="K2165" s="18" t="inlineStr"/>
      <c r="L2165" s="18" t="inlineStr">
        <is>
          <t>No</t>
        </is>
      </c>
      <c r="M2165" s="18" t="inlineStr">
        <is>
          <t>No</t>
        </is>
      </c>
      <c r="N2165" s="18" t="inlineStr"/>
      <c r="O2165" s="18" t="inlineStr"/>
      <c r="P2165" s="18" t="inlineStr">
        <is>
          <t>Mapeada en internal-disciplinary-control-service/src/entities/disciplinary-process-task.entity.ts:50 (DisciplinaryProcessTask.observaciones) | Validación: IsNotEmpty, IsOptional, IsString</t>
        </is>
      </c>
      <c r="Q2165" s="18" t="inlineStr">
        <is>
          <t>Regla estructural (redacción revisada)</t>
        </is>
      </c>
      <c r="R2165" s="18" t="inlineStr">
        <is>
          <t>Observaciones sobre la tarea.</t>
        </is>
      </c>
      <c r="S2165" s="18" t="inlineStr">
        <is>
          <t>Alta</t>
        </is>
      </c>
      <c r="T2165" s="18" t="inlineStr">
        <is>
          <t>Convención de nombre, redactada con el contexto de la tabla y el código.</t>
        </is>
      </c>
      <c r="U2165" s="18" t="inlineStr"/>
      <c r="V2165" s="19" t="inlineStr">
        <is>
          <t>Aprobada</t>
        </is>
      </c>
      <c r="W2165" s="19" t="inlineStr"/>
      <c r="X2165" s="19" t="inlineStr">
        <is>
          <t>Aldair González (aprobación en bloque)</t>
        </is>
      </c>
      <c r="Y2165" s="20" t="n">
        <v>46321</v>
      </c>
      <c r="Z2165" s="19" t="inlineStr">
        <is>
          <t>Nivel 2: regla estructural con redacción revisada.</t>
        </is>
      </c>
      <c r="AA2165" s="18">
        <f>IF(OR(V2165="Aprobada"),R2165,IF(AND(OR(V2165="Aprobada con ajuste",V2165="Rechazada"),W2165&lt;&gt;""),W2165,""))</f>
        <v/>
      </c>
    </row>
    <row r="2166">
      <c r="A2166" s="18" t="inlineStr">
        <is>
          <t>C2165</t>
        </is>
      </c>
      <c r="B2166" s="18" t="inlineStr">
        <is>
          <t>Control disciplinario interno</t>
        </is>
      </c>
      <c r="C2166" s="18" t="inlineStr">
        <is>
          <t>internal_disciplinary_control</t>
        </is>
      </c>
      <c r="D2166" s="18" t="inlineStr">
        <is>
          <t>disciplinary_processes</t>
        </is>
      </c>
      <c r="E2166" s="18" t="n">
        <v>26</v>
      </c>
      <c r="F2166" s="18" t="inlineStr">
        <is>
          <t>radicadoProceso</t>
        </is>
      </c>
      <c r="G2166" s="18" t="inlineStr">
        <is>
          <t>character varying(255)</t>
        </is>
      </c>
      <c r="H2166" s="18" t="inlineStr">
        <is>
          <t>No</t>
        </is>
      </c>
      <c r="I2166" s="18" t="inlineStr">
        <is>
          <t>Única</t>
        </is>
      </c>
      <c r="J2166" s="18" t="inlineStr"/>
      <c r="K2166" s="18" t="inlineStr"/>
      <c r="L2166" s="18" t="inlineStr">
        <is>
          <t>No</t>
        </is>
      </c>
      <c r="M2166" s="18" t="inlineStr">
        <is>
          <t>No</t>
        </is>
      </c>
      <c r="N2166" s="18" t="inlineStr"/>
      <c r="O2166" s="18" t="inlineStr">
        <is>
          <t>disciplinary_processes_radicadoProceso_key, idx_disciplinary_processes_radicado, idx_process_radicado</t>
        </is>
      </c>
      <c r="P2166" s="18" t="inlineStr">
        <is>
          <t>internal-disciplinary-control-service/src/entities/disciplinary-process.entity.ts:43: P-###-YYYY</t>
        </is>
      </c>
      <c r="Q2166" s="18" t="inlineStr">
        <is>
          <t>Código fuente</t>
        </is>
      </c>
      <c r="R2166" s="18" t="inlineStr">
        <is>
          <t>Número de radicado del proceso disciplinario, único, con formato P-###-YYYY.</t>
        </is>
      </c>
      <c r="S2166" s="18" t="inlineStr">
        <is>
          <t>Alta</t>
        </is>
      </c>
      <c r="T2166" s="18" t="inlineStr">
        <is>
          <t>código: disciplinary-process.entity.ts:43 + restricción única</t>
        </is>
      </c>
      <c r="U2166" s="18" t="inlineStr"/>
      <c r="V2166" s="19" t="inlineStr">
        <is>
          <t>Aprobada</t>
        </is>
      </c>
      <c r="W2166" s="19" t="inlineStr"/>
      <c r="X2166" s="19" t="inlineStr">
        <is>
          <t>Aldair González (aprobación en bloque)</t>
        </is>
      </c>
      <c r="Y2166" s="20" t="n">
        <v>46321</v>
      </c>
      <c r="Z2166" s="19" t="inlineStr">
        <is>
          <t>Nivel 1: propuesta del comentario del desarrollador o de confianza alta, o regla de fecha/responsable/motivo.</t>
        </is>
      </c>
      <c r="AA2166" s="18">
        <f>IF(OR(V2166="Aprobada"),R2166,IF(AND(OR(V2166="Aprobada con ajuste",V2166="Rechazada"),W2166&lt;&gt;""),W2166,""))</f>
        <v/>
      </c>
    </row>
    <row r="2167">
      <c r="A2167" s="18" t="inlineStr">
        <is>
          <t>C2166</t>
        </is>
      </c>
      <c r="B2167" s="18" t="inlineStr">
        <is>
          <t>Control disciplinario interno</t>
        </is>
      </c>
      <c r="C2167" s="18" t="inlineStr">
        <is>
          <t>internal_disciplinary_control</t>
        </is>
      </c>
      <c r="D2167" s="18" t="inlineStr">
        <is>
          <t>disciplinary_processes</t>
        </is>
      </c>
      <c r="E2167" s="18" t="n">
        <v>26</v>
      </c>
      <c r="F2167" s="18" t="inlineStr">
        <is>
          <t>newsId</t>
        </is>
      </c>
      <c r="G2167" s="18" t="inlineStr">
        <is>
          <t>uuid</t>
        </is>
      </c>
      <c r="H2167" s="18" t="inlineStr">
        <is>
          <t>No</t>
        </is>
      </c>
      <c r="I2167" s="18" t="inlineStr"/>
      <c r="J2167" s="18" t="inlineStr"/>
      <c r="K2167" s="18" t="inlineStr"/>
      <c r="L2167" s="18" t="inlineStr">
        <is>
          <t>No</t>
        </is>
      </c>
      <c r="M2167" s="18" t="inlineStr">
        <is>
          <t>No</t>
        </is>
      </c>
      <c r="N2167" s="18" t="inlineStr"/>
      <c r="O2167" s="18" t="inlineStr">
        <is>
          <t>idx_process_news</t>
        </is>
      </c>
      <c r="P2167" s="18" t="inlineStr">
        <is>
          <t>Mapeada en internal-disciplinary-control-service/src/entities/disciplinary-process.entity.ts:49 (DisciplinaryProcess.news) | Validación: IsOptional, IsString, IsUUID</t>
        </is>
      </c>
      <c r="Q2167" s="18" t="inlineStr">
        <is>
          <t>Código fuente (verificado)</t>
        </is>
      </c>
      <c r="R2167" s="18" t="inlineStr">
        <is>
          <t>Identificador (UUID) de la noticia disciplinaria que dio origen al proceso (internal_disciplinary_control.disciplinary_news). La relación está mapeada en la entidad y el DDL de referencia del repositorio declara la FK con ON DELETE RESTRICT.</t>
        </is>
      </c>
      <c r="S2167" s="18" t="inlineStr">
        <is>
          <t>Alta</t>
        </is>
      </c>
      <c r="T2167" s="18" t="inlineStr">
        <is>
          <t>internal-disciplinary-control-service/src/entities/disciplinary-process.entity.ts:46-53: ManyToOne a DisciplinaryNews con JoinColumn newsId | internal-disciplinary-control-service/src/entities/disciplinary-news.entity.ts:59: tabla disciplinary_news | db/init/006_internal_disciplinary_control_ddl_20260129_215540.sql:1230: fk_process_news FOREIGN KEY ("newsId") REFERENCES disciplinary_news(id) ON DELETE RESTRICT</t>
        </is>
      </c>
      <c r="U2167" s="18" t="inlineStr"/>
      <c r="V2167" s="19" t="inlineStr">
        <is>
          <t>Aprobada</t>
        </is>
      </c>
      <c r="W2167" s="19" t="inlineStr"/>
      <c r="X2167" s="19" t="inlineStr">
        <is>
          <t>Aldair González (aprobación en bloque)</t>
        </is>
      </c>
      <c r="Y2167" s="20" t="n">
        <v>46321</v>
      </c>
      <c r="Z2167" s="19" t="inlineStr">
        <is>
          <t>Nivel 3: verificada con el código de la aplicación.</t>
        </is>
      </c>
      <c r="AA2167" s="18">
        <f>IF(OR(V2167="Aprobada"),R2167,IF(AND(OR(V2167="Aprobada con ajuste",V2167="Rechazada"),W2167&lt;&gt;""),W2167,""))</f>
        <v/>
      </c>
    </row>
    <row r="2168">
      <c r="A2168" s="18" t="inlineStr">
        <is>
          <t>C2167</t>
        </is>
      </c>
      <c r="B2168" s="18" t="inlineStr">
        <is>
          <t>Control disciplinario interno</t>
        </is>
      </c>
      <c r="C2168" s="18" t="inlineStr">
        <is>
          <t>internal_disciplinary_control</t>
        </is>
      </c>
      <c r="D2168" s="18" t="inlineStr">
        <is>
          <t>disciplinary_processes</t>
        </is>
      </c>
      <c r="E2168" s="18" t="n">
        <v>26</v>
      </c>
      <c r="F2168" s="18" t="inlineStr">
        <is>
          <t>fechaPrescripcion</t>
        </is>
      </c>
      <c r="G2168" s="18" t="inlineStr">
        <is>
          <t>timestamp with time zone</t>
        </is>
      </c>
      <c r="H2168" s="18" t="inlineStr">
        <is>
          <t>Sí</t>
        </is>
      </c>
      <c r="I2168" s="18" t="inlineStr"/>
      <c r="J2168" s="18" t="inlineStr"/>
      <c r="K2168" s="18" t="inlineStr"/>
      <c r="L2168" s="18" t="inlineStr">
        <is>
          <t>No</t>
        </is>
      </c>
      <c r="M2168" s="18" t="inlineStr">
        <is>
          <t>No</t>
        </is>
      </c>
      <c r="N2168" s="18" t="inlineStr"/>
      <c r="O2168" s="18" t="inlineStr"/>
      <c r="P2168" s="18" t="inlineStr">
        <is>
          <t>Mapeada en internal-disciplinary-control-service/src/entities/disciplinary-process.entity.ts:82 (DisciplinaryProcess.fechaPrescripcion)</t>
        </is>
      </c>
      <c r="Q2168" s="18" t="inlineStr">
        <is>
          <t>Código fuente (verificado)</t>
        </is>
      </c>
      <c r="R2168" s="18" t="inlineStr">
        <is>
          <t>Fecha en que prescribe la acción disciplinaria del proceso, calculada por el servicio al crear el proceso como la fecha de recepción de la noticia más 15 años.</t>
        </is>
      </c>
      <c r="S2168" s="18" t="inlineStr">
        <is>
          <t>Alta</t>
        </is>
      </c>
      <c r="T2168" s="18" t="inlineStr">
        <is>
          <t>internal-disciplinary-control-service/src/services/process.service.ts:590-593: calculateFechaPrescripcion(noticia.fechaRecepcion) | internal-disciplinary-control-service/src/services/terminos-calculator.service.ts:113-116: suma 15 años</t>
        </is>
      </c>
      <c r="U2168" s="18" t="inlineStr"/>
      <c r="V2168" s="19" t="inlineStr">
        <is>
          <t>Aprobada</t>
        </is>
      </c>
      <c r="W2168" s="19" t="inlineStr"/>
      <c r="X2168" s="19" t="inlineStr">
        <is>
          <t>Aldair González (aprobación en bloque)</t>
        </is>
      </c>
      <c r="Y2168" s="20" t="n">
        <v>46321</v>
      </c>
      <c r="Z2168" s="19" t="inlineStr">
        <is>
          <t>Nivel 3: verificada con el código de la aplicación.</t>
        </is>
      </c>
      <c r="AA2168" s="18">
        <f>IF(OR(V2168="Aprobada"),R2168,IF(AND(OR(V2168="Aprobada con ajuste",V2168="Rechazada"),W2168&lt;&gt;""),W2168,""))</f>
        <v/>
      </c>
    </row>
    <row r="2169">
      <c r="A2169" s="18" t="inlineStr">
        <is>
          <t>C2168</t>
        </is>
      </c>
      <c r="B2169" s="18" t="inlineStr">
        <is>
          <t>Control disciplinario interno</t>
        </is>
      </c>
      <c r="C2169" s="18" t="inlineStr">
        <is>
          <t>internal_disciplinary_control</t>
        </is>
      </c>
      <c r="D2169" s="18" t="inlineStr">
        <is>
          <t>disciplinary_processes</t>
        </is>
      </c>
      <c r="E2169" s="18" t="n">
        <v>26</v>
      </c>
      <c r="F2169" s="18" t="inlineStr">
        <is>
          <t>fechaVencimientoEtapa</t>
        </is>
      </c>
      <c r="G2169" s="18" t="inlineStr">
        <is>
          <t>timestamp with time zone</t>
        </is>
      </c>
      <c r="H2169" s="18" t="inlineStr">
        <is>
          <t>Sí</t>
        </is>
      </c>
      <c r="I2169" s="18" t="inlineStr"/>
      <c r="J2169" s="18" t="inlineStr"/>
      <c r="K2169" s="18" t="inlineStr"/>
      <c r="L2169" s="18" t="inlineStr">
        <is>
          <t>No</t>
        </is>
      </c>
      <c r="M2169" s="18" t="inlineStr">
        <is>
          <t>No</t>
        </is>
      </c>
      <c r="N2169" s="18" t="inlineStr"/>
      <c r="O2169" s="18" t="inlineStr"/>
      <c r="P2169" s="18" t="inlineStr">
        <is>
          <t>Mapeada en internal-disciplinary-control-service/src/entities/disciplinary-process.entity.ts:85 (DisciplinaryProcess.fechaVencimientoEtapa)</t>
        </is>
      </c>
      <c r="Q2169" s="18" t="inlineStr">
        <is>
          <t>Código fuente (verificado)</t>
        </is>
      </c>
      <c r="R2169" s="18" t="inlineStr">
        <is>
          <t>Fecha en que vence el término de la etapa actual del proceso, calculada por el servicio al iniciar o cambiar de etapa sumando a la fecha del cambio los días hábiles de la etapa en stage_configuration (sin festivos nacionales ni institucionales); queda vacía al remitir el proceso.</t>
        </is>
      </c>
      <c r="S2169" s="18" t="inlineStr">
        <is>
          <t>Alta</t>
        </is>
      </c>
      <c r="T2169" s="18" t="inlineStr">
        <is>
          <t>internal-disciplinary-control-service/src/services/terminos-calculator.service.ts:25-106: calculateVencimientoEtapa con diasHabiles de stage_configuration y sumarDiasHabiles | internal-disciplinary-control-service/src/services/process.service.ts:610-611: vencimiento de la etapa inicial | internal-disciplinary-control-service/src/services/process.service.ts:1230-1239: recalculo al cambiar de etapa junto con fechaInicioEtapa | internal-disciplinary-control-service/src/services/process.service.ts:2443: null al remitir</t>
        </is>
      </c>
      <c r="U2169" s="18" t="inlineStr"/>
      <c r="V2169" s="19" t="inlineStr">
        <is>
          <t>Aprobada</t>
        </is>
      </c>
      <c r="W2169" s="19" t="inlineStr"/>
      <c r="X2169" s="19" t="inlineStr">
        <is>
          <t>Aldair González (aprobación en bloque)</t>
        </is>
      </c>
      <c r="Y2169" s="20" t="n">
        <v>46321</v>
      </c>
      <c r="Z2169" s="19" t="inlineStr">
        <is>
          <t>Nivel 3: verificada con el código de la aplicación.</t>
        </is>
      </c>
      <c r="AA2169" s="18">
        <f>IF(OR(V2169="Aprobada"),R2169,IF(AND(OR(V2169="Aprobada con ajuste",V2169="Rechazada"),W2169&lt;&gt;""),W2169,""))</f>
        <v/>
      </c>
    </row>
    <row r="2170">
      <c r="A2170" s="18" t="inlineStr">
        <is>
          <t>C2169</t>
        </is>
      </c>
      <c r="B2170" s="18" t="inlineStr">
        <is>
          <t>Control disciplinario interno</t>
        </is>
      </c>
      <c r="C2170" s="18" t="inlineStr">
        <is>
          <t>internal_disciplinary_control</t>
        </is>
      </c>
      <c r="D2170" s="18" t="inlineStr">
        <is>
          <t>disciplinary_processes</t>
        </is>
      </c>
      <c r="E2170" s="18" t="n">
        <v>26</v>
      </c>
      <c r="F2170" s="18" t="inlineStr">
        <is>
          <t>observaciones</t>
        </is>
      </c>
      <c r="G2170" s="18" t="inlineStr">
        <is>
          <t>text</t>
        </is>
      </c>
      <c r="H2170" s="18" t="inlineStr">
        <is>
          <t>Sí</t>
        </is>
      </c>
      <c r="I2170" s="18" t="inlineStr"/>
      <c r="J2170" s="18" t="inlineStr"/>
      <c r="K2170" s="18" t="inlineStr"/>
      <c r="L2170" s="18" t="inlineStr">
        <is>
          <t>No</t>
        </is>
      </c>
      <c r="M2170" s="18" t="inlineStr">
        <is>
          <t>No</t>
        </is>
      </c>
      <c r="N2170" s="18" t="inlineStr"/>
      <c r="O2170" s="18" t="inlineStr"/>
      <c r="P2170" s="18" t="inlineStr">
        <is>
          <t>Mapeada en internal-disciplinary-control-service/src/entities/disciplinary-process.entity.ts:91 (DisciplinaryProcess.observaciones) | Validación: IsNotEmpty, IsOptional, IsString</t>
        </is>
      </c>
      <c r="Q2170" s="18" t="inlineStr">
        <is>
          <t>Regla estructural (redacción revisada)</t>
        </is>
      </c>
      <c r="R2170" s="18" t="inlineStr">
        <is>
          <t>Observaciones sobre el proceso disciplinario.</t>
        </is>
      </c>
      <c r="S2170" s="18" t="inlineStr">
        <is>
          <t>Alta</t>
        </is>
      </c>
      <c r="T2170" s="18" t="inlineStr">
        <is>
          <t>Convención de nombre, redactada con el contexto de la tabla y el código.</t>
        </is>
      </c>
      <c r="U2170" s="18" t="inlineStr"/>
      <c r="V2170" s="19" t="inlineStr">
        <is>
          <t>Aprobada</t>
        </is>
      </c>
      <c r="W2170" s="19" t="inlineStr"/>
      <c r="X2170" s="19" t="inlineStr">
        <is>
          <t>Aldair González (aprobación en bloque)</t>
        </is>
      </c>
      <c r="Y2170" s="20" t="n">
        <v>46321</v>
      </c>
      <c r="Z2170" s="19" t="inlineStr">
        <is>
          <t>Nivel 2: regla estructural con redacción revisada.</t>
        </is>
      </c>
      <c r="AA2170" s="18">
        <f>IF(OR(V2170="Aprobada"),R2170,IF(AND(OR(V2170="Aprobada con ajuste",V2170="Rechazada"),W2170&lt;&gt;""),W2170,""))</f>
        <v/>
      </c>
    </row>
    <row r="2171">
      <c r="A2171" s="18" t="inlineStr">
        <is>
          <t>C2170</t>
        </is>
      </c>
      <c r="B2171" s="18" t="inlineStr">
        <is>
          <t>Control disciplinario interno</t>
        </is>
      </c>
      <c r="C2171" s="18" t="inlineStr">
        <is>
          <t>internal_disciplinary_control</t>
        </is>
      </c>
      <c r="D2171" s="18" t="inlineStr">
        <is>
          <t>disciplinary_processes</t>
        </is>
      </c>
      <c r="E2171" s="18" t="n">
        <v>26</v>
      </c>
      <c r="F2171" s="18" t="inlineStr">
        <is>
          <t>pruebas</t>
        </is>
      </c>
      <c r="G2171" s="18" t="inlineStr">
        <is>
          <t>text[]</t>
        </is>
      </c>
      <c r="H2171" s="18" t="inlineStr">
        <is>
          <t>Sí</t>
        </is>
      </c>
      <c r="I2171" s="18" t="inlineStr"/>
      <c r="J2171" s="18" t="inlineStr"/>
      <c r="K2171" s="18" t="inlineStr"/>
      <c r="L2171" s="18" t="inlineStr">
        <is>
          <t>No</t>
        </is>
      </c>
      <c r="M2171" s="18" t="inlineStr">
        <is>
          <t>No</t>
        </is>
      </c>
      <c r="N2171" s="18" t="inlineStr"/>
      <c r="O2171" s="18" t="inlineStr"/>
      <c r="P2171" s="18" t="inlineStr">
        <is>
          <t>Mapeada en internal-disciplinary-control-service/src/entities/disciplinary-process.entity.ts:94 (DisciplinaryProcess.pruebas)</t>
        </is>
      </c>
      <c r="Q2171" s="18" t="inlineStr">
        <is>
          <t>Código fuente (verificado)</t>
        </is>
      </c>
      <c r="R2171" s="18" t="inlineStr">
        <is>
          <t>Lista de pruebas del proceso disciplinario, como arreglo de rutas relativas de los archivos cargados como evidencia (o URL externa); campo heredado que se mantiene junto con la tabla evidence.</t>
        </is>
      </c>
      <c r="S2171" s="18" t="inlineStr">
        <is>
          <t>Alta</t>
        </is>
      </c>
      <c r="T2171" s="18" t="inlineStr">
        <is>
          <t>internal-disciplinary-control-service/src/entities/disciplinary-process.entity.ts:94-95: text[] | internal-disciplinary-control-service/src/services/process.service.ts:1731-1737: al cargar una evidencia se agrega su url con el comentario compatibilidad con campo legacy | internal-disciplinary-control-service/src/services/process.service.ts:1773-1775: se quita al borrar la evidencia | internal-disciplinary-control-service/src/controllers/process.controller.ts:903: la url es la ruta relativa del archivo en la carpeta del proceso</t>
        </is>
      </c>
      <c r="U2171" s="18" t="inlineStr"/>
      <c r="V2171" s="19" t="inlineStr">
        <is>
          <t>Aprobada</t>
        </is>
      </c>
      <c r="W2171" s="19" t="inlineStr"/>
      <c r="X2171" s="19" t="inlineStr">
        <is>
          <t>Aldair González (aprobación en bloque)</t>
        </is>
      </c>
      <c r="Y2171" s="20" t="n">
        <v>46321</v>
      </c>
      <c r="Z2171" s="19" t="inlineStr">
        <is>
          <t>Nivel 3: verificada con el código de la aplicación.</t>
        </is>
      </c>
      <c r="AA2171" s="18">
        <f>IF(OR(V2171="Aprobada"),R2171,IF(AND(OR(V2171="Aprobada con ajuste",V2171="Rechazada"),W2171&lt;&gt;""),W2171,""))</f>
        <v/>
      </c>
    </row>
    <row r="2172">
      <c r="A2172" s="18" t="inlineStr">
        <is>
          <t>C2171</t>
        </is>
      </c>
      <c r="B2172" s="18" t="inlineStr">
        <is>
          <t>Control disciplinario interno</t>
        </is>
      </c>
      <c r="C2172" s="18" t="inlineStr">
        <is>
          <t>internal_disciplinary_control</t>
        </is>
      </c>
      <c r="D2172" s="18" t="inlineStr">
        <is>
          <t>disciplinary_processes</t>
        </is>
      </c>
      <c r="E2172" s="18" t="n">
        <v>26</v>
      </c>
      <c r="F2172" s="18" t="inlineStr">
        <is>
          <t>kanbanStage</t>
        </is>
      </c>
      <c r="G2172" s="18" t="inlineStr">
        <is>
          <t>uuid</t>
        </is>
      </c>
      <c r="H2172" s="18" t="inlineStr">
        <is>
          <t>Sí</t>
        </is>
      </c>
      <c r="I2172" s="18" t="inlineStr"/>
      <c r="J2172" s="18" t="inlineStr"/>
      <c r="K2172" s="18" t="inlineStr"/>
      <c r="L2172" s="18" t="inlineStr">
        <is>
          <t>No</t>
        </is>
      </c>
      <c r="M2172" s="18" t="inlineStr">
        <is>
          <t>No</t>
        </is>
      </c>
      <c r="N2172" s="18" t="inlineStr"/>
      <c r="O2172" s="18" t="inlineStr"/>
      <c r="P2172" s="18" t="inlineStr">
        <is>
          <t>Mapeada en internal-disciplinary-control-service/src/entities/disciplinary-process.entity.ts:73 (DisciplinaryProcess.kanbanStage) | Validación: IsNumber, IsOptional</t>
        </is>
      </c>
      <c r="Q2172" s="18" t="inlineStr">
        <is>
          <t>Código fuente (verificado)</t>
        </is>
      </c>
      <c r="R2172" s="18" t="inlineStr">
        <is>
          <t>Identificador de la columna del tablero Kanban en que se ubica el proceso (internal_disciplinary_control.stage_configuration). El proceso inicia en la etapa de orden 2 (Valoración) y la columna se actualiza en cada cambio de etapa.</t>
        </is>
      </c>
      <c r="S2172" s="18" t="inlineStr">
        <is>
          <t>Alta</t>
        </is>
      </c>
      <c r="T2172" s="18" t="inlineStr">
        <is>
          <t>internal-disciplinary-control-service/src/entities/disciplinary-process.entity.ts:73-74: uuid | internal-disciplinary-control-service/src/services/process.service.ts:595-629: kanbanStage = id de stage_configuration con orden 2 | internal-disciplinary-control-service/src/services/process.service.ts:1237: kanbanStage = newStageConfig.id | internal-disciplinary-control-service/src/entities/stage-configuration.entity.ts:9-11: tabla stage_configuration con PK uuid | internal-disciplinary-control-service/src/dtos/update-news-kanban.dto.ts:5-6: la validación IsNumber no corresponde al tipo uuid</t>
        </is>
      </c>
      <c r="U2172" s="18" t="inlineStr"/>
      <c r="V2172" s="19" t="inlineStr">
        <is>
          <t>Aprobada</t>
        </is>
      </c>
      <c r="W2172" s="19" t="inlineStr"/>
      <c r="X2172" s="19" t="inlineStr">
        <is>
          <t>Aldair González (aprobación en bloque)</t>
        </is>
      </c>
      <c r="Y2172" s="20" t="n">
        <v>46321</v>
      </c>
      <c r="Z2172" s="19" t="inlineStr">
        <is>
          <t>Nivel 3: verificada con el código de la aplicación.</t>
        </is>
      </c>
      <c r="AA2172" s="18">
        <f>IF(OR(V2172="Aprobada"),R2172,IF(AND(OR(V2172="Aprobada con ajuste",V2172="Rechazada"),W2172&lt;&gt;""),W2172,""))</f>
        <v/>
      </c>
    </row>
    <row r="2173">
      <c r="A2173" s="18" t="inlineStr">
        <is>
          <t>C2172</t>
        </is>
      </c>
      <c r="B2173" s="18" t="inlineStr">
        <is>
          <t>Control disciplinario interno</t>
        </is>
      </c>
      <c r="C2173" s="18" t="inlineStr">
        <is>
          <t>internal_disciplinary_control</t>
        </is>
      </c>
      <c r="D2173" s="18" t="inlineStr">
        <is>
          <t>disciplinary_processes</t>
        </is>
      </c>
      <c r="E2173" s="18" t="n">
        <v>26</v>
      </c>
      <c r="F2173" s="18" t="inlineStr">
        <is>
          <t>kanbanNotice</t>
        </is>
      </c>
      <c r="G2173" s="18" t="inlineStr">
        <is>
          <t>text</t>
        </is>
      </c>
      <c r="H2173" s="18" t="inlineStr">
        <is>
          <t>Sí</t>
        </is>
      </c>
      <c r="I2173" s="18" t="inlineStr"/>
      <c r="J2173" s="18" t="inlineStr"/>
      <c r="K2173" s="18" t="inlineStr"/>
      <c r="L2173" s="18" t="inlineStr">
        <is>
          <t>No</t>
        </is>
      </c>
      <c r="M2173" s="18" t="inlineStr">
        <is>
          <t>No</t>
        </is>
      </c>
      <c r="N2173" s="18" t="inlineStr"/>
      <c r="O2173" s="18" t="inlineStr"/>
      <c r="P2173" s="18" t="inlineStr">
        <is>
          <t>Mapeada en internal-disciplinary-control-service/src/entities/disciplinary-process.entity.ts:76 (DisciplinaryProcess.kanbanNotice) | Validación: IsOptional, IsString</t>
        </is>
      </c>
      <c r="Q2173" s="18" t="inlineStr">
        <is>
          <t>Código fuente (verificado)</t>
        </is>
      </c>
      <c r="R2173" s="18" t="inlineStr">
        <is>
          <t>Aviso que se muestra en la tarjeta del proceso en el tablero Kanban: texto que el usuario registra al cambiar de etapa o aviso que genera el servicio al aprobarse el auto de remisión o al remitir el proceso por competencia.</t>
        </is>
      </c>
      <c r="S2173" s="18" t="inlineStr">
        <is>
          <t>Alta</t>
        </is>
      </c>
      <c r="T2173" s="18" t="inlineStr">
        <is>
          <t>internal-disciplinary-control-service/src/dtos/change-stage.dto.ts:9: kanbanNotice opcional | internal-disciplinary-control-service/src/services/process.service.ts:1216-1217: se guarda el texto recibido al cambiar de etapa | internal-disciplinary-control-service/src/services/auto.service.ts:588: aviso Auto de Remisión Aprobado · Entidad | internal-disciplinary-control-service/src/services/process.service.ts:2444: aviso Remitido por Competencia (número RC) · Entidad</t>
        </is>
      </c>
      <c r="U2173" s="18" t="inlineStr"/>
      <c r="V2173" s="19" t="inlineStr">
        <is>
          <t>Aprobada</t>
        </is>
      </c>
      <c r="W2173" s="19" t="inlineStr"/>
      <c r="X2173" s="19" t="inlineStr">
        <is>
          <t>Aldair González (aprobación en bloque)</t>
        </is>
      </c>
      <c r="Y2173" s="20" t="n">
        <v>46321</v>
      </c>
      <c r="Z2173" s="19" t="inlineStr">
        <is>
          <t>Nivel 3: verificada con el código de la aplicación.</t>
        </is>
      </c>
      <c r="AA2173" s="18">
        <f>IF(OR(V2173="Aprobada"),R2173,IF(AND(OR(V2173="Aprobada con ajuste",V2173="Rechazada"),W2173&lt;&gt;""),W2173,""))</f>
        <v/>
      </c>
    </row>
    <row r="2174">
      <c r="A2174" s="18" t="inlineStr">
        <is>
          <t>C2173</t>
        </is>
      </c>
      <c r="B2174" s="18" t="inlineStr">
        <is>
          <t>Control disciplinario interno</t>
        </is>
      </c>
      <c r="C2174" s="18" t="inlineStr">
        <is>
          <t>internal_disciplinary_control</t>
        </is>
      </c>
      <c r="D2174" s="18" t="inlineStr">
        <is>
          <t>disciplinary_processes</t>
        </is>
      </c>
      <c r="E2174" s="18" t="n">
        <v>26</v>
      </c>
      <c r="F2174" s="18" t="inlineStr">
        <is>
          <t>drafts_count</t>
        </is>
      </c>
      <c r="G2174" s="18" t="inlineStr">
        <is>
          <t>integer</t>
        </is>
      </c>
      <c r="H2174" s="18" t="inlineStr">
        <is>
          <t>Sí</t>
        </is>
      </c>
      <c r="I2174" s="18" t="inlineStr"/>
      <c r="J2174" s="18" t="inlineStr"/>
      <c r="K2174" s="18" t="inlineStr"/>
      <c r="L2174" s="18" t="inlineStr">
        <is>
          <t>No</t>
        </is>
      </c>
      <c r="M2174" s="18" t="inlineStr">
        <is>
          <t>Sí</t>
        </is>
      </c>
      <c r="N2174" s="18" t="inlineStr">
        <is>
          <t>Función public.update_process_statistics — public.update_process_statistics: -- Update drafts_count</t>
        </is>
      </c>
      <c r="O2174" s="18" t="inlineStr"/>
      <c r="P2174" s="18" t="inlineStr"/>
      <c r="Q2174" s="18" t="inlineStr">
        <is>
          <t>Propuesta semántica</t>
        </is>
      </c>
      <c r="R2174" s="18" t="inlineStr">
        <is>
          <t>Cantidad de borradores asociados al proceso. Se actualiza mediante la función public.update_process_statistics.</t>
        </is>
      </c>
      <c r="S2174" s="18" t="inlineStr">
        <is>
          <t>Alta</t>
        </is>
      </c>
      <c r="T2174" s="18" t="inlineStr">
        <is>
          <t>uso en la función public.update_process_statistics</t>
        </is>
      </c>
      <c r="U2174" s="18" t="inlineStr"/>
      <c r="V2174" s="19" t="inlineStr">
        <is>
          <t>Aprobada</t>
        </is>
      </c>
      <c r="W2174" s="19" t="inlineStr"/>
      <c r="X2174" s="19" t="inlineStr">
        <is>
          <t>Aldair González (aprobación en bloque)</t>
        </is>
      </c>
      <c r="Y2174" s="20" t="n">
        <v>46321</v>
      </c>
      <c r="Z2174" s="19" t="inlineStr">
        <is>
          <t>Nivel 1: propuesta del comentario del desarrollador o de confianza alta, o regla de fecha/responsable/motivo.</t>
        </is>
      </c>
      <c r="AA2174" s="18">
        <f>IF(OR(V2174="Aprobada"),R2174,IF(AND(OR(V2174="Aprobada con ajuste",V2174="Rechazada"),W2174&lt;&gt;""),W2174,""))</f>
        <v/>
      </c>
    </row>
    <row r="2175">
      <c r="A2175" s="18" t="inlineStr">
        <is>
          <t>C2174</t>
        </is>
      </c>
      <c r="B2175" s="18" t="inlineStr">
        <is>
          <t>Control disciplinario interno</t>
        </is>
      </c>
      <c r="C2175" s="18" t="inlineStr">
        <is>
          <t>internal_disciplinary_control</t>
        </is>
      </c>
      <c r="D2175" s="18" t="inlineStr">
        <is>
          <t>disciplinary_processes</t>
        </is>
      </c>
      <c r="E2175" s="18" t="n">
        <v>26</v>
      </c>
      <c r="F2175" s="18" t="inlineStr">
        <is>
          <t>documents_count</t>
        </is>
      </c>
      <c r="G2175" s="18" t="inlineStr">
        <is>
          <t>integer</t>
        </is>
      </c>
      <c r="H2175" s="18" t="inlineStr">
        <is>
          <t>Sí</t>
        </is>
      </c>
      <c r="I2175" s="18" t="inlineStr"/>
      <c r="J2175" s="18" t="inlineStr"/>
      <c r="K2175" s="18" t="inlineStr"/>
      <c r="L2175" s="18" t="inlineStr">
        <is>
          <t>No</t>
        </is>
      </c>
      <c r="M2175" s="18" t="inlineStr">
        <is>
          <t>Sí</t>
        </is>
      </c>
      <c r="N2175" s="18" t="inlineStr">
        <is>
          <t>Función public.update_process_documents_count — public.update_process_documents_count: SET documents_count = (</t>
        </is>
      </c>
      <c r="O2175" s="18" t="inlineStr"/>
      <c r="P2175" s="18" t="inlineStr"/>
      <c r="Q2175" s="18" t="inlineStr">
        <is>
          <t>Propuesta semántica</t>
        </is>
      </c>
      <c r="R2175" s="18" t="inlineStr">
        <is>
          <t>Cantidad de documentos asociados al proceso. Se actualiza mediante la función public.update_process_documents_count.</t>
        </is>
      </c>
      <c r="S2175" s="18" t="inlineStr">
        <is>
          <t>Alta</t>
        </is>
      </c>
      <c r="T2175" s="18" t="inlineStr">
        <is>
          <t>uso en la función public.update_process_documents_count</t>
        </is>
      </c>
      <c r="U2175" s="18" t="inlineStr"/>
      <c r="V2175" s="19" t="inlineStr">
        <is>
          <t>Aprobada</t>
        </is>
      </c>
      <c r="W2175" s="19" t="inlineStr"/>
      <c r="X2175" s="19" t="inlineStr">
        <is>
          <t>Aldair González (aprobación en bloque)</t>
        </is>
      </c>
      <c r="Y2175" s="20" t="n">
        <v>46321</v>
      </c>
      <c r="Z2175" s="19" t="inlineStr">
        <is>
          <t>Nivel 1: propuesta del comentario del desarrollador o de confianza alta, o regla de fecha/responsable/motivo.</t>
        </is>
      </c>
      <c r="AA2175" s="18">
        <f>IF(OR(V2175="Aprobada"),R2175,IF(AND(OR(V2175="Aprobada con ajuste",V2175="Rechazada"),W2175&lt;&gt;""),W2175,""))</f>
        <v/>
      </c>
    </row>
    <row r="2176">
      <c r="A2176" s="18" t="inlineStr">
        <is>
          <t>C2175</t>
        </is>
      </c>
      <c r="B2176" s="18" t="inlineStr">
        <is>
          <t>Control disciplinario interno</t>
        </is>
      </c>
      <c r="C2176" s="18" t="inlineStr">
        <is>
          <t>internal_disciplinary_control</t>
        </is>
      </c>
      <c r="D2176" s="18" t="inlineStr">
        <is>
          <t>disciplinary_processes</t>
        </is>
      </c>
      <c r="E2176" s="18" t="n">
        <v>26</v>
      </c>
      <c r="F2176" s="18" t="inlineStr">
        <is>
          <t>time_percentage</t>
        </is>
      </c>
      <c r="G2176" s="18" t="inlineStr">
        <is>
          <t>numeric(5,2)</t>
        </is>
      </c>
      <c r="H2176" s="18" t="inlineStr">
        <is>
          <t>Sí</t>
        </is>
      </c>
      <c r="I2176" s="18" t="inlineStr"/>
      <c r="J2176" s="18" t="inlineStr"/>
      <c r="K2176" s="18" t="inlineStr"/>
      <c r="L2176" s="18" t="inlineStr">
        <is>
          <t>No</t>
        </is>
      </c>
      <c r="M2176" s="18" t="inlineStr">
        <is>
          <t>No</t>
        </is>
      </c>
      <c r="N2176" s="18" t="inlineStr"/>
      <c r="O2176" s="18" t="inlineStr"/>
      <c r="P2176" s="18" t="inlineStr"/>
      <c r="Q2176" s="18" t="inlineStr">
        <is>
          <t>Código fuente (verificado)</t>
        </is>
      </c>
      <c r="R2176" s="18" t="inlineStr">
        <is>
          <t>Porcentaje del término de la etapa actual que ya transcurrió (0 a 100), medido entre el inicio de la etapa y fechaVencimientoEtapa. Valor por defecto: 0.</t>
        </is>
      </c>
      <c r="S2176" s="18" t="inlineStr">
        <is>
          <t>Alta</t>
        </is>
      </c>
      <c r="T2176" s="18" t="inlineStr">
        <is>
          <t>db/migrations/old/024_add-process-statistics.sql:9-14: DECIMAL(5,2) DEFAULT 0.00, comentario Percentage of time elapsed based on stage deadline | db/migrations/old/024_add-process-statistics.sql:38-56: cálculo sobre fechaVencimientoEtapa | internal-disciplinary-control-service/src/services/process.service.ts:309-323: el servicio calcula timePercentage en línea con fechaInicioEtapa y fechaVencimientoEtapa; la entidad no mapea la columna</t>
        </is>
      </c>
      <c r="U2176" s="18" t="inlineStr"/>
      <c r="V2176" s="19" t="inlineStr">
        <is>
          <t>Aprobada</t>
        </is>
      </c>
      <c r="W2176" s="19" t="inlineStr"/>
      <c r="X2176" s="19" t="inlineStr">
        <is>
          <t>Aldair González (aprobación en bloque)</t>
        </is>
      </c>
      <c r="Y2176" s="20" t="n">
        <v>46321</v>
      </c>
      <c r="Z2176" s="19" t="inlineStr">
        <is>
          <t>Nivel 3: verificada con el código de la aplicación.</t>
        </is>
      </c>
      <c r="AA2176" s="18">
        <f>IF(OR(V2176="Aprobada"),R2176,IF(AND(OR(V2176="Aprobada con ajuste",V2176="Rechazada"),W2176&lt;&gt;""),W2176,""))</f>
        <v/>
      </c>
    </row>
    <row r="2177">
      <c r="A2177" s="18" t="inlineStr">
        <is>
          <t>C2176</t>
        </is>
      </c>
      <c r="B2177" s="18" t="inlineStr">
        <is>
          <t>Control disciplinario interno</t>
        </is>
      </c>
      <c r="C2177" s="18" t="inlineStr">
        <is>
          <t>internal_disciplinary_control</t>
        </is>
      </c>
      <c r="D2177" s="18" t="inlineStr">
        <is>
          <t>disciplinary_processes</t>
        </is>
      </c>
      <c r="E2177" s="18" t="n">
        <v>26</v>
      </c>
      <c r="F2177" s="18" t="inlineStr">
        <is>
          <t>proceso_asociado_id</t>
        </is>
      </c>
      <c r="G2177" s="18" t="inlineStr">
        <is>
          <t>uuid</t>
        </is>
      </c>
      <c r="H2177" s="18" t="inlineStr">
        <is>
          <t>Sí</t>
        </is>
      </c>
      <c r="I2177" s="18" t="inlineStr"/>
      <c r="J2177" s="18" t="inlineStr"/>
      <c r="K2177" s="18" t="inlineStr"/>
      <c r="L2177" s="18" t="inlineStr">
        <is>
          <t>No</t>
        </is>
      </c>
      <c r="M2177" s="18" t="inlineStr">
        <is>
          <t>No</t>
        </is>
      </c>
      <c r="N2177" s="18" t="inlineStr"/>
      <c r="O2177" s="18" t="inlineStr">
        <is>
          <t>idx_proceso_asociado_id</t>
        </is>
      </c>
      <c r="P2177" s="18" t="inlineStr">
        <is>
          <t>internal-disciplinary-control-service/src/entities/disciplinary-process.entity.ts:131: Nota: Relación con asociaciones noticia-proceso se maneja via consultas directas para evitar dependencias circulares con DisciplinaryNewsProcess</t>
        </is>
      </c>
      <c r="Q2177" s="18" t="inlineStr">
        <is>
          <t>Código fuente (verificado)</t>
        </is>
      </c>
      <c r="R2177" s="18" t="inlineStr">
        <is>
          <t>Identificador del otro proceso disciplinario (disciplinary_processes.id) al que se asoció este proceso como conexo, similar o consolidado; en la consolidación ambos procesos quedan apuntando uno al otro.</t>
        </is>
      </c>
      <c r="S2177" s="18" t="inlineStr">
        <is>
          <t>Alta</t>
        </is>
      </c>
      <c r="T2177" s="18" t="inlineStr">
        <is>
          <t>internal-disciplinary-control-service/src/services/process.service.ts:1979-1984: associateProcess con tipo conexo, similar o consolidado | internal-disciplinary-control-service/src/services/process.service.ts:2071: procesoAsociadoId = procesoDestinoId | internal-disciplinary-control-service/src/services/process.service.ts:2088-2091: en consolidación el destino apunta al origen</t>
        </is>
      </c>
      <c r="U2177" s="18" t="inlineStr"/>
      <c r="V2177" s="19" t="inlineStr">
        <is>
          <t>Aprobada</t>
        </is>
      </c>
      <c r="W2177" s="19" t="inlineStr"/>
      <c r="X2177" s="19" t="inlineStr">
        <is>
          <t>Aldair González (aprobación en bloque)</t>
        </is>
      </c>
      <c r="Y2177" s="20" t="n">
        <v>46321</v>
      </c>
      <c r="Z2177" s="19" t="inlineStr">
        <is>
          <t>Nivel 3: verificada con el código de la aplicación.</t>
        </is>
      </c>
      <c r="AA2177" s="18">
        <f>IF(OR(V2177="Aprobada"),R2177,IF(AND(OR(V2177="Aprobada con ajuste",V2177="Rechazada"),W2177&lt;&gt;""),W2177,""))</f>
        <v/>
      </c>
    </row>
    <row r="2178">
      <c r="A2178" s="18" t="inlineStr">
        <is>
          <t>C2177</t>
        </is>
      </c>
      <c r="B2178" s="18" t="inlineStr">
        <is>
          <t>Control disciplinario interno</t>
        </is>
      </c>
      <c r="C2178" s="18" t="inlineStr">
        <is>
          <t>internal_disciplinary_control</t>
        </is>
      </c>
      <c r="D2178" s="18" t="inlineStr">
        <is>
          <t>disciplinary_processes</t>
        </is>
      </c>
      <c r="E2178" s="18" t="n">
        <v>26</v>
      </c>
      <c r="F2178" s="18" t="inlineStr">
        <is>
          <t>proceso_asociado_numero</t>
        </is>
      </c>
      <c r="G2178" s="18" t="inlineStr">
        <is>
          <t>character varying(50)</t>
        </is>
      </c>
      <c r="H2178" s="18" t="inlineStr">
        <is>
          <t>Sí</t>
        </is>
      </c>
      <c r="I2178" s="18" t="inlineStr"/>
      <c r="J2178" s="18" t="inlineStr"/>
      <c r="K2178" s="18" t="inlineStr"/>
      <c r="L2178" s="18" t="inlineStr">
        <is>
          <t>No</t>
        </is>
      </c>
      <c r="M2178" s="18" t="inlineStr">
        <is>
          <t>No</t>
        </is>
      </c>
      <c r="N2178" s="18" t="inlineStr"/>
      <c r="O2178" s="18" t="inlineStr"/>
      <c r="P2178" s="18" t="inlineStr">
        <is>
          <t>internal-disciplinary-control-service/src/entities/disciplinary-process.entity.ts:134: Nota: Relación con asociaciones noticia-proceso se maneja via consultas directas para evitar dependencias circulares con DisciplinaryNewsProcess</t>
        </is>
      </c>
      <c r="Q2178" s="18" t="inlineStr">
        <is>
          <t>Código fuente (verificado)</t>
        </is>
      </c>
      <c r="R2178" s="18" t="inlineStr">
        <is>
          <t>Radicado del proceso asociado: copia de radicadoProceso del proceso referenciado por proceso_asociado_id.</t>
        </is>
      </c>
      <c r="S2178" s="18" t="inlineStr">
        <is>
          <t>Alta</t>
        </is>
      </c>
      <c r="T2178" s="18" t="inlineStr">
        <is>
          <t>internal-disciplinary-control-service/src/services/process.service.ts:2072: procesoAsociadoNumero = procesoDestino.radicadoProceso | internal-disciplinary-control-service/src/services/process.service.ts:2091: en consolidación, radicado del proceso origen</t>
        </is>
      </c>
      <c r="U2178" s="18" t="inlineStr"/>
      <c r="V2178" s="19" t="inlineStr">
        <is>
          <t>Aprobada</t>
        </is>
      </c>
      <c r="W2178" s="19" t="inlineStr"/>
      <c r="X2178" s="19" t="inlineStr">
        <is>
          <t>Aldair González (aprobación en bloque)</t>
        </is>
      </c>
      <c r="Y2178" s="20" t="n">
        <v>46321</v>
      </c>
      <c r="Z2178" s="19" t="inlineStr">
        <is>
          <t>Nivel 3: verificada con el código de la aplicación.</t>
        </is>
      </c>
      <c r="AA2178" s="18">
        <f>IF(OR(V2178="Aprobada"),R2178,IF(AND(OR(V2178="Aprobada con ajuste",V2178="Rechazada"),W2178&lt;&gt;""),W2178,""))</f>
        <v/>
      </c>
    </row>
    <row r="2179">
      <c r="A2179" s="18" t="inlineStr">
        <is>
          <t>C2178</t>
        </is>
      </c>
      <c r="B2179" s="18" t="inlineStr">
        <is>
          <t>Control disciplinario interno</t>
        </is>
      </c>
      <c r="C2179" s="18" t="inlineStr">
        <is>
          <t>internal_disciplinary_control</t>
        </is>
      </c>
      <c r="D2179" s="18" t="inlineStr">
        <is>
          <t>disciplinary_processes</t>
        </is>
      </c>
      <c r="E2179" s="18" t="n">
        <v>26</v>
      </c>
      <c r="F2179" s="18" t="inlineStr">
        <is>
          <t>proceso_asociado_tipo</t>
        </is>
      </c>
      <c r="G2179" s="18" t="inlineStr">
        <is>
          <t>character varying(20)</t>
        </is>
      </c>
      <c r="H2179" s="18" t="inlineStr">
        <is>
          <t>Sí</t>
        </is>
      </c>
      <c r="I2179" s="18" t="inlineStr"/>
      <c r="J2179" s="18" t="inlineStr"/>
      <c r="K2179" s="18" t="inlineStr"/>
      <c r="L2179" s="18" t="inlineStr">
        <is>
          <t>No</t>
        </is>
      </c>
      <c r="M2179" s="18" t="inlineStr">
        <is>
          <t>No</t>
        </is>
      </c>
      <c r="N2179" s="18" t="inlineStr"/>
      <c r="O2179" s="18" t="inlineStr"/>
      <c r="P2179" s="18" t="inlineStr">
        <is>
          <t>internal-disciplinary-control-service/src/entities/disciplinary-process.entity.ts:137: Nota: Relación con asociaciones noticia-proceso se maneja via consultas directas para evitar dependencias circulares con DisciplinaryNewsProcess</t>
        </is>
      </c>
      <c r="Q2179" s="18" t="inlineStr">
        <is>
          <t>Código fuente (verificado)</t>
        </is>
      </c>
      <c r="R2179" s="18" t="inlineStr">
        <is>
          <t>Tipo de vínculo con el proceso asociado: conexo, similar o consolidado.</t>
        </is>
      </c>
      <c r="S2179" s="18" t="inlineStr">
        <is>
          <t>Alta</t>
        </is>
      </c>
      <c r="T2179" s="18" t="inlineStr">
        <is>
          <t>internal-disciplinary-control-service/src/entities/disciplinary-process.entity.ts:137-138: 'conexo' | 'similar' | 'consolidado' | internal-disciplinary-control-service/src/services/process.service.ts:2073: procesoAsociadoTipo = tipoAsociacion | internal-disciplinary-control-service/src/controllers/process.controller.ts:2228-2231: tipoAsociacion en el cuerpo de la solicitud</t>
        </is>
      </c>
      <c r="U2179" s="18" t="inlineStr"/>
      <c r="V2179" s="19" t="inlineStr">
        <is>
          <t>Aprobada</t>
        </is>
      </c>
      <c r="W2179" s="19" t="inlineStr"/>
      <c r="X2179" s="19" t="inlineStr">
        <is>
          <t>Aldair González (aprobación en bloque)</t>
        </is>
      </c>
      <c r="Y2179" s="20" t="n">
        <v>46321</v>
      </c>
      <c r="Z2179" s="19" t="inlineStr">
        <is>
          <t>Nivel 3: verificada con el código de la aplicación.</t>
        </is>
      </c>
      <c r="AA2179" s="18">
        <f>IF(OR(V2179="Aprobada"),R2179,IF(AND(OR(V2179="Aprobada con ajuste",V2179="Rechazada"),W2179&lt;&gt;""),W2179,""))</f>
        <v/>
      </c>
    </row>
    <row r="2180">
      <c r="A2180" s="18" t="inlineStr">
        <is>
          <t>C2179</t>
        </is>
      </c>
      <c r="B2180" s="18" t="inlineStr">
        <is>
          <t>Control disciplinario interno</t>
        </is>
      </c>
      <c r="C2180" s="18" t="inlineStr">
        <is>
          <t>internal_disciplinary_control</t>
        </is>
      </c>
      <c r="D2180" s="18" t="inlineStr">
        <is>
          <t>disciplinary_processes</t>
        </is>
      </c>
      <c r="E2180" s="18" t="n">
        <v>26</v>
      </c>
      <c r="F2180" s="18" t="inlineStr">
        <is>
          <t>proceso_asociado_fecha</t>
        </is>
      </c>
      <c r="G2180" s="18" t="inlineStr">
        <is>
          <t>timestamp with time zone</t>
        </is>
      </c>
      <c r="H2180" s="18" t="inlineStr">
        <is>
          <t>Sí</t>
        </is>
      </c>
      <c r="I2180" s="18" t="inlineStr"/>
      <c r="J2180" s="18" t="inlineStr"/>
      <c r="K2180" s="18" t="inlineStr"/>
      <c r="L2180" s="18" t="inlineStr">
        <is>
          <t>No</t>
        </is>
      </c>
      <c r="M2180" s="18" t="inlineStr">
        <is>
          <t>No</t>
        </is>
      </c>
      <c r="N2180" s="18" t="inlineStr"/>
      <c r="O2180" s="18" t="inlineStr"/>
      <c r="P2180" s="18" t="inlineStr">
        <is>
          <t>internal-disciplinary-control-service/src/entities/disciplinary-process.entity.ts:140: Nota: Relación con asociaciones noticia-proceso se maneja via consultas directas para evitar dependencias circulares con DisciplinaryNewsProcess</t>
        </is>
      </c>
      <c r="Q2180" s="18" t="inlineStr">
        <is>
          <t>Código fuente (verificado)</t>
        </is>
      </c>
      <c r="R2180" s="18" t="inlineStr">
        <is>
          <t>Fecha y hora en que se registró la asociación con el otro proceso.</t>
        </is>
      </c>
      <c r="S2180" s="18" t="inlineStr">
        <is>
          <t>Alta</t>
        </is>
      </c>
      <c r="T2180" s="18" t="inlineStr">
        <is>
          <t>internal-disciplinary-control-service/src/services/process.service.ts:2074: procesoAsociadoFecha = new Date() | internal-disciplinary-control-service/src/services/process.service.ts:2093: igual para el proceso destino en la consolidación</t>
        </is>
      </c>
      <c r="U2180" s="18" t="inlineStr"/>
      <c r="V2180" s="19" t="inlineStr">
        <is>
          <t>Aprobada</t>
        </is>
      </c>
      <c r="W2180" s="19" t="inlineStr"/>
      <c r="X2180" s="19" t="inlineStr">
        <is>
          <t>Aldair González (aprobación en bloque)</t>
        </is>
      </c>
      <c r="Y2180" s="20" t="n">
        <v>46321</v>
      </c>
      <c r="Z2180" s="19" t="inlineStr">
        <is>
          <t>Nivel 3: verificada con el código de la aplicación.</t>
        </is>
      </c>
      <c r="AA2180" s="18">
        <f>IF(OR(V2180="Aprobada"),R2180,IF(AND(OR(V2180="Aprobada con ajuste",V2180="Rechazada"),W2180&lt;&gt;""),W2180,""))</f>
        <v/>
      </c>
    </row>
    <row r="2181">
      <c r="A2181" s="18" t="inlineStr">
        <is>
          <t>C2180</t>
        </is>
      </c>
      <c r="B2181" s="18" t="inlineStr">
        <is>
          <t>Control disciplinario interno</t>
        </is>
      </c>
      <c r="C2181" s="18" t="inlineStr">
        <is>
          <t>internal_disciplinary_control</t>
        </is>
      </c>
      <c r="D2181" s="18" t="inlineStr">
        <is>
          <t>disciplinary_processes</t>
        </is>
      </c>
      <c r="E2181" s="18" t="n">
        <v>26</v>
      </c>
      <c r="F2181" s="18" t="inlineStr">
        <is>
          <t>proceso_asociado_justificacion</t>
        </is>
      </c>
      <c r="G2181" s="18" t="inlineStr">
        <is>
          <t>text</t>
        </is>
      </c>
      <c r="H2181" s="18" t="inlineStr">
        <is>
          <t>Sí</t>
        </is>
      </c>
      <c r="I2181" s="18" t="inlineStr"/>
      <c r="J2181" s="18" t="inlineStr"/>
      <c r="K2181" s="18" t="inlineStr"/>
      <c r="L2181" s="18" t="inlineStr">
        <is>
          <t>No</t>
        </is>
      </c>
      <c r="M2181" s="18" t="inlineStr">
        <is>
          <t>No</t>
        </is>
      </c>
      <c r="N2181" s="18" t="inlineStr"/>
      <c r="O2181" s="18" t="inlineStr"/>
      <c r="P2181" s="18" t="inlineStr">
        <is>
          <t>internal-disciplinary-control-service/src/entities/disciplinary-process.entity.ts:143: Nota: Relación con asociaciones noticia-proceso se maneja via consultas directas para evitar dependencias circulares con DisciplinaryNewsProcess</t>
        </is>
      </c>
      <c r="Q2181" s="18" t="inlineStr">
        <is>
          <t>Código fuente (verificado)</t>
        </is>
      </c>
      <c r="R2181" s="18" t="inlineStr">
        <is>
          <t>Justificación de la asociación del proceso con otro proceso, digitada por el usuario que registra la asociación; el servicio no valida que sea obligatoria.</t>
        </is>
      </c>
      <c r="S2181" s="18" t="inlineStr">
        <is>
          <t>Alta</t>
        </is>
      </c>
      <c r="T2181" s="18" t="inlineStr">
        <is>
          <t>internal-disciplinary-control-service/src/controllers/process.controller.ts:2225-2245: justificacion llega en el cuerpo de la solicitud, sin DTO de validación | internal-disciplinary-control-service/src/services/process.service.ts:2075: procesoAsociadoJustificacion = justificacion | internal-disciplinary-control-service/src/services/process.service.ts:2094: igual para el proceso destino en la consolidación</t>
        </is>
      </c>
      <c r="U2181" s="18" t="inlineStr"/>
      <c r="V2181" s="19" t="inlineStr">
        <is>
          <t>Aprobada</t>
        </is>
      </c>
      <c r="W2181" s="19" t="inlineStr"/>
      <c r="X2181" s="19" t="inlineStr">
        <is>
          <t>Aldair González (aprobación en bloque)</t>
        </is>
      </c>
      <c r="Y2181" s="20" t="n">
        <v>46321</v>
      </c>
      <c r="Z2181" s="19" t="inlineStr">
        <is>
          <t>Nivel 3: verificada con el código de la aplicación.</t>
        </is>
      </c>
      <c r="AA2181" s="18">
        <f>IF(OR(V2181="Aprobada"),R2181,IF(AND(OR(V2181="Aprobada con ajuste",V2181="Rechazada"),W2181&lt;&gt;""),W2181,""))</f>
        <v/>
      </c>
    </row>
    <row r="2182">
      <c r="A2182" s="18" t="inlineStr">
        <is>
          <t>C2181</t>
        </is>
      </c>
      <c r="B2182" s="18" t="inlineStr">
        <is>
          <t>Control disciplinario interno</t>
        </is>
      </c>
      <c r="C2182" s="18" t="inlineStr">
        <is>
          <t>internal_disciplinary_control</t>
        </is>
      </c>
      <c r="D2182" s="18" t="inlineStr">
        <is>
          <t>disciplinary_processes</t>
        </is>
      </c>
      <c r="E2182" s="18" t="n">
        <v>26</v>
      </c>
      <c r="F2182" s="18" t="inlineStr">
        <is>
          <t>procesos_consolidados</t>
        </is>
      </c>
      <c r="G2182" s="18" t="inlineStr">
        <is>
          <t>text[]</t>
        </is>
      </c>
      <c r="H2182" s="18" t="inlineStr">
        <is>
          <t>Sí</t>
        </is>
      </c>
      <c r="I2182" s="18" t="inlineStr"/>
      <c r="J2182" s="18" t="inlineStr"/>
      <c r="K2182" s="18" t="inlineStr"/>
      <c r="L2182" s="18" t="inlineStr">
        <is>
          <t>No</t>
        </is>
      </c>
      <c r="M2182" s="18" t="inlineStr">
        <is>
          <t>No</t>
        </is>
      </c>
      <c r="N2182" s="18" t="inlineStr"/>
      <c r="O2182" s="18" t="inlineStr"/>
      <c r="P2182" s="18" t="inlineStr">
        <is>
          <t>internal-disciplinary-control-service/src/entities/disciplinary-process.entity.ts:147: Nota: Relación con asociaciones noticia-proceso se maneja via consultas directas para evitar dependencias circulares con DisciplinaryNewsProcess</t>
        </is>
      </c>
      <c r="Q2182" s="18" t="inlineStr">
        <is>
          <t>Código fuente (verificado)</t>
        </is>
      </c>
      <c r="R2182" s="18" t="inlineStr">
        <is>
          <t>Radicados de los procesos consolidados (el principal y el secundario), como arreglo de textos.</t>
        </is>
      </c>
      <c r="S2182" s="18" t="inlineStr">
        <is>
          <t>Alta</t>
        </is>
      </c>
      <c r="T2182" s="18" t="inlineStr">
        <is>
          <t>internal-disciplinary-control-service/src/services/process.service.ts:2042-2045: procesosConsolidados = [radicado del principal, radicado del secundario] | internal-disciplinary-control-service/src/services/process.service.ts:2055-2058: igual en el proceso destino</t>
        </is>
      </c>
      <c r="U2182" s="18" t="inlineStr"/>
      <c r="V2182" s="19" t="inlineStr">
        <is>
          <t>Aprobada</t>
        </is>
      </c>
      <c r="W2182" s="19" t="inlineStr"/>
      <c r="X2182" s="19" t="inlineStr">
        <is>
          <t>Aldair González (aprobación en bloque)</t>
        </is>
      </c>
      <c r="Y2182" s="20" t="n">
        <v>46321</v>
      </c>
      <c r="Z2182" s="19" t="inlineStr">
        <is>
          <t>Nivel 3: verificada con el código de la aplicación.</t>
        </is>
      </c>
      <c r="AA2182" s="18">
        <f>IF(OR(V2182="Aprobada"),R2182,IF(AND(OR(V2182="Aprobada con ajuste",V2182="Rechazada"),W2182&lt;&gt;""),W2182,""))</f>
        <v/>
      </c>
    </row>
    <row r="2183">
      <c r="A2183" s="18" t="inlineStr">
        <is>
          <t>C2182</t>
        </is>
      </c>
      <c r="B2183" s="18" t="inlineStr">
        <is>
          <t>Control disciplinario interno</t>
        </is>
      </c>
      <c r="C2183" s="18" t="inlineStr">
        <is>
          <t>internal_disciplinary_control</t>
        </is>
      </c>
      <c r="D2183" s="18" t="inlineStr">
        <is>
          <t>disciplinary_processes</t>
        </is>
      </c>
      <c r="E2183" s="18" t="n">
        <v>26</v>
      </c>
      <c r="F2183" s="18" t="inlineStr">
        <is>
          <t>proceso_consolidado_principal</t>
        </is>
      </c>
      <c r="G2183" s="18" t="inlineStr">
        <is>
          <t>uuid</t>
        </is>
      </c>
      <c r="H2183" s="18" t="inlineStr">
        <is>
          <t>Sí</t>
        </is>
      </c>
      <c r="I2183" s="18" t="inlineStr"/>
      <c r="J2183" s="18" t="inlineStr"/>
      <c r="K2183" s="18" t="inlineStr"/>
      <c r="L2183" s="18" t="inlineStr">
        <is>
          <t>No</t>
        </is>
      </c>
      <c r="M2183" s="18" t="inlineStr">
        <is>
          <t>No</t>
        </is>
      </c>
      <c r="N2183" s="18" t="inlineStr"/>
      <c r="O2183" s="18" t="inlineStr">
        <is>
          <t>idx_proceso_consolidado_principal</t>
        </is>
      </c>
      <c r="P2183" s="18" t="inlineStr">
        <is>
          <t>internal-disciplinary-control-service/src/entities/disciplinary-process.entity.ts:150: Nota: Relación con asociaciones noticia-proceso se maneja via consultas directas para evitar dependencias circulares con DisciplinaryNewsProcess</t>
        </is>
      </c>
      <c r="Q2183" s="18" t="inlineStr">
        <is>
          <t>Código fuente (verificado)</t>
        </is>
      </c>
      <c r="R2183" s="18" t="inlineStr">
        <is>
          <t>Identificador del proceso principal de la consolidación (disciplinary_processes.id): el proceso más antiguo por fecha de creación.</t>
        </is>
      </c>
      <c r="S2183" s="18" t="inlineStr">
        <is>
          <t>Alta</t>
        </is>
      </c>
      <c r="T2183" s="18" t="inlineStr">
        <is>
          <t>internal-disciplinary-control-service/src/services/process.service.ts:2013-2025: el principal es el proceso con menor createdAt | internal-disciplinary-control-service/src/services/process.service.ts:2041: procesoConsolidadoPrincipal = procesoPrincipal.id | internal-disciplinary-control-service/src/services/process.service.ts:2054: igual en el proceso destino</t>
        </is>
      </c>
      <c r="U2183" s="18" t="inlineStr"/>
      <c r="V2183" s="19" t="inlineStr">
        <is>
          <t>Aprobada</t>
        </is>
      </c>
      <c r="W2183" s="19" t="inlineStr"/>
      <c r="X2183" s="19" t="inlineStr">
        <is>
          <t>Aldair González (aprobación en bloque)</t>
        </is>
      </c>
      <c r="Y2183" s="20" t="n">
        <v>46321</v>
      </c>
      <c r="Z2183" s="19" t="inlineStr">
        <is>
          <t>Nivel 3: verificada con el código de la aplicación.</t>
        </is>
      </c>
      <c r="AA2183" s="18">
        <f>IF(OR(V2183="Aprobada"),R2183,IF(AND(OR(V2183="Aprobada con ajuste",V2183="Rechazada"),W2183&lt;&gt;""),W2183,""))</f>
        <v/>
      </c>
    </row>
    <row r="2184">
      <c r="A2184" s="18" t="inlineStr">
        <is>
          <t>C2183</t>
        </is>
      </c>
      <c r="B2184" s="18" t="inlineStr">
        <is>
          <t>Control disciplinario interno</t>
        </is>
      </c>
      <c r="C2184" s="18" t="inlineStr">
        <is>
          <t>internal_disciplinary_control</t>
        </is>
      </c>
      <c r="D2184" s="18" t="inlineStr">
        <is>
          <t>disciplinary_processes</t>
        </is>
      </c>
      <c r="E2184" s="18" t="n">
        <v>26</v>
      </c>
      <c r="F2184" s="18" t="inlineStr">
        <is>
          <t>informacion_consolidada</t>
        </is>
      </c>
      <c r="G2184" s="18" t="inlineStr">
        <is>
          <t>jsonb</t>
        </is>
      </c>
      <c r="H2184" s="18" t="inlineStr">
        <is>
          <t>Sí</t>
        </is>
      </c>
      <c r="I2184" s="18" t="inlineStr"/>
      <c r="J2184" s="18" t="inlineStr"/>
      <c r="K2184" s="18" t="inlineStr"/>
      <c r="L2184" s="18" t="inlineStr">
        <is>
          <t>No</t>
        </is>
      </c>
      <c r="M2184" s="18" t="inlineStr">
        <is>
          <t>No</t>
        </is>
      </c>
      <c r="N2184" s="18" t="inlineStr"/>
      <c r="O2184" s="18" t="inlineStr"/>
      <c r="P2184" s="18" t="inlineStr">
        <is>
          <t>internal-disciplinary-control-service/src/entities/disciplinary-process.entity.ts:153: Nota: Relación con asociaciones noticia-proceso se maneja via consultas directas para evitar dependencias circulares con DisciplinaryNewsProcess</t>
        </is>
      </c>
      <c r="Q2184" s="18" t="inlineStr">
        <is>
          <t>Código fuente (verificado)</t>
        </is>
      </c>
      <c r="R2184" s="18" t="inlineStr">
        <is>
          <t>Información del proceso principal de la consolidación, como objeto JSON con radicado, fechaInicio, hechos y disciplinable; la llena el servicio al consolidar.</t>
        </is>
      </c>
      <c r="S2184" s="18" t="inlineStr">
        <is>
          <t>Alta</t>
        </is>
      </c>
      <c r="T2184" s="18" t="inlineStr">
        <is>
          <t>internal-disciplinary-control-service/src/entities/disciplinary-process.entity.ts:153-159: estructura radicado, fechaInicio, hechos, disciplinable | internal-disciplinary-control-service/src/services/process.service.ts:2046-2051: se toma del proceso principal y de su noticia</t>
        </is>
      </c>
      <c r="U2184" s="18" t="inlineStr"/>
      <c r="V2184" s="19" t="inlineStr">
        <is>
          <t>Aprobada</t>
        </is>
      </c>
      <c r="W2184" s="19" t="inlineStr"/>
      <c r="X2184" s="19" t="inlineStr">
        <is>
          <t>Aldair González (aprobación en bloque)</t>
        </is>
      </c>
      <c r="Y2184" s="20" t="n">
        <v>46321</v>
      </c>
      <c r="Z2184" s="19" t="inlineStr">
        <is>
          <t>Nivel 3: verificada con el código de la aplicación.</t>
        </is>
      </c>
      <c r="AA2184" s="18">
        <f>IF(OR(V2184="Aprobada"),R2184,IF(AND(OR(V2184="Aprobada con ajuste",V2184="Rechazada"),W2184&lt;&gt;""),W2184,""))</f>
        <v/>
      </c>
    </row>
    <row r="2185">
      <c r="A2185" s="18" t="inlineStr">
        <is>
          <t>C2184</t>
        </is>
      </c>
      <c r="B2185" s="18" t="inlineStr">
        <is>
          <t>Control disciplinario interno</t>
        </is>
      </c>
      <c r="C2185" s="18" t="inlineStr">
        <is>
          <t>internal_disciplinary_control</t>
        </is>
      </c>
      <c r="D2185" s="18" t="inlineStr">
        <is>
          <t>disciplinary_processes</t>
        </is>
      </c>
      <c r="E2185" s="18" t="n">
        <v>26</v>
      </c>
      <c r="F2185" s="18" t="inlineStr">
        <is>
          <t>fechaInicioEtapa</t>
        </is>
      </c>
      <c r="G2185" s="18" t="inlineStr">
        <is>
          <t>timestamp with time zone</t>
        </is>
      </c>
      <c r="H2185" s="18" t="inlineStr">
        <is>
          <t>Sí</t>
        </is>
      </c>
      <c r="I2185" s="18" t="inlineStr"/>
      <c r="J2185" s="18" t="inlineStr"/>
      <c r="K2185" s="18" t="inlineStr"/>
      <c r="L2185" s="18" t="inlineStr">
        <is>
          <t>No</t>
        </is>
      </c>
      <c r="M2185" s="18" t="inlineStr">
        <is>
          <t>No</t>
        </is>
      </c>
      <c r="N2185" s="18" t="inlineStr"/>
      <c r="O2185" s="18" t="inlineStr"/>
      <c r="P2185" s="18" t="inlineStr">
        <is>
          <t>Mapeada en internal-disciplinary-control-service/src/entities/disciplinary-process.entity.ts:88 (DisciplinaryProcess.fechaInicioEtapa)</t>
        </is>
      </c>
      <c r="Q2185" s="18" t="inlineStr">
        <is>
          <t>Propuesta semántica</t>
        </is>
      </c>
      <c r="R2185" s="18" t="inlineStr">
        <is>
          <t>Fecha de inicio de la etapa actual del proceso.</t>
        </is>
      </c>
      <c r="S2185" s="18" t="inlineStr">
        <is>
          <t>Alta</t>
        </is>
      </c>
      <c r="T2185" s="18" t="inlineStr">
        <is>
          <t>nombre + tipo + columnas vecinas (etapaActual, fechaVencimientoEtapa)</t>
        </is>
      </c>
      <c r="U2185" s="18" t="inlineStr"/>
      <c r="V2185" s="19" t="inlineStr">
        <is>
          <t>Aprobada</t>
        </is>
      </c>
      <c r="W2185" s="19" t="inlineStr"/>
      <c r="X2185" s="19" t="inlineStr">
        <is>
          <t>Aldair González (aprobación en bloque)</t>
        </is>
      </c>
      <c r="Y2185" s="20" t="n">
        <v>46321</v>
      </c>
      <c r="Z2185" s="19" t="inlineStr">
        <is>
          <t>Nivel 1: propuesta del comentario del desarrollador o de confianza alta, o regla de fecha/responsable/motivo.</t>
        </is>
      </c>
      <c r="AA2185" s="18">
        <f>IF(OR(V2185="Aprobada"),R2185,IF(AND(OR(V2185="Aprobada con ajuste",V2185="Rechazada"),W2185&lt;&gt;""),W2185,""))</f>
        <v/>
      </c>
    </row>
    <row r="2186">
      <c r="A2186" s="18" t="inlineStr">
        <is>
          <t>C2185</t>
        </is>
      </c>
      <c r="B2186" s="18" t="inlineStr">
        <is>
          <t>Control disciplinario interno</t>
        </is>
      </c>
      <c r="C2186" s="18" t="inlineStr">
        <is>
          <t>internal_disciplinary_control</t>
        </is>
      </c>
      <c r="D2186" s="18" t="inlineStr">
        <is>
          <t>disciplinary_processes</t>
        </is>
      </c>
      <c r="E2186" s="18" t="n">
        <v>26</v>
      </c>
      <c r="F2186" s="18" t="inlineStr">
        <is>
          <t>fecha_cierre</t>
        </is>
      </c>
      <c r="G2186" s="18" t="inlineStr">
        <is>
          <t>timestamp with time zone</t>
        </is>
      </c>
      <c r="H2186" s="18" t="inlineStr">
        <is>
          <t>Sí</t>
        </is>
      </c>
      <c r="I2186" s="18" t="inlineStr"/>
      <c r="J2186" s="18" t="inlineStr"/>
      <c r="K2186" s="18" t="inlineStr"/>
      <c r="L2186" s="18" t="inlineStr">
        <is>
          <t>No</t>
        </is>
      </c>
      <c r="M2186" s="18" t="inlineStr">
        <is>
          <t>No</t>
        </is>
      </c>
      <c r="N2186" s="18" t="inlineStr"/>
      <c r="O2186" s="18" t="inlineStr"/>
      <c r="P2186" s="18" t="inlineStr">
        <is>
          <t>internal-disciplinary-control-service/src/entities/disciplinary-process.entity.ts:116: Nota: Relación con asociaciones noticia-proceso se maneja via consultas directas para evitar dependencias circulares con DisciplinaryNewsProcess</t>
        </is>
      </c>
      <c r="Q2186" s="18" t="inlineStr">
        <is>
          <t>Código fuente (verificado)</t>
        </is>
      </c>
      <c r="R2186" s="18" t="inlineStr">
        <is>
          <t>Fecha y hora de cierre del proceso disciplinario: se llena al cerrar el proceso por el envío del pliego de cargos a jurídica y se borra si el proceso se restaura.</t>
        </is>
      </c>
      <c r="S2186" s="18" t="inlineStr">
        <is>
          <t>Alta</t>
        </is>
      </c>
      <c r="T2186" s="18" t="inlineStr">
        <is>
          <t>internal-disciplinary-control-service/src/services/process.service.ts:1512-1564: cerrarPorPliegoCargos fija estado CERRADO y fechaCierre | internal-disciplinary-control-service/src/services/process.service.ts:2175-2179: al restaurar un proceso cerrado se ponen en null fechaCierre, etapaAlCierre y cerradoPorId</t>
        </is>
      </c>
      <c r="U2186" s="18" t="inlineStr"/>
      <c r="V2186" s="19" t="inlineStr">
        <is>
          <t>Aprobada</t>
        </is>
      </c>
      <c r="W2186" s="19" t="inlineStr"/>
      <c r="X2186" s="19" t="inlineStr">
        <is>
          <t>Aldair González (aprobación en bloque)</t>
        </is>
      </c>
      <c r="Y2186" s="20" t="n">
        <v>46321</v>
      </c>
      <c r="Z2186" s="19" t="inlineStr">
        <is>
          <t>Nivel 3: verificada con el código de la aplicación.</t>
        </is>
      </c>
      <c r="AA2186" s="18">
        <f>IF(OR(V2186="Aprobada"),R2186,IF(AND(OR(V2186="Aprobada con ajuste",V2186="Rechazada"),W2186&lt;&gt;""),W2186,""))</f>
        <v/>
      </c>
    </row>
    <row r="2187">
      <c r="A2187" s="18" t="inlineStr">
        <is>
          <t>C2186</t>
        </is>
      </c>
      <c r="B2187" s="18" t="inlineStr">
        <is>
          <t>Control disciplinario interno</t>
        </is>
      </c>
      <c r="C2187" s="18" t="inlineStr">
        <is>
          <t>internal_disciplinary_control</t>
        </is>
      </c>
      <c r="D2187" s="18" t="inlineStr">
        <is>
          <t>disciplinary_processes</t>
        </is>
      </c>
      <c r="E2187" s="18" t="n">
        <v>26</v>
      </c>
      <c r="F2187" s="18" t="inlineStr">
        <is>
          <t>etapa_al_cierre</t>
        </is>
      </c>
      <c r="G2187" s="18" t="inlineStr">
        <is>
          <t>character varying(100)</t>
        </is>
      </c>
      <c r="H2187" s="18" t="inlineStr">
        <is>
          <t>Sí</t>
        </is>
      </c>
      <c r="I2187" s="18" t="inlineStr"/>
      <c r="J2187" s="18" t="inlineStr"/>
      <c r="K2187" s="18" t="inlineStr"/>
      <c r="L2187" s="18" t="inlineStr">
        <is>
          <t>No</t>
        </is>
      </c>
      <c r="M2187" s="18" t="inlineStr">
        <is>
          <t>No</t>
        </is>
      </c>
      <c r="N2187" s="18" t="inlineStr"/>
      <c r="O2187" s="18" t="inlineStr"/>
      <c r="P2187" s="18" t="inlineStr">
        <is>
          <t>internal-disciplinary-control-service/src/entities/disciplinary-process.entity.ts:119: Nota: Relación con asociaciones noticia-proceso se maneja via consultas directas para evitar dependencias circulares con DisciplinaryNewsProcess</t>
        </is>
      </c>
      <c r="Q2187" s="18" t="inlineStr">
        <is>
          <t>Código fuente (verificado)</t>
        </is>
      </c>
      <c r="R2187" s="18" t="inlineStr">
        <is>
          <t>Etapa en que se encontraba el proceso al momento del cierre: copia de etapaActual; se borra si el proceso se restaura.</t>
        </is>
      </c>
      <c r="S2187" s="18" t="inlineStr">
        <is>
          <t>Alta</t>
        </is>
      </c>
      <c r="T2187" s="18" t="inlineStr">
        <is>
          <t>internal-disciplinary-control-service/src/services/process.service.ts:1549: etapaAlCierre = proceso.etapaActual | internal-disciplinary-control-service/src/services/process.service.ts:1563: se guarda | internal-disciplinary-control-service/src/services/process.service.ts:2178: null al restaurar</t>
        </is>
      </c>
      <c r="U2187" s="18" t="inlineStr"/>
      <c r="V2187" s="19" t="inlineStr">
        <is>
          <t>Aprobada</t>
        </is>
      </c>
      <c r="W2187" s="19" t="inlineStr"/>
      <c r="X2187" s="19" t="inlineStr">
        <is>
          <t>Aldair González (aprobación en bloque)</t>
        </is>
      </c>
      <c r="Y2187" s="20" t="n">
        <v>46321</v>
      </c>
      <c r="Z2187" s="19" t="inlineStr">
        <is>
          <t>Nivel 3: verificada con el código de la aplicación.</t>
        </is>
      </c>
      <c r="AA2187" s="18">
        <f>IF(OR(V2187="Aprobada"),R2187,IF(AND(OR(V2187="Aprobada con ajuste",V2187="Rechazada"),W2187&lt;&gt;""),W2187,""))</f>
        <v/>
      </c>
    </row>
    <row r="2188">
      <c r="A2188" s="18" t="inlineStr">
        <is>
          <t>C2187</t>
        </is>
      </c>
      <c r="B2188" s="18" t="inlineStr">
        <is>
          <t>Control disciplinario interno</t>
        </is>
      </c>
      <c r="C2188" s="18" t="inlineStr">
        <is>
          <t>internal_disciplinary_control</t>
        </is>
      </c>
      <c r="D2188" s="18" t="inlineStr">
        <is>
          <t>disciplinary_processes</t>
        </is>
      </c>
      <c r="E2188" s="18" t="n">
        <v>26</v>
      </c>
      <c r="F2188" s="18" t="inlineStr">
        <is>
          <t>cerrado_por_id</t>
        </is>
      </c>
      <c r="G2188" s="18" t="inlineStr">
        <is>
          <t>uuid</t>
        </is>
      </c>
      <c r="H2188" s="18" t="inlineStr">
        <is>
          <t>Sí</t>
        </is>
      </c>
      <c r="I2188" s="18" t="inlineStr"/>
      <c r="J2188" s="18" t="inlineStr"/>
      <c r="K2188" s="18" t="inlineStr"/>
      <c r="L2188" s="18" t="inlineStr">
        <is>
          <t>No</t>
        </is>
      </c>
      <c r="M2188" s="18" t="inlineStr">
        <is>
          <t>No</t>
        </is>
      </c>
      <c r="N2188" s="18" t="inlineStr"/>
      <c r="O2188" s="18" t="inlineStr"/>
      <c r="P2188" s="18" t="inlineStr">
        <is>
          <t>internal-disciplinary-control-service/src/entities/disciplinary-process.entity.ts:122: Nota: Relación con asociaciones noticia-proceso se maneja via consultas directas para evitar dependencias circulares con DisciplinaryNewsProcess</t>
        </is>
      </c>
      <c r="Q2188" s="18" t="inlineStr">
        <is>
          <t>Código fuente (verificado)</t>
        </is>
      </c>
      <c r="R2188" s="18" t="inlineStr">
        <is>
          <t>Identificador del usuario que cerró el proceso al enviar el pliego de cargos a jurídica; se borra si el proceso se restaura.</t>
        </is>
      </c>
      <c r="S2188" s="18" t="inlineStr">
        <is>
          <t>Media</t>
        </is>
      </c>
      <c r="T2188" s="18" t="inlineStr">
        <is>
          <t>internal-disciplinary-control-service/src/services/process.service.ts:1564: cerradoPorId = aprobadoPorId | internal-disciplinary-control-service/src/controllers/auto.controller.ts:251-257: enviadoPorId llega en el cuerpo de la solicitud | internal-disciplinary-control-service/src/services/process.service.ts:1578-1581: el servicio busca ese id en disciplinary_professional</t>
        </is>
      </c>
      <c r="U2188" s="18" t="inlineStr">
        <is>
          <t>El identificador llega del cliente y el servicio lo busca en disciplinary_professional: ¿cerrado_por_id es el id de disciplinary_professional, de auth."user" o de auth.personas?</t>
        </is>
      </c>
      <c r="V2188" s="19" t="inlineStr">
        <is>
          <t>Aprobada</t>
        </is>
      </c>
      <c r="W2188" s="19" t="inlineStr"/>
      <c r="X2188" s="19" t="inlineStr">
        <is>
          <t>Aldair González (validación del responsable de BD)</t>
        </is>
      </c>
      <c r="Y2188" s="20" t="n">
        <v>46321</v>
      </c>
      <c r="Z2188" s="19" t="inlineStr">
        <is>
          <t>Nivel 3: validada por decisión del responsable de la base de datos. Pregunta registrada para desarrollo: El identificador llega del cliente y el servicio lo busca en disciplinary_professional: ¿cerrado_por_id es el id de disciplinary_professional, de auth."user" o de auth.personas?</t>
        </is>
      </c>
      <c r="AA2188" s="18">
        <f>IF(OR(V2188="Aprobada"),R2188,IF(AND(OR(V2188="Aprobada con ajuste",V2188="Rechazada"),W2188&lt;&gt;""),W2188,""))</f>
        <v/>
      </c>
    </row>
    <row r="2189">
      <c r="A2189" s="18" t="inlineStr">
        <is>
          <t>C2188</t>
        </is>
      </c>
      <c r="B2189" s="18" t="inlineStr">
        <is>
          <t>Control disciplinario interno</t>
        </is>
      </c>
      <c r="C2189" s="18" t="inlineStr">
        <is>
          <t>internal_disciplinary_control</t>
        </is>
      </c>
      <c r="D2189" s="18" t="inlineStr">
        <is>
          <t>disciplinary_processes</t>
        </is>
      </c>
      <c r="E2189" s="18" t="n">
        <v>26</v>
      </c>
      <c r="F2189" s="18" t="inlineStr">
        <is>
          <t>correo_juridica_enviado</t>
        </is>
      </c>
      <c r="G2189" s="18" t="inlineStr">
        <is>
          <t>boolean</t>
        </is>
      </c>
      <c r="H2189" s="18" t="inlineStr">
        <is>
          <t>Sí</t>
        </is>
      </c>
      <c r="I2189" s="18" t="inlineStr"/>
      <c r="J2189" s="18" t="inlineStr"/>
      <c r="K2189" s="18" t="inlineStr"/>
      <c r="L2189" s="18" t="inlineStr">
        <is>
          <t>No</t>
        </is>
      </c>
      <c r="M2189" s="18" t="inlineStr">
        <is>
          <t>No</t>
        </is>
      </c>
      <c r="N2189" s="18" t="inlineStr"/>
      <c r="O2189" s="18" t="inlineStr"/>
      <c r="P2189" s="18" t="inlineStr">
        <is>
          <t>internal-disciplinary-control-service/src/entities/disciplinary-process.entity.ts:125: Nota: Relación con asociaciones noticia-proceso se maneja via consultas directas para evitar dependencias circulares con DisciplinaryNewsProcess</t>
        </is>
      </c>
      <c r="Q2189" s="18" t="inlineStr">
        <is>
          <t>Código fuente (verificado)</t>
        </is>
      </c>
      <c r="R2189" s="18" t="inlineStr">
        <is>
          <t>Indica si se envió el correo a la Oficina Jurídica con el expediente al cerrar el proceso por el auto de pliego de cargos aprobado. El buzón se toma de la variable de entorno JURIDICA_EMAIL. Por defecto, falso.</t>
        </is>
      </c>
      <c r="S2189" s="18" t="inlineStr">
        <is>
          <t>Alta</t>
        </is>
      </c>
      <c r="T2189" s="18" t="inlineStr">
        <is>
          <t>internal-disciplinary-control-service/src/services/auto.service.ts:1257-1295: sendPliegoToJuridica exige auto de pliego de cargos aprobado y cierra el proceso | internal-disciplinary-control-service/src/services/auto.service.ts:1367-1373: si el correo se envía, marca el proceso | internal-disciplinary-control-service/src/services/process.service.ts:1616-1618: correoJuridicaEnviado = true | internal-disciplinary-control-service/src/services/juridica-email.service.ts:51: destinatario desde JURIDICA_EMAIL</t>
        </is>
      </c>
      <c r="U2189" s="18" t="inlineStr"/>
      <c r="V2189" s="19" t="inlineStr">
        <is>
          <t>Aprobada</t>
        </is>
      </c>
      <c r="W2189" s="19" t="inlineStr"/>
      <c r="X2189" s="19" t="inlineStr">
        <is>
          <t>Aldair González (aprobación en bloque)</t>
        </is>
      </c>
      <c r="Y2189" s="20" t="n">
        <v>46321</v>
      </c>
      <c r="Z2189" s="19" t="inlineStr">
        <is>
          <t>Nivel 3: verificada con el código de la aplicación.</t>
        </is>
      </c>
      <c r="AA2189" s="18">
        <f>IF(OR(V2189="Aprobada"),R2189,IF(AND(OR(V2189="Aprobada con ajuste",V2189="Rechazada"),W2189&lt;&gt;""),W2189,""))</f>
        <v/>
      </c>
    </row>
    <row r="2190">
      <c r="A2190" s="18" t="inlineStr">
        <is>
          <t>C2189</t>
        </is>
      </c>
      <c r="B2190" s="18" t="inlineStr">
        <is>
          <t>Control disciplinario interno</t>
        </is>
      </c>
      <c r="C2190" s="18" t="inlineStr">
        <is>
          <t>internal_disciplinary_control</t>
        </is>
      </c>
      <c r="D2190" s="18" t="inlineStr">
        <is>
          <t>disciplinary_processes</t>
        </is>
      </c>
      <c r="E2190" s="18" t="n">
        <v>26</v>
      </c>
      <c r="F2190" s="18" t="inlineStr">
        <is>
          <t>correo_juridica_fecha_envio</t>
        </is>
      </c>
      <c r="G2190" s="18" t="inlineStr">
        <is>
          <t>timestamp with time zone</t>
        </is>
      </c>
      <c r="H2190" s="18" t="inlineStr">
        <is>
          <t>Sí</t>
        </is>
      </c>
      <c r="I2190" s="18" t="inlineStr"/>
      <c r="J2190" s="18" t="inlineStr"/>
      <c r="K2190" s="18" t="inlineStr"/>
      <c r="L2190" s="18" t="inlineStr">
        <is>
          <t>No</t>
        </is>
      </c>
      <c r="M2190" s="18" t="inlineStr">
        <is>
          <t>No</t>
        </is>
      </c>
      <c r="N2190" s="18" t="inlineStr"/>
      <c r="O2190" s="18" t="inlineStr"/>
      <c r="P2190" s="18" t="inlineStr">
        <is>
          <t>internal-disciplinary-control-service/src/entities/disciplinary-process.entity.ts:128: Nota: Relación con asociaciones noticia-proceso se maneja via consultas directas para evitar dependencias circulares con DisciplinaryNewsProcess</t>
        </is>
      </c>
      <c r="Q2190" s="18" t="inlineStr">
        <is>
          <t>Código fuente (verificado)</t>
        </is>
      </c>
      <c r="R2190" s="18" t="inlineStr">
        <is>
          <t>Fecha y hora de envío del correo a la Oficina Jurídica; se llena junto con correo_juridica_enviado = verdadero.</t>
        </is>
      </c>
      <c r="S2190" s="18" t="inlineStr">
        <is>
          <t>Alta</t>
        </is>
      </c>
      <c r="T2190" s="18" t="inlineStr">
        <is>
          <t>internal-disciplinary-control-service/src/services/process.service.ts:1616-1620: marcarCorreoJuridicaEnviado fija correoJuridicaEnviado = true y correoJuridicaFechaEnvio = new Date()</t>
        </is>
      </c>
      <c r="U2190" s="18" t="inlineStr"/>
      <c r="V2190" s="19" t="inlineStr">
        <is>
          <t>Aprobada</t>
        </is>
      </c>
      <c r="W2190" s="19" t="inlineStr"/>
      <c r="X2190" s="19" t="inlineStr">
        <is>
          <t>Aldair González (aprobación en bloque)</t>
        </is>
      </c>
      <c r="Y2190" s="20" t="n">
        <v>46321</v>
      </c>
      <c r="Z2190" s="19" t="inlineStr">
        <is>
          <t>Nivel 3: verificada con el código de la aplicación.</t>
        </is>
      </c>
      <c r="AA2190" s="18">
        <f>IF(OR(V2190="Aprobada"),R2190,IF(AND(OR(V2190="Aprobada con ajuste",V2190="Rechazada"),W2190&lt;&gt;""),W2190,""))</f>
        <v/>
      </c>
    </row>
    <row r="2191">
      <c r="A2191" s="18" t="inlineStr">
        <is>
          <t>C2190</t>
        </is>
      </c>
      <c r="B2191" s="18" t="inlineStr">
        <is>
          <t>Control disciplinario interno</t>
        </is>
      </c>
      <c r="C2191" s="18" t="inlineStr">
        <is>
          <t>internal_disciplinary_control</t>
        </is>
      </c>
      <c r="D2191" s="18" t="inlineStr">
        <is>
          <t>disciplinary_processes</t>
        </is>
      </c>
      <c r="E2191" s="18" t="n">
        <v>26</v>
      </c>
      <c r="F2191" s="18" t="inlineStr">
        <is>
          <t>en_proceso_remision</t>
        </is>
      </c>
      <c r="G2191" s="18" t="inlineStr">
        <is>
          <t>boolean</t>
        </is>
      </c>
      <c r="H2191" s="18" t="inlineStr">
        <is>
          <t>Sí</t>
        </is>
      </c>
      <c r="I2191" s="18" t="inlineStr"/>
      <c r="J2191" s="18" t="inlineStr"/>
      <c r="K2191" s="18" t="inlineStr"/>
      <c r="L2191" s="18" t="inlineStr">
        <is>
          <t>No</t>
        </is>
      </c>
      <c r="M2191" s="18" t="inlineStr">
        <is>
          <t>No</t>
        </is>
      </c>
      <c r="N2191" s="18" t="inlineStr"/>
      <c r="O2191" s="18" t="inlineStr"/>
      <c r="P2191" s="18" t="inlineStr">
        <is>
          <t>internal-disciplinary-control-service/src/entities/disciplinary-process.entity.ts:165: Nota: Relación con asociaciones noticia-proceso se maneja via consultas directas para evitar dependencias circulares con DisciplinaryNewsProcess</t>
        </is>
      </c>
      <c r="Q2191" s="18" t="inlineStr">
        <is>
          <t>Código fuente (verificado)</t>
        </is>
      </c>
      <c r="R2191" s="18" t="inlineStr">
        <is>
          <t>Indica si el proceso está en trámite de remisión por competencia a otra entidad; se marca al crear el proceso cuando la noticia proviene de una remisión o trae entidad o tipo de remisión. Por defecto, falso.</t>
        </is>
      </c>
      <c r="S2191" s="18" t="inlineStr">
        <is>
          <t>Alta</t>
        </is>
      </c>
      <c r="T2191" s="18" t="inlineStr">
        <is>
          <t>internal-disciplinary-control-service/src/services/process.service.ts:614-620: esNoticiaRemision según origen REMISION, entidadRemision o tipoRemision de la noticia | internal-disciplinary-control-service/src/services/process.service.ts:635: enProcesoRemision = esNoticiaRemision</t>
        </is>
      </c>
      <c r="U2191" s="18" t="inlineStr"/>
      <c r="V2191" s="19" t="inlineStr">
        <is>
          <t>Aprobada</t>
        </is>
      </c>
      <c r="W2191" s="19" t="inlineStr"/>
      <c r="X2191" s="19" t="inlineStr">
        <is>
          <t>Aldair González (aprobación en bloque)</t>
        </is>
      </c>
      <c r="Y2191" s="20" t="n">
        <v>46321</v>
      </c>
      <c r="Z2191" s="19" t="inlineStr">
        <is>
          <t>Nivel 3: verificada con el código de la aplicación.</t>
        </is>
      </c>
      <c r="AA2191" s="18">
        <f>IF(OR(V2191="Aprobada"),R2191,IF(AND(OR(V2191="Aprobada con ajuste",V2191="Rechazada"),W2191&lt;&gt;""),W2191,""))</f>
        <v/>
      </c>
    </row>
    <row r="2192">
      <c r="A2192" s="18" t="inlineStr">
        <is>
          <t>C2191</t>
        </is>
      </c>
      <c r="B2192" s="18" t="inlineStr">
        <is>
          <t>Control disciplinario interno</t>
        </is>
      </c>
      <c r="C2192" s="18" t="inlineStr">
        <is>
          <t>internal_disciplinary_control</t>
        </is>
      </c>
      <c r="D2192" s="18" t="inlineStr">
        <is>
          <t>disciplinary_processes</t>
        </is>
      </c>
      <c r="E2192" s="18" t="n">
        <v>26</v>
      </c>
      <c r="F2192" s="18" t="inlineStr">
        <is>
          <t>remision_aprobada</t>
        </is>
      </c>
      <c r="G2192" s="18" t="inlineStr">
        <is>
          <t>boolean</t>
        </is>
      </c>
      <c r="H2192" s="18" t="inlineStr">
        <is>
          <t>Sí</t>
        </is>
      </c>
      <c r="I2192" s="18" t="inlineStr"/>
      <c r="J2192" s="18" t="inlineStr"/>
      <c r="K2192" s="18" t="inlineStr"/>
      <c r="L2192" s="18" t="inlineStr">
        <is>
          <t>No</t>
        </is>
      </c>
      <c r="M2192" s="18" t="inlineStr">
        <is>
          <t>No</t>
        </is>
      </c>
      <c r="N2192" s="18" t="inlineStr"/>
      <c r="O2192" s="18" t="inlineStr"/>
      <c r="P2192" s="18" t="inlineStr">
        <is>
          <t>internal-disciplinary-control-service/src/entities/disciplinary-process.entity.ts:168: Nota: Relación con asociaciones noticia-proceso se maneja via consultas directas para evitar dependencias circulares con DisciplinaryNewsProcess</t>
        </is>
      </c>
      <c r="Q2192" s="18" t="inlineStr">
        <is>
          <t>Código fuente (verificado)</t>
        </is>
      </c>
      <c r="R2192" s="18" t="inlineStr">
        <is>
          <t>Indica si la remisión por competencia del proceso fue aprobada: se marca cuando el jefe aprueba el auto de remisión por competencia y al ejecutarse la remisión. Por defecto, falso.</t>
        </is>
      </c>
      <c r="S2192" s="18" t="inlineStr">
        <is>
          <t>Alta</t>
        </is>
      </c>
      <c r="T2192" s="18" t="inlineStr">
        <is>
          <t>internal-disciplinary-control-service/src/services/auto.service.ts:578-596: al aprobar el auto de remisión, remisionAprobada = true y actuación aprobado por el Jefe | internal-disciplinary-control-service/src/services/process.service.ts:2441: remisionAprobada = true al remitir</t>
        </is>
      </c>
      <c r="U2192" s="18" t="inlineStr"/>
      <c r="V2192" s="19" t="inlineStr">
        <is>
          <t>Aprobada</t>
        </is>
      </c>
      <c r="W2192" s="19" t="inlineStr"/>
      <c r="X2192" s="19" t="inlineStr">
        <is>
          <t>Aldair González (aprobación en bloque)</t>
        </is>
      </c>
      <c r="Y2192" s="20" t="n">
        <v>46321</v>
      </c>
      <c r="Z2192" s="19" t="inlineStr">
        <is>
          <t>Nivel 3: verificada con el código de la aplicación.</t>
        </is>
      </c>
      <c r="AA2192" s="18">
        <f>IF(OR(V2192="Aprobada"),R2192,IF(AND(OR(V2192="Aprobada con ajuste",V2192="Rechazada"),W2192&lt;&gt;""),W2192,""))</f>
        <v/>
      </c>
    </row>
    <row r="2193">
      <c r="A2193" s="18" t="inlineStr">
        <is>
          <t>C2192</t>
        </is>
      </c>
      <c r="B2193" s="18" t="inlineStr">
        <is>
          <t>Control disciplinario interno</t>
        </is>
      </c>
      <c r="C2193" s="18" t="inlineStr">
        <is>
          <t>internal_disciplinary_control</t>
        </is>
      </c>
      <c r="D2193" s="18" t="inlineStr">
        <is>
          <t>disciplinary_processes</t>
        </is>
      </c>
      <c r="E2193" s="18" t="n">
        <v>26</v>
      </c>
      <c r="F2193" s="18" t="inlineStr">
        <is>
          <t>numero_rc</t>
        </is>
      </c>
      <c r="G2193" s="18" t="inlineStr">
        <is>
          <t>character varying(50)</t>
        </is>
      </c>
      <c r="H2193" s="18" t="inlineStr">
        <is>
          <t>Sí</t>
        </is>
      </c>
      <c r="I2193" s="18" t="inlineStr"/>
      <c r="J2193" s="18" t="inlineStr"/>
      <c r="K2193" s="18" t="inlineStr"/>
      <c r="L2193" s="18" t="inlineStr">
        <is>
          <t>No</t>
        </is>
      </c>
      <c r="M2193" s="18" t="inlineStr">
        <is>
          <t>No</t>
        </is>
      </c>
      <c r="N2193" s="18" t="inlineStr"/>
      <c r="O2193" s="18" t="inlineStr"/>
      <c r="P2193" s="18" t="inlineStr">
        <is>
          <t>internal-disciplinary-control-service/src/entities/disciplinary-process.entity.ts:171: Nota: Relación con asociaciones noticia-proceso se maneja via consultas directas para evitar dependencias circulares con DisciplinaryNewsProcess</t>
        </is>
      </c>
      <c r="Q2193" s="18" t="inlineStr">
        <is>
          <t>Código fuente (verificado)</t>
        </is>
      </c>
      <c r="R2193" s="18" t="inlineStr">
        <is>
          <t>Número RC de la remisión por competencia del proceso, generado por el servicio con el formato RC-&lt;año&gt;-&lt;número de cuatro dígitos&gt;.</t>
        </is>
      </c>
      <c r="S2193" s="18" t="inlineStr">
        <is>
          <t>Media</t>
        </is>
      </c>
      <c r="T2193" s="18" t="inlineStr">
        <is>
          <t>internal-disciplinary-control-service/src/controllers/process.controller.ts:2091-2093: numeroRC = RC-&lt;año&gt;-&lt;consecutivo aleatorio de 4 dígitos&gt; | internal-disciplinary-control-service/src/services/process.service.ts:2434: process.numeroRC = data.numeroRC</t>
        </is>
      </c>
      <c r="U2193" s="18" t="inlineStr">
        <is>
          <t>¿Qué significa la sigla RC? El servicio genera el número con un consecutivo aleatorio de cuatro dígitos, sin control de unicidad: ¿es el número definitivo de la remisión?</t>
        </is>
      </c>
      <c r="V2193" s="19" t="inlineStr">
        <is>
          <t>Aprobada</t>
        </is>
      </c>
      <c r="W2193" s="19" t="inlineStr"/>
      <c r="X2193" s="19" t="inlineStr">
        <is>
          <t>Aldair González (validación del responsable de BD)</t>
        </is>
      </c>
      <c r="Y2193" s="20" t="n">
        <v>46321</v>
      </c>
      <c r="Z2193" s="19" t="inlineStr">
        <is>
          <t>Nivel 3: validada por decisión del responsable de la base de datos. Pregunta registrada para desarrollo: ¿Qué significa la sigla RC? El servicio genera el número con un consecutivo aleatorio de cuatro dígitos, sin control de unicidad: ¿es el número definitivo de la remisión?</t>
        </is>
      </c>
      <c r="AA2193" s="18">
        <f>IF(OR(V2193="Aprobada"),R2193,IF(AND(OR(V2193="Aprobada con ajuste",V2193="Rechazada"),W2193&lt;&gt;""),W2193,""))</f>
        <v/>
      </c>
    </row>
    <row r="2194">
      <c r="A2194" s="18" t="inlineStr">
        <is>
          <t>C2193</t>
        </is>
      </c>
      <c r="B2194" s="18" t="inlineStr">
        <is>
          <t>Control disciplinario interno</t>
        </is>
      </c>
      <c r="C2194" s="18" t="inlineStr">
        <is>
          <t>internal_disciplinary_control</t>
        </is>
      </c>
      <c r="D2194" s="18" t="inlineStr">
        <is>
          <t>disciplinary_processes</t>
        </is>
      </c>
      <c r="E2194" s="18" t="n">
        <v>26</v>
      </c>
      <c r="F2194" s="18" t="inlineStr">
        <is>
          <t>entidad_remision</t>
        </is>
      </c>
      <c r="G2194" s="18" t="inlineStr">
        <is>
          <t>character varying(255)</t>
        </is>
      </c>
      <c r="H2194" s="18" t="inlineStr">
        <is>
          <t>Sí</t>
        </is>
      </c>
      <c r="I2194" s="18" t="inlineStr"/>
      <c r="J2194" s="18" t="inlineStr"/>
      <c r="K2194" s="18" t="inlineStr"/>
      <c r="L2194" s="18" t="inlineStr">
        <is>
          <t>No</t>
        </is>
      </c>
      <c r="M2194" s="18" t="inlineStr">
        <is>
          <t>No</t>
        </is>
      </c>
      <c r="N2194" s="18" t="inlineStr"/>
      <c r="O2194" s="18" t="inlineStr"/>
      <c r="P2194" s="18" t="inlineStr">
        <is>
          <t>internal-disciplinary-control-service/src/entities/disciplinary-process.entity.ts:174: Nota: Relación con asociaciones noticia-proceso se maneja via consultas directas para evitar dependencias circulares con DisciplinaryNewsProcess</t>
        </is>
      </c>
      <c r="Q2194" s="18" t="inlineStr">
        <is>
          <t>Código fuente (verificado)</t>
        </is>
      </c>
      <c r="R2194" s="18" t="inlineStr">
        <is>
          <t>Nombre de la entidad a la que se remite el proceso, guardado como texto: se toma de la noticia, del auto de remisión aprobado o de la entidad digitada al remitir. Existe el catálogo entidades_remision, pero la columna no lo referencia.</t>
        </is>
      </c>
      <c r="S2194" s="18" t="inlineStr">
        <is>
          <t>Alta</t>
        </is>
      </c>
      <c r="T2194" s="18" t="inlineStr">
        <is>
          <t>internal-disciplinary-control-service/src/services/process.service.ts:637: se copia de la noticia al crear el proceso | internal-disciplinary-control-service/src/services/auto.service.ts:581-583: entidad del auto de remisión aprobado | internal-disciplinary-control-service/src/services/process.service.ts:2435: entidadRemision = dto.entidadDestino | internal-disciplinary-control-service/src/entities/entidad-remision.entity.ts:3-13: catálogo entidades_remision (nombre, correo)</t>
        </is>
      </c>
      <c r="U2194" s="18" t="inlineStr"/>
      <c r="V2194" s="19" t="inlineStr">
        <is>
          <t>Aprobada</t>
        </is>
      </c>
      <c r="W2194" s="19" t="inlineStr"/>
      <c r="X2194" s="19" t="inlineStr">
        <is>
          <t>Aldair González (aprobación en bloque)</t>
        </is>
      </c>
      <c r="Y2194" s="20" t="n">
        <v>46321</v>
      </c>
      <c r="Z2194" s="19" t="inlineStr">
        <is>
          <t>Nivel 3: verificada con el código de la aplicación.</t>
        </is>
      </c>
      <c r="AA2194" s="18">
        <f>IF(OR(V2194="Aprobada"),R2194,IF(AND(OR(V2194="Aprobada con ajuste",V2194="Rechazada"),W2194&lt;&gt;""),W2194,""))</f>
        <v/>
      </c>
    </row>
    <row r="2195">
      <c r="A2195" s="18" t="inlineStr">
        <is>
          <t>C2194</t>
        </is>
      </c>
      <c r="B2195" s="18" t="inlineStr">
        <is>
          <t>Control disciplinario interno</t>
        </is>
      </c>
      <c r="C2195" s="18" t="inlineStr">
        <is>
          <t>internal_disciplinary_control</t>
        </is>
      </c>
      <c r="D2195" s="18" t="inlineStr">
        <is>
          <t>disciplinary_processes</t>
        </is>
      </c>
      <c r="E2195" s="18" t="n">
        <v>26</v>
      </c>
      <c r="F2195" s="18" t="inlineStr">
        <is>
          <t>correo_entidad_remision</t>
        </is>
      </c>
      <c r="G2195" s="18" t="inlineStr">
        <is>
          <t>character varying(255)</t>
        </is>
      </c>
      <c r="H2195" s="18" t="inlineStr">
        <is>
          <t>Sí</t>
        </is>
      </c>
      <c r="I2195" s="18" t="inlineStr"/>
      <c r="J2195" s="18" t="inlineStr"/>
      <c r="K2195" s="18" t="inlineStr"/>
      <c r="L2195" s="18" t="inlineStr">
        <is>
          <t>No</t>
        </is>
      </c>
      <c r="M2195" s="18" t="inlineStr">
        <is>
          <t>No</t>
        </is>
      </c>
      <c r="N2195" s="18" t="inlineStr"/>
      <c r="O2195" s="18" t="inlineStr"/>
      <c r="P2195" s="18" t="inlineStr">
        <is>
          <t>internal-disciplinary-control-service/src/entities/disciplinary-process.entity.ts:177: Nota: Relación con asociaciones noticia-proceso se maneja via consultas directas para evitar dependencias circulares con DisciplinaryNewsProcess</t>
        </is>
      </c>
      <c r="Q2195" s="18" t="inlineStr">
        <is>
          <t>Código fuente (verificado)</t>
        </is>
      </c>
      <c r="R2195" s="18" t="inlineStr">
        <is>
          <t>Correo electrónico de la entidad a la que se remite el proceso; es la dirección a la que el servicio envía la remisión.</t>
        </is>
      </c>
      <c r="S2195" s="18" t="inlineStr">
        <is>
          <t>Alta</t>
        </is>
      </c>
      <c r="T2195" s="18" t="inlineStr">
        <is>
          <t>internal-disciplinary-control-service/src/dtos/remitir-competencia.dto.ts:27-30: emailDestinatario IsEmail obligatorio | internal-disciplinary-control-service/src/controllers/process.controller.ts:2068: el correo de remisión se envía a dto.emailDestinatario | internal-disciplinary-control-service/src/services/process.service.ts:2436: correoEntidadRemision = data.correoEntidadRemision</t>
        </is>
      </c>
      <c r="U2195" s="18" t="inlineStr"/>
      <c r="V2195" s="19" t="inlineStr">
        <is>
          <t>Aprobada</t>
        </is>
      </c>
      <c r="W2195" s="19" t="inlineStr"/>
      <c r="X2195" s="19" t="inlineStr">
        <is>
          <t>Aldair González (aprobación en bloque)</t>
        </is>
      </c>
      <c r="Y2195" s="20" t="n">
        <v>46321</v>
      </c>
      <c r="Z2195" s="19" t="inlineStr">
        <is>
          <t>Nivel 3: verificada con el código de la aplicación.</t>
        </is>
      </c>
      <c r="AA2195" s="18">
        <f>IF(OR(V2195="Aprobada"),R2195,IF(AND(OR(V2195="Aprobada con ajuste",V2195="Rechazada"),W2195&lt;&gt;""),W2195,""))</f>
        <v/>
      </c>
    </row>
    <row r="2196">
      <c r="A2196" s="18" t="inlineStr">
        <is>
          <t>C2195</t>
        </is>
      </c>
      <c r="B2196" s="18" t="inlineStr">
        <is>
          <t>Control disciplinario interno</t>
        </is>
      </c>
      <c r="C2196" s="18" t="inlineStr">
        <is>
          <t>internal_disciplinary_control</t>
        </is>
      </c>
      <c r="D2196" s="18" t="inlineStr">
        <is>
          <t>disciplinary_processes</t>
        </is>
      </c>
      <c r="E2196" s="18" t="n">
        <v>26</v>
      </c>
      <c r="F2196" s="18" t="inlineStr">
        <is>
          <t>fecha_remision</t>
        </is>
      </c>
      <c r="G2196" s="18" t="inlineStr">
        <is>
          <t>timestamp with time zone</t>
        </is>
      </c>
      <c r="H2196" s="18" t="inlineStr">
        <is>
          <t>Sí</t>
        </is>
      </c>
      <c r="I2196" s="18" t="inlineStr"/>
      <c r="J2196" s="18" t="inlineStr"/>
      <c r="K2196" s="18" t="inlineStr"/>
      <c r="L2196" s="18" t="inlineStr">
        <is>
          <t>No</t>
        </is>
      </c>
      <c r="M2196" s="18" t="inlineStr">
        <is>
          <t>No</t>
        </is>
      </c>
      <c r="N2196" s="18" t="inlineStr"/>
      <c r="O2196" s="18" t="inlineStr"/>
      <c r="P2196" s="18" t="inlineStr">
        <is>
          <t>internal-disciplinary-control-service/src/entities/disciplinary-process.entity.ts:180: Nota: Relación con asociaciones noticia-proceso se maneja via consultas directas para evitar dependencias circulares con DisciplinaryNewsProcess</t>
        </is>
      </c>
      <c r="Q2196" s="18" t="inlineStr">
        <is>
          <t>Código fuente (verificado)</t>
        </is>
      </c>
      <c r="R2196" s="18" t="inlineStr">
        <is>
          <t>Fecha y hora en que se ejecutó la remisión del proceso a la entidad destino (envío), no la de aprobación del auto.</t>
        </is>
      </c>
      <c r="S2196" s="18" t="inlineStr">
        <is>
          <t>Alta</t>
        </is>
      </c>
      <c r="T2196" s="18" t="inlineStr">
        <is>
          <t>internal-disciplinary-control-service/src/controllers/process.controller.ts:2163-2167: fechaRemision = new Date() al ejecutar la remisión | internal-disciplinary-control-service/src/services/process.service.ts:2437: process.fechaRemision = data.fechaRemision</t>
        </is>
      </c>
      <c r="U2196" s="18" t="inlineStr"/>
      <c r="V2196" s="19" t="inlineStr">
        <is>
          <t>Aprobada</t>
        </is>
      </c>
      <c r="W2196" s="19" t="inlineStr"/>
      <c r="X2196" s="19" t="inlineStr">
        <is>
          <t>Aldair González (aprobación en bloque)</t>
        </is>
      </c>
      <c r="Y2196" s="20" t="n">
        <v>46321</v>
      </c>
      <c r="Z2196" s="19" t="inlineStr">
        <is>
          <t>Nivel 3: verificada con el código de la aplicación.</t>
        </is>
      </c>
      <c r="AA2196" s="18">
        <f>IF(OR(V2196="Aprobada"),R2196,IF(AND(OR(V2196="Aprobada con ajuste",V2196="Rechazada"),W2196&lt;&gt;""),W2196,""))</f>
        <v/>
      </c>
    </row>
    <row r="2197">
      <c r="A2197" s="18" t="inlineStr">
        <is>
          <t>C2196</t>
        </is>
      </c>
      <c r="B2197" s="18" t="inlineStr">
        <is>
          <t>Control disciplinario interno</t>
        </is>
      </c>
      <c r="C2197" s="18" t="inlineStr">
        <is>
          <t>internal_disciplinary_control</t>
        </is>
      </c>
      <c r="D2197" s="18" t="inlineStr">
        <is>
          <t>disciplinary_processes</t>
        </is>
      </c>
      <c r="E2197" s="18" t="n">
        <v>26</v>
      </c>
      <c r="F2197" s="18" t="inlineStr">
        <is>
          <t>tipo_remision</t>
        </is>
      </c>
      <c r="G2197" s="18" t="inlineStr">
        <is>
          <t>character varying(100)</t>
        </is>
      </c>
      <c r="H2197" s="18" t="inlineStr">
        <is>
          <t>Sí</t>
        </is>
      </c>
      <c r="I2197" s="18" t="inlineStr"/>
      <c r="J2197" s="18" t="inlineStr"/>
      <c r="K2197" s="18" t="inlineStr"/>
      <c r="L2197" s="18" t="inlineStr">
        <is>
          <t>No</t>
        </is>
      </c>
      <c r="M2197" s="18" t="inlineStr">
        <is>
          <t>No</t>
        </is>
      </c>
      <c r="N2197" s="18" t="inlineStr"/>
      <c r="O2197" s="18" t="inlineStr"/>
      <c r="P2197" s="18" t="inlineStr">
        <is>
          <t>internal-disciplinary-control-service/src/entities/disciplinary-process.entity.ts:183: Nota: Relación con asociaciones noticia-proceso se maneja via consultas directas para evitar dependencias circulares con DisciplinaryNewsProcess | Validación: IsOptional, IsString</t>
        </is>
      </c>
      <c r="Q2197" s="18" t="inlineStr">
        <is>
          <t>Código fuente (verificado)</t>
        </is>
      </c>
      <c r="R2197" s="18" t="inlineStr">
        <is>
          <t>Código del tipo de remisión por competencia, del catálogo tipos_remision: sin-competencia (valor por defecto), factor-territorial, factor-funcional, naturaleza-falta o prelacion-competencia.</t>
        </is>
      </c>
      <c r="S2197" s="18" t="inlineStr">
        <is>
          <t>Alta</t>
        </is>
      </c>
      <c r="T2197" s="18" t="inlineStr">
        <is>
          <t>internal-disciplinary-control-service/src/services/tipo-remision.service.ts:78-115: catálogo tipos_remision con códigos sin-competencia, factor-territorial, factor-funcional, naturaleza-falta y prelacion-competencia | internal-disciplinary-control-service/src/services/process.service.ts:636: tipoRemision de la noticia o sin-competencia | internal-disciplinary-control-service/src/services/process.service.ts:2438: tipoRemision = data.tipoRemision || 'sin-competencia'</t>
        </is>
      </c>
      <c r="U2197" s="18" t="inlineStr"/>
      <c r="V2197" s="19" t="inlineStr">
        <is>
          <t>Aprobada</t>
        </is>
      </c>
      <c r="W2197" s="19" t="inlineStr"/>
      <c r="X2197" s="19" t="inlineStr">
        <is>
          <t>Aldair González (aprobación en bloque)</t>
        </is>
      </c>
      <c r="Y2197" s="20" t="n">
        <v>46321</v>
      </c>
      <c r="Z2197" s="19" t="inlineStr">
        <is>
          <t>Nivel 3: verificada con el código de la aplicación.</t>
        </is>
      </c>
      <c r="AA2197" s="18">
        <f>IF(OR(V2197="Aprobada"),R2197,IF(AND(OR(V2197="Aprobada con ajuste",V2197="Rechazada"),W2197&lt;&gt;""),W2197,""))</f>
        <v/>
      </c>
    </row>
    <row r="2198">
      <c r="A2198" s="18" t="inlineStr">
        <is>
          <t>C2197</t>
        </is>
      </c>
      <c r="B2198" s="18" t="inlineStr">
        <is>
          <t>Control disciplinario interno</t>
        </is>
      </c>
      <c r="C2198" s="18" t="inlineStr">
        <is>
          <t>internal_disciplinary_control</t>
        </is>
      </c>
      <c r="D2198" s="18" t="inlineStr">
        <is>
          <t>disciplinary_processes</t>
        </is>
      </c>
      <c r="E2198" s="18" t="n">
        <v>26</v>
      </c>
      <c r="F2198" s="18" t="inlineStr">
        <is>
          <t>justificacion_remision</t>
        </is>
      </c>
      <c r="G2198" s="18" t="inlineStr">
        <is>
          <t>text</t>
        </is>
      </c>
      <c r="H2198" s="18" t="inlineStr">
        <is>
          <t>Sí</t>
        </is>
      </c>
      <c r="I2198" s="18" t="inlineStr"/>
      <c r="J2198" s="18" t="inlineStr"/>
      <c r="K2198" s="18" t="inlineStr"/>
      <c r="L2198" s="18" t="inlineStr">
        <is>
          <t>No</t>
        </is>
      </c>
      <c r="M2198" s="18" t="inlineStr">
        <is>
          <t>No</t>
        </is>
      </c>
      <c r="N2198" s="18" t="inlineStr"/>
      <c r="O2198" s="18" t="inlineStr"/>
      <c r="P2198" s="18" t="inlineStr">
        <is>
          <t>internal-disciplinary-control-service/src/entities/disciplinary-process.entity.ts:186: Nota: Relación con asociaciones noticia-proceso se maneja via consultas directas para evitar dependencias circulares con DisciplinaryNewsProcess</t>
        </is>
      </c>
      <c r="Q2198" s="18" t="inlineStr">
        <is>
          <t>Código fuente (verificado)</t>
        </is>
      </c>
      <c r="R2198" s="18" t="inlineStr">
        <is>
          <t>Justificación de la remisión del proceso a otra entidad, obligatoria y digitada por el usuario que ejecuta la remisión.</t>
        </is>
      </c>
      <c r="S2198" s="18" t="inlineStr">
        <is>
          <t>Alta</t>
        </is>
      </c>
      <c r="T2198" s="18" t="inlineStr">
        <is>
          <t>internal-disciplinary-control-service/src/dtos/remitir-competencia.dto.ts:37-40: justificacion IsNotEmpty | internal-disciplinary-control-service/src/controllers/process.controller.ts:2169: justificacionRemision = dto.justificacion | internal-disciplinary-control-service/src/services/process.service.ts:2439: se guarda</t>
        </is>
      </c>
      <c r="U2198" s="18" t="inlineStr"/>
      <c r="V2198" s="19" t="inlineStr">
        <is>
          <t>Aprobada</t>
        </is>
      </c>
      <c r="W2198" s="19" t="inlineStr"/>
      <c r="X2198" s="19" t="inlineStr">
        <is>
          <t>Aldair González (aprobación en bloque)</t>
        </is>
      </c>
      <c r="Y2198" s="20" t="n">
        <v>46321</v>
      </c>
      <c r="Z2198" s="19" t="inlineStr">
        <is>
          <t>Nivel 3: verificada con el código de la aplicación.</t>
        </is>
      </c>
      <c r="AA2198" s="18">
        <f>IF(OR(V2198="Aprobada"),R2198,IF(AND(OR(V2198="Aprobada con ajuste",V2198="Rechazada"),W2198&lt;&gt;""),W2198,""))</f>
        <v/>
      </c>
    </row>
    <row r="2199">
      <c r="A2199" s="18" t="inlineStr">
        <is>
          <t>C2198</t>
        </is>
      </c>
      <c r="B2199" s="18" t="inlineStr">
        <is>
          <t>Control disciplinario interno</t>
        </is>
      </c>
      <c r="C2199" s="18" t="inlineStr">
        <is>
          <t>internal_disciplinary_control</t>
        </is>
      </c>
      <c r="D2199" s="18" t="inlineStr">
        <is>
          <t>disciplinary_processes</t>
        </is>
      </c>
      <c r="E2199" s="18" t="n">
        <v>26</v>
      </c>
      <c r="F2199" s="18" t="inlineStr">
        <is>
          <t>descripcion_remision</t>
        </is>
      </c>
      <c r="G2199" s="18" t="inlineStr">
        <is>
          <t>jsonb</t>
        </is>
      </c>
      <c r="H2199" s="18" t="inlineStr">
        <is>
          <t>Sí</t>
        </is>
      </c>
      <c r="I2199" s="18" t="inlineStr"/>
      <c r="J2199" s="18" t="inlineStr"/>
      <c r="K2199" s="18" t="inlineStr"/>
      <c r="L2199" s="18" t="inlineStr">
        <is>
          <t>No</t>
        </is>
      </c>
      <c r="M2199" s="18" t="inlineStr">
        <is>
          <t>No</t>
        </is>
      </c>
      <c r="N2199" s="18" t="inlineStr"/>
      <c r="O2199" s="18" t="inlineStr"/>
      <c r="P2199" s="18" t="inlineStr">
        <is>
          <t>internal-disciplinary-control-service/src/entities/disciplinary-process.entity.ts:189: Nota: Relación con asociaciones noticia-proceso se maneja via consultas directas para evitar dependencias circulares con DisciplinaryNewsProcess</t>
        </is>
      </c>
      <c r="Q2199" s="18" t="inlineStr">
        <is>
          <t>Código fuente (verificado)</t>
        </is>
      </c>
      <c r="R2199" s="18" t="inlineStr">
        <is>
          <t>Descripción de la remisión por competencia, como objeto JSON con los datos de la noticia remitida (numeroRadicado, origen, fechaRecepcion, territorial, dependenciaDenunciado, denunciante, disciplinable, hechos, conductas, fechaHechos, fechaCaducidad); la envía el formulario o la arma el servicio con los datos de la noticia.</t>
        </is>
      </c>
      <c r="S2199" s="18" t="inlineStr">
        <is>
          <t>Alta</t>
        </is>
      </c>
      <c r="T2199" s="18" t="inlineStr">
        <is>
          <t>internal-disciplinary-control-service/src/dtos/remitir-competencia.dto.ts:42-66: estructura de descripcion | internal-disciplinary-control-service/src/controllers/process.controller.ts:1747-1759: descripción armada desde la noticia | internal-disciplinary-control-service/src/services/process.service.ts:2440: descripcionRemision = data.descripcionRemision</t>
        </is>
      </c>
      <c r="U2199" s="18" t="inlineStr"/>
      <c r="V2199" s="19" t="inlineStr">
        <is>
          <t>Aprobada</t>
        </is>
      </c>
      <c r="W2199" s="19" t="inlineStr"/>
      <c r="X2199" s="19" t="inlineStr">
        <is>
          <t>Aldair González (aprobación en bloque)</t>
        </is>
      </c>
      <c r="Y2199" s="20" t="n">
        <v>46321</v>
      </c>
      <c r="Z2199" s="19" t="inlineStr">
        <is>
          <t>Nivel 3: verificada con el código de la aplicación.</t>
        </is>
      </c>
      <c r="AA2199" s="18">
        <f>IF(OR(V2199="Aprobada"),R2199,IF(AND(OR(V2199="Aprobada con ajuste",V2199="Rechazada"),W2199&lt;&gt;""),W2199,""))</f>
        <v/>
      </c>
    </row>
    <row r="2200">
      <c r="A2200" s="18" t="inlineStr">
        <is>
          <t>C2199</t>
        </is>
      </c>
      <c r="B2200" s="18" t="inlineStr">
        <is>
          <t>Control disciplinario interno</t>
        </is>
      </c>
      <c r="C2200" s="18" t="inlineStr">
        <is>
          <t>internal_disciplinary_control</t>
        </is>
      </c>
      <c r="D2200" s="18" t="inlineStr">
        <is>
          <t>disciplinary_professional</t>
        </is>
      </c>
      <c r="E2200" s="18" t="n">
        <v>9</v>
      </c>
      <c r="F2200" s="18" t="inlineStr">
        <is>
          <t>nombre_completo</t>
        </is>
      </c>
      <c r="G2200" s="18" t="inlineStr">
        <is>
          <t>character varying(255)</t>
        </is>
      </c>
      <c r="H2200" s="18" t="inlineStr">
        <is>
          <t>No</t>
        </is>
      </c>
      <c r="I2200" s="18" t="inlineStr"/>
      <c r="J2200" s="18" t="inlineStr"/>
      <c r="K2200" s="18" t="inlineStr"/>
      <c r="L2200" s="18" t="inlineStr">
        <is>
          <t>No</t>
        </is>
      </c>
      <c r="M2200" s="18" t="inlineStr">
        <is>
          <t>No</t>
        </is>
      </c>
      <c r="N2200" s="18" t="inlineStr"/>
      <c r="O2200" s="18" t="inlineStr"/>
      <c r="P2200" s="18" t="inlineStr">
        <is>
          <t>Mapeada en internal-disciplinary-control-service/src/entities/disciplinary-professional.entity.ts:14 (DisciplinaryProfessional.nombreCompleto)</t>
        </is>
      </c>
      <c r="Q2200" s="18" t="inlineStr">
        <is>
          <t>Propuesta semántica</t>
        </is>
      </c>
      <c r="R2200" s="18" t="inlineStr">
        <is>
          <t>Nombre completo del profesional.</t>
        </is>
      </c>
      <c r="S2200" s="18" t="inlineStr">
        <is>
          <t>Alta</t>
        </is>
      </c>
      <c r="T2200" s="18" t="inlineStr">
        <is>
          <t>nombre + tipo + columnas vecinas</t>
        </is>
      </c>
      <c r="U2200" s="18" t="inlineStr"/>
      <c r="V2200" s="19" t="inlineStr">
        <is>
          <t>Aprobada</t>
        </is>
      </c>
      <c r="W2200" s="19" t="inlineStr"/>
      <c r="X2200" s="19" t="inlineStr">
        <is>
          <t>Aldair González (aprobación en bloque)</t>
        </is>
      </c>
      <c r="Y2200" s="20" t="n">
        <v>46321</v>
      </c>
      <c r="Z2200" s="19" t="inlineStr">
        <is>
          <t>Nivel 1: propuesta del comentario del desarrollador o de confianza alta, o regla de fecha/responsable/motivo.</t>
        </is>
      </c>
      <c r="AA2200" s="18">
        <f>IF(OR(V2200="Aprobada"),R2200,IF(AND(OR(V2200="Aprobada con ajuste",V2200="Rechazada"),W2200&lt;&gt;""),W2200,""))</f>
        <v/>
      </c>
    </row>
    <row r="2201">
      <c r="A2201" s="18" t="inlineStr">
        <is>
          <t>C2200</t>
        </is>
      </c>
      <c r="B2201" s="18" t="inlineStr">
        <is>
          <t>Control disciplinario interno</t>
        </is>
      </c>
      <c r="C2201" s="18" t="inlineStr">
        <is>
          <t>internal_disciplinary_control</t>
        </is>
      </c>
      <c r="D2201" s="18" t="inlineStr">
        <is>
          <t>disciplinary_professional</t>
        </is>
      </c>
      <c r="E2201" s="18" t="n">
        <v>9</v>
      </c>
      <c r="F2201" s="18" t="inlineStr">
        <is>
          <t>email</t>
        </is>
      </c>
      <c r="G2201" s="18" t="inlineStr">
        <is>
          <t>character varying(255)</t>
        </is>
      </c>
      <c r="H2201" s="18" t="inlineStr">
        <is>
          <t>No</t>
        </is>
      </c>
      <c r="I2201" s="18" t="inlineStr">
        <is>
          <t>Única</t>
        </is>
      </c>
      <c r="J2201" s="18" t="inlineStr"/>
      <c r="K2201" s="18" t="inlineStr"/>
      <c r="L2201" s="18" t="inlineStr">
        <is>
          <t>No</t>
        </is>
      </c>
      <c r="M2201" s="18" t="inlineStr">
        <is>
          <t>No</t>
        </is>
      </c>
      <c r="N2201" s="18" t="inlineStr"/>
      <c r="O2201" s="18" t="inlineStr">
        <is>
          <t>disciplinary_professional_email_key, idx_disciplinary_professional_email, idx_professional_email</t>
        </is>
      </c>
      <c r="P2201" s="18" t="inlineStr">
        <is>
          <t>Mapeada en internal-disciplinary-control-service/src/entities/disciplinary-professional.entity.ts:17 (DisciplinaryProfessional.email) | Validación: IsEmail, IsOptional, IsString</t>
        </is>
      </c>
      <c r="Q2201" s="18" t="inlineStr">
        <is>
          <t>Regla estructural (redacción revisada)</t>
        </is>
      </c>
      <c r="R2201" s="18" t="inlineStr">
        <is>
          <t>Correo electrónico del profesional.</t>
        </is>
      </c>
      <c r="S2201" s="18" t="inlineStr">
        <is>
          <t>Alta</t>
        </is>
      </c>
      <c r="T2201" s="18" t="inlineStr">
        <is>
          <t>Convención de nombre, redactada con el contexto de la tabla y el código.</t>
        </is>
      </c>
      <c r="U2201" s="18" t="inlineStr"/>
      <c r="V2201" s="19" t="inlineStr">
        <is>
          <t>Aprobada</t>
        </is>
      </c>
      <c r="W2201" s="19" t="inlineStr"/>
      <c r="X2201" s="19" t="inlineStr">
        <is>
          <t>Aldair González (aprobación en bloque)</t>
        </is>
      </c>
      <c r="Y2201" s="20" t="n">
        <v>46321</v>
      </c>
      <c r="Z2201" s="19" t="inlineStr">
        <is>
          <t>Nivel 2: regla estructural con redacción revisada.</t>
        </is>
      </c>
      <c r="AA2201" s="18">
        <f>IF(OR(V2201="Aprobada"),R2201,IF(AND(OR(V2201="Aprobada con ajuste",V2201="Rechazada"),W2201&lt;&gt;""),W2201,""))</f>
        <v/>
      </c>
    </row>
    <row r="2202">
      <c r="A2202" s="18" t="inlineStr">
        <is>
          <t>C2201</t>
        </is>
      </c>
      <c r="B2202" s="18" t="inlineStr">
        <is>
          <t>Control disciplinario interno</t>
        </is>
      </c>
      <c r="C2202" s="18" t="inlineStr">
        <is>
          <t>internal_disciplinary_control</t>
        </is>
      </c>
      <c r="D2202" s="18" t="inlineStr">
        <is>
          <t>disciplinary_professional</t>
        </is>
      </c>
      <c r="E2202" s="18" t="n">
        <v>9</v>
      </c>
      <c r="F2202" s="18" t="inlineStr">
        <is>
          <t>telefono</t>
        </is>
      </c>
      <c r="G2202" s="18" t="inlineStr">
        <is>
          <t>character varying(50)</t>
        </is>
      </c>
      <c r="H2202" s="18" t="inlineStr">
        <is>
          <t>Sí</t>
        </is>
      </c>
      <c r="I2202" s="18" t="inlineStr"/>
      <c r="J2202" s="18" t="inlineStr"/>
      <c r="K2202" s="18" t="inlineStr"/>
      <c r="L2202" s="18" t="inlineStr">
        <is>
          <t>No</t>
        </is>
      </c>
      <c r="M2202" s="18" t="inlineStr">
        <is>
          <t>No</t>
        </is>
      </c>
      <c r="N2202" s="18" t="inlineStr"/>
      <c r="O2202" s="18" t="inlineStr"/>
      <c r="P2202" s="18" t="inlineStr">
        <is>
          <t>Mapeada en internal-disciplinary-control-service/src/entities/disciplinary-professional.entity.ts:20 (DisciplinaryProfessional.telefono) | Validación: IsOptional, IsString</t>
        </is>
      </c>
      <c r="Q2202" s="18" t="inlineStr">
        <is>
          <t>Regla estructural (redacción revisada)</t>
        </is>
      </c>
      <c r="R2202" s="18" t="inlineStr">
        <is>
          <t>Número de teléfono del profesional.</t>
        </is>
      </c>
      <c r="S2202" s="18" t="inlineStr">
        <is>
          <t>Alta</t>
        </is>
      </c>
      <c r="T2202" s="18" t="inlineStr">
        <is>
          <t>Convención de nombre, redactada con el contexto de la tabla y el código.</t>
        </is>
      </c>
      <c r="U2202" s="18" t="inlineStr"/>
      <c r="V2202" s="19" t="inlineStr">
        <is>
          <t>Aprobada</t>
        </is>
      </c>
      <c r="W2202" s="19" t="inlineStr"/>
      <c r="X2202" s="19" t="inlineStr">
        <is>
          <t>Aldair González (aprobación en bloque)</t>
        </is>
      </c>
      <c r="Y2202" s="20" t="n">
        <v>46321</v>
      </c>
      <c r="Z2202" s="19" t="inlineStr">
        <is>
          <t>Nivel 2: regla estructural con redacción revisada.</t>
        </is>
      </c>
      <c r="AA2202" s="18">
        <f>IF(OR(V2202="Aprobada"),R2202,IF(AND(OR(V2202="Aprobada con ajuste",V2202="Rechazada"),W2202&lt;&gt;""),W2202,""))</f>
        <v/>
      </c>
    </row>
    <row r="2203">
      <c r="A2203" s="18" t="inlineStr">
        <is>
          <t>C2202</t>
        </is>
      </c>
      <c r="B2203" s="18" t="inlineStr">
        <is>
          <t>Control disciplinario interno</t>
        </is>
      </c>
      <c r="C2203" s="18" t="inlineStr">
        <is>
          <t>internal_disciplinary_control</t>
        </is>
      </c>
      <c r="D2203" s="18" t="inlineStr">
        <is>
          <t>disciplinary_professional</t>
        </is>
      </c>
      <c r="E2203" s="18" t="n">
        <v>9</v>
      </c>
      <c r="F2203" s="18" t="inlineStr">
        <is>
          <t>cargo</t>
        </is>
      </c>
      <c r="G2203" s="18" t="inlineStr">
        <is>
          <t>character varying(100)</t>
        </is>
      </c>
      <c r="H2203" s="18" t="inlineStr">
        <is>
          <t>No</t>
        </is>
      </c>
      <c r="I2203" s="18" t="inlineStr"/>
      <c r="J2203" s="18" t="inlineStr"/>
      <c r="K2203" s="18" t="inlineStr"/>
      <c r="L2203" s="18" t="inlineStr">
        <is>
          <t>No</t>
        </is>
      </c>
      <c r="M2203" s="18" t="inlineStr">
        <is>
          <t>No</t>
        </is>
      </c>
      <c r="N2203" s="18" t="inlineStr"/>
      <c r="O2203" s="18" t="inlineStr"/>
      <c r="P2203" s="18" t="inlineStr">
        <is>
          <t>internal-disciplinary-control-service/src/entities/disciplinary-professional.entity.ts:23: 'Jefe de Oficina', 'Profesional Universitario', etc. | Validación: IsOptional, IsString</t>
        </is>
      </c>
      <c r="Q2203" s="18" t="inlineStr">
        <is>
          <t>Código fuente</t>
        </is>
      </c>
      <c r="R2203" s="18" t="inlineStr">
        <is>
          <t>Cargo del profesional, por ejemplo Jefe de Oficina o Profesional Universitario.</t>
        </is>
      </c>
      <c r="S2203" s="18" t="inlineStr">
        <is>
          <t>Alta</t>
        </is>
      </c>
      <c r="T2203" s="18" t="inlineStr">
        <is>
          <t>código: disciplinary-professional.entity.ts:23</t>
        </is>
      </c>
      <c r="U2203" s="18" t="inlineStr"/>
      <c r="V2203" s="19" t="inlineStr">
        <is>
          <t>Aprobada</t>
        </is>
      </c>
      <c r="W2203" s="19" t="inlineStr"/>
      <c r="X2203" s="19" t="inlineStr">
        <is>
          <t>Aldair González (aprobación en bloque)</t>
        </is>
      </c>
      <c r="Y2203" s="20" t="n">
        <v>46321</v>
      </c>
      <c r="Z2203" s="19" t="inlineStr">
        <is>
          <t>Nivel 1: propuesta del comentario del desarrollador o de confianza alta, o regla de fecha/responsable/motivo.</t>
        </is>
      </c>
      <c r="AA2203" s="18">
        <f>IF(OR(V2203="Aprobada"),R2203,IF(AND(OR(V2203="Aprobada con ajuste",V2203="Rechazada"),W2203&lt;&gt;""),W2203,""))</f>
        <v/>
      </c>
    </row>
    <row r="2204">
      <c r="A2204" s="18" t="inlineStr">
        <is>
          <t>C2203</t>
        </is>
      </c>
      <c r="B2204" s="18" t="inlineStr">
        <is>
          <t>Control disciplinario interno</t>
        </is>
      </c>
      <c r="C2204" s="18" t="inlineStr">
        <is>
          <t>internal_disciplinary_control</t>
        </is>
      </c>
      <c r="D2204" s="18" t="inlineStr">
        <is>
          <t>disciplinary_professional</t>
        </is>
      </c>
      <c r="E2204" s="18" t="n">
        <v>9</v>
      </c>
      <c r="F2204" s="18" t="inlineStr">
        <is>
          <t>especialidad</t>
        </is>
      </c>
      <c r="G2204" s="18" t="inlineStr">
        <is>
          <t>character varying(100)</t>
        </is>
      </c>
      <c r="H2204" s="18" t="inlineStr">
        <is>
          <t>Sí</t>
        </is>
      </c>
      <c r="I2204" s="18" t="inlineStr"/>
      <c r="J2204" s="18" t="inlineStr"/>
      <c r="K2204" s="18" t="inlineStr"/>
      <c r="L2204" s="18" t="inlineStr">
        <is>
          <t>No</t>
        </is>
      </c>
      <c r="M2204" s="18" t="inlineStr">
        <is>
          <t>No</t>
        </is>
      </c>
      <c r="N2204" s="18" t="inlineStr"/>
      <c r="O2204" s="18" t="inlineStr"/>
      <c r="P2204" s="18" t="inlineStr">
        <is>
          <t>Mapeada en internal-disciplinary-control-service/src/entities/disciplinary-professional.entity.ts:26 (DisciplinaryProfessional.especialidad)</t>
        </is>
      </c>
      <c r="Q2204" s="18" t="inlineStr">
        <is>
          <t>Código fuente (verificado)</t>
        </is>
      </c>
      <c r="R2204" s="18" t="inlineStr">
        <is>
          <t>Especialidad del profesional, en texto.</t>
        </is>
      </c>
      <c r="S2204" s="18" t="inlineStr">
        <is>
          <t>Media</t>
        </is>
      </c>
      <c r="T2204" s="18" t="inlineStr">
        <is>
          <t>internal-disciplinary-control-service/src/entities/disciplinary-professional.entity.ts:26-27: especialidad nullable, sin validación ni uso en servicios</t>
        </is>
      </c>
      <c r="U2204" s="18" t="inlineStr">
        <is>
          <t>¿La especialidad del profesional es texto libre o una lista de áreas? El código no la valida ni la usa.</t>
        </is>
      </c>
      <c r="V2204" s="19" t="inlineStr">
        <is>
          <t>Aprobada</t>
        </is>
      </c>
      <c r="W2204" s="19" t="inlineStr"/>
      <c r="X2204" s="19" t="inlineStr">
        <is>
          <t>Aldair González (validación del responsable de BD)</t>
        </is>
      </c>
      <c r="Y2204" s="20" t="n">
        <v>46321</v>
      </c>
      <c r="Z2204" s="19" t="inlineStr">
        <is>
          <t>Nivel 3: validada por decisión del responsable de la base de datos. Pregunta registrada para desarrollo: ¿La especialidad del profesional es texto libre o una lista de áreas? El código no la valida ni la usa.</t>
        </is>
      </c>
      <c r="AA2204" s="18">
        <f>IF(OR(V2204="Aprobada"),R2204,IF(AND(OR(V2204="Aprobada con ajuste",V2204="Rechazada"),W2204&lt;&gt;""),W2204,""))</f>
        <v/>
      </c>
    </row>
    <row r="2205">
      <c r="A2205" s="18" t="inlineStr">
        <is>
          <t>C2204</t>
        </is>
      </c>
      <c r="B2205" s="18" t="inlineStr">
        <is>
          <t>Control disciplinario interno</t>
        </is>
      </c>
      <c r="C2205" s="18" t="inlineStr">
        <is>
          <t>internal_disciplinary_control</t>
        </is>
      </c>
      <c r="D2205" s="18" t="inlineStr">
        <is>
          <t>disciplinary_professional</t>
        </is>
      </c>
      <c r="E2205" s="18" t="n">
        <v>9</v>
      </c>
      <c r="F2205" s="18" t="inlineStr">
        <is>
          <t>tipo_contrato</t>
        </is>
      </c>
      <c r="G2205" s="18" t="inlineStr">
        <is>
          <t>character varying(50)</t>
        </is>
      </c>
      <c r="H2205" s="18" t="inlineStr">
        <is>
          <t>Sí</t>
        </is>
      </c>
      <c r="I2205" s="18" t="inlineStr"/>
      <c r="J2205" s="18" t="inlineStr"/>
      <c r="K2205" s="18" t="inlineStr"/>
      <c r="L2205" s="18" t="inlineStr">
        <is>
          <t>No</t>
        </is>
      </c>
      <c r="M2205" s="18" t="inlineStr">
        <is>
          <t>No</t>
        </is>
      </c>
      <c r="N2205" s="18" t="inlineStr"/>
      <c r="O2205" s="18" t="inlineStr"/>
      <c r="P2205" s="18" t="inlineStr">
        <is>
          <t>Mapeada en internal-disciplinary-control-service/src/entities/disciplinary-professional.entity.ts:29 (DisciplinaryProfessional.tipoContrato)</t>
        </is>
      </c>
      <c r="Q2205" s="18" t="inlineStr">
        <is>
          <t>Código fuente (verificado)</t>
        </is>
      </c>
      <c r="R2205" s="18" t="inlineStr">
        <is>
          <t>Tipo de vinculación o contrato del profesional, en texto.</t>
        </is>
      </c>
      <c r="S2205" s="18" t="inlineStr">
        <is>
          <t>Media</t>
        </is>
      </c>
      <c r="T2205" s="18" t="inlineStr">
        <is>
          <t>internal-disciplinary-control-service/src/entities/disciplinary-professional.entity.ts:29-30: tipo_contrato nullable, sin validación ni uso en servicios</t>
        </is>
      </c>
      <c r="U2205" s="18" t="inlineStr">
        <is>
          <t>¿Qué valores admite tipo_contrato (planta, contratista…)? El código no los define.</t>
        </is>
      </c>
      <c r="V2205" s="19" t="inlineStr">
        <is>
          <t>Aprobada</t>
        </is>
      </c>
      <c r="W2205" s="19" t="inlineStr"/>
      <c r="X2205" s="19" t="inlineStr">
        <is>
          <t>Aldair González (validación del responsable de BD)</t>
        </is>
      </c>
      <c r="Y2205" s="20" t="n">
        <v>46321</v>
      </c>
      <c r="Z2205" s="19" t="inlineStr">
        <is>
          <t>Nivel 3: validada por decisión del responsable de la base de datos. Pregunta registrada para desarrollo: ¿Qué valores admite tipo_contrato (planta, contratista…)? El código no los define.</t>
        </is>
      </c>
      <c r="AA2205" s="18">
        <f>IF(OR(V2205="Aprobada"),R2205,IF(AND(OR(V2205="Aprobada con ajuste",V2205="Rechazada"),W2205&lt;&gt;""),W2205,""))</f>
        <v/>
      </c>
    </row>
    <row r="2206">
      <c r="A2206" s="18" t="inlineStr">
        <is>
          <t>C2205</t>
        </is>
      </c>
      <c r="B2206" s="18" t="inlineStr">
        <is>
          <t>Control disciplinario interno</t>
        </is>
      </c>
      <c r="C2206" s="18" t="inlineStr">
        <is>
          <t>internal_disciplinary_control</t>
        </is>
      </c>
      <c r="D2206" s="18" t="inlineStr">
        <is>
          <t>disciplinary_professional</t>
        </is>
      </c>
      <c r="E2206" s="18" t="n">
        <v>9</v>
      </c>
      <c r="F2206" s="18" t="inlineStr">
        <is>
          <t>territorial</t>
        </is>
      </c>
      <c r="G2206" s="18" t="inlineStr">
        <is>
          <t>character varying(100)</t>
        </is>
      </c>
      <c r="H2206" s="18" t="inlineStr">
        <is>
          <t>Sí</t>
        </is>
      </c>
      <c r="I2206" s="18" t="inlineStr"/>
      <c r="J2206" s="18" t="inlineStr"/>
      <c r="K2206" s="18" t="inlineStr"/>
      <c r="L2206" s="18" t="inlineStr">
        <is>
          <t>No</t>
        </is>
      </c>
      <c r="M2206" s="18" t="inlineStr">
        <is>
          <t>No</t>
        </is>
      </c>
      <c r="N2206" s="18" t="inlineStr"/>
      <c r="O2206" s="18" t="inlineStr"/>
      <c r="P2206" s="18" t="inlineStr">
        <is>
          <t>Mapeada en internal-disciplinary-control-service/src/entities/disciplinary-professional.entity.ts:32 (DisciplinaryProfessional.territorial) | Validación: IsString</t>
        </is>
      </c>
      <c r="Q2206" s="18" t="inlineStr">
        <is>
          <t>Código fuente (verificado)</t>
        </is>
      </c>
      <c r="R2206" s="18" t="inlineStr">
        <is>
          <t>Dirección territorial a la que pertenece el profesional, en texto.</t>
        </is>
      </c>
      <c r="S2206" s="18" t="inlineStr">
        <is>
          <t>Media</t>
        </is>
      </c>
      <c r="T2206" s="18" t="inlineStr">
        <is>
          <t>internal-disciplinary-control-service/src/entities/disciplinary-professional.entity.ts:32-33: territorial nullable, sin catálogo</t>
        </is>
      </c>
      <c r="U2206" s="18" t="inlineStr">
        <is>
          <t>¿La territorial del profesional es texto libre o un código de sede o territorial? El código no la valida contra un catálogo.</t>
        </is>
      </c>
      <c r="V2206" s="19" t="inlineStr">
        <is>
          <t>Aprobada</t>
        </is>
      </c>
      <c r="W2206" s="19" t="inlineStr"/>
      <c r="X2206" s="19" t="inlineStr">
        <is>
          <t>Aldair González (validación del responsable de BD)</t>
        </is>
      </c>
      <c r="Y2206" s="20" t="n">
        <v>46321</v>
      </c>
      <c r="Z2206" s="19" t="inlineStr">
        <is>
          <t>Nivel 3: validada por decisión del responsable de la base de datos. Pregunta registrada para desarrollo: ¿La territorial del profesional es texto libre o un código de sede o territorial? El código no la valida contra un catálogo.</t>
        </is>
      </c>
      <c r="AA2206" s="18">
        <f>IF(OR(V2206="Aprobada"),R2206,IF(AND(OR(V2206="Aprobada con ajuste",V2206="Rechazada"),W2206&lt;&gt;""),W2206,""))</f>
        <v/>
      </c>
    </row>
    <row r="2207">
      <c r="A2207" s="18" t="inlineStr">
        <is>
          <t>C2206</t>
        </is>
      </c>
      <c r="B2207" s="18" t="inlineStr">
        <is>
          <t>Control disciplinario interno</t>
        </is>
      </c>
      <c r="C2207" s="18" t="inlineStr">
        <is>
          <t>internal_disciplinary_control</t>
        </is>
      </c>
      <c r="D2207" s="18" t="inlineStr">
        <is>
          <t>disciplinary_professional</t>
        </is>
      </c>
      <c r="E2207" s="18" t="n">
        <v>9</v>
      </c>
      <c r="F2207" s="18" t="inlineStr">
        <is>
          <t>capacidad_maxima</t>
        </is>
      </c>
      <c r="G2207" s="18" t="inlineStr">
        <is>
          <t>integer</t>
        </is>
      </c>
      <c r="H2207" s="18" t="inlineStr">
        <is>
          <t>Sí</t>
        </is>
      </c>
      <c r="I2207" s="18" t="inlineStr"/>
      <c r="J2207" s="18" t="inlineStr"/>
      <c r="K2207" s="18" t="inlineStr"/>
      <c r="L2207" s="18" t="inlineStr">
        <is>
          <t>No</t>
        </is>
      </c>
      <c r="M2207" s="18" t="inlineStr">
        <is>
          <t>No</t>
        </is>
      </c>
      <c r="N2207" s="18" t="inlineStr"/>
      <c r="O2207" s="18" t="inlineStr"/>
      <c r="P2207" s="18" t="inlineStr">
        <is>
          <t>Mapeada en internal-disciplinary-control-service/src/entities/disciplinary-professional.entity.ts:35 (DisciplinaryProfessional.capacidadMaxima)</t>
        </is>
      </c>
      <c r="Q2207" s="18" t="inlineStr">
        <is>
          <t>Código fuente (verificado)</t>
        </is>
      </c>
      <c r="R2207" s="18" t="inlineStr">
        <is>
          <t>Número máximo de procesos activos simultáneos que se pueden asignar al profesional; se compara con los procesos en estado ACTIVO cuya noticia no está devuelta y se limita al máximo configurado por cargo en system_configuration. Valor por defecto: 10.</t>
        </is>
      </c>
      <c r="S2207" s="18" t="inlineStr">
        <is>
          <t>Alta</t>
        </is>
      </c>
      <c r="T2207" s="18" t="inlineStr">
        <is>
          <t>internal-disciplinary-control-service/src/entities/disciplinary-professional.entity.ts:35-36: default 10 | internal-disciplinary-control-service/src/controllers/professional.controller.ts:59-75: carga = procesos ACTIVOS con noticia distinta de DEVUELTA frente a capacidadMaxima | internal-disciplinary-control-service/src/controllers/professional.controller.ts:264-287: tope por cargo desde system_configuration.roleCapacities</t>
        </is>
      </c>
      <c r="U2207" s="18" t="inlineStr"/>
      <c r="V2207" s="19" t="inlineStr">
        <is>
          <t>Aprobada</t>
        </is>
      </c>
      <c r="W2207" s="19" t="inlineStr"/>
      <c r="X2207" s="19" t="inlineStr">
        <is>
          <t>Aldair González (aprobación en bloque)</t>
        </is>
      </c>
      <c r="Y2207" s="20" t="n">
        <v>46321</v>
      </c>
      <c r="Z2207" s="19" t="inlineStr">
        <is>
          <t>Nivel 3: verificada con el código de la aplicación.</t>
        </is>
      </c>
      <c r="AA2207" s="18">
        <f>IF(OR(V2207="Aprobada"),R2207,IF(AND(OR(V2207="Aprobada con ajuste",V2207="Rechazada"),W2207&lt;&gt;""),W2207,""))</f>
        <v/>
      </c>
    </row>
    <row r="2208">
      <c r="A2208" s="18" t="inlineStr">
        <is>
          <t>C2207</t>
        </is>
      </c>
      <c r="B2208" s="18" t="inlineStr">
        <is>
          <t>Control disciplinario interno</t>
        </is>
      </c>
      <c r="C2208" s="18" t="inlineStr">
        <is>
          <t>internal_disciplinary_control</t>
        </is>
      </c>
      <c r="D2208" s="18" t="inlineStr">
        <is>
          <t>disciplinary_professional</t>
        </is>
      </c>
      <c r="E2208" s="18" t="n">
        <v>9</v>
      </c>
      <c r="F2208" s="18" t="inlineStr">
        <is>
          <t>estado</t>
        </is>
      </c>
      <c r="G2208" s="18" t="inlineStr">
        <is>
          <t>character varying(50)</t>
        </is>
      </c>
      <c r="H2208" s="18" t="inlineStr">
        <is>
          <t>Sí</t>
        </is>
      </c>
      <c r="I2208" s="18" t="inlineStr"/>
      <c r="J2208" s="18" t="inlineStr"/>
      <c r="K2208" s="18" t="inlineStr"/>
      <c r="L2208" s="18" t="inlineStr">
        <is>
          <t>No</t>
        </is>
      </c>
      <c r="M2208" s="18" t="inlineStr">
        <is>
          <t>No</t>
        </is>
      </c>
      <c r="N2208" s="18" t="inlineStr"/>
      <c r="O2208" s="18" t="inlineStr">
        <is>
          <t>idx_disciplinary_professional_estado, idx_professional_estado</t>
        </is>
      </c>
      <c r="P2208" s="18" t="inlineStr">
        <is>
          <t>Mapeada en internal-disciplinary-control-service/src/entities/disciplinary-professional.entity.ts:44 (DisciplinaryProfessional.estado) | Validación: IsBoolean, IsEnum(AutoStatus), IsEnum(EstadoAlerta), IsEnum(TerminoEstado), IsIn(['activo', 'inactivo']), IsOptional</t>
        </is>
      </c>
      <c r="Q2208" s="18" t="inlineStr">
        <is>
          <t>Regla estructural (redacción revisada)</t>
        </is>
      </c>
      <c r="R2208" s="18" t="inlineStr">
        <is>
          <t>Estado del profesional.</t>
        </is>
      </c>
      <c r="S2208" s="18" t="inlineStr">
        <is>
          <t>Alta</t>
        </is>
      </c>
      <c r="T2208" s="18" t="inlineStr">
        <is>
          <t>Convención de nombre, redactada con el contexto de la tabla y el código.</t>
        </is>
      </c>
      <c r="U2208" s="18" t="inlineStr"/>
      <c r="V2208" s="19" t="inlineStr">
        <is>
          <t>Aprobada</t>
        </is>
      </c>
      <c r="W2208" s="19" t="inlineStr"/>
      <c r="X2208" s="19" t="inlineStr">
        <is>
          <t>Aldair González (aprobación en bloque)</t>
        </is>
      </c>
      <c r="Y2208" s="20" t="n">
        <v>46321</v>
      </c>
      <c r="Z2208" s="19" t="inlineStr">
        <is>
          <t>Nivel 2: regla estructural con redacción revisada.</t>
        </is>
      </c>
      <c r="AA2208" s="18">
        <f>IF(OR(V2208="Aprobada"),R2208,IF(AND(OR(V2208="Aprobada con ajuste",V2208="Rechazada"),W2208&lt;&gt;""),W2208,""))</f>
        <v/>
      </c>
    </row>
    <row r="2209">
      <c r="A2209" s="18" t="inlineStr">
        <is>
          <t>C2208</t>
        </is>
      </c>
      <c r="B2209" s="18" t="inlineStr">
        <is>
          <t>Control disciplinario interno</t>
        </is>
      </c>
      <c r="C2209" s="18" t="inlineStr">
        <is>
          <t>internal_disciplinary_control</t>
        </is>
      </c>
      <c r="D2209" s="18" t="inlineStr">
        <is>
          <t>disciplinary_professional</t>
        </is>
      </c>
      <c r="E2209" s="18" t="n">
        <v>9</v>
      </c>
      <c r="F2209" s="18" t="inlineStr">
        <is>
          <t>id_user</t>
        </is>
      </c>
      <c r="G2209" s="18" t="inlineStr">
        <is>
          <t>uuid</t>
        </is>
      </c>
      <c r="H2209" s="18" t="inlineStr">
        <is>
          <t>Sí</t>
        </is>
      </c>
      <c r="I2209" s="18" t="inlineStr"/>
      <c r="J2209" s="18" t="inlineStr"/>
      <c r="K2209" s="18" t="inlineStr"/>
      <c r="L2209" s="18" t="inlineStr">
        <is>
          <t>No</t>
        </is>
      </c>
      <c r="M2209" s="18" t="inlineStr">
        <is>
          <t>No</t>
        </is>
      </c>
      <c r="N2209" s="18" t="inlineStr"/>
      <c r="O2209" s="18" t="inlineStr"/>
      <c r="P2209" s="18" t="inlineStr">
        <is>
          <t>Mapeada en internal-disciplinary-control-service/src/entities/disciplinary-professional.entity.ts:41 (DisciplinaryProfessional.idUser)</t>
        </is>
      </c>
      <c r="Q2209" s="18" t="inlineStr">
        <is>
          <t>Regla estructural (redacción revisada)</t>
        </is>
      </c>
      <c r="R2209" s="18" t="inlineStr">
        <is>
          <t>Usuario del sistema asociado al profesional (auth.user); relación sin llave foránea declarada.</t>
        </is>
      </c>
      <c r="S2209" s="18" t="inlineStr">
        <is>
          <t>Alta</t>
        </is>
      </c>
      <c r="T2209" s="18" t="inlineStr">
        <is>
          <t>Convención de nombre, redactada con el contexto de la tabla y el código.</t>
        </is>
      </c>
      <c r="U2209" s="18" t="inlineStr"/>
      <c r="V2209" s="19" t="inlineStr">
        <is>
          <t>Aprobada</t>
        </is>
      </c>
      <c r="W2209" s="19" t="inlineStr"/>
      <c r="X2209" s="19" t="inlineStr">
        <is>
          <t>Aldair González (aprobación en bloque)</t>
        </is>
      </c>
      <c r="Y2209" s="20" t="n">
        <v>46321</v>
      </c>
      <c r="Z2209" s="19" t="inlineStr">
        <is>
          <t>Nivel 2: regla estructural con redacción revisada.</t>
        </is>
      </c>
      <c r="AA2209" s="18">
        <f>IF(OR(V2209="Aprobada"),R2209,IF(AND(OR(V2209="Aprobada con ajuste",V2209="Rechazada"),W2209&lt;&gt;""),W2209,""))</f>
        <v/>
      </c>
    </row>
    <row r="2210">
      <c r="A2210" s="18" t="inlineStr">
        <is>
          <t>C2209</t>
        </is>
      </c>
      <c r="B2210" s="18" t="inlineStr">
        <is>
          <t>Control disciplinario interno</t>
        </is>
      </c>
      <c r="C2210" s="18" t="inlineStr">
        <is>
          <t>internal_disciplinary_control</t>
        </is>
      </c>
      <c r="D2210" s="18" t="inlineStr">
        <is>
          <t>evidence</t>
        </is>
      </c>
      <c r="E2210" s="18" t="n">
        <v>70</v>
      </c>
      <c r="F2210" s="18" t="inlineStr">
        <is>
          <t>url</t>
        </is>
      </c>
      <c r="G2210" s="18" t="inlineStr">
        <is>
          <t>text</t>
        </is>
      </c>
      <c r="H2210" s="18" t="inlineStr">
        <is>
          <t>No</t>
        </is>
      </c>
      <c r="I2210" s="18" t="inlineStr"/>
      <c r="J2210" s="18" t="inlineStr"/>
      <c r="K2210" s="18" t="inlineStr"/>
      <c r="L2210" s="18" t="inlineStr">
        <is>
          <t>No</t>
        </is>
      </c>
      <c r="M2210" s="18" t="inlineStr">
        <is>
          <t>No</t>
        </is>
      </c>
      <c r="N2210" s="18" t="inlineStr"/>
      <c r="O2210" s="18" t="inlineStr"/>
      <c r="P2210" s="18" t="inlineStr">
        <is>
          <t>db/migrations/old/032_fix_disciplinay_schema.sql:171: Cambiado a TEXT para soportar URLs externas largas | db/init/old/007_schema_disciplinary.sql:171: Cambiado a TEXT para soportar URLs externas largas | db/init/old/007_schema_disciplinary_fixed_final.sql:171: Cambiado a TEXT para soportar URLs externas largas</t>
        </is>
      </c>
      <c r="Q2210" s="18" t="inlineStr">
        <is>
          <t>Código fuente</t>
        </is>
      </c>
      <c r="R2210" s="18" t="inlineStr">
        <is>
          <t>Dirección web (URL) del archivo de la evidencia; admite URL externas largas.</t>
        </is>
      </c>
      <c r="S2210" s="18" t="inlineStr">
        <is>
          <t>Alta</t>
        </is>
      </c>
      <c r="T2210" s="18" t="inlineStr">
        <is>
          <t>código: db/migrations/old/032_fix_disciplinay_schema.sql:171</t>
        </is>
      </c>
      <c r="U2210" s="18" t="inlineStr"/>
      <c r="V2210" s="19" t="inlineStr">
        <is>
          <t>Aprobada</t>
        </is>
      </c>
      <c r="W2210" s="19" t="inlineStr"/>
      <c r="X2210" s="19" t="inlineStr">
        <is>
          <t>Aldair González (aprobación en bloque)</t>
        </is>
      </c>
      <c r="Y2210" s="20" t="n">
        <v>46321</v>
      </c>
      <c r="Z2210" s="19" t="inlineStr">
        <is>
          <t>Nivel 1: propuesta del comentario del desarrollador o de confianza alta, o regla de fecha/responsable/motivo.</t>
        </is>
      </c>
      <c r="AA2210" s="18">
        <f>IF(OR(V2210="Aprobada"),R2210,IF(AND(OR(V2210="Aprobada con ajuste",V2210="Rechazada"),W2210&lt;&gt;""),W2210,""))</f>
        <v/>
      </c>
    </row>
    <row r="2211">
      <c r="A2211" s="18" t="inlineStr">
        <is>
          <t>C2210</t>
        </is>
      </c>
      <c r="B2211" s="18" t="inlineStr">
        <is>
          <t>Control disciplinario interno</t>
        </is>
      </c>
      <c r="C2211" s="18" t="inlineStr">
        <is>
          <t>internal_disciplinary_control</t>
        </is>
      </c>
      <c r="D2211" s="18" t="inlineStr">
        <is>
          <t>evidence</t>
        </is>
      </c>
      <c r="E2211" s="18" t="n">
        <v>70</v>
      </c>
      <c r="F2211" s="18" t="inlineStr">
        <is>
          <t>filename</t>
        </is>
      </c>
      <c r="G2211" s="18" t="inlineStr">
        <is>
          <t>character varying(255)</t>
        </is>
      </c>
      <c r="H2211" s="18" t="inlineStr">
        <is>
          <t>Sí</t>
        </is>
      </c>
      <c r="I2211" s="18" t="inlineStr"/>
      <c r="J2211" s="18" t="inlineStr"/>
      <c r="K2211" s="18" t="inlineStr"/>
      <c r="L2211" s="18" t="inlineStr">
        <is>
          <t>No</t>
        </is>
      </c>
      <c r="M2211" s="18" t="inlineStr">
        <is>
          <t>No</t>
        </is>
      </c>
      <c r="N2211" s="18" t="inlineStr"/>
      <c r="O2211" s="18" t="inlineStr"/>
      <c r="P2211" s="18" t="inlineStr">
        <is>
          <t>Mapeada en internal-disciplinary-control-service/src/entities/evidence.entity.ts:25 (Evidence.filename)</t>
        </is>
      </c>
      <c r="Q2211" s="18" t="inlineStr">
        <is>
          <t>Propuesta semántica</t>
        </is>
      </c>
      <c r="R2211" s="18" t="inlineStr">
        <is>
          <t>Nombre del archivo de la evidencia.</t>
        </is>
      </c>
      <c r="S2211" s="18" t="inlineStr">
        <is>
          <t>Alta</t>
        </is>
      </c>
      <c r="T2211" s="18" t="inlineStr">
        <is>
          <t>nombre + tipo + columnas vecinas (url, fileType)</t>
        </is>
      </c>
      <c r="U2211" s="18" t="inlineStr"/>
      <c r="V2211" s="19" t="inlineStr">
        <is>
          <t>Aprobada</t>
        </is>
      </c>
      <c r="W2211" s="19" t="inlineStr"/>
      <c r="X2211" s="19" t="inlineStr">
        <is>
          <t>Aldair González (aprobación en bloque)</t>
        </is>
      </c>
      <c r="Y2211" s="20" t="n">
        <v>46321</v>
      </c>
      <c r="Z2211" s="19" t="inlineStr">
        <is>
          <t>Nivel 1: propuesta del comentario del desarrollador o de confianza alta, o regla de fecha/responsable/motivo.</t>
        </is>
      </c>
      <c r="AA2211" s="18">
        <f>IF(OR(V2211="Aprobada"),R2211,IF(AND(OR(V2211="Aprobada con ajuste",V2211="Rechazada"),W2211&lt;&gt;""),W2211,""))</f>
        <v/>
      </c>
    </row>
    <row r="2212">
      <c r="A2212" s="18" t="inlineStr">
        <is>
          <t>C2211</t>
        </is>
      </c>
      <c r="B2212" s="18" t="inlineStr">
        <is>
          <t>Control disciplinario interno</t>
        </is>
      </c>
      <c r="C2212" s="18" t="inlineStr">
        <is>
          <t>internal_disciplinary_control</t>
        </is>
      </c>
      <c r="D2212" s="18" t="inlineStr">
        <is>
          <t>evidence</t>
        </is>
      </c>
      <c r="E2212" s="18" t="n">
        <v>70</v>
      </c>
      <c r="F2212" s="18" t="inlineStr">
        <is>
          <t>description</t>
        </is>
      </c>
      <c r="G2212" s="18" t="inlineStr">
        <is>
          <t>text</t>
        </is>
      </c>
      <c r="H2212" s="18" t="inlineStr">
        <is>
          <t>Sí</t>
        </is>
      </c>
      <c r="I2212" s="18" t="inlineStr"/>
      <c r="J2212" s="18" t="inlineStr"/>
      <c r="K2212" s="18" t="inlineStr"/>
      <c r="L2212" s="18" t="inlineStr">
        <is>
          <t>No</t>
        </is>
      </c>
      <c r="M2212" s="18" t="inlineStr">
        <is>
          <t>No</t>
        </is>
      </c>
      <c r="N2212" s="18" t="inlineStr"/>
      <c r="O2212" s="18" t="inlineStr"/>
      <c r="P2212" s="18" t="inlineStr">
        <is>
          <t>Mapeada en internal-disciplinary-control-service/src/entities/evidence.entity.ts:28 (Evidence.description)</t>
        </is>
      </c>
      <c r="Q2212" s="18" t="inlineStr">
        <is>
          <t>Regla estructural (redacción revisada)</t>
        </is>
      </c>
      <c r="R2212" s="18" t="inlineStr">
        <is>
          <t>Descripción de la evidencia.</t>
        </is>
      </c>
      <c r="S2212" s="18" t="inlineStr">
        <is>
          <t>Alta</t>
        </is>
      </c>
      <c r="T2212" s="18" t="inlineStr">
        <is>
          <t>Convención de nombre, redactada con el contexto de la tabla y el código.</t>
        </is>
      </c>
      <c r="U2212" s="18" t="inlineStr"/>
      <c r="V2212" s="19" t="inlineStr">
        <is>
          <t>Aprobada</t>
        </is>
      </c>
      <c r="W2212" s="19" t="inlineStr"/>
      <c r="X2212" s="19" t="inlineStr">
        <is>
          <t>Aldair González (aprobación en bloque)</t>
        </is>
      </c>
      <c r="Y2212" s="20" t="n">
        <v>46321</v>
      </c>
      <c r="Z2212" s="19" t="inlineStr">
        <is>
          <t>Nivel 2: regla estructural con redacción revisada.</t>
        </is>
      </c>
      <c r="AA2212" s="18">
        <f>IF(OR(V2212="Aprobada"),R2212,IF(AND(OR(V2212="Aprobada con ajuste",V2212="Rechazada"),W2212&lt;&gt;""),W2212,""))</f>
        <v/>
      </c>
    </row>
    <row r="2213">
      <c r="A2213" s="18" t="inlineStr">
        <is>
          <t>C2212</t>
        </is>
      </c>
      <c r="B2213" s="18" t="inlineStr">
        <is>
          <t>Control disciplinario interno</t>
        </is>
      </c>
      <c r="C2213" s="18" t="inlineStr">
        <is>
          <t>internal_disciplinary_control</t>
        </is>
      </c>
      <c r="D2213" s="18" t="inlineStr">
        <is>
          <t>evidence</t>
        </is>
      </c>
      <c r="E2213" s="18" t="n">
        <v>70</v>
      </c>
      <c r="F2213" s="18" t="inlineStr">
        <is>
          <t>fileSize</t>
        </is>
      </c>
      <c r="G2213" s="18" t="inlineStr">
        <is>
          <t>integer</t>
        </is>
      </c>
      <c r="H2213" s="18" t="inlineStr">
        <is>
          <t>Sí</t>
        </is>
      </c>
      <c r="I2213" s="18" t="inlineStr"/>
      <c r="J2213" s="18" t="inlineStr"/>
      <c r="K2213" s="18" t="inlineStr"/>
      <c r="L2213" s="18" t="inlineStr">
        <is>
          <t>No</t>
        </is>
      </c>
      <c r="M2213" s="18" t="inlineStr">
        <is>
          <t>No</t>
        </is>
      </c>
      <c r="N2213" s="18" t="inlineStr"/>
      <c r="O2213" s="18" t="inlineStr"/>
      <c r="P2213" s="18" t="inlineStr">
        <is>
          <t>Mapeada en internal-disciplinary-control-service/src/entities/evidence.entity.ts:34 (Evidence.fileSize)</t>
        </is>
      </c>
      <c r="Q2213" s="18" t="inlineStr">
        <is>
          <t>Código fuente (verificado)</t>
        </is>
      </c>
      <c r="R2213" s="18" t="inlineStr">
        <is>
          <t>Tamaño del archivo de la evidencia en bytes; 0 cuando la evidencia es una URL externa.</t>
        </is>
      </c>
      <c r="S2213" s="18" t="inlineStr">
        <is>
          <t>Alta</t>
        </is>
      </c>
      <c r="T2213" s="18" t="inlineStr">
        <is>
          <t>internal-disciplinary-control-service/src/controllers/process.controller.ts:553: fileSize = file.size del archivo cargado | internal-disciplinary-control-service/src/controllers/process.controller.ts:506: fileSize = 0 para URL externa | internal-disciplinary-control-service/src/services/process.service.ts:1713: fileSize || 0</t>
        </is>
      </c>
      <c r="U2213" s="18" t="inlineStr"/>
      <c r="V2213" s="19" t="inlineStr">
        <is>
          <t>Aprobada</t>
        </is>
      </c>
      <c r="W2213" s="19" t="inlineStr"/>
      <c r="X2213" s="19" t="inlineStr">
        <is>
          <t>Aldair González (aprobación en bloque)</t>
        </is>
      </c>
      <c r="Y2213" s="20" t="n">
        <v>46321</v>
      </c>
      <c r="Z2213" s="19" t="inlineStr">
        <is>
          <t>Nivel 3: verificada con el código de la aplicación.</t>
        </is>
      </c>
      <c r="AA2213" s="18">
        <f>IF(OR(V2213="Aprobada"),R2213,IF(AND(OR(V2213="Aprobada con ajuste",V2213="Rechazada"),W2213&lt;&gt;""),W2213,""))</f>
        <v/>
      </c>
    </row>
    <row r="2214">
      <c r="A2214" s="18" t="inlineStr">
        <is>
          <t>C2213</t>
        </is>
      </c>
      <c r="B2214" s="18" t="inlineStr">
        <is>
          <t>Control disciplinario interno</t>
        </is>
      </c>
      <c r="C2214" s="18" t="inlineStr">
        <is>
          <t>internal_disciplinary_control</t>
        </is>
      </c>
      <c r="D2214" s="18" t="inlineStr">
        <is>
          <t>evidence</t>
        </is>
      </c>
      <c r="E2214" s="18" t="n">
        <v>70</v>
      </c>
      <c r="F2214" s="18" t="inlineStr">
        <is>
          <t>nombreDocumento</t>
        </is>
      </c>
      <c r="G2214" s="18" t="inlineStr">
        <is>
          <t>character varying(255)</t>
        </is>
      </c>
      <c r="H2214" s="18" t="inlineStr">
        <is>
          <t>Sí</t>
        </is>
      </c>
      <c r="I2214" s="18" t="inlineStr"/>
      <c r="J2214" s="18" t="inlineStr"/>
      <c r="K2214" s="18" t="inlineStr"/>
      <c r="L2214" s="18" t="inlineStr">
        <is>
          <t>No</t>
        </is>
      </c>
      <c r="M2214" s="18" t="inlineStr">
        <is>
          <t>No</t>
        </is>
      </c>
      <c r="N2214" s="18" t="inlineStr"/>
      <c r="O2214" s="18" t="inlineStr"/>
      <c r="P2214" s="18" t="inlineStr">
        <is>
          <t>Mapeada en internal-disciplinary-control-service/src/entities/evidence.entity.ts:37 (Evidence.nombreDocumento)</t>
        </is>
      </c>
      <c r="Q2214" s="18" t="inlineStr">
        <is>
          <t>Código fuente (verificado)</t>
        </is>
      </c>
      <c r="R2214" s="18" t="inlineStr">
        <is>
          <t>Nombre del documento cargado como evidencia: el nombre digitado en el formulario o, si no llega, el nombre original del archivo. Tiene el mismo valor que nombreArchivo; filename guarda siempre el nombre original del archivo.</t>
        </is>
      </c>
      <c r="S2214" s="18" t="inlineStr">
        <is>
          <t>Alta</t>
        </is>
      </c>
      <c r="T2214" s="18" t="inlineStr">
        <is>
          <t>internal-disciplinary-control-service/src/controllers/process.controller.ts:550: nombreDocumento = body.nombre || file.originalname | internal-disciplinary-control-service/src/services/process.service.ts:1702: nombreArchivoFinal = nombreDocumento || originalName | internal-disciplinary-control-service/src/services/process.service.ts:1707-1714: nombreArchivo y nombreDocumento = nombreArchivoFinal, filename = originalName</t>
        </is>
      </c>
      <c r="U2214" s="18" t="inlineStr"/>
      <c r="V2214" s="19" t="inlineStr">
        <is>
          <t>Aprobada</t>
        </is>
      </c>
      <c r="W2214" s="19" t="inlineStr"/>
      <c r="X2214" s="19" t="inlineStr">
        <is>
          <t>Aldair González (aprobación en bloque)</t>
        </is>
      </c>
      <c r="Y2214" s="20" t="n">
        <v>46321</v>
      </c>
      <c r="Z2214" s="19" t="inlineStr">
        <is>
          <t>Nivel 3: verificada con el código de la aplicación.</t>
        </is>
      </c>
      <c r="AA2214" s="18">
        <f>IF(OR(V2214="Aprobada"),R2214,IF(AND(OR(V2214="Aprobada con ajuste",V2214="Rechazada"),W2214&lt;&gt;""),W2214,""))</f>
        <v/>
      </c>
    </row>
    <row r="2215">
      <c r="A2215" s="18" t="inlineStr">
        <is>
          <t>C2214</t>
        </is>
      </c>
      <c r="B2215" s="18" t="inlineStr">
        <is>
          <t>Control disciplinario interno</t>
        </is>
      </c>
      <c r="C2215" s="18" t="inlineStr">
        <is>
          <t>internal_disciplinary_control</t>
        </is>
      </c>
      <c r="D2215" s="18" t="inlineStr">
        <is>
          <t>evidence</t>
        </is>
      </c>
      <c r="E2215" s="18" t="n">
        <v>70</v>
      </c>
      <c r="F2215" s="18" t="inlineStr">
        <is>
          <t>tipoDocumento</t>
        </is>
      </c>
      <c r="G2215" s="18" t="inlineStr">
        <is>
          <t>character varying(50)</t>
        </is>
      </c>
      <c r="H2215" s="18" t="inlineStr">
        <is>
          <t>Sí</t>
        </is>
      </c>
      <c r="I2215" s="18" t="inlineStr"/>
      <c r="J2215" s="18" t="inlineStr"/>
      <c r="K2215" s="18" t="inlineStr"/>
      <c r="L2215" s="18" t="inlineStr">
        <is>
          <t>No</t>
        </is>
      </c>
      <c r="M2215" s="18" t="inlineStr">
        <is>
          <t>No</t>
        </is>
      </c>
      <c r="N2215" s="18" t="inlineStr"/>
      <c r="O2215" s="18" t="inlineStr">
        <is>
          <t>idx_evidence_tipo_documento</t>
        </is>
      </c>
      <c r="P2215" s="18" t="inlineStr">
        <is>
          <t>Mapeada en internal-disciplinary-control-service/src/entities/evidence.entity.ts:40 (Evidence.tipoDocumento)</t>
        </is>
      </c>
      <c r="Q2215" s="18" t="inlineStr">
        <is>
          <t>Código fuente (verificado)</t>
        </is>
      </c>
      <c r="R2215" s="18" t="inlineStr">
        <is>
          <t>Tipo de documento de la evidencia, en texto: el servicio reconoce EVIDENCIA, PRUEBA DOCUMENTAL, AUTO, OFICIO, NOTIFICACION, ACTA y DECLARACION para validar el formato del archivo; si no llega, DOCUMENTO.</t>
        </is>
      </c>
      <c r="S2215" s="18" t="inlineStr">
        <is>
          <t>Alta</t>
        </is>
      </c>
      <c r="T2215" s="18" t="inlineStr">
        <is>
          <t>internal-disciplinary-control-service/src/controllers/process.controller.ts:493: tipoDocumento = body.tipo || 'DOCUMENTO' | internal-disciplinary-control-service/src/controllers/process.controller.ts:746-766: tipos reconocidos para validar MIME; los demás usan la lista por defecto | internal-disciplinary-control-service/src/controllers/process.controller.ts:517-523: OFICIO solo admite PDF</t>
        </is>
      </c>
      <c r="U2215" s="18" t="inlineStr"/>
      <c r="V2215" s="19" t="inlineStr">
        <is>
          <t>Aprobada</t>
        </is>
      </c>
      <c r="W2215" s="19" t="inlineStr"/>
      <c r="X2215" s="19" t="inlineStr">
        <is>
          <t>Aldair González (aprobación en bloque)</t>
        </is>
      </c>
      <c r="Y2215" s="20" t="n">
        <v>46321</v>
      </c>
      <c r="Z2215" s="19" t="inlineStr">
        <is>
          <t>Nivel 3: verificada con el código de la aplicación.</t>
        </is>
      </c>
      <c r="AA2215" s="18">
        <f>IF(OR(V2215="Aprobada"),R2215,IF(AND(OR(V2215="Aprobada con ajuste",V2215="Rechazada"),W2215&lt;&gt;""),W2215,""))</f>
        <v/>
      </c>
    </row>
    <row r="2216">
      <c r="A2216" s="18" t="inlineStr">
        <is>
          <t>C2215</t>
        </is>
      </c>
      <c r="B2216" s="18" t="inlineStr">
        <is>
          <t>Control disciplinario interno</t>
        </is>
      </c>
      <c r="C2216" s="18" t="inlineStr">
        <is>
          <t>internal_disciplinary_control</t>
        </is>
      </c>
      <c r="D2216" s="18" t="inlineStr">
        <is>
          <t>evidence</t>
        </is>
      </c>
      <c r="E2216" s="18" t="n">
        <v>70</v>
      </c>
      <c r="F2216" s="18" t="inlineStr">
        <is>
          <t>etapa</t>
        </is>
      </c>
      <c r="G2216" s="18" t="inlineStr">
        <is>
          <t>character varying(100)</t>
        </is>
      </c>
      <c r="H2216" s="18" t="inlineStr">
        <is>
          <t>Sí</t>
        </is>
      </c>
      <c r="I2216" s="18" t="inlineStr"/>
      <c r="J2216" s="18" t="inlineStr"/>
      <c r="K2216" s="18" t="inlineStr"/>
      <c r="L2216" s="18" t="inlineStr">
        <is>
          <t>No</t>
        </is>
      </c>
      <c r="M2216" s="18" t="inlineStr">
        <is>
          <t>No</t>
        </is>
      </c>
      <c r="N2216" s="18" t="inlineStr"/>
      <c r="O2216" s="18" t="inlineStr"/>
      <c r="P2216" s="18" t="inlineStr">
        <is>
          <t>Mapeada en internal-disciplinary-control-service/src/entities/evidence.entity.ts:58 (Evidence.etapa) | Validación: IsOptional, IsString, MaxLength(80)</t>
        </is>
      </c>
      <c r="Q2216" s="18" t="inlineStr">
        <is>
          <t>Propuesta semántica</t>
        </is>
      </c>
      <c r="R2216" s="18" t="inlineStr">
        <is>
          <t>Etapa del proceso disciplinario en la que se cargó la evidencia (máximo 80 caracteres).</t>
        </is>
      </c>
      <c r="S2216" s="18" t="inlineStr">
        <is>
          <t>Alta</t>
        </is>
      </c>
      <c r="T2216" s="18" t="inlineStr">
        <is>
          <t>nombre + tipo + columnas vecinas + validación MaxLength(80)</t>
        </is>
      </c>
      <c r="U2216" s="18" t="inlineStr"/>
      <c r="V2216" s="19" t="inlineStr">
        <is>
          <t>Aprobada</t>
        </is>
      </c>
      <c r="W2216" s="19" t="inlineStr"/>
      <c r="X2216" s="19" t="inlineStr">
        <is>
          <t>Aldair González (aprobación en bloque)</t>
        </is>
      </c>
      <c r="Y2216" s="20" t="n">
        <v>46321</v>
      </c>
      <c r="Z2216" s="19" t="inlineStr">
        <is>
          <t>Nivel 1: propuesta del comentario del desarrollador o de confianza alta, o regla de fecha/responsable/motivo.</t>
        </is>
      </c>
      <c r="AA2216" s="18">
        <f>IF(OR(V2216="Aprobada"),R2216,IF(AND(OR(V2216="Aprobada con ajuste",V2216="Rechazada"),W2216&lt;&gt;""),W2216,""))</f>
        <v/>
      </c>
    </row>
    <row r="2217">
      <c r="A2217" s="18" t="inlineStr">
        <is>
          <t>C2216</t>
        </is>
      </c>
      <c r="B2217" s="18" t="inlineStr">
        <is>
          <t>Control disciplinario interno</t>
        </is>
      </c>
      <c r="C2217" s="18" t="inlineStr">
        <is>
          <t>internal_disciplinary_control</t>
        </is>
      </c>
      <c r="D2217" s="18" t="inlineStr">
        <is>
          <t>evidence</t>
        </is>
      </c>
      <c r="E2217" s="18" t="n">
        <v>70</v>
      </c>
      <c r="F2217" s="18" t="inlineStr">
        <is>
          <t>usuarioCarga</t>
        </is>
      </c>
      <c r="G2217" s="18" t="inlineStr">
        <is>
          <t>character varying(255)</t>
        </is>
      </c>
      <c r="H2217" s="18" t="inlineStr">
        <is>
          <t>Sí</t>
        </is>
      </c>
      <c r="I2217" s="18" t="inlineStr"/>
      <c r="J2217" s="18" t="inlineStr"/>
      <c r="K2217" s="18" t="inlineStr"/>
      <c r="L2217" s="18" t="inlineStr">
        <is>
          <t>No</t>
        </is>
      </c>
      <c r="M2217" s="18" t="inlineStr">
        <is>
          <t>No</t>
        </is>
      </c>
      <c r="N2217" s="18" t="inlineStr"/>
      <c r="O2217" s="18" t="inlineStr"/>
      <c r="P2217" s="18" t="inlineStr">
        <is>
          <t>Mapeada en internal-disciplinary-control-service/src/entities/evidence.entity.ts:61 (Evidence.usuarioCarga)</t>
        </is>
      </c>
      <c r="Q2217" s="18" t="inlineStr">
        <is>
          <t>Código fuente (verificado)</t>
        </is>
      </c>
      <c r="R2217" s="18" t="inlineStr">
        <is>
          <t>Usuario que cargó la evidencia, en texto recibido del formulario; «Sistema» si no llega.</t>
        </is>
      </c>
      <c r="S2217" s="18" t="inlineStr">
        <is>
          <t>Media</t>
        </is>
      </c>
      <c r="T2217" s="18" t="inlineStr">
        <is>
          <t>internal-disciplinary-control-service/src/entities/evidence.entity.ts:61-62: usuarioCarga nullable | internal-disciplinary-control-service/src/controllers/process.controller.ts:585: body.usuarioCarga || 'Sistema'</t>
        </is>
      </c>
      <c r="U2217" s="18" t="inlineStr">
        <is>
          <t>¿usuarioCarga guarda el nombre, el correo o el identificador del usuario? El servicio guarda el texto que envía el cliente.</t>
        </is>
      </c>
      <c r="V2217" s="19" t="inlineStr">
        <is>
          <t>Aprobada</t>
        </is>
      </c>
      <c r="W2217" s="19" t="inlineStr"/>
      <c r="X2217" s="19" t="inlineStr">
        <is>
          <t>Aldair González (validación del responsable de BD)</t>
        </is>
      </c>
      <c r="Y2217" s="20" t="n">
        <v>46321</v>
      </c>
      <c r="Z2217" s="19" t="inlineStr">
        <is>
          <t>Nivel 3: validada por decisión del responsable de la base de datos. Pregunta registrada para desarrollo: ¿usuarioCarga guarda el nombre, el correo o el identificador del usuario? El servicio guarda el texto que envía el cliente.</t>
        </is>
      </c>
      <c r="AA2217" s="18">
        <f>IF(OR(V2217="Aprobada"),R2217,IF(AND(OR(V2217="Aprobada con ajuste",V2217="Rechazada"),W2217&lt;&gt;""),W2217,""))</f>
        <v/>
      </c>
    </row>
    <row r="2218">
      <c r="A2218" s="18" t="inlineStr">
        <is>
          <t>C2217</t>
        </is>
      </c>
      <c r="B2218" s="18" t="inlineStr">
        <is>
          <t>Control disciplinario interno</t>
        </is>
      </c>
      <c r="C2218" s="18" t="inlineStr">
        <is>
          <t>internal_disciplinary_control</t>
        </is>
      </c>
      <c r="D2218" s="18" t="inlineStr">
        <is>
          <t>evidence</t>
        </is>
      </c>
      <c r="E2218" s="18" t="n">
        <v>70</v>
      </c>
      <c r="F2218" s="18" t="inlineStr">
        <is>
          <t>categoria</t>
        </is>
      </c>
      <c r="G2218" s="18" t="inlineStr">
        <is>
          <t>character varying(50)</t>
        </is>
      </c>
      <c r="H2218" s="18" t="inlineStr">
        <is>
          <t>Sí</t>
        </is>
      </c>
      <c r="I2218" s="18" t="inlineStr"/>
      <c r="J2218" s="18" t="inlineStr"/>
      <c r="K2218" s="18" t="inlineStr"/>
      <c r="L2218" s="18" t="inlineStr">
        <is>
          <t>No</t>
        </is>
      </c>
      <c r="M2218" s="18" t="inlineStr">
        <is>
          <t>No</t>
        </is>
      </c>
      <c r="N2218" s="18" t="inlineStr"/>
      <c r="O2218" s="18" t="inlineStr"/>
      <c r="P2218" s="18" t="inlineStr">
        <is>
          <t>Mapeada en internal-disciplinary-control-service/src/entities/evidence.entity.ts:46 (Evidence.categoria)</t>
        </is>
      </c>
      <c r="Q2218" s="18" t="inlineStr">
        <is>
          <t>Código fuente (verificado)</t>
        </is>
      </c>
      <c r="R2218" s="18" t="inlineStr">
        <is>
          <t>Categoría de la evidencia, en texto recibido del formulario.</t>
        </is>
      </c>
      <c r="S2218" s="18" t="inlineStr">
        <is>
          <t>Media</t>
        </is>
      </c>
      <c r="T2218" s="18" t="inlineStr">
        <is>
          <t>internal-disciplinary-control-service/src/entities/evidence.entity.ts:46-47: categoria varchar nullable | internal-disciplinary-control-service/src/controllers/process.controller.ts:586: body.categoria, sin validación ni lista de valores</t>
        </is>
      </c>
      <c r="U2218" s="18" t="inlineStr">
        <is>
          <t>¿Qué valores admite la categoría de la evidencia? El código no los define.</t>
        </is>
      </c>
      <c r="V2218" s="19" t="inlineStr">
        <is>
          <t>Aprobada</t>
        </is>
      </c>
      <c r="W2218" s="19" t="inlineStr"/>
      <c r="X2218" s="19" t="inlineStr">
        <is>
          <t>Aldair González (validación del responsable de BD)</t>
        </is>
      </c>
      <c r="Y2218" s="20" t="n">
        <v>46321</v>
      </c>
      <c r="Z2218" s="19" t="inlineStr">
        <is>
          <t>Nivel 3: validada por decisión del responsable de la base de datos. Pregunta registrada para desarrollo: ¿Qué valores admite la categoría de la evidencia? El código no los define.</t>
        </is>
      </c>
      <c r="AA2218" s="18">
        <f>IF(OR(V2218="Aprobada"),R2218,IF(AND(OR(V2218="Aprobada con ajuste",V2218="Rechazada"),W2218&lt;&gt;""),W2218,""))</f>
        <v/>
      </c>
    </row>
    <row r="2219">
      <c r="A2219" s="18" t="inlineStr">
        <is>
          <t>C2218</t>
        </is>
      </c>
      <c r="B2219" s="18" t="inlineStr">
        <is>
          <t>Control disciplinario interno</t>
        </is>
      </c>
      <c r="C2219" s="18" t="inlineStr">
        <is>
          <t>internal_disciplinary_control</t>
        </is>
      </c>
      <c r="D2219" s="18" t="inlineStr">
        <is>
          <t>evidence</t>
        </is>
      </c>
      <c r="E2219" s="18" t="n">
        <v>70</v>
      </c>
      <c r="F2219" s="18" t="inlineStr">
        <is>
          <t>destinatario</t>
        </is>
      </c>
      <c r="G2219" s="18" t="inlineStr">
        <is>
          <t>character varying(255)</t>
        </is>
      </c>
      <c r="H2219" s="18" t="inlineStr">
        <is>
          <t>Sí</t>
        </is>
      </c>
      <c r="I2219" s="18" t="inlineStr"/>
      <c r="J2219" s="18" t="inlineStr"/>
      <c r="K2219" s="18" t="inlineStr"/>
      <c r="L2219" s="18" t="inlineStr">
        <is>
          <t>No</t>
        </is>
      </c>
      <c r="M2219" s="18" t="inlineStr">
        <is>
          <t>No</t>
        </is>
      </c>
      <c r="N2219" s="18" t="inlineStr"/>
      <c r="O2219" s="18" t="inlineStr"/>
      <c r="P2219" s="18" t="inlineStr">
        <is>
          <t>Mapeada en internal-disciplinary-control-service/src/entities/evidence.entity.ts:49 (Evidence.destinatario)</t>
        </is>
      </c>
      <c r="Q2219" s="18" t="inlineStr">
        <is>
          <t>Código fuente (verificado)</t>
        </is>
      </c>
      <c r="R2219" s="18" t="inlineStr">
        <is>
          <t>Destinatario de la comunicación registrada como evidencia, en texto recibido del formulario.</t>
        </is>
      </c>
      <c r="S2219" s="18" t="inlineStr">
        <is>
          <t>Media</t>
        </is>
      </c>
      <c r="T2219" s="18" t="inlineStr">
        <is>
          <t>internal-disciplinary-control-service/src/entities/evidence.entity.ts:49-50: destinatario varchar nullable | internal-disciplinary-control-service/src/controllers/process.controller.ts:587: body.destinatario, sin regla por tipo de documento</t>
        </is>
      </c>
      <c r="U2219" s="18" t="inlineStr">
        <is>
          <t>¿destinatario aplica solo a evidencias de tipo comunicación u oficio? El código lo guarda para cualquier tipo.</t>
        </is>
      </c>
      <c r="V2219" s="19" t="inlineStr">
        <is>
          <t>Aprobada</t>
        </is>
      </c>
      <c r="W2219" s="19" t="inlineStr"/>
      <c r="X2219" s="19" t="inlineStr">
        <is>
          <t>Aldair González (validación del responsable de BD)</t>
        </is>
      </c>
      <c r="Y2219" s="20" t="n">
        <v>46321</v>
      </c>
      <c r="Z2219" s="19" t="inlineStr">
        <is>
          <t>Nivel 3: validada por decisión del responsable de la base de datos. Pregunta registrada para desarrollo: ¿destinatario aplica solo a evidencias de tipo comunicación u oficio? El código lo guarda para cualquier tipo.</t>
        </is>
      </c>
      <c r="AA2219" s="18">
        <f>IF(OR(V2219="Aprobada"),R2219,IF(AND(OR(V2219="Aprobada con ajuste",V2219="Rechazada"),W2219&lt;&gt;""),W2219,""))</f>
        <v/>
      </c>
    </row>
    <row r="2220">
      <c r="A2220" s="18" t="inlineStr">
        <is>
          <t>C2219</t>
        </is>
      </c>
      <c r="B2220" s="18" t="inlineStr">
        <is>
          <t>Control disciplinario interno</t>
        </is>
      </c>
      <c r="C2220" s="18" t="inlineStr">
        <is>
          <t>internal_disciplinary_control</t>
        </is>
      </c>
      <c r="D2220" s="18" t="inlineStr">
        <is>
          <t>evidence</t>
        </is>
      </c>
      <c r="E2220" s="18" t="n">
        <v>70</v>
      </c>
      <c r="F2220" s="18" t="inlineStr">
        <is>
          <t>asunto</t>
        </is>
      </c>
      <c r="G2220" s="18" t="inlineStr">
        <is>
          <t>character varying(255)</t>
        </is>
      </c>
      <c r="H2220" s="18" t="inlineStr">
        <is>
          <t>Sí</t>
        </is>
      </c>
      <c r="I2220" s="18" t="inlineStr"/>
      <c r="J2220" s="18" t="inlineStr"/>
      <c r="K2220" s="18" t="inlineStr"/>
      <c r="L2220" s="18" t="inlineStr">
        <is>
          <t>No</t>
        </is>
      </c>
      <c r="M2220" s="18" t="inlineStr">
        <is>
          <t>No</t>
        </is>
      </c>
      <c r="N2220" s="18" t="inlineStr"/>
      <c r="O2220" s="18" t="inlineStr"/>
      <c r="P2220" s="18" t="inlineStr">
        <is>
          <t>Mapeada en internal-disciplinary-control-service/src/entities/evidence.entity.ts:52 (Evidence.asunto)</t>
        </is>
      </c>
      <c r="Q2220" s="18" t="inlineStr">
        <is>
          <t>Código fuente (verificado)</t>
        </is>
      </c>
      <c r="R2220" s="18" t="inlineStr">
        <is>
          <t>Asunto de la comunicación registrada como evidencia, en texto recibido del formulario.</t>
        </is>
      </c>
      <c r="S2220" s="18" t="inlineStr">
        <is>
          <t>Media</t>
        </is>
      </c>
      <c r="T2220" s="18" t="inlineStr">
        <is>
          <t>internal-disciplinary-control-service/src/entities/evidence.entity.ts:52-53: asunto varchar nullable | internal-disciplinary-control-service/src/controllers/process.controller.ts:588: body.asunto, sin regla por tipo de documento</t>
        </is>
      </c>
      <c r="U2220" s="18" t="inlineStr">
        <is>
          <t>¿asunto aplica solo a evidencias de tipo comunicación u oficio? El código lo guarda para cualquier tipo.</t>
        </is>
      </c>
      <c r="V2220" s="19" t="inlineStr">
        <is>
          <t>Aprobada</t>
        </is>
      </c>
      <c r="W2220" s="19" t="inlineStr"/>
      <c r="X2220" s="19" t="inlineStr">
        <is>
          <t>Aldair González (validación del responsable de BD)</t>
        </is>
      </c>
      <c r="Y2220" s="20" t="n">
        <v>46321</v>
      </c>
      <c r="Z2220" s="19" t="inlineStr">
        <is>
          <t>Nivel 3: validada por decisión del responsable de la base de datos. Pregunta registrada para desarrollo: ¿asunto aplica solo a evidencias de tipo comunicación u oficio? El código lo guarda para cualquier tipo.</t>
        </is>
      </c>
      <c r="AA2220" s="18">
        <f>IF(OR(V2220="Aprobada"),R2220,IF(AND(OR(V2220="Aprobada con ajuste",V2220="Rechazada"),W2220&lt;&gt;""),W2220,""))</f>
        <v/>
      </c>
    </row>
    <row r="2221">
      <c r="A2221" s="18" t="inlineStr">
        <is>
          <t>C2220</t>
        </is>
      </c>
      <c r="B2221" s="18" t="inlineStr">
        <is>
          <t>Control disciplinario interno</t>
        </is>
      </c>
      <c r="C2221" s="18" t="inlineStr">
        <is>
          <t>internal_disciplinary_control</t>
        </is>
      </c>
      <c r="D2221" s="18" t="inlineStr">
        <is>
          <t>evidence</t>
        </is>
      </c>
      <c r="E2221" s="18" t="n">
        <v>70</v>
      </c>
      <c r="F2221" s="18" t="inlineStr">
        <is>
          <t>participantes</t>
        </is>
      </c>
      <c r="G2221" s="18" t="inlineStr">
        <is>
          <t>integer</t>
        </is>
      </c>
      <c r="H2221" s="18" t="inlineStr">
        <is>
          <t>Sí</t>
        </is>
      </c>
      <c r="I2221" s="18" t="inlineStr"/>
      <c r="J2221" s="18" t="inlineStr"/>
      <c r="K2221" s="18" t="inlineStr"/>
      <c r="L2221" s="18" t="inlineStr">
        <is>
          <t>No</t>
        </is>
      </c>
      <c r="M2221" s="18" t="inlineStr">
        <is>
          <t>No</t>
        </is>
      </c>
      <c r="N2221" s="18" t="inlineStr"/>
      <c r="O2221" s="18" t="inlineStr"/>
      <c r="P2221" s="18" t="inlineStr">
        <is>
          <t>Mapeada en internal-disciplinary-control-service/src/entities/evidence.entity.ts:55 (Evidence.participantes)</t>
        </is>
      </c>
      <c r="Q2221" s="18" t="inlineStr">
        <is>
          <t>Código fuente (verificado)</t>
        </is>
      </c>
      <c r="R2221" s="18" t="inlineStr">
        <is>
          <t>Número de participantes registrados en la evidencia, recibido del formulario.</t>
        </is>
      </c>
      <c r="S2221" s="18" t="inlineStr">
        <is>
          <t>Media</t>
        </is>
      </c>
      <c r="T2221" s="18" t="inlineStr">
        <is>
          <t>internal-disciplinary-control-service/src/entities/evidence.entity.ts:55-56: participantes int nullable | internal-disciplinary-control-service/src/controllers/process.controller.ts:559: Number(body.participantes)</t>
        </is>
      </c>
      <c r="U2221" s="18" t="inlineStr">
        <is>
          <t>¿A qué corresponde participantes en la evidencia (por ejemplo, asistentes a una diligencia o acta)? El código solo convierte el valor a número.</t>
        </is>
      </c>
      <c r="V2221" s="19" t="inlineStr">
        <is>
          <t>Aprobada</t>
        </is>
      </c>
      <c r="W2221" s="19" t="inlineStr"/>
      <c r="X2221" s="19" t="inlineStr">
        <is>
          <t>Aldair González (validación del responsable de BD)</t>
        </is>
      </c>
      <c r="Y2221" s="20" t="n">
        <v>46321</v>
      </c>
      <c r="Z2221" s="19" t="inlineStr">
        <is>
          <t>Nivel 3: validada por decisión del responsable de la base de datos. Pregunta registrada para desarrollo: ¿A qué corresponde participantes en la evidencia (por ejemplo, asistentes a una diligencia o acta)? El código solo convierte el valor a número.</t>
        </is>
      </c>
      <c r="AA2221" s="18">
        <f>IF(OR(V2221="Aprobada"),R2221,IF(AND(OR(V2221="Aprobada con ajuste",V2221="Rechazada"),W2221&lt;&gt;""),W2221,""))</f>
        <v/>
      </c>
    </row>
    <row r="2222">
      <c r="A2222" s="18" t="inlineStr">
        <is>
          <t>C2221</t>
        </is>
      </c>
      <c r="B2222" s="18" t="inlineStr">
        <is>
          <t>Control disciplinario interno</t>
        </is>
      </c>
      <c r="C2222" s="18" t="inlineStr">
        <is>
          <t>internal_disciplinary_control</t>
        </is>
      </c>
      <c r="D2222" s="18" t="inlineStr">
        <is>
          <t>evidence</t>
        </is>
      </c>
      <c r="E2222" s="18" t="n">
        <v>70</v>
      </c>
      <c r="F2222" s="18" t="inlineStr">
        <is>
          <t>archivoUrl</t>
        </is>
      </c>
      <c r="G2222" s="18" t="inlineStr">
        <is>
          <t>character varying</t>
        </is>
      </c>
      <c r="H2222" s="18" t="inlineStr">
        <is>
          <t>Sí</t>
        </is>
      </c>
      <c r="I2222" s="18" t="inlineStr"/>
      <c r="J2222" s="18" t="inlineStr"/>
      <c r="K2222" s="18" t="inlineStr"/>
      <c r="L2222" s="18" t="inlineStr">
        <is>
          <t>No</t>
        </is>
      </c>
      <c r="M2222" s="18" t="inlineStr">
        <is>
          <t>No</t>
        </is>
      </c>
      <c r="N2222" s="18" t="inlineStr"/>
      <c r="O2222" s="18" t="inlineStr"/>
      <c r="P2222" s="18" t="inlineStr">
        <is>
          <t>db/migrations/old/032_fix_disciplinay_schema.sql:172: Mantener compatibilidad con TypeORM | db/init/old/007_schema_disciplinary.sql:172: Mantener compatibilidad con TypeORM | db/init/old/007_schema_disciplinary_fixed_final.sql:172: Mantener compatibilidad con TypeORM</t>
        </is>
      </c>
      <c r="Q2222" s="18" t="inlineStr">
        <is>
          <t>Código fuente (verificado)</t>
        </is>
      </c>
      <c r="R2222" s="18" t="inlineStr">
        <is>
          <t>Ruta relativa del archivo de la evidencia en la carpeta del proceso (o URL externa). Se llena con el mismo valor que url y es la que se lee primero al adjuntar evidencias.</t>
        </is>
      </c>
      <c r="S2222" s="18" t="inlineStr">
        <is>
          <t>Alta</t>
        </is>
      </c>
      <c r="T2222" s="18" t="inlineStr">
        <is>
          <t>internal-disciplinary-control-service/src/services/process.service.ts:1701-1706: archivoUrl = url, campo requerido | internal-disciplinary-control-service/src/controllers/process.controller.ts:2015: ref = ev.archivoUrl || ev.url || ev.filename | internal-disciplinary-control-service/src/services/juridica-email.service.ts:358: igual prioridad</t>
        </is>
      </c>
      <c r="U2222" s="18" t="inlineStr"/>
      <c r="V2222" s="19" t="inlineStr">
        <is>
          <t>Aprobada</t>
        </is>
      </c>
      <c r="W2222" s="19" t="inlineStr"/>
      <c r="X2222" s="19" t="inlineStr">
        <is>
          <t>Aldair González (aprobación en bloque)</t>
        </is>
      </c>
      <c r="Y2222" s="20" t="n">
        <v>46321</v>
      </c>
      <c r="Z2222" s="19" t="inlineStr">
        <is>
          <t>Nivel 3: verificada con el código de la aplicación.</t>
        </is>
      </c>
      <c r="AA2222" s="18">
        <f>IF(OR(V2222="Aprobada"),R2222,IF(AND(OR(V2222="Aprobada con ajuste",V2222="Rechazada"),W2222&lt;&gt;""),W2222,""))</f>
        <v/>
      </c>
    </row>
    <row r="2223">
      <c r="A2223" s="18" t="inlineStr">
        <is>
          <t>C2222</t>
        </is>
      </c>
      <c r="B2223" s="18" t="inlineStr">
        <is>
          <t>Control disciplinario interno</t>
        </is>
      </c>
      <c r="C2223" s="18" t="inlineStr">
        <is>
          <t>internal_disciplinary_control</t>
        </is>
      </c>
      <c r="D2223" s="18" t="inlineStr">
        <is>
          <t>evidence</t>
        </is>
      </c>
      <c r="E2223" s="18" t="n">
        <v>70</v>
      </c>
      <c r="F2223" s="18" t="inlineStr">
        <is>
          <t>nombreArchivo</t>
        </is>
      </c>
      <c r="G2223" s="18" t="inlineStr">
        <is>
          <t>character varying</t>
        </is>
      </c>
      <c r="H2223" s="18" t="inlineStr">
        <is>
          <t>Sí</t>
        </is>
      </c>
      <c r="I2223" s="18" t="inlineStr"/>
      <c r="J2223" s="18" t="inlineStr"/>
      <c r="K2223" s="18" t="inlineStr"/>
      <c r="L2223" s="18" t="inlineStr">
        <is>
          <t>No</t>
        </is>
      </c>
      <c r="M2223" s="18" t="inlineStr">
        <is>
          <t>No</t>
        </is>
      </c>
      <c r="N2223" s="18" t="inlineStr"/>
      <c r="O2223" s="18" t="inlineStr"/>
      <c r="P2223" s="18" t="inlineStr">
        <is>
          <t>db/migrations/old/032_fix_disciplinay_schema.sql:173: Mantener compatibilidad con TypeORM | db/init/old/007_schema_disciplinary.sql:173: Mantener compatibilidad con TypeORM | db/init/old/007_schema_disciplinary_fixed_final.sql:173: Mantener compatibilidad con TypeORM</t>
        </is>
      </c>
      <c r="Q2223" s="18" t="inlineStr">
        <is>
          <t>Código fuente (verificado)</t>
        </is>
      </c>
      <c r="R2223" s="18" t="inlineStr">
        <is>
          <t>Nombre del archivo de la evidencia: el nombre digitado en el formulario o el nombre original del archivo; tiene el mismo valor que nombreDocumento.</t>
        </is>
      </c>
      <c r="S2223" s="18" t="inlineStr">
        <is>
          <t>Alta</t>
        </is>
      </c>
      <c r="T2223" s="18" t="inlineStr">
        <is>
          <t>internal-disciplinary-control-service/src/services/process.service.ts:1702-1707: nombreArchivo = nombreDocumento || originalName | internal-disciplinary-control-service/src/services/process.service.ts:1714: nombreDocumento = el mismo valor | internal-disciplinary-control-service/src/controllers/process.controller.ts:2021: se usa como nombre del adjunto</t>
        </is>
      </c>
      <c r="U2223" s="18" t="inlineStr"/>
      <c r="V2223" s="19" t="inlineStr">
        <is>
          <t>Aprobada</t>
        </is>
      </c>
      <c r="W2223" s="19" t="inlineStr"/>
      <c r="X2223" s="19" t="inlineStr">
        <is>
          <t>Aldair González (aprobación en bloque)</t>
        </is>
      </c>
      <c r="Y2223" s="20" t="n">
        <v>46321</v>
      </c>
      <c r="Z2223" s="19" t="inlineStr">
        <is>
          <t>Nivel 3: verificada con el código de la aplicación.</t>
        </is>
      </c>
      <c r="AA2223" s="18">
        <f>IF(OR(V2223="Aprobada"),R2223,IF(AND(OR(V2223="Aprobada con ajuste",V2223="Rechazada"),W2223&lt;&gt;""),W2223,""))</f>
        <v/>
      </c>
    </row>
    <row r="2224">
      <c r="A2224" s="18" t="inlineStr">
        <is>
          <t>C2223</t>
        </is>
      </c>
      <c r="B2224" s="18" t="inlineStr">
        <is>
          <t>Control disciplinario interno</t>
        </is>
      </c>
      <c r="C2224" s="18" t="inlineStr">
        <is>
          <t>internal_disciplinary_control</t>
        </is>
      </c>
      <c r="D2224" s="18" t="inlineStr">
        <is>
          <t>evidence</t>
        </is>
      </c>
      <c r="E2224" s="18" t="n">
        <v>70</v>
      </c>
      <c r="F2224" s="18" t="inlineStr">
        <is>
          <t>tipo</t>
        </is>
      </c>
      <c r="G2224" s="18" t="inlineStr">
        <is>
          <t>character varying</t>
        </is>
      </c>
      <c r="H2224" s="18" t="inlineStr">
        <is>
          <t>Sí</t>
        </is>
      </c>
      <c r="I2224" s="18" t="inlineStr"/>
      <c r="J2224" s="18" t="inlineStr"/>
      <c r="K2224" s="18" t="inlineStr"/>
      <c r="L2224" s="18" t="inlineStr">
        <is>
          <t>No</t>
        </is>
      </c>
      <c r="M2224" s="18" t="inlineStr">
        <is>
          <t>No</t>
        </is>
      </c>
      <c r="N2224" s="18" t="inlineStr"/>
      <c r="O2224" s="18" t="inlineStr"/>
      <c r="P2224" s="18" t="inlineStr">
        <is>
          <t>db/migrations/old/012_create_disciplinary_schema.sql:171: Tipos: DENUNCIA, TESTIMONIO, PRUEBA_DOCUMENTAL, AUDIO, VIDEO, etc. | Validación: IsEnum(TipoAlerta), IsEnum(TipoFestivo), IsNotEmpty, IsOptional, IsString, MaxLength(50)</t>
        </is>
      </c>
      <c r="Q2224" s="18" t="inlineStr">
        <is>
          <t>Código fuente (verificado)</t>
        </is>
      </c>
      <c r="R2224" s="18" t="inlineStr">
        <is>
          <t>Tipo de evidencia: copia de tipoDocumento (EVIDENCIA, PRUEBA DOCUMENTAL, AUTO, OFICIO, NOTIFICACION, ACTA, DECLARACION u otro texto). Valor por defecto: DOCUMENTO.</t>
        </is>
      </c>
      <c r="S2224" s="18" t="inlineStr">
        <is>
          <t>Alta</t>
        </is>
      </c>
      <c r="T2224" s="18" t="inlineStr">
        <is>
          <t>internal-disciplinary-control-service/src/services/process.service.ts:1697-1716: tipo = tipoMapeado = tipoDocumento || 'DOCUMENTO' | internal-disciplinary-control-service/src/entities/evidence.entity.ts:43-44: default DOCUMENTO | internal-disciplinary-control-service/src/controllers/process.controller.ts:746-766: tipos reconocidos</t>
        </is>
      </c>
      <c r="U2224" s="18" t="inlineStr"/>
      <c r="V2224" s="19" t="inlineStr">
        <is>
          <t>Aprobada</t>
        </is>
      </c>
      <c r="W2224" s="19" t="inlineStr"/>
      <c r="X2224" s="19" t="inlineStr">
        <is>
          <t>Aldair González (aprobación en bloque)</t>
        </is>
      </c>
      <c r="Y2224" s="20" t="n">
        <v>46321</v>
      </c>
      <c r="Z2224" s="19" t="inlineStr">
        <is>
          <t>Nivel 3: verificada con el código de la aplicación.</t>
        </is>
      </c>
      <c r="AA2224" s="18">
        <f>IF(OR(V2224="Aprobada"),R2224,IF(AND(OR(V2224="Aprobada con ajuste",V2224="Rechazada"),W2224&lt;&gt;""),W2224,""))</f>
        <v/>
      </c>
    </row>
    <row r="2225">
      <c r="A2225" s="18" t="inlineStr">
        <is>
          <t>C2224</t>
        </is>
      </c>
      <c r="B2225" s="18" t="inlineStr">
        <is>
          <t>Control disciplinario interno</t>
        </is>
      </c>
      <c r="C2225" s="18" t="inlineStr">
        <is>
          <t>internal_disciplinary_control</t>
        </is>
      </c>
      <c r="D2225" s="18" t="inlineStr">
        <is>
          <t>expediente_compartido</t>
        </is>
      </c>
      <c r="E2225" s="18" t="n">
        <v>95</v>
      </c>
      <c r="F2225" s="18" t="inlineStr">
        <is>
          <t>estado</t>
        </is>
      </c>
      <c r="G2225" s="18" t="inlineStr">
        <is>
          <t>internal_disciplinary_control.estado_compartido</t>
        </is>
      </c>
      <c r="H2225" s="18" t="inlineStr">
        <is>
          <t>No</t>
        </is>
      </c>
      <c r="I2225" s="18" t="inlineStr">
        <is>
          <t>Enumerado</t>
        </is>
      </c>
      <c r="J2225" s="18" t="inlineStr">
        <is>
          <t>ACTIVO, EXPIRADO, INACTIVO</t>
        </is>
      </c>
      <c r="K2225" s="18" t="inlineStr"/>
      <c r="L2225" s="18" t="inlineStr">
        <is>
          <t>Sí</t>
        </is>
      </c>
      <c r="M2225" s="18" t="inlineStr">
        <is>
          <t>No</t>
        </is>
      </c>
      <c r="N2225" s="18" t="inlineStr"/>
      <c r="O2225" s="18" t="inlineStr">
        <is>
          <t>idx_expediente_compartido_estado</t>
        </is>
      </c>
      <c r="P2225" s="18" t="inlineStr">
        <is>
          <t>Mapeada en internal-disciplinary-control-service/src/entities/expediente-compartido.entity.ts:50 (ExpedienteCompartido.estado) | Validación: IsBoolean, IsEnum(AutoStatus), IsEnum(EstadoAlerta), IsEnum(TerminoEstado), IsIn(['activo', 'inactivo']), IsOptional</t>
        </is>
      </c>
      <c r="Q2225" s="18" t="inlineStr">
        <is>
          <t>Regla estructural (redacción revisada)</t>
        </is>
      </c>
      <c r="R2225" s="18" t="inlineStr">
        <is>
          <t>Estado del enlace compartido del expediente (ACTIVO, INACTIVO o EXPIRADO).</t>
        </is>
      </c>
      <c r="S2225" s="18" t="inlineStr">
        <is>
          <t>Alta</t>
        </is>
      </c>
      <c r="T2225" s="18" t="inlineStr">
        <is>
          <t>Convención de nombre, redactada con el contexto de la tabla y el código.</t>
        </is>
      </c>
      <c r="U2225" s="18" t="inlineStr"/>
      <c r="V2225" s="19" t="inlineStr">
        <is>
          <t>Aprobada</t>
        </is>
      </c>
      <c r="W2225" s="19" t="inlineStr"/>
      <c r="X2225" s="19" t="inlineStr">
        <is>
          <t>Aldair González (aprobación en bloque)</t>
        </is>
      </c>
      <c r="Y2225" s="20" t="n">
        <v>46321</v>
      </c>
      <c r="Z2225" s="19" t="inlineStr">
        <is>
          <t>Nivel 2: regla estructural con redacción revisada.</t>
        </is>
      </c>
      <c r="AA2225" s="18">
        <f>IF(OR(V2225="Aprobada"),R2225,IF(AND(OR(V2225="Aprobada con ajuste",V2225="Rechazada"),W2225&lt;&gt;""),W2225,""))</f>
        <v/>
      </c>
    </row>
    <row r="2226">
      <c r="A2226" s="18" t="inlineStr">
        <is>
          <t>C2225</t>
        </is>
      </c>
      <c r="B2226" s="18" t="inlineStr">
        <is>
          <t>Control disciplinario interno</t>
        </is>
      </c>
      <c r="C2226" s="18" t="inlineStr">
        <is>
          <t>internal_disciplinary_control</t>
        </is>
      </c>
      <c r="D2226" s="18" t="inlineStr">
        <is>
          <t>expediente_compartido</t>
        </is>
      </c>
      <c r="E2226" s="18" t="n">
        <v>95</v>
      </c>
      <c r="F2226" s="18" t="inlineStr">
        <is>
          <t>contador_accesos</t>
        </is>
      </c>
      <c r="G2226" s="18" t="inlineStr">
        <is>
          <t>integer</t>
        </is>
      </c>
      <c r="H2226" s="18" t="inlineStr">
        <is>
          <t>Sí</t>
        </is>
      </c>
      <c r="I2226" s="18" t="inlineStr"/>
      <c r="J2226" s="18" t="inlineStr"/>
      <c r="K2226" s="18" t="inlineStr"/>
      <c r="L2226" s="18" t="inlineStr">
        <is>
          <t>No</t>
        </is>
      </c>
      <c r="M2226" s="18" t="inlineStr">
        <is>
          <t>No</t>
        </is>
      </c>
      <c r="N2226" s="18" t="inlineStr"/>
      <c r="O2226" s="18" t="inlineStr"/>
      <c r="P2226" s="18" t="inlineStr">
        <is>
          <t>Mapeada en internal-disciplinary-control-service/src/entities/expediente-compartido.entity.ts:79 (ExpedienteCompartido.contadorAccesos)</t>
        </is>
      </c>
      <c r="Q2226" s="18" t="inlineStr">
        <is>
          <t>Propuesta semántica</t>
        </is>
      </c>
      <c r="R2226" s="18" t="inlineStr">
        <is>
          <t>Número de veces que se ha accedido al enlace compartido. Valor por defecto: 0.</t>
        </is>
      </c>
      <c r="S2226" s="18" t="inlineStr">
        <is>
          <t>Alta</t>
        </is>
      </c>
      <c r="T2226" s="18" t="inlineStr">
        <is>
          <t>nombre + tipo + columnas vecinas + defecto</t>
        </is>
      </c>
      <c r="U2226" s="18" t="inlineStr"/>
      <c r="V2226" s="19" t="inlineStr">
        <is>
          <t>Aprobada</t>
        </is>
      </c>
      <c r="W2226" s="19" t="inlineStr"/>
      <c r="X2226" s="19" t="inlineStr">
        <is>
          <t>Aldair González (aprobación en bloque)</t>
        </is>
      </c>
      <c r="Y2226" s="20" t="n">
        <v>46321</v>
      </c>
      <c r="Z2226" s="19" t="inlineStr">
        <is>
          <t>Nivel 1: propuesta del comentario del desarrollador o de confianza alta, o regla de fecha/responsable/motivo.</t>
        </is>
      </c>
      <c r="AA2226" s="18">
        <f>IF(OR(V2226="Aprobada"),R2226,IF(AND(OR(V2226="Aprobada con ajuste",V2226="Rechazada"),W2226&lt;&gt;""),W2226,""))</f>
        <v/>
      </c>
    </row>
    <row r="2227">
      <c r="A2227" s="18" t="inlineStr">
        <is>
          <t>C2226</t>
        </is>
      </c>
      <c r="B2227" s="18" t="inlineStr">
        <is>
          <t>Control disciplinario interno</t>
        </is>
      </c>
      <c r="C2227" s="18" t="inlineStr">
        <is>
          <t>internal_disciplinary_control</t>
        </is>
      </c>
      <c r="D2227" s="18" t="inlineStr">
        <is>
          <t>expediente_compartido</t>
        </is>
      </c>
      <c r="E2227" s="18" t="n">
        <v>95</v>
      </c>
      <c r="F2227" s="18" t="inlineStr">
        <is>
          <t>ultimo_acceso</t>
        </is>
      </c>
      <c r="G2227" s="18" t="inlineStr">
        <is>
          <t>timestamp without time zone</t>
        </is>
      </c>
      <c r="H2227" s="18" t="inlineStr">
        <is>
          <t>Sí</t>
        </is>
      </c>
      <c r="I2227" s="18" t="inlineStr"/>
      <c r="J2227" s="18" t="inlineStr"/>
      <c r="K2227" s="18" t="inlineStr"/>
      <c r="L2227" s="18" t="inlineStr">
        <is>
          <t>No</t>
        </is>
      </c>
      <c r="M2227" s="18" t="inlineStr">
        <is>
          <t>No</t>
        </is>
      </c>
      <c r="N2227" s="18" t="inlineStr"/>
      <c r="O2227" s="18" t="inlineStr"/>
      <c r="P2227" s="18" t="inlineStr">
        <is>
          <t>Mapeada en internal-disciplinary-control-service/src/entities/expediente-compartido.entity.ts:82 (ExpedienteCompartido.ultimoAcceso)</t>
        </is>
      </c>
      <c r="Q2227" s="18" t="inlineStr">
        <is>
          <t>Propuesta semántica</t>
        </is>
      </c>
      <c r="R2227" s="18" t="inlineStr">
        <is>
          <t>Fecha y hora del último acceso al enlace compartido.</t>
        </is>
      </c>
      <c r="S2227" s="18" t="inlineStr">
        <is>
          <t>Alta</t>
        </is>
      </c>
      <c r="T2227" s="18" t="inlineStr">
        <is>
          <t>nombre + tipo + columnas vecinas</t>
        </is>
      </c>
      <c r="U2227" s="18" t="inlineStr"/>
      <c r="V2227" s="19" t="inlineStr">
        <is>
          <t>Aprobada</t>
        </is>
      </c>
      <c r="W2227" s="19" t="inlineStr"/>
      <c r="X2227" s="19" t="inlineStr">
        <is>
          <t>Aldair González (aprobación en bloque)</t>
        </is>
      </c>
      <c r="Y2227" s="20" t="n">
        <v>46321</v>
      </c>
      <c r="Z2227" s="19" t="inlineStr">
        <is>
          <t>Nivel 1: propuesta del comentario del desarrollador o de confianza alta, o regla de fecha/responsable/motivo.</t>
        </is>
      </c>
      <c r="AA2227" s="18">
        <f>IF(OR(V2227="Aprobada"),R2227,IF(AND(OR(V2227="Aprobada con ajuste",V2227="Rechazada"),W2227&lt;&gt;""),W2227,""))</f>
        <v/>
      </c>
    </row>
    <row r="2228">
      <c r="A2228" s="18" t="inlineStr">
        <is>
          <t>C2227</t>
        </is>
      </c>
      <c r="B2228" s="18" t="inlineStr">
        <is>
          <t>Control disciplinario interno</t>
        </is>
      </c>
      <c r="C2228" s="18" t="inlineStr">
        <is>
          <t>internal_disciplinary_control</t>
        </is>
      </c>
      <c r="D2228" s="18" t="inlineStr">
        <is>
          <t>expediente_compartido</t>
        </is>
      </c>
      <c r="E2228" s="18" t="n">
        <v>95</v>
      </c>
      <c r="F2228" s="18" t="inlineStr">
        <is>
          <t>ip_ultimo_acceso</t>
        </is>
      </c>
      <c r="G2228" s="18" t="inlineStr">
        <is>
          <t>character varying(45)</t>
        </is>
      </c>
      <c r="H2228" s="18" t="inlineStr">
        <is>
          <t>Sí</t>
        </is>
      </c>
      <c r="I2228" s="18" t="inlineStr"/>
      <c r="J2228" s="18" t="inlineStr"/>
      <c r="K2228" s="18" t="inlineStr"/>
      <c r="L2228" s="18" t="inlineStr">
        <is>
          <t>No</t>
        </is>
      </c>
      <c r="M2228" s="18" t="inlineStr">
        <is>
          <t>No</t>
        </is>
      </c>
      <c r="N2228" s="18" t="inlineStr"/>
      <c r="O2228" s="18" t="inlineStr"/>
      <c r="P2228" s="18" t="inlineStr">
        <is>
          <t>Mapeada en internal-disciplinary-control-service/src/entities/expediente-compartido.entity.ts:85 (ExpedienteCompartido.ipUltimoAcceso)</t>
        </is>
      </c>
      <c r="Q2228" s="18" t="inlineStr">
        <is>
          <t>Propuesta semántica</t>
        </is>
      </c>
      <c r="R2228" s="18" t="inlineStr">
        <is>
          <t>Dirección IP desde la que se hizo el último acceso al enlace compartido (IPv4 o IPv6).</t>
        </is>
      </c>
      <c r="S2228" s="18" t="inlineStr">
        <is>
          <t>Alta</t>
        </is>
      </c>
      <c r="T2228" s="18" t="inlineStr">
        <is>
          <t>nombre + tipo + columnas vecinas (longitud 45)</t>
        </is>
      </c>
      <c r="U2228" s="18" t="inlineStr"/>
      <c r="V2228" s="19" t="inlineStr">
        <is>
          <t>Aprobada</t>
        </is>
      </c>
      <c r="W2228" s="19" t="inlineStr"/>
      <c r="X2228" s="19" t="inlineStr">
        <is>
          <t>Aldair González (aprobación en bloque)</t>
        </is>
      </c>
      <c r="Y2228" s="20" t="n">
        <v>46321</v>
      </c>
      <c r="Z2228" s="19" t="inlineStr">
        <is>
          <t>Nivel 1: propuesta del comentario del desarrollador o de confianza alta, o regla de fecha/responsable/motivo.</t>
        </is>
      </c>
      <c r="AA2228" s="18">
        <f>IF(OR(V2228="Aprobada"),R2228,IF(AND(OR(V2228="Aprobada con ajuste",V2228="Rechazada"),W2228&lt;&gt;""),W2228,""))</f>
        <v/>
      </c>
    </row>
    <row r="2229">
      <c r="A2229" s="18" t="inlineStr">
        <is>
          <t>C2228</t>
        </is>
      </c>
      <c r="B2229" s="18" t="inlineStr">
        <is>
          <t>Control disciplinario interno</t>
        </is>
      </c>
      <c r="C2229" s="18" t="inlineStr">
        <is>
          <t>internal_disciplinary_control</t>
        </is>
      </c>
      <c r="D2229" s="18" t="inlineStr">
        <is>
          <t>expediente_compartido</t>
        </is>
      </c>
      <c r="E2229" s="18" t="n">
        <v>95</v>
      </c>
      <c r="F2229" s="18" t="inlineStr">
        <is>
          <t>permite_descarga</t>
        </is>
      </c>
      <c r="G2229" s="18" t="inlineStr">
        <is>
          <t>boolean</t>
        </is>
      </c>
      <c r="H2229" s="18" t="inlineStr">
        <is>
          <t>Sí</t>
        </is>
      </c>
      <c r="I2229" s="18" t="inlineStr"/>
      <c r="J2229" s="18" t="inlineStr"/>
      <c r="K2229" s="18" t="inlineStr"/>
      <c r="L2229" s="18" t="inlineStr">
        <is>
          <t>No</t>
        </is>
      </c>
      <c r="M2229" s="18" t="inlineStr">
        <is>
          <t>No</t>
        </is>
      </c>
      <c r="N2229" s="18" t="inlineStr"/>
      <c r="O2229" s="18" t="inlineStr"/>
      <c r="P2229" s="18" t="inlineStr">
        <is>
          <t>Mapeada en internal-disciplinary-control-service/src/entities/expediente-compartido.entity.ts:97 (ExpedienteCompartido.permiteDescarga)</t>
        </is>
      </c>
      <c r="Q2229" s="18" t="inlineStr">
        <is>
          <t>Regla estructural (redacción revisada)</t>
        </is>
      </c>
      <c r="R2229" s="18" t="inlineStr">
        <is>
          <t>Indica si el enlace compartido permite descargar el expediente.</t>
        </is>
      </c>
      <c r="S2229" s="18" t="inlineStr">
        <is>
          <t>Alta</t>
        </is>
      </c>
      <c r="T2229" s="18" t="inlineStr">
        <is>
          <t>Convención de nombre, redactada con el contexto de la tabla y el código.</t>
        </is>
      </c>
      <c r="U2229" s="18" t="inlineStr"/>
      <c r="V2229" s="19" t="inlineStr">
        <is>
          <t>Aprobada</t>
        </is>
      </c>
      <c r="W2229" s="19" t="inlineStr"/>
      <c r="X2229" s="19" t="inlineStr">
        <is>
          <t>Aldair González (aprobación en bloque)</t>
        </is>
      </c>
      <c r="Y2229" s="20" t="n">
        <v>46321</v>
      </c>
      <c r="Z2229" s="19" t="inlineStr">
        <is>
          <t>Nivel 2: regla estructural con redacción revisada.</t>
        </is>
      </c>
      <c r="AA2229" s="18">
        <f>IF(OR(V2229="Aprobada"),R2229,IF(AND(OR(V2229="Aprobada con ajuste",V2229="Rechazada"),W2229&lt;&gt;""),W2229,""))</f>
        <v/>
      </c>
    </row>
    <row r="2230">
      <c r="A2230" s="18" t="inlineStr">
        <is>
          <t>C2229</t>
        </is>
      </c>
      <c r="B2230" s="18" t="inlineStr">
        <is>
          <t>Control disciplinario interno</t>
        </is>
      </c>
      <c r="C2230" s="18" t="inlineStr">
        <is>
          <t>internal_disciplinary_control</t>
        </is>
      </c>
      <c r="D2230" s="18" t="inlineStr">
        <is>
          <t>legal_autos</t>
        </is>
      </c>
      <c r="E2230" s="18" t="n">
        <v>218</v>
      </c>
      <c r="F2230" s="18" t="inlineStr">
        <is>
          <t>contenido</t>
        </is>
      </c>
      <c r="G2230" s="18" t="inlineStr">
        <is>
          <t>text</t>
        </is>
      </c>
      <c r="H2230" s="18" t="inlineStr">
        <is>
          <t>No</t>
        </is>
      </c>
      <c r="I2230" s="18" t="inlineStr"/>
      <c r="J2230" s="18" t="inlineStr"/>
      <c r="K2230" s="18" t="inlineStr"/>
      <c r="L2230" s="18" t="inlineStr">
        <is>
          <t>No</t>
        </is>
      </c>
      <c r="M2230" s="18" t="inlineStr">
        <is>
          <t>No</t>
        </is>
      </c>
      <c r="N2230" s="18" t="inlineStr"/>
      <c r="O2230" s="18" t="inlineStr"/>
      <c r="P2230" s="18" t="inlineStr">
        <is>
          <t>internal-disciplinary-control-service/src/entities/legal-auto.entity.ts:92: HTML/Rich Text</t>
        </is>
      </c>
      <c r="Q2230" s="18" t="inlineStr">
        <is>
          <t>Código fuente</t>
        </is>
      </c>
      <c r="R2230" s="18" t="inlineStr">
        <is>
          <t>Contenido del auto en HTML (texto enriquecido).</t>
        </is>
      </c>
      <c r="S2230" s="18" t="inlineStr">
        <is>
          <t>Alta</t>
        </is>
      </c>
      <c r="T2230" s="18" t="inlineStr">
        <is>
          <t>código: legal-auto.entity.ts:92</t>
        </is>
      </c>
      <c r="U2230" s="18" t="inlineStr"/>
      <c r="V2230" s="19" t="inlineStr">
        <is>
          <t>Aprobada</t>
        </is>
      </c>
      <c r="W2230" s="19" t="inlineStr"/>
      <c r="X2230" s="19" t="inlineStr">
        <is>
          <t>Aldair González (aprobación en bloque)</t>
        </is>
      </c>
      <c r="Y2230" s="20" t="n">
        <v>46321</v>
      </c>
      <c r="Z2230" s="19" t="inlineStr">
        <is>
          <t>Nivel 1: propuesta del comentario del desarrollador o de confianza alta, o regla de fecha/responsable/motivo.</t>
        </is>
      </c>
      <c r="AA2230" s="18">
        <f>IF(OR(V2230="Aprobada"),R2230,IF(AND(OR(V2230="Aprobada con ajuste",V2230="Rechazada"),W2230&lt;&gt;""),W2230,""))</f>
        <v/>
      </c>
    </row>
    <row r="2231">
      <c r="A2231" s="18" t="inlineStr">
        <is>
          <t>C2230</t>
        </is>
      </c>
      <c r="B2231" s="18" t="inlineStr">
        <is>
          <t>Control disciplinario interno</t>
        </is>
      </c>
      <c r="C2231" s="18" t="inlineStr">
        <is>
          <t>internal_disciplinary_control</t>
        </is>
      </c>
      <c r="D2231" s="18" t="inlineStr">
        <is>
          <t>legal_autos</t>
        </is>
      </c>
      <c r="E2231" s="18" t="n">
        <v>218</v>
      </c>
      <c r="F2231" s="18" t="inlineStr">
        <is>
          <t>firmaUrl</t>
        </is>
      </c>
      <c r="G2231" s="18" t="inlineStr">
        <is>
          <t>text</t>
        </is>
      </c>
      <c r="H2231" s="18" t="inlineStr">
        <is>
          <t>Sí</t>
        </is>
      </c>
      <c r="I2231" s="18" t="inlineStr"/>
      <c r="J2231" s="18" t="inlineStr"/>
      <c r="K2231" s="18" t="inlineStr"/>
      <c r="L2231" s="18" t="inlineStr">
        <is>
          <t>No</t>
        </is>
      </c>
      <c r="M2231" s="18" t="inlineStr">
        <is>
          <t>No</t>
        </is>
      </c>
      <c r="N2231" s="18" t="inlineStr"/>
      <c r="O2231" s="18" t="inlineStr"/>
      <c r="P2231" s="18" t="inlineStr">
        <is>
          <t>internal-disciplinary-control-service/src/entities/legal-auto.entity.ts:102: URL del PDF firmado</t>
        </is>
      </c>
      <c r="Q2231" s="18" t="inlineStr">
        <is>
          <t>Código fuente</t>
        </is>
      </c>
      <c r="R2231" s="18" t="inlineStr">
        <is>
          <t>URL del PDF firmado del auto.</t>
        </is>
      </c>
      <c r="S2231" s="18" t="inlineStr">
        <is>
          <t>Alta</t>
        </is>
      </c>
      <c r="T2231" s="18" t="inlineStr">
        <is>
          <t>código: legal-auto.entity.ts:102</t>
        </is>
      </c>
      <c r="U2231" s="18" t="inlineStr"/>
      <c r="V2231" s="19" t="inlineStr">
        <is>
          <t>Aprobada</t>
        </is>
      </c>
      <c r="W2231" s="19" t="inlineStr"/>
      <c r="X2231" s="19" t="inlineStr">
        <is>
          <t>Aldair González (aprobación en bloque)</t>
        </is>
      </c>
      <c r="Y2231" s="20" t="n">
        <v>46321</v>
      </c>
      <c r="Z2231" s="19" t="inlineStr">
        <is>
          <t>Nivel 1: propuesta del comentario del desarrollador o de confianza alta, o regla de fecha/responsable/motivo.</t>
        </is>
      </c>
      <c r="AA2231" s="18">
        <f>IF(OR(V2231="Aprobada"),R2231,IF(AND(OR(V2231="Aprobada con ajuste",V2231="Rechazada"),W2231&lt;&gt;""),W2231,""))</f>
        <v/>
      </c>
    </row>
    <row r="2232">
      <c r="A2232" s="18" t="inlineStr">
        <is>
          <t>C2231</t>
        </is>
      </c>
      <c r="B2232" s="18" t="inlineStr">
        <is>
          <t>Control disciplinario interno</t>
        </is>
      </c>
      <c r="C2232" s="18" t="inlineStr">
        <is>
          <t>internal_disciplinary_control</t>
        </is>
      </c>
      <c r="D2232" s="18" t="inlineStr">
        <is>
          <t>legal_autos</t>
        </is>
      </c>
      <c r="E2232" s="18" t="n">
        <v>218</v>
      </c>
      <c r="F2232" s="18" t="inlineStr">
        <is>
          <t>comentarios</t>
        </is>
      </c>
      <c r="G2232" s="18" t="inlineStr">
        <is>
          <t>text</t>
        </is>
      </c>
      <c r="H2232" s="18" t="inlineStr">
        <is>
          <t>Sí</t>
        </is>
      </c>
      <c r="I2232" s="18" t="inlineStr"/>
      <c r="J2232" s="18" t="inlineStr"/>
      <c r="K2232" s="18" t="inlineStr"/>
      <c r="L2232" s="18" t="inlineStr">
        <is>
          <t>No</t>
        </is>
      </c>
      <c r="M2232" s="18" t="inlineStr">
        <is>
          <t>No</t>
        </is>
      </c>
      <c r="N2232" s="18" t="inlineStr"/>
      <c r="O2232" s="18" t="inlineStr"/>
      <c r="P2232" s="18" t="inlineStr">
        <is>
          <t>Mapeada en internal-disciplinary-control-service/src/entities/legal-auto.entity.ts:132 (LegalAuto.comentarios) | Validación: IsOptional, IsString</t>
        </is>
      </c>
      <c r="Q2232" s="18" t="inlineStr">
        <is>
          <t>Código fuente (verificado)</t>
        </is>
      </c>
      <c r="R2232" s="18" t="inlineStr">
        <is>
          <t>Comentarios del auto: observaciones del jefe al revisarlo (aprobar o devolver), comentarios que se anexan con fecha y hora al cargar una nueva versión del documento durante la revisión, o texto enviado al actualizar el auto.</t>
        </is>
      </c>
      <c r="S2232" s="18" t="inlineStr">
        <is>
          <t>Alta</t>
        </is>
      </c>
      <c r="T2232" s="18" t="inlineStr">
        <is>
          <t>internal-disciplinary-control-service/src/services/auto.service.ts:667: guarda reviewAutoDto.observaciones en la revisión | internal-disciplinary-control-service/src/services/auto.service.ts:931: anexa el comentario con marca de tiempo al cargar documento en borrador, devuelto o revisión | internal-disciplinary-control-service/src/services/auto.service.ts:814: actualización directa</t>
        </is>
      </c>
      <c r="U2232" s="18" t="inlineStr"/>
      <c r="V2232" s="19" t="inlineStr">
        <is>
          <t>Aprobada</t>
        </is>
      </c>
      <c r="W2232" s="19" t="inlineStr"/>
      <c r="X2232" s="19" t="inlineStr">
        <is>
          <t>Aldair González (aprobación en bloque)</t>
        </is>
      </c>
      <c r="Y2232" s="20" t="n">
        <v>46321</v>
      </c>
      <c r="Z2232" s="19" t="inlineStr">
        <is>
          <t>Nivel 3: verificada con el código de la aplicación.</t>
        </is>
      </c>
      <c r="AA2232" s="18">
        <f>IF(OR(V2232="Aprobada"),R2232,IF(AND(OR(V2232="Aprobada con ajuste",V2232="Rechazada"),W2232&lt;&gt;""),W2232,""))</f>
        <v/>
      </c>
    </row>
    <row r="2233">
      <c r="A2233" s="18" t="inlineStr">
        <is>
          <t>C2232</t>
        </is>
      </c>
      <c r="B2233" s="18" t="inlineStr">
        <is>
          <t>Control disciplinario interno</t>
        </is>
      </c>
      <c r="C2233" s="18" t="inlineStr">
        <is>
          <t>internal_disciplinary_control</t>
        </is>
      </c>
      <c r="D2233" s="18" t="inlineStr">
        <is>
          <t>legal_autos</t>
        </is>
      </c>
      <c r="E2233" s="18" t="n">
        <v>218</v>
      </c>
      <c r="F2233" s="18" t="inlineStr">
        <is>
          <t>aprobadoPorId</t>
        </is>
      </c>
      <c r="G2233" s="18" t="inlineStr">
        <is>
          <t>uuid</t>
        </is>
      </c>
      <c r="H2233" s="18" t="inlineStr">
        <is>
          <t>Sí</t>
        </is>
      </c>
      <c r="I2233" s="18" t="inlineStr"/>
      <c r="J2233" s="18" t="inlineStr"/>
      <c r="K2233" s="18" t="inlineStr"/>
      <c r="L2233" s="18" t="inlineStr">
        <is>
          <t>No</t>
        </is>
      </c>
      <c r="M2233" s="18" t="inlineStr">
        <is>
          <t>No</t>
        </is>
      </c>
      <c r="N2233" s="18" t="inlineStr"/>
      <c r="O2233" s="18" t="inlineStr"/>
      <c r="P2233" s="18" t="inlineStr">
        <is>
          <t>internal-disciplinary-control-service/src/entities/legal-auto.entity.ts:153: ID del jefe que aprobó</t>
        </is>
      </c>
      <c r="Q2233" s="18" t="inlineStr">
        <is>
          <t>Código fuente</t>
        </is>
      </c>
      <c r="R2233" s="18" t="inlineStr">
        <is>
          <t>Identificador del jefe que aprobó el auto.</t>
        </is>
      </c>
      <c r="S2233" s="18" t="inlineStr">
        <is>
          <t>Alta</t>
        </is>
      </c>
      <c r="T2233" s="18" t="inlineStr">
        <is>
          <t>código: legal-auto.entity.ts:153</t>
        </is>
      </c>
      <c r="U2233" s="18" t="inlineStr"/>
      <c r="V2233" s="19" t="inlineStr">
        <is>
          <t>Aprobada</t>
        </is>
      </c>
      <c r="W2233" s="19" t="inlineStr"/>
      <c r="X2233" s="19" t="inlineStr">
        <is>
          <t>Aldair González (aprobación en bloque)</t>
        </is>
      </c>
      <c r="Y2233" s="20" t="n">
        <v>46321</v>
      </c>
      <c r="Z2233" s="19" t="inlineStr">
        <is>
          <t>Nivel 1: propuesta del comentario del desarrollador o de confianza alta, o regla de fecha/responsable/motivo.</t>
        </is>
      </c>
      <c r="AA2233" s="18">
        <f>IF(OR(V2233="Aprobada"),R2233,IF(AND(OR(V2233="Aprobada con ajuste",V2233="Rechazada"),W2233&lt;&gt;""),W2233,""))</f>
        <v/>
      </c>
    </row>
    <row r="2234">
      <c r="A2234" s="18" t="inlineStr">
        <is>
          <t>C2233</t>
        </is>
      </c>
      <c r="B2234" s="18" t="inlineStr">
        <is>
          <t>Control disciplinario interno</t>
        </is>
      </c>
      <c r="C2234" s="18" t="inlineStr">
        <is>
          <t>internal_disciplinary_control</t>
        </is>
      </c>
      <c r="D2234" s="18" t="inlineStr">
        <is>
          <t>legal_autos</t>
        </is>
      </c>
      <c r="E2234" s="18" t="n">
        <v>218</v>
      </c>
      <c r="F2234" s="18" t="inlineStr">
        <is>
          <t>notificationDate</t>
        </is>
      </c>
      <c r="G2234" s="18" t="inlineStr">
        <is>
          <t>timestamp with time zone</t>
        </is>
      </c>
      <c r="H2234" s="18" t="inlineStr">
        <is>
          <t>Sí</t>
        </is>
      </c>
      <c r="I2234" s="18" t="inlineStr"/>
      <c r="J2234" s="18" t="inlineStr"/>
      <c r="K2234" s="18" t="inlineStr"/>
      <c r="L2234" s="18" t="inlineStr">
        <is>
          <t>No</t>
        </is>
      </c>
      <c r="M2234" s="18" t="inlineStr">
        <is>
          <t>No</t>
        </is>
      </c>
      <c r="N2234" s="18" t="inlineStr"/>
      <c r="O2234" s="18" t="inlineStr"/>
      <c r="P2234" s="18" t="inlineStr">
        <is>
          <t>Mapeada en internal-disciplinary-control-service/src/entities/legal-auto.entity.ts:117 (LegalAuto.notificationDate) | Validación: IsDateString, IsNotEmpty</t>
        </is>
      </c>
      <c r="Q2234" s="18" t="inlineStr">
        <is>
          <t>Propuesta semántica</t>
        </is>
      </c>
      <c r="R2234" s="18" t="inlineStr">
        <is>
          <t>Fecha de notificación del auto.</t>
        </is>
      </c>
      <c r="S2234" s="18" t="inlineStr">
        <is>
          <t>Alta</t>
        </is>
      </c>
      <c r="T2234" s="18" t="inlineStr">
        <is>
          <t>nombre + tipo + columnas vecinas + validación IsDateString</t>
        </is>
      </c>
      <c r="U2234" s="18" t="inlineStr"/>
      <c r="V2234" s="19" t="inlineStr">
        <is>
          <t>Aprobada</t>
        </is>
      </c>
      <c r="W2234" s="19" t="inlineStr"/>
      <c r="X2234" s="19" t="inlineStr">
        <is>
          <t>Aldair González (aprobación en bloque)</t>
        </is>
      </c>
      <c r="Y2234" s="20" t="n">
        <v>46321</v>
      </c>
      <c r="Z2234" s="19" t="inlineStr">
        <is>
          <t>Nivel 1: propuesta del comentario del desarrollador o de confianza alta, o regla de fecha/responsable/motivo.</t>
        </is>
      </c>
      <c r="AA2234" s="18">
        <f>IF(OR(V2234="Aprobada"),R2234,IF(AND(OR(V2234="Aprobada con ajuste",V2234="Rechazada"),W2234&lt;&gt;""),W2234,""))</f>
        <v/>
      </c>
    </row>
    <row r="2235">
      <c r="A2235" s="18" t="inlineStr">
        <is>
          <t>C2234</t>
        </is>
      </c>
      <c r="B2235" s="18" t="inlineStr">
        <is>
          <t>Control disciplinario interno</t>
        </is>
      </c>
      <c r="C2235" s="18" t="inlineStr">
        <is>
          <t>internal_disciplinary_control</t>
        </is>
      </c>
      <c r="D2235" s="18" t="inlineStr">
        <is>
          <t>legal_autos</t>
        </is>
      </c>
      <c r="E2235" s="18" t="n">
        <v>218</v>
      </c>
      <c r="F2235" s="18" t="inlineStr">
        <is>
          <t>notificationEvidence</t>
        </is>
      </c>
      <c r="G2235" s="18" t="inlineStr">
        <is>
          <t>text</t>
        </is>
      </c>
      <c r="H2235" s="18" t="inlineStr">
        <is>
          <t>Sí</t>
        </is>
      </c>
      <c r="I2235" s="18" t="inlineStr"/>
      <c r="J2235" s="18" t="inlineStr"/>
      <c r="K2235" s="18" t="inlineStr"/>
      <c r="L2235" s="18" t="inlineStr">
        <is>
          <t>No</t>
        </is>
      </c>
      <c r="M2235" s="18" t="inlineStr">
        <is>
          <t>No</t>
        </is>
      </c>
      <c r="N2235" s="18" t="inlineStr"/>
      <c r="O2235" s="18" t="inlineStr"/>
      <c r="P2235" s="18" t="inlineStr">
        <is>
          <t>internal-disciplinary-control-service/src/entities/legal-auto.entity.ts:129: URL del archivo de prueba de notificación | Validación: IsOptional, IsString</t>
        </is>
      </c>
      <c r="Q2235" s="18" t="inlineStr">
        <is>
          <t>Código fuente</t>
        </is>
      </c>
      <c r="R2235" s="18" t="inlineStr">
        <is>
          <t>URL del archivo de prueba de notificación del auto.</t>
        </is>
      </c>
      <c r="S2235" s="18" t="inlineStr">
        <is>
          <t>Alta</t>
        </is>
      </c>
      <c r="T2235" s="18" t="inlineStr">
        <is>
          <t>código: legal-auto.entity.ts:129</t>
        </is>
      </c>
      <c r="U2235" s="18" t="inlineStr"/>
      <c r="V2235" s="19" t="inlineStr">
        <is>
          <t>Aprobada</t>
        </is>
      </c>
      <c r="W2235" s="19" t="inlineStr"/>
      <c r="X2235" s="19" t="inlineStr">
        <is>
          <t>Aldair González (aprobación en bloque)</t>
        </is>
      </c>
      <c r="Y2235" s="20" t="n">
        <v>46321</v>
      </c>
      <c r="Z2235" s="19" t="inlineStr">
        <is>
          <t>Nivel 1: propuesta del comentario del desarrollador o de confianza alta, o regla de fecha/responsable/motivo.</t>
        </is>
      </c>
      <c r="AA2235" s="18">
        <f>IF(OR(V2235="Aprobada"),R2235,IF(AND(OR(V2235="Aprobada con ajuste",V2235="Rechazada"),W2235&lt;&gt;""),W2235,""))</f>
        <v/>
      </c>
    </row>
    <row r="2236">
      <c r="A2236" s="18" t="inlineStr">
        <is>
          <t>C2235</t>
        </is>
      </c>
      <c r="B2236" s="18" t="inlineStr">
        <is>
          <t>Control disciplinario interno</t>
        </is>
      </c>
      <c r="C2236" s="18" t="inlineStr">
        <is>
          <t>internal_disciplinary_control</t>
        </is>
      </c>
      <c r="D2236" s="18" t="inlineStr">
        <is>
          <t>legal_autos</t>
        </is>
      </c>
      <c r="E2236" s="18" t="n">
        <v>218</v>
      </c>
      <c r="F2236" s="18" t="inlineStr">
        <is>
          <t>rejection_comments</t>
        </is>
      </c>
      <c r="G2236" s="18" t="inlineStr">
        <is>
          <t>text</t>
        </is>
      </c>
      <c r="H2236" s="18" t="inlineStr">
        <is>
          <t>Sí</t>
        </is>
      </c>
      <c r="I2236" s="18" t="inlineStr"/>
      <c r="J2236" s="18" t="inlineStr"/>
      <c r="K2236" s="18" t="inlineStr"/>
      <c r="L2236" s="18" t="inlineStr">
        <is>
          <t>No</t>
        </is>
      </c>
      <c r="M2236" s="18" t="inlineStr">
        <is>
          <t>No</t>
        </is>
      </c>
      <c r="N2236" s="18" t="inlineStr"/>
      <c r="O2236" s="18" t="inlineStr"/>
      <c r="P2236" s="18" t="inlineStr">
        <is>
          <t>Mapeada en internal-disciplinary-control-service/src/entities/legal-auto.entity.ts:135 (LegalAuto.rejection_comments)</t>
        </is>
      </c>
      <c r="Q2236" s="18" t="inlineStr">
        <is>
          <t>Propuesta semántica</t>
        </is>
      </c>
      <c r="R2236" s="18" t="inlineStr">
        <is>
          <t>Comentarios del rechazo del auto.</t>
        </is>
      </c>
      <c r="S2236" s="18" t="inlineStr">
        <is>
          <t>Alta</t>
        </is>
      </c>
      <c r="T2236" s="18" t="inlineStr">
        <is>
          <t>nombre + tipo + columnas vecinas</t>
        </is>
      </c>
      <c r="U2236" s="18" t="inlineStr"/>
      <c r="V2236" s="19" t="inlineStr">
        <is>
          <t>Aprobada</t>
        </is>
      </c>
      <c r="W2236" s="19" t="inlineStr"/>
      <c r="X2236" s="19" t="inlineStr">
        <is>
          <t>Aldair González (aprobación en bloque)</t>
        </is>
      </c>
      <c r="Y2236" s="20" t="n">
        <v>46321</v>
      </c>
      <c r="Z2236" s="19" t="inlineStr">
        <is>
          <t>Nivel 1: propuesta del comentario del desarrollador o de confianza alta, o regla de fecha/responsable/motivo.</t>
        </is>
      </c>
      <c r="AA2236" s="18">
        <f>IF(OR(V2236="Aprobada"),R2236,IF(AND(OR(V2236="Aprobada con ajuste",V2236="Rechazada"),W2236&lt;&gt;""),W2236,""))</f>
        <v/>
      </c>
    </row>
    <row r="2237">
      <c r="A2237" s="18" t="inlineStr">
        <is>
          <t>C2236</t>
        </is>
      </c>
      <c r="B2237" s="18" t="inlineStr">
        <is>
          <t>Control disciplinario interno</t>
        </is>
      </c>
      <c r="C2237" s="18" t="inlineStr">
        <is>
          <t>internal_disciplinary_control</t>
        </is>
      </c>
      <c r="D2237" s="18" t="inlineStr">
        <is>
          <t>legal_autos</t>
        </is>
      </c>
      <c r="E2237" s="18" t="n">
        <v>218</v>
      </c>
      <c r="F2237" s="18" t="inlineStr">
        <is>
          <t>currentVersion</t>
        </is>
      </c>
      <c r="G2237" s="18" t="inlineStr">
        <is>
          <t>integer</t>
        </is>
      </c>
      <c r="H2237" s="18" t="inlineStr">
        <is>
          <t>Sí</t>
        </is>
      </c>
      <c r="I2237" s="18" t="inlineStr"/>
      <c r="J2237" s="18" t="inlineStr"/>
      <c r="K2237" s="18" t="inlineStr"/>
      <c r="L2237" s="18" t="inlineStr">
        <is>
          <t>No</t>
        </is>
      </c>
      <c r="M2237" s="18" t="inlineStr">
        <is>
          <t>No</t>
        </is>
      </c>
      <c r="N2237" s="18" t="inlineStr"/>
      <c r="O2237" s="18" t="inlineStr"/>
      <c r="P2237" s="18" t="inlineStr">
        <is>
          <t>Mapeada en internal-disciplinary-control-service/src/entities/legal-auto.entity.ts:168 (LegalAuto.currentVersion)</t>
        </is>
      </c>
      <c r="Q2237" s="18" t="inlineStr">
        <is>
          <t>Propuesta semántica</t>
        </is>
      </c>
      <c r="R2237" s="18" t="inlineStr">
        <is>
          <t>Número de la versión vigente del auto. Valor por defecto: 1.</t>
        </is>
      </c>
      <c r="S2237" s="18" t="inlineStr">
        <is>
          <t>Alta</t>
        </is>
      </c>
      <c r="T2237" s="18" t="inlineStr">
        <is>
          <t>nombre + tipo + columnas vecinas + defecto</t>
        </is>
      </c>
      <c r="U2237" s="18" t="inlineStr"/>
      <c r="V2237" s="19" t="inlineStr">
        <is>
          <t>Aprobada</t>
        </is>
      </c>
      <c r="W2237" s="19" t="inlineStr"/>
      <c r="X2237" s="19" t="inlineStr">
        <is>
          <t>Aldair González (aprobación en bloque)</t>
        </is>
      </c>
      <c r="Y2237" s="20" t="n">
        <v>46321</v>
      </c>
      <c r="Z2237" s="19" t="inlineStr">
        <is>
          <t>Nivel 1: propuesta del comentario del desarrollador o de confianza alta, o regla de fecha/responsable/motivo.</t>
        </is>
      </c>
      <c r="AA2237" s="18">
        <f>IF(OR(V2237="Aprobada"),R2237,IF(AND(OR(V2237="Aprobada con ajuste",V2237="Rechazada"),W2237&lt;&gt;""),W2237,""))</f>
        <v/>
      </c>
    </row>
    <row r="2238">
      <c r="A2238" s="18" t="inlineStr">
        <is>
          <t>C2237</t>
        </is>
      </c>
      <c r="B2238" s="18" t="inlineStr">
        <is>
          <t>Control disciplinario interno</t>
        </is>
      </c>
      <c r="C2238" s="18" t="inlineStr">
        <is>
          <t>internal_disciplinary_control</t>
        </is>
      </c>
      <c r="D2238" s="18" t="inlineStr">
        <is>
          <t>legal_autos</t>
        </is>
      </c>
      <c r="E2238" s="18" t="n">
        <v>218</v>
      </c>
      <c r="F2238" s="18" t="inlineStr">
        <is>
          <t>numero</t>
        </is>
      </c>
      <c r="G2238" s="18" t="inlineStr">
        <is>
          <t>character varying(150)</t>
        </is>
      </c>
      <c r="H2238" s="18" t="inlineStr">
        <is>
          <t>Sí</t>
        </is>
      </c>
      <c r="I2238" s="18" t="inlineStr"/>
      <c r="J2238" s="18" t="inlineStr"/>
      <c r="K2238" s="18" t="inlineStr"/>
      <c r="L2238" s="18" t="inlineStr">
        <is>
          <t>No</t>
        </is>
      </c>
      <c r="M2238" s="18" t="inlineStr">
        <is>
          <t>No</t>
        </is>
      </c>
      <c r="N2238" s="18" t="inlineStr"/>
      <c r="O2238" s="18" t="inlineStr"/>
      <c r="P2238" s="18" t="inlineStr">
        <is>
          <t>Mapeada en internal-disciplinary-control-service/src/entities/legal-auto.entity.ts:89 (LegalAuto.numero) | Validación: IsOptional, IsString</t>
        </is>
      </c>
      <c r="Q2238" s="18" t="inlineStr">
        <is>
          <t>Regla estructural (redacción revisada)</t>
        </is>
      </c>
      <c r="R2238" s="18" t="inlineStr">
        <is>
          <t>Número del auto legal.</t>
        </is>
      </c>
      <c r="S2238" s="18" t="inlineStr">
        <is>
          <t>Alta</t>
        </is>
      </c>
      <c r="T2238" s="18" t="inlineStr">
        <is>
          <t>Convención de nombre, redactada con el contexto de la tabla y el código.</t>
        </is>
      </c>
      <c r="U2238" s="18" t="inlineStr"/>
      <c r="V2238" s="19" t="inlineStr">
        <is>
          <t>Aprobada</t>
        </is>
      </c>
      <c r="W2238" s="19" t="inlineStr"/>
      <c r="X2238" s="19" t="inlineStr">
        <is>
          <t>Aldair González (aprobación en bloque)</t>
        </is>
      </c>
      <c r="Y2238" s="20" t="n">
        <v>46321</v>
      </c>
      <c r="Z2238" s="19" t="inlineStr">
        <is>
          <t>Nivel 2: regla estructural con redacción revisada.</t>
        </is>
      </c>
      <c r="AA2238" s="18">
        <f>IF(OR(V2238="Aprobada"),R2238,IF(AND(OR(V2238="Aprobada con ajuste",V2238="Rechazada"),W2238&lt;&gt;""),W2238,""))</f>
        <v/>
      </c>
    </row>
    <row r="2239">
      <c r="A2239" s="18" t="inlineStr">
        <is>
          <t>C2238</t>
        </is>
      </c>
      <c r="B2239" s="18" t="inlineStr">
        <is>
          <t>Control disciplinario interno</t>
        </is>
      </c>
      <c r="C2239" s="18" t="inlineStr">
        <is>
          <t>internal_disciplinary_control</t>
        </is>
      </c>
      <c r="D2239" s="18" t="inlineStr">
        <is>
          <t>legal_autos</t>
        </is>
      </c>
      <c r="E2239" s="18" t="n">
        <v>218</v>
      </c>
      <c r="F2239" s="18" t="inlineStr">
        <is>
          <t>documentUrl</t>
        </is>
      </c>
      <c r="G2239" s="18" t="inlineStr">
        <is>
          <t>text</t>
        </is>
      </c>
      <c r="H2239" s="18" t="inlineStr">
        <is>
          <t>Sí</t>
        </is>
      </c>
      <c r="I2239" s="18" t="inlineStr"/>
      <c r="J2239" s="18" t="inlineStr"/>
      <c r="K2239" s="18" t="inlineStr"/>
      <c r="L2239" s="18" t="inlineStr">
        <is>
          <t>No</t>
        </is>
      </c>
      <c r="M2239" s="18" t="inlineStr">
        <is>
          <t>No</t>
        </is>
      </c>
      <c r="N2239" s="18" t="inlineStr"/>
      <c r="O2239" s="18" t="inlineStr"/>
      <c r="P2239" s="18" t="inlineStr">
        <is>
          <t>Mapeada en internal-disciplinary-control-service/src/entities/legal-auto.entity.ts:105 (LegalAuto.documentUrl) | Validación: IsOptional, IsString</t>
        </is>
      </c>
      <c r="Q2239" s="18" t="inlineStr">
        <is>
          <t>Código fuente (verificado)</t>
        </is>
      </c>
      <c r="R2239" s="18" t="inlineStr">
        <is>
          <t>Ruta del documento vigente del auto (archivo cargado o PDF convertido, con forma /files/&lt;archivo&gt;). Al firmar el auto, esta ruta se copia a firmaUrl, que conserva el PDF firmado.</t>
        </is>
      </c>
      <c r="S2239" s="18" t="inlineStr">
        <is>
          <t>Alta</t>
        </is>
      </c>
      <c r="T2239" s="18" t="inlineStr">
        <is>
          <t>internal-disciplinary-control-service/src/services/document-conversion.service.ts:121: documentUrl = /files/&lt;pdf&gt; | internal-disciplinary-control-service/src/services/auto.service.ts:742: firmaUrl = documentUrl al firmar | internal-disciplinary-control-service/src/entities/legal-auto.entity.ts:103: firmaUrl es la URL del PDF firmado</t>
        </is>
      </c>
      <c r="U2239" s="18" t="inlineStr"/>
      <c r="V2239" s="19" t="inlineStr">
        <is>
          <t>Aprobada</t>
        </is>
      </c>
      <c r="W2239" s="19" t="inlineStr"/>
      <c r="X2239" s="19" t="inlineStr">
        <is>
          <t>Aldair González (aprobación en bloque)</t>
        </is>
      </c>
      <c r="Y2239" s="20" t="n">
        <v>46321</v>
      </c>
      <c r="Z2239" s="19" t="inlineStr">
        <is>
          <t>Nivel 3: verificada con el código de la aplicación.</t>
        </is>
      </c>
      <c r="AA2239" s="18">
        <f>IF(OR(V2239="Aprobada"),R2239,IF(AND(OR(V2239="Aprobada con ajuste",V2239="Rechazada"),W2239&lt;&gt;""),W2239,""))</f>
        <v/>
      </c>
    </row>
    <row r="2240">
      <c r="A2240" s="18" t="inlineStr">
        <is>
          <t>C2239</t>
        </is>
      </c>
      <c r="B2240" s="18" t="inlineStr">
        <is>
          <t>Control disciplinario interno</t>
        </is>
      </c>
      <c r="C2240" s="18" t="inlineStr">
        <is>
          <t>internal_disciplinary_control</t>
        </is>
      </c>
      <c r="D2240" s="18" t="inlineStr">
        <is>
          <t>legal_autos</t>
        </is>
      </c>
      <c r="E2240" s="18" t="n">
        <v>218</v>
      </c>
      <c r="F2240" s="18" t="inlineStr">
        <is>
          <t>documentName</t>
        </is>
      </c>
      <c r="G2240" s="18" t="inlineStr">
        <is>
          <t>text</t>
        </is>
      </c>
      <c r="H2240" s="18" t="inlineStr">
        <is>
          <t>Sí</t>
        </is>
      </c>
      <c r="I2240" s="18" t="inlineStr"/>
      <c r="J2240" s="18" t="inlineStr"/>
      <c r="K2240" s="18" t="inlineStr"/>
      <c r="L2240" s="18" t="inlineStr">
        <is>
          <t>No</t>
        </is>
      </c>
      <c r="M2240" s="18" t="inlineStr">
        <is>
          <t>No</t>
        </is>
      </c>
      <c r="N2240" s="18" t="inlineStr"/>
      <c r="O2240" s="18" t="inlineStr"/>
      <c r="P2240" s="18" t="inlineStr">
        <is>
          <t>Mapeada en internal-disciplinary-control-service/src/entities/legal-auto.entity.ts:108 (LegalAuto.documentName) | Validación: IsOptional, IsString</t>
        </is>
      </c>
      <c r="Q2240" s="18" t="inlineStr">
        <is>
          <t>Propuesta semántica</t>
        </is>
      </c>
      <c r="R2240" s="18" t="inlineStr">
        <is>
          <t>Nombre del documento del auto.</t>
        </is>
      </c>
      <c r="S2240" s="18" t="inlineStr">
        <is>
          <t>Alta</t>
        </is>
      </c>
      <c r="T2240" s="18" t="inlineStr">
        <is>
          <t>nombre + tipo + columnas vecinas (documentUrl)</t>
        </is>
      </c>
      <c r="U2240" s="18" t="inlineStr"/>
      <c r="V2240" s="19" t="inlineStr">
        <is>
          <t>Aprobada</t>
        </is>
      </c>
      <c r="W2240" s="19" t="inlineStr"/>
      <c r="X2240" s="19" t="inlineStr">
        <is>
          <t>Aldair González (aprobación en bloque)</t>
        </is>
      </c>
      <c r="Y2240" s="20" t="n">
        <v>46321</v>
      </c>
      <c r="Z2240" s="19" t="inlineStr">
        <is>
          <t>Nivel 1: propuesta del comentario del desarrollador o de confianza alta, o regla de fecha/responsable/motivo.</t>
        </is>
      </c>
      <c r="AA2240" s="18">
        <f>IF(OR(V2240="Aprobada"),R2240,IF(AND(OR(V2240="Aprobada con ajuste",V2240="Rechazada"),W2240&lt;&gt;""),W2240,""))</f>
        <v/>
      </c>
    </row>
    <row r="2241">
      <c r="A2241" s="18" t="inlineStr">
        <is>
          <t>C2240</t>
        </is>
      </c>
      <c r="B2241" s="18" t="inlineStr">
        <is>
          <t>Control disciplinario interno</t>
        </is>
      </c>
      <c r="C2241" s="18" t="inlineStr">
        <is>
          <t>internal_disciplinary_control</t>
        </is>
      </c>
      <c r="D2241" s="18" t="inlineStr">
        <is>
          <t>legal_autos</t>
        </is>
      </c>
      <c r="E2241" s="18" t="n">
        <v>218</v>
      </c>
      <c r="F2241" s="18" t="inlineStr">
        <is>
          <t>documentType</t>
        </is>
      </c>
      <c r="G2241" s="18" t="inlineStr">
        <is>
          <t>text</t>
        </is>
      </c>
      <c r="H2241" s="18" t="inlineStr">
        <is>
          <t>Sí</t>
        </is>
      </c>
      <c r="I2241" s="18" t="inlineStr"/>
      <c r="J2241" s="18" t="inlineStr"/>
      <c r="K2241" s="18" t="inlineStr"/>
      <c r="L2241" s="18" t="inlineStr">
        <is>
          <t>No</t>
        </is>
      </c>
      <c r="M2241" s="18" t="inlineStr">
        <is>
          <t>No</t>
        </is>
      </c>
      <c r="N2241" s="18" t="inlineStr"/>
      <c r="O2241" s="18" t="inlineStr"/>
      <c r="P2241" s="18" t="inlineStr">
        <is>
          <t>Mapeada en internal-disciplinary-control-service/src/entities/legal-auto.entity.ts:111 (LegalAuto.documentType) | Validación: IsOptional, IsString</t>
        </is>
      </c>
      <c r="Q2241" s="18" t="inlineStr">
        <is>
          <t>Código fuente (verificado)</t>
        </is>
      </c>
      <c r="R2241" s="18" t="inlineStr">
        <is>
          <t>Tipo MIME del documento del auto (por ejemplo, application/pdf).</t>
        </is>
      </c>
      <c r="S2241" s="18" t="inlineStr">
        <is>
          <t>Alta</t>
        </is>
      </c>
      <c r="T2241" s="18" t="inlineStr">
        <is>
          <t>internal-disciplinary-control-service/src/services/document-conversion.service.ts:123: documentType = application/pdf | internal-disciplinary-control-service/src/controllers/auto.controller.ts:412: toma file.mimetype al cargar</t>
        </is>
      </c>
      <c r="U2241" s="18" t="inlineStr"/>
      <c r="V2241" s="19" t="inlineStr">
        <is>
          <t>Aprobada</t>
        </is>
      </c>
      <c r="W2241" s="19" t="inlineStr"/>
      <c r="X2241" s="19" t="inlineStr">
        <is>
          <t>Aldair González (aprobación en bloque)</t>
        </is>
      </c>
      <c r="Y2241" s="20" t="n">
        <v>46321</v>
      </c>
      <c r="Z2241" s="19" t="inlineStr">
        <is>
          <t>Nivel 3: verificada con el código de la aplicación.</t>
        </is>
      </c>
      <c r="AA2241" s="18">
        <f>IF(OR(V2241="Aprobada"),R2241,IF(AND(OR(V2241="Aprobada con ajuste",V2241="Rechazada"),W2241&lt;&gt;""),W2241,""))</f>
        <v/>
      </c>
    </row>
    <row r="2242">
      <c r="A2242" s="18" t="inlineStr">
        <is>
          <t>C2241</t>
        </is>
      </c>
      <c r="B2242" s="18" t="inlineStr">
        <is>
          <t>Control disciplinario interno</t>
        </is>
      </c>
      <c r="C2242" s="18" t="inlineStr">
        <is>
          <t>internal_disciplinary_control</t>
        </is>
      </c>
      <c r="D2242" s="18" t="inlineStr">
        <is>
          <t>legal_autos</t>
        </is>
      </c>
      <c r="E2242" s="18" t="n">
        <v>218</v>
      </c>
      <c r="F2242" s="18" t="inlineStr">
        <is>
          <t>documentSize</t>
        </is>
      </c>
      <c r="G2242" s="18" t="inlineStr">
        <is>
          <t>integer</t>
        </is>
      </c>
      <c r="H2242" s="18" t="inlineStr">
        <is>
          <t>Sí</t>
        </is>
      </c>
      <c r="I2242" s="18" t="inlineStr"/>
      <c r="J2242" s="18" t="inlineStr"/>
      <c r="K2242" s="18" t="inlineStr"/>
      <c r="L2242" s="18" t="inlineStr">
        <is>
          <t>No</t>
        </is>
      </c>
      <c r="M2242" s="18" t="inlineStr">
        <is>
          <t>No</t>
        </is>
      </c>
      <c r="N2242" s="18" t="inlineStr"/>
      <c r="O2242" s="18" t="inlineStr"/>
      <c r="P2242" s="18" t="inlineStr">
        <is>
          <t>Mapeada en internal-disciplinary-control-service/src/entities/legal-auto.entity.ts:114 (LegalAuto.documentSize) | Validación: IsNumber, IsOptional</t>
        </is>
      </c>
      <c r="Q2242" s="18" t="inlineStr">
        <is>
          <t>Código fuente (verificado)</t>
        </is>
      </c>
      <c r="R2242" s="18" t="inlineStr">
        <is>
          <t>Tamaño del documento del auto, en bytes.</t>
        </is>
      </c>
      <c r="S2242" s="18" t="inlineStr">
        <is>
          <t>Alta</t>
        </is>
      </c>
      <c r="T2242" s="18" t="inlineStr">
        <is>
          <t>internal-disciplinary-control-service/src/services/document-conversion.service.ts:124: documentSize = stats.size | internal-disciplinary-control-service/src/controllers/auto.controller.ts:413: file.size | internal-disciplinary-control-service/src/controllers/auto.controller.ts:112: se usa como sizeBytes</t>
        </is>
      </c>
      <c r="U2242" s="18" t="inlineStr"/>
      <c r="V2242" s="19" t="inlineStr">
        <is>
          <t>Aprobada</t>
        </is>
      </c>
      <c r="W2242" s="19" t="inlineStr"/>
      <c r="X2242" s="19" t="inlineStr">
        <is>
          <t>Aldair González (aprobación en bloque)</t>
        </is>
      </c>
      <c r="Y2242" s="20" t="n">
        <v>46321</v>
      </c>
      <c r="Z2242" s="19" t="inlineStr">
        <is>
          <t>Nivel 3: verificada con el código de la aplicación.</t>
        </is>
      </c>
      <c r="AA2242" s="18">
        <f>IF(OR(V2242="Aprobada"),R2242,IF(AND(OR(V2242="Aprobada con ajuste",V2242="Rechazada"),W2242&lt;&gt;""),W2242,""))</f>
        <v/>
      </c>
    </row>
    <row r="2243">
      <c r="A2243" s="18" t="inlineStr">
        <is>
          <t>C2242</t>
        </is>
      </c>
      <c r="B2243" s="18" t="inlineStr">
        <is>
          <t>Control disciplinario interno</t>
        </is>
      </c>
      <c r="C2243" s="18" t="inlineStr">
        <is>
          <t>internal_disciplinary_control</t>
        </is>
      </c>
      <c r="D2243" s="18" t="inlineStr">
        <is>
          <t>legal_autos</t>
        </is>
      </c>
      <c r="E2243" s="18" t="n">
        <v>218</v>
      </c>
      <c r="F2243" s="18" t="inlineStr">
        <is>
          <t>etapaDestino</t>
        </is>
      </c>
      <c r="G2243" s="18" t="inlineStr">
        <is>
          <t>character varying(50)</t>
        </is>
      </c>
      <c r="H2243" s="18" t="inlineStr">
        <is>
          <t>Sí</t>
        </is>
      </c>
      <c r="I2243" s="18" t="inlineStr"/>
      <c r="J2243" s="18" t="inlineStr"/>
      <c r="K2243" s="18" t="inlineStr"/>
      <c r="L2243" s="18" t="inlineStr">
        <is>
          <t>No</t>
        </is>
      </c>
      <c r="M2243" s="18" t="inlineStr">
        <is>
          <t>No</t>
        </is>
      </c>
      <c r="N2243" s="18" t="inlineStr"/>
      <c r="O2243" s="18" t="inlineStr"/>
      <c r="P2243" s="18" t="inlineStr">
        <is>
          <t>Mapeada en internal-disciplinary-control-service/src/entities/legal-auto.entity.ts:120 (LegalAuto.etapaDestino) | Validación: IsOptional, IsString</t>
        </is>
      </c>
      <c r="Q2243" s="18" t="inlineStr">
        <is>
          <t>Código fuente (verificado)</t>
        </is>
      </c>
      <c r="R2243" s="18" t="inlineStr">
        <is>
          <t>Etapa procesal a la que pasa el proceso al aprobarse el auto. Toma un código de etapa (RECEPCION, VALORACION, INDAGACION_PREVIA, INVESTIGACION, EVALUACION, CARGOS, JUZGAMIENTO, INDAGACION, FALLO, SEGUNDA_INSTANCIA, INHIBITORIO): el informado, el sufijo de un auto AUTO_APERTURA_*, la etapa de la configuración del auto o CARGOS para el pliego de cargos.</t>
        </is>
      </c>
      <c r="S2243" s="18" t="inlineStr">
        <is>
          <t>Alta</t>
        </is>
      </c>
      <c r="T2243" s="18" t="inlineStr">
        <is>
          <t>internal-disciplinary-control-service/src/services/auto.service.ts:137: deriva etapaDestino de AUTO_APERTURA_*, de la configuración o CARGOS | internal-disciplinary-control-service/src/services/auto.service.ts:428: se usa para cambiar la etapa al aprobar | internal-disciplinary-control-service/src/entities/disciplinary-process.entity.ts:17: enum ProcessStage</t>
        </is>
      </c>
      <c r="U2243" s="18" t="inlineStr"/>
      <c r="V2243" s="19" t="inlineStr">
        <is>
          <t>Aprobada</t>
        </is>
      </c>
      <c r="W2243" s="19" t="inlineStr"/>
      <c r="X2243" s="19" t="inlineStr">
        <is>
          <t>Aldair González (aprobación en bloque)</t>
        </is>
      </c>
      <c r="Y2243" s="20" t="n">
        <v>46321</v>
      </c>
      <c r="Z2243" s="19" t="inlineStr">
        <is>
          <t>Nivel 3: verificada con el código de la aplicación.</t>
        </is>
      </c>
      <c r="AA2243" s="18">
        <f>IF(OR(V2243="Aprobada"),R2243,IF(AND(OR(V2243="Aprobada con ajuste",V2243="Rechazada"),W2243&lt;&gt;""),W2243,""))</f>
        <v/>
      </c>
    </row>
    <row r="2244">
      <c r="A2244" s="18" t="inlineStr">
        <is>
          <t>C2243</t>
        </is>
      </c>
      <c r="B2244" s="18" t="inlineStr">
        <is>
          <t>Control disciplinario interno</t>
        </is>
      </c>
      <c r="C2244" s="18" t="inlineStr">
        <is>
          <t>internal_disciplinary_control</t>
        </is>
      </c>
      <c r="D2244" s="18" t="inlineStr">
        <is>
          <t>legal_autos</t>
        </is>
      </c>
      <c r="E2244" s="18" t="n">
        <v>218</v>
      </c>
      <c r="F2244" s="18" t="inlineStr">
        <is>
          <t>prorrogaMeses</t>
        </is>
      </c>
      <c r="G2244" s="18" t="inlineStr">
        <is>
          <t>integer</t>
        </is>
      </c>
      <c r="H2244" s="18" t="inlineStr">
        <is>
          <t>Sí</t>
        </is>
      </c>
      <c r="I2244" s="18" t="inlineStr">
        <is>
          <t>CHECK</t>
        </is>
      </c>
      <c r="J2244" s="18" t="inlineStr"/>
      <c r="K2244" s="18" t="inlineStr"/>
      <c r="L2244" s="18" t="inlineStr">
        <is>
          <t>No</t>
        </is>
      </c>
      <c r="M2244" s="18" t="inlineStr">
        <is>
          <t>No</t>
        </is>
      </c>
      <c r="N2244" s="18" t="inlineStr"/>
      <c r="O2244" s="18" t="inlineStr"/>
      <c r="P2244" s="18" t="inlineStr">
        <is>
          <t>internal-disciplinary-control-service/src/entities/legal-auto.entity.ts:144: 3 o 6 — Solo aplica para AUTO_PRORROGA | Validación: IsIn([3, 6]), IsNumber, IsOptional</t>
        </is>
      </c>
      <c r="Q2244" s="18" t="inlineStr">
        <is>
          <t>Código fuente</t>
        </is>
      </c>
      <c r="R2244" s="18" t="inlineStr">
        <is>
          <t>Meses de prórroga; solo aplica para AUTO_PRORROGA. Valores permitidos: 3, 6.</t>
        </is>
      </c>
      <c r="S2244" s="18" t="inlineStr">
        <is>
          <t>Alta</t>
        </is>
      </c>
      <c r="T2244" s="18" t="inlineStr">
        <is>
          <t>código: legal-auto.entity.ts:144</t>
        </is>
      </c>
      <c r="U2244" s="18" t="inlineStr"/>
      <c r="V2244" s="19" t="inlineStr">
        <is>
          <t>Aprobada</t>
        </is>
      </c>
      <c r="W2244" s="19" t="inlineStr"/>
      <c r="X2244" s="19" t="inlineStr">
        <is>
          <t>Aldair González (aprobación en bloque)</t>
        </is>
      </c>
      <c r="Y2244" s="20" t="n">
        <v>46321</v>
      </c>
      <c r="Z2244" s="19" t="inlineStr">
        <is>
          <t>Nivel 1: propuesta del comentario del desarrollador o de confianza alta, o regla de fecha/responsable/motivo.</t>
        </is>
      </c>
      <c r="AA2244" s="18">
        <f>IF(OR(V2244="Aprobada"),R2244,IF(AND(OR(V2244="Aprobada con ajuste",V2244="Rechazada"),W2244&lt;&gt;""),W2244,""))</f>
        <v/>
      </c>
    </row>
    <row r="2245">
      <c r="A2245" s="18" t="inlineStr">
        <is>
          <t>C2244</t>
        </is>
      </c>
      <c r="B2245" s="18" t="inlineStr">
        <is>
          <t>Control disciplinario interno</t>
        </is>
      </c>
      <c r="C2245" s="18" t="inlineStr">
        <is>
          <t>internal_disciplinary_control</t>
        </is>
      </c>
      <c r="D2245" s="18" t="inlineStr">
        <is>
          <t>legal_autos</t>
        </is>
      </c>
      <c r="E2245" s="18" t="n">
        <v>218</v>
      </c>
      <c r="F2245" s="18" t="inlineStr">
        <is>
          <t>fechaVencimientoAnterior</t>
        </is>
      </c>
      <c r="G2245" s="18" t="inlineStr">
        <is>
          <t>timestamp with time zone</t>
        </is>
      </c>
      <c r="H2245" s="18" t="inlineStr">
        <is>
          <t>Sí</t>
        </is>
      </c>
      <c r="I2245" s="18" t="inlineStr"/>
      <c r="J2245" s="18" t="inlineStr"/>
      <c r="K2245" s="18" t="inlineStr"/>
      <c r="L2245" s="18" t="inlineStr">
        <is>
          <t>No</t>
        </is>
      </c>
      <c r="M2245" s="18" t="inlineStr">
        <is>
          <t>No</t>
        </is>
      </c>
      <c r="N2245" s="18" t="inlineStr"/>
      <c r="O2245" s="18" t="inlineStr"/>
      <c r="P2245" s="18" t="inlineStr">
        <is>
          <t>internal-disciplinary-control-service/src/entities/legal-auto.entity.ts:147: Registro para historial de prórroga</t>
        </is>
      </c>
      <c r="Q2245" s="18" t="inlineStr">
        <is>
          <t>Código fuente</t>
        </is>
      </c>
      <c r="R2245" s="18" t="inlineStr">
        <is>
          <t>Fecha de vencimiento anterior a la prórroga, registrada para el historial de prórrogas.</t>
        </is>
      </c>
      <c r="S2245" s="18" t="inlineStr">
        <is>
          <t>Alta</t>
        </is>
      </c>
      <c r="T2245" s="18" t="inlineStr">
        <is>
          <t>código: legal-auto.entity.ts:147</t>
        </is>
      </c>
      <c r="U2245" s="18" t="inlineStr"/>
      <c r="V2245" s="19" t="inlineStr">
        <is>
          <t>Aprobada</t>
        </is>
      </c>
      <c r="W2245" s="19" t="inlineStr"/>
      <c r="X2245" s="19" t="inlineStr">
        <is>
          <t>Aldair González (aprobación en bloque)</t>
        </is>
      </c>
      <c r="Y2245" s="20" t="n">
        <v>46321</v>
      </c>
      <c r="Z2245" s="19" t="inlineStr">
        <is>
          <t>Nivel 1: propuesta del comentario del desarrollador o de confianza alta, o regla de fecha/responsable/motivo.</t>
        </is>
      </c>
      <c r="AA2245" s="18">
        <f>IF(OR(V2245="Aprobada"),R2245,IF(AND(OR(V2245="Aprobada con ajuste",V2245="Rechazada"),W2245&lt;&gt;""),W2245,""))</f>
        <v/>
      </c>
    </row>
    <row r="2246">
      <c r="A2246" s="18" t="inlineStr">
        <is>
          <t>C2245</t>
        </is>
      </c>
      <c r="B2246" s="18" t="inlineStr">
        <is>
          <t>Control disciplinario interno</t>
        </is>
      </c>
      <c r="C2246" s="18" t="inlineStr">
        <is>
          <t>internal_disciplinary_control</t>
        </is>
      </c>
      <c r="D2246" s="18" t="inlineStr">
        <is>
          <t>legal_autos</t>
        </is>
      </c>
      <c r="E2246" s="18" t="n">
        <v>218</v>
      </c>
      <c r="F2246" s="18" t="inlineStr">
        <is>
          <t>fechaVencimientoNueva</t>
        </is>
      </c>
      <c r="G2246" s="18" t="inlineStr">
        <is>
          <t>timestamp with time zone</t>
        </is>
      </c>
      <c r="H2246" s="18" t="inlineStr">
        <is>
          <t>Sí</t>
        </is>
      </c>
      <c r="I2246" s="18" t="inlineStr"/>
      <c r="J2246" s="18" t="inlineStr"/>
      <c r="K2246" s="18" t="inlineStr"/>
      <c r="L2246" s="18" t="inlineStr">
        <is>
          <t>No</t>
        </is>
      </c>
      <c r="M2246" s="18" t="inlineStr">
        <is>
          <t>No</t>
        </is>
      </c>
      <c r="N2246" s="18" t="inlineStr"/>
      <c r="O2246" s="18" t="inlineStr"/>
      <c r="P2246" s="18" t="inlineStr">
        <is>
          <t>internal-disciplinary-control-service/src/entities/legal-auto.entity.ts:150: Registro para historial de prórroga</t>
        </is>
      </c>
      <c r="Q2246" s="18" t="inlineStr">
        <is>
          <t>Código fuente (verificado)</t>
        </is>
      </c>
      <c r="R2246" s="18" t="inlineStr">
        <is>
          <t>Nueva fecha de vencimiento de la etapa activa tras la prórroga concedida por el auto. Se llena solo al aprobar autos de tipo AUTO_PRORROGA (fecha anterior más prorrogaMeses).</t>
        </is>
      </c>
      <c r="S2246" s="18" t="inlineStr">
        <is>
          <t>Alta</t>
        </is>
      </c>
      <c r="T2246" s="18" t="inlineStr">
        <is>
          <t>internal-disciplinary-control-service/src/services/auto.service.ts:503: solo si tipo = AUTO_PRORROGA y prorrogaMeses | internal-disciplinary-control-service/src/services/auto.service.ts:525: asigna la nueva fecha</t>
        </is>
      </c>
      <c r="U2246" s="18" t="inlineStr"/>
      <c r="V2246" s="19" t="inlineStr">
        <is>
          <t>Aprobada</t>
        </is>
      </c>
      <c r="W2246" s="19" t="inlineStr"/>
      <c r="X2246" s="19" t="inlineStr">
        <is>
          <t>Aldair González (aprobación en bloque)</t>
        </is>
      </c>
      <c r="Y2246" s="20" t="n">
        <v>46321</v>
      </c>
      <c r="Z2246" s="19" t="inlineStr">
        <is>
          <t>Nivel 3: verificada con el código de la aplicación.</t>
        </is>
      </c>
      <c r="AA2246" s="18">
        <f>IF(OR(V2246="Aprobada"),R2246,IF(AND(OR(V2246="Aprobada con ajuste",V2246="Rechazada"),W2246&lt;&gt;""),W2246,""))</f>
        <v/>
      </c>
    </row>
    <row r="2247">
      <c r="A2247" s="18" t="inlineStr">
        <is>
          <t>C2246</t>
        </is>
      </c>
      <c r="B2247" s="18" t="inlineStr">
        <is>
          <t>Control disciplinario interno</t>
        </is>
      </c>
      <c r="C2247" s="18" t="inlineStr">
        <is>
          <t>internal_disciplinary_control</t>
        </is>
      </c>
      <c r="D2247" s="18" t="inlineStr">
        <is>
          <t>legal_autos</t>
        </is>
      </c>
      <c r="E2247" s="18" t="n">
        <v>218</v>
      </c>
      <c r="F2247" s="18" t="inlineStr">
        <is>
          <t>autoConfigurationId</t>
        </is>
      </c>
      <c r="G2247" s="18" t="inlineStr">
        <is>
          <t>uuid</t>
        </is>
      </c>
      <c r="H2247" s="18" t="inlineStr">
        <is>
          <t>Sí</t>
        </is>
      </c>
      <c r="I2247" s="18" t="inlineStr"/>
      <c r="J2247" s="18" t="inlineStr"/>
      <c r="K2247" s="18" t="inlineStr"/>
      <c r="L2247" s="18" t="inlineStr">
        <is>
          <t>No</t>
        </is>
      </c>
      <c r="M2247" s="18" t="inlineStr">
        <is>
          <t>No</t>
        </is>
      </c>
      <c r="N2247" s="18" t="inlineStr"/>
      <c r="O2247" s="18" t="inlineStr">
        <is>
          <t>idx_legal_autos_auto_configuration_id</t>
        </is>
      </c>
      <c r="P2247" s="18" t="inlineStr">
        <is>
          <t>internal-disciplinary-control-service/src/entities/legal-auto.entity.ts:86: Plantilla exacta (autos_configuration.id) usada al crear el auto | Validación: IsOptional, IsString</t>
        </is>
      </c>
      <c r="Q2247" s="18" t="inlineStr">
        <is>
          <t>Código fuente</t>
        </is>
      </c>
      <c r="R2247" s="18" t="inlineStr">
        <is>
          <t>Identificador de la plantilla exacta (autos_configuration.id) usada al crear el auto.</t>
        </is>
      </c>
      <c r="S2247" s="18" t="inlineStr">
        <is>
          <t>Alta</t>
        </is>
      </c>
      <c r="T2247" s="18" t="inlineStr">
        <is>
          <t>código: legal-auto.entity.ts:86</t>
        </is>
      </c>
      <c r="U2247" s="18" t="inlineStr"/>
      <c r="V2247" s="19" t="inlineStr">
        <is>
          <t>Aprobada</t>
        </is>
      </c>
      <c r="W2247" s="19" t="inlineStr"/>
      <c r="X2247" s="19" t="inlineStr">
        <is>
          <t>Aldair González (aprobación en bloque)</t>
        </is>
      </c>
      <c r="Y2247" s="20" t="n">
        <v>46321</v>
      </c>
      <c r="Z2247" s="19" t="inlineStr">
        <is>
          <t>Nivel 1: propuesta del comentario del desarrollador o de confianza alta, o regla de fecha/responsable/motivo.</t>
        </is>
      </c>
      <c r="AA2247" s="18">
        <f>IF(OR(V2247="Aprobada"),R2247,IF(AND(OR(V2247="Aprobada con ajuste",V2247="Rechazada"),W2247&lt;&gt;""),W2247,""))</f>
        <v/>
      </c>
    </row>
    <row r="2248">
      <c r="A2248" s="18" t="inlineStr">
        <is>
          <t>C2247</t>
        </is>
      </c>
      <c r="B2248" s="18" t="inlineStr">
        <is>
          <t>Control disciplinario interno</t>
        </is>
      </c>
      <c r="C2248" s="18" t="inlineStr">
        <is>
          <t>internal_disciplinary_control</t>
        </is>
      </c>
      <c r="D2248" s="18" t="inlineStr">
        <is>
          <t>legal_autos</t>
        </is>
      </c>
      <c r="E2248" s="18" t="n">
        <v>218</v>
      </c>
      <c r="F2248" s="18" t="inlineStr">
        <is>
          <t>etapaPreviaAprobacion</t>
        </is>
      </c>
      <c r="G2248" s="18" t="inlineStr">
        <is>
          <t>character varying(100)</t>
        </is>
      </c>
      <c r="H2248" s="18" t="inlineStr">
        <is>
          <t>Sí</t>
        </is>
      </c>
      <c r="I2248" s="18" t="inlineStr"/>
      <c r="J2248" s="18" t="inlineStr"/>
      <c r="K2248" s="18" t="inlineStr"/>
      <c r="L2248" s="18" t="inlineStr">
        <is>
          <t>No</t>
        </is>
      </c>
      <c r="M2248" s="18" t="inlineStr">
        <is>
          <t>No</t>
        </is>
      </c>
      <c r="N2248" s="18" t="inlineStr"/>
      <c r="O2248" s="18" t="inlineStr"/>
      <c r="P2248" s="18" t="inlineStr">
        <is>
          <t>internal-disciplinary-control-service/src/entities/legal-auto.entity.ts:126: EFDS-1564: etapa en la que estaba el proceso justo antes de aprobar este auto. Solo se guarda si la aprobacion efectivamente cambio la etapa; sirve para que "Reversar aprobacion" devuelva el proceso a esa etapa.</t>
        </is>
      </c>
      <c r="Q2248" s="18" t="inlineStr">
        <is>
          <t>Código fuente</t>
        </is>
      </c>
      <c r="R2248" s="18" t="inlineStr">
        <is>
          <t>Etapa en la que estaba el proceso justo antes de aprobar el auto; solo se guarda si la aprobación cambió la etapa, y permite que «Reversar aprobación» devuelva el proceso a esa etapa (EFDS-1564).</t>
        </is>
      </c>
      <c r="S2248" s="18" t="inlineStr">
        <is>
          <t>Alta</t>
        </is>
      </c>
      <c r="T2248" s="18" t="inlineStr">
        <is>
          <t>código: internal-disciplinary-control-service/src/entities/legal-auto.entity.ts:126</t>
        </is>
      </c>
      <c r="U2248" s="18" t="inlineStr"/>
      <c r="V2248" s="19" t="inlineStr">
        <is>
          <t>Aprobada</t>
        </is>
      </c>
      <c r="W2248" s="19" t="inlineStr"/>
      <c r="X2248" s="19" t="inlineStr">
        <is>
          <t>Aldair González (aprobación en bloque)</t>
        </is>
      </c>
      <c r="Y2248" s="20" t="n">
        <v>46321</v>
      </c>
      <c r="Z2248" s="19" t="inlineStr">
        <is>
          <t>Nivel 1: propuesta del comentario del desarrollador o de confianza alta, o regla de fecha/responsable/motivo.</t>
        </is>
      </c>
      <c r="AA2248" s="18">
        <f>IF(OR(V2248="Aprobada"),R2248,IF(AND(OR(V2248="Aprobada con ajuste",V2248="Rechazada"),W2248&lt;&gt;""),W2248,""))</f>
        <v/>
      </c>
    </row>
    <row r="2249">
      <c r="A2249" s="18" t="inlineStr">
        <is>
          <t>C2248</t>
        </is>
      </c>
      <c r="B2249" s="18" t="inlineStr">
        <is>
          <t>Control disciplinario interno</t>
        </is>
      </c>
      <c r="C2249" s="18" t="inlineStr">
        <is>
          <t>internal_disciplinary_control</t>
        </is>
      </c>
      <c r="D2249" s="18" t="inlineStr">
        <is>
          <t>legal_autos</t>
        </is>
      </c>
      <c r="E2249" s="18" t="n">
        <v>218</v>
      </c>
      <c r="F2249" s="18" t="inlineStr">
        <is>
          <t>rejectionDocumentUrl</t>
        </is>
      </c>
      <c r="G2249" s="18" t="inlineStr">
        <is>
          <t>text</t>
        </is>
      </c>
      <c r="H2249" s="18" t="inlineStr">
        <is>
          <t>Sí</t>
        </is>
      </c>
      <c r="I2249" s="18" t="inlineStr"/>
      <c r="J2249" s="18" t="inlineStr"/>
      <c r="K2249" s="18" t="inlineStr"/>
      <c r="L2249" s="18" t="inlineStr">
        <is>
          <t>No</t>
        </is>
      </c>
      <c r="M2249" s="18" t="inlineStr">
        <is>
          <t>No</t>
        </is>
      </c>
      <c r="N2249" s="18" t="inlineStr"/>
      <c r="O2249" s="18" t="inlineStr"/>
      <c r="P2249" s="18" t="inlineStr">
        <is>
          <t>internal-disciplinary-control-service/src/entities/legal-auto.entity.ts:138: Documento de soporte adjuntado por el Jefe al devolver el auto</t>
        </is>
      </c>
      <c r="Q2249" s="18" t="inlineStr">
        <is>
          <t>Código fuente</t>
        </is>
      </c>
      <c r="R2249" s="18" t="inlineStr">
        <is>
          <t>URL del documento de soporte que adjunta el jefe al devolver el auto.</t>
        </is>
      </c>
      <c r="S2249" s="18" t="inlineStr">
        <is>
          <t>Alta</t>
        </is>
      </c>
      <c r="T2249" s="18" t="inlineStr">
        <is>
          <t>código: legal-auto.entity.ts:138</t>
        </is>
      </c>
      <c r="U2249" s="18" t="inlineStr"/>
      <c r="V2249" s="19" t="inlineStr">
        <is>
          <t>Aprobada</t>
        </is>
      </c>
      <c r="W2249" s="19" t="inlineStr"/>
      <c r="X2249" s="19" t="inlineStr">
        <is>
          <t>Aldair González (aprobación en bloque)</t>
        </is>
      </c>
      <c r="Y2249" s="20" t="n">
        <v>46321</v>
      </c>
      <c r="Z2249" s="19" t="inlineStr">
        <is>
          <t>Nivel 1: propuesta del comentario del desarrollador o de confianza alta, o regla de fecha/responsable/motivo.</t>
        </is>
      </c>
      <c r="AA2249" s="18">
        <f>IF(OR(V2249="Aprobada"),R2249,IF(AND(OR(V2249="Aprobada con ajuste",V2249="Rechazada"),W2249&lt;&gt;""),W2249,""))</f>
        <v/>
      </c>
    </row>
    <row r="2250">
      <c r="A2250" s="18" t="inlineStr">
        <is>
          <t>C2249</t>
        </is>
      </c>
      <c r="B2250" s="18" t="inlineStr">
        <is>
          <t>Control disciplinario interno</t>
        </is>
      </c>
      <c r="C2250" s="18" t="inlineStr">
        <is>
          <t>internal_disciplinary_control</t>
        </is>
      </c>
      <c r="D2250" s="18" t="inlineStr">
        <is>
          <t>legal_autos</t>
        </is>
      </c>
      <c r="E2250" s="18" t="n">
        <v>218</v>
      </c>
      <c r="F2250" s="18" t="inlineStr">
        <is>
          <t>rejectionDocumentName</t>
        </is>
      </c>
      <c r="G2250" s="18" t="inlineStr">
        <is>
          <t>text</t>
        </is>
      </c>
      <c r="H2250" s="18" t="inlineStr">
        <is>
          <t>Sí</t>
        </is>
      </c>
      <c r="I2250" s="18" t="inlineStr"/>
      <c r="J2250" s="18" t="inlineStr"/>
      <c r="K2250" s="18" t="inlineStr"/>
      <c r="L2250" s="18" t="inlineStr">
        <is>
          <t>No</t>
        </is>
      </c>
      <c r="M2250" s="18" t="inlineStr">
        <is>
          <t>No</t>
        </is>
      </c>
      <c r="N2250" s="18" t="inlineStr"/>
      <c r="O2250" s="18" t="inlineStr"/>
      <c r="P2250" s="18" t="inlineStr">
        <is>
          <t>Mapeada en internal-disciplinary-control-service/src/entities/legal-auto.entity.ts:141 (LegalAuto.rejectionDocumentName)</t>
        </is>
      </c>
      <c r="Q2250" s="18" t="inlineStr">
        <is>
          <t>Código fuente (verificado)</t>
        </is>
      </c>
      <c r="R2250" s="18" t="inlineStr">
        <is>
          <t>Nombre original del archivo de soporte que el jefe adjunta al devolver el auto.</t>
        </is>
      </c>
      <c r="S2250" s="18" t="inlineStr">
        <is>
          <t>Alta</t>
        </is>
      </c>
      <c r="T2250" s="18" t="inlineStr">
        <is>
          <t>internal-disciplinary-control-service/src/controllers/auto.controller.ts:465: pasa file.originalname | internal-disciplinary-control-service/src/services/auto.service.ts:958: lo guarda solo si el auto está DEVUELTO</t>
        </is>
      </c>
      <c r="U2250" s="18" t="inlineStr"/>
      <c r="V2250" s="19" t="inlineStr">
        <is>
          <t>Aprobada</t>
        </is>
      </c>
      <c r="W2250" s="19" t="inlineStr"/>
      <c r="X2250" s="19" t="inlineStr">
        <is>
          <t>Aldair González (aprobación en bloque)</t>
        </is>
      </c>
      <c r="Y2250" s="20" t="n">
        <v>46321</v>
      </c>
      <c r="Z2250" s="19" t="inlineStr">
        <is>
          <t>Nivel 3: verificada con el código de la aplicación.</t>
        </is>
      </c>
      <c r="AA2250" s="18">
        <f>IF(OR(V2250="Aprobada"),R2250,IF(AND(OR(V2250="Aprobada con ajuste",V2250="Rechazada"),W2250&lt;&gt;""),W2250,""))</f>
        <v/>
      </c>
    </row>
    <row r="2251">
      <c r="A2251" s="18" t="inlineStr">
        <is>
          <t>C2250</t>
        </is>
      </c>
      <c r="B2251" s="18" t="inlineStr">
        <is>
          <t>Control disciplinario interno</t>
        </is>
      </c>
      <c r="C2251" s="18" t="inlineStr">
        <is>
          <t>internal_disciplinary_control</t>
        </is>
      </c>
      <c r="D2251" s="18" t="inlineStr">
        <is>
          <t>legal_autos</t>
        </is>
      </c>
      <c r="E2251" s="18" t="n">
        <v>218</v>
      </c>
      <c r="F2251" s="18" t="inlineStr">
        <is>
          <t>entidad_destino</t>
        </is>
      </c>
      <c r="G2251" s="18" t="inlineStr">
        <is>
          <t>character varying(255)</t>
        </is>
      </c>
      <c r="H2251" s="18" t="inlineStr">
        <is>
          <t>Sí</t>
        </is>
      </c>
      <c r="I2251" s="18" t="inlineStr"/>
      <c r="J2251" s="18" t="inlineStr"/>
      <c r="K2251" s="18" t="inlineStr"/>
      <c r="L2251" s="18" t="inlineStr">
        <is>
          <t>No</t>
        </is>
      </c>
      <c r="M2251" s="18" t="inlineStr">
        <is>
          <t>No</t>
        </is>
      </c>
      <c r="N2251" s="18" t="inlineStr"/>
      <c r="O2251" s="18" t="inlineStr"/>
      <c r="P2251" s="18" t="inlineStr">
        <is>
          <t>Mapeada en internal-disciplinary-control-service/src/entities/legal-auto.entity.ts:159 (LegalAuto.entidadDestino) | Validación: IsNotEmpty, IsOptional, IsString</t>
        </is>
      </c>
      <c r="Q2251" s="18" t="inlineStr">
        <is>
          <t>Código fuente (verificado)</t>
        </is>
      </c>
      <c r="R2251" s="18" t="inlineStr">
        <is>
          <t>Entidad a la que se remite el expediente por competencia. Se llena en autos AUTO_REMISION_COMPETENCIA o AUTO_REMISION, al crearlos o al aprobarlos.</t>
        </is>
      </c>
      <c r="S2251" s="18" t="inlineStr">
        <is>
          <t>Alta</t>
        </is>
      </c>
      <c r="T2251" s="18" t="inlineStr">
        <is>
          <t>internal-disciplinary-control-service/src/dtos/create-legal-auto.dto.ts:62: campo para AUTO_REMISION_COMPETENCIA | internal-disciplinary-control-service/src/services/auto.service.ts:571: se asigna al aprobar autos de remisión | internal-disciplinary-control-service/src/controllers/process.controller.ts:1772: texto de remisión por falta de competencia</t>
        </is>
      </c>
      <c r="U2251" s="18" t="inlineStr"/>
      <c r="V2251" s="19" t="inlineStr">
        <is>
          <t>Aprobada</t>
        </is>
      </c>
      <c r="W2251" s="19" t="inlineStr"/>
      <c r="X2251" s="19" t="inlineStr">
        <is>
          <t>Aldair González (aprobación en bloque)</t>
        </is>
      </c>
      <c r="Y2251" s="20" t="n">
        <v>46321</v>
      </c>
      <c r="Z2251" s="19" t="inlineStr">
        <is>
          <t>Nivel 3: verificada con el código de la aplicación.</t>
        </is>
      </c>
      <c r="AA2251" s="18">
        <f>IF(OR(V2251="Aprobada"),R2251,IF(AND(OR(V2251="Aprobada con ajuste",V2251="Rechazada"),W2251&lt;&gt;""),W2251,""))</f>
        <v/>
      </c>
    </row>
    <row r="2252">
      <c r="A2252" s="18" t="inlineStr">
        <is>
          <t>C2251</t>
        </is>
      </c>
      <c r="B2252" s="18" t="inlineStr">
        <is>
          <t>Control disciplinario interno</t>
        </is>
      </c>
      <c r="C2252" s="18" t="inlineStr">
        <is>
          <t>internal_disciplinary_control</t>
        </is>
      </c>
      <c r="D2252" s="18" t="inlineStr">
        <is>
          <t>legal_autos</t>
        </is>
      </c>
      <c r="E2252" s="18" t="n">
        <v>218</v>
      </c>
      <c r="F2252" s="18" t="inlineStr">
        <is>
          <t>entidad_destino_email</t>
        </is>
      </c>
      <c r="G2252" s="18" t="inlineStr">
        <is>
          <t>character varying(255)</t>
        </is>
      </c>
      <c r="H2252" s="18" t="inlineStr">
        <is>
          <t>Sí</t>
        </is>
      </c>
      <c r="I2252" s="18" t="inlineStr"/>
      <c r="J2252" s="18" t="inlineStr"/>
      <c r="K2252" s="18" t="inlineStr"/>
      <c r="L2252" s="18" t="inlineStr">
        <is>
          <t>No</t>
        </is>
      </c>
      <c r="M2252" s="18" t="inlineStr">
        <is>
          <t>No</t>
        </is>
      </c>
      <c r="N2252" s="18" t="inlineStr"/>
      <c r="O2252" s="18" t="inlineStr"/>
      <c r="P2252" s="18" t="inlineStr">
        <is>
          <t>Mapeada en internal-disciplinary-control-service/src/entities/legal-auto.entity.ts:162 (LegalAuto.entidadDestinoEmail) | Validación: IsOptional, IsString</t>
        </is>
      </c>
      <c r="Q2252" s="18" t="inlineStr">
        <is>
          <t>Propuesta semántica</t>
        </is>
      </c>
      <c r="R2252" s="18" t="inlineStr">
        <is>
          <t>Correo electrónico de la entidad destino del auto.</t>
        </is>
      </c>
      <c r="S2252" s="18" t="inlineStr">
        <is>
          <t>Alta</t>
        </is>
      </c>
      <c r="T2252" s="18" t="inlineStr">
        <is>
          <t>nombre + tipo + columnas vecinas (entidad_destino)</t>
        </is>
      </c>
      <c r="U2252" s="18" t="inlineStr"/>
      <c r="V2252" s="19" t="inlineStr">
        <is>
          <t>Aprobada</t>
        </is>
      </c>
      <c r="W2252" s="19" t="inlineStr"/>
      <c r="X2252" s="19" t="inlineStr">
        <is>
          <t>Aldair González (aprobación en bloque)</t>
        </is>
      </c>
      <c r="Y2252" s="20" t="n">
        <v>46321</v>
      </c>
      <c r="Z2252" s="19" t="inlineStr">
        <is>
          <t>Nivel 1: propuesta del comentario del desarrollador o de confianza alta, o regla de fecha/responsable/motivo.</t>
        </is>
      </c>
      <c r="AA2252" s="18">
        <f>IF(OR(V2252="Aprobada"),R2252,IF(AND(OR(V2252="Aprobada con ajuste",V2252="Rechazada"),W2252&lt;&gt;""),W2252,""))</f>
        <v/>
      </c>
    </row>
    <row r="2253">
      <c r="A2253" s="18" t="inlineStr">
        <is>
          <t>C2252</t>
        </is>
      </c>
      <c r="B2253" s="18" t="inlineStr">
        <is>
          <t>Control disciplinario interno</t>
        </is>
      </c>
      <c r="C2253" s="18" t="inlineStr">
        <is>
          <t>internal_disciplinary_control</t>
        </is>
      </c>
      <c r="D2253" s="18" t="inlineStr">
        <is>
          <t>oficios_configuration</t>
        </is>
      </c>
      <c r="E2253" s="18" t="n">
        <v>14</v>
      </c>
      <c r="F2253" s="18" t="inlineStr">
        <is>
          <t>tipo</t>
        </is>
      </c>
      <c r="G2253" s="18" t="inlineStr">
        <is>
          <t>character varying(100)</t>
        </is>
      </c>
      <c r="H2253" s="18" t="inlineStr">
        <is>
          <t>No</t>
        </is>
      </c>
      <c r="I2253" s="18" t="inlineStr">
        <is>
          <t>Única</t>
        </is>
      </c>
      <c r="J2253" s="18" t="inlineStr"/>
      <c r="K2253" s="18" t="inlineStr"/>
      <c r="L2253" s="18" t="inlineStr">
        <is>
          <t>No</t>
        </is>
      </c>
      <c r="M2253" s="18" t="inlineStr">
        <is>
          <t>No</t>
        </is>
      </c>
      <c r="N2253" s="18" t="inlineStr"/>
      <c r="O2253" s="18" t="inlineStr">
        <is>
          <t>idx_oficios_configuration_tipo, oficios_configuration_tipo_key</t>
        </is>
      </c>
      <c r="P2253" s="18" t="inlineStr">
        <is>
          <t>Mapeada en internal-disciplinary-control-service/src/entities/oficio-configuration.entity.ts:14 (OficioConfiguration.tipo) | Validación: IsEnum(TipoAlerta), IsEnum(TipoFestivo), IsNotEmpty, IsOptional, IsString, MaxLength(50)</t>
        </is>
      </c>
      <c r="Q2253" s="18" t="inlineStr">
        <is>
          <t>Regla estructural (redacción revisada)</t>
        </is>
      </c>
      <c r="R2253" s="18" t="inlineStr">
        <is>
          <t>Tipo de oficio configurado.</t>
        </is>
      </c>
      <c r="S2253" s="18" t="inlineStr">
        <is>
          <t>Alta</t>
        </is>
      </c>
      <c r="T2253" s="18" t="inlineStr">
        <is>
          <t>Convención de nombre, redactada con el contexto de la tabla y el código.</t>
        </is>
      </c>
      <c r="U2253" s="18" t="inlineStr"/>
      <c r="V2253" s="19" t="inlineStr">
        <is>
          <t>Aprobada</t>
        </is>
      </c>
      <c r="W2253" s="19" t="inlineStr"/>
      <c r="X2253" s="19" t="inlineStr">
        <is>
          <t>Aldair González (aprobación en bloque)</t>
        </is>
      </c>
      <c r="Y2253" s="20" t="n">
        <v>46321</v>
      </c>
      <c r="Z2253" s="19" t="inlineStr">
        <is>
          <t>Nivel 2: regla estructural con redacción revisada.</t>
        </is>
      </c>
      <c r="AA2253" s="18">
        <f>IF(OR(V2253="Aprobada"),R2253,IF(AND(OR(V2253="Aprobada con ajuste",V2253="Rechazada"),W2253&lt;&gt;""),W2253,""))</f>
        <v/>
      </c>
    </row>
    <row r="2254">
      <c r="A2254" s="18" t="inlineStr">
        <is>
          <t>C2253</t>
        </is>
      </c>
      <c r="B2254" s="18" t="inlineStr">
        <is>
          <t>Control disciplinario interno</t>
        </is>
      </c>
      <c r="C2254" s="18" t="inlineStr">
        <is>
          <t>internal_disciplinary_control</t>
        </is>
      </c>
      <c r="D2254" s="18" t="inlineStr">
        <is>
          <t>oficios_configuration</t>
        </is>
      </c>
      <c r="E2254" s="18" t="n">
        <v>14</v>
      </c>
      <c r="F2254" s="18" t="inlineStr">
        <is>
          <t>nombre</t>
        </is>
      </c>
      <c r="G2254" s="18" t="inlineStr">
        <is>
          <t>character varying(200)</t>
        </is>
      </c>
      <c r="H2254" s="18" t="inlineStr">
        <is>
          <t>No</t>
        </is>
      </c>
      <c r="I2254" s="18" t="inlineStr"/>
      <c r="J2254" s="18" t="inlineStr"/>
      <c r="K2254" s="18" t="inlineStr"/>
      <c r="L2254" s="18" t="inlineStr">
        <is>
          <t>No</t>
        </is>
      </c>
      <c r="M2254" s="18" t="inlineStr">
        <is>
          <t>No</t>
        </is>
      </c>
      <c r="N2254" s="18" t="inlineStr"/>
      <c r="O2254" s="18" t="inlineStr"/>
      <c r="P2254" s="18" t="inlineStr">
        <is>
          <t>Mapeada en internal-disciplinary-control-service/src/entities/oficio-configuration.entity.ts:17 (OficioConfiguration.nombre) | Validación: IsNotEmpty, IsOptional, IsString, MaxLength(255)</t>
        </is>
      </c>
      <c r="Q2254" s="18" t="inlineStr">
        <is>
          <t>Regla estructural (redacción revisada)</t>
        </is>
      </c>
      <c r="R2254" s="18" t="inlineStr">
        <is>
          <t>Nombre del oficio configurado.</t>
        </is>
      </c>
      <c r="S2254" s="18" t="inlineStr">
        <is>
          <t>Alta</t>
        </is>
      </c>
      <c r="T2254" s="18" t="inlineStr">
        <is>
          <t>Convención de nombre, redactada con el contexto de la tabla y el código.</t>
        </is>
      </c>
      <c r="U2254" s="18" t="inlineStr"/>
      <c r="V2254" s="19" t="inlineStr">
        <is>
          <t>Aprobada</t>
        </is>
      </c>
      <c r="W2254" s="19" t="inlineStr"/>
      <c r="X2254" s="19" t="inlineStr">
        <is>
          <t>Aldair González (aprobación en bloque)</t>
        </is>
      </c>
      <c r="Y2254" s="20" t="n">
        <v>46321</v>
      </c>
      <c r="Z2254" s="19" t="inlineStr">
        <is>
          <t>Nivel 2: regla estructural con redacción revisada.</t>
        </is>
      </c>
      <c r="AA2254" s="18">
        <f>IF(OR(V2254="Aprobada"),R2254,IF(AND(OR(V2254="Aprobada con ajuste",V2254="Rechazada"),W2254&lt;&gt;""),W2254,""))</f>
        <v/>
      </c>
    </row>
    <row r="2255">
      <c r="A2255" s="18" t="inlineStr">
        <is>
          <t>C2254</t>
        </is>
      </c>
      <c r="B2255" s="18" t="inlineStr">
        <is>
          <t>Control disciplinario interno</t>
        </is>
      </c>
      <c r="C2255" s="18" t="inlineStr">
        <is>
          <t>internal_disciplinary_control</t>
        </is>
      </c>
      <c r="D2255" s="18" t="inlineStr">
        <is>
          <t>oficios_configuration</t>
        </is>
      </c>
      <c r="E2255" s="18" t="n">
        <v>14</v>
      </c>
      <c r="F2255" s="18" t="inlineStr">
        <is>
          <t>codigo</t>
        </is>
      </c>
      <c r="G2255" s="18" t="inlineStr">
        <is>
          <t>character varying(50)</t>
        </is>
      </c>
      <c r="H2255" s="18" t="inlineStr">
        <is>
          <t>Sí</t>
        </is>
      </c>
      <c r="I2255" s="18" t="inlineStr"/>
      <c r="J2255" s="18" t="inlineStr"/>
      <c r="K2255" s="18" t="inlineStr"/>
      <c r="L2255" s="18" t="inlineStr">
        <is>
          <t>No</t>
        </is>
      </c>
      <c r="M2255" s="18" t="inlineStr">
        <is>
          <t>No</t>
        </is>
      </c>
      <c r="N2255" s="18" t="inlineStr"/>
      <c r="O2255" s="18" t="inlineStr"/>
      <c r="P2255" s="18" t="inlineStr">
        <is>
          <t>Mapeada en internal-disciplinary-control-service/src/entities/oficio-configuration.entity.ts:23 (OficioConfiguration.codigo) | Validación: IsNotEmpty, IsOptional, IsString, MaxLength(100), MaxLength(50)</t>
        </is>
      </c>
      <c r="Q2255" s="18" t="inlineStr">
        <is>
          <t>Regla estructural (redacción revisada)</t>
        </is>
      </c>
      <c r="R2255" s="18" t="inlineStr">
        <is>
          <t>Código del oficio configurado.</t>
        </is>
      </c>
      <c r="S2255" s="18" t="inlineStr">
        <is>
          <t>Alta</t>
        </is>
      </c>
      <c r="T2255" s="18" t="inlineStr">
        <is>
          <t>Convención de nombre, redactada con el contexto de la tabla y el código.</t>
        </is>
      </c>
      <c r="U2255" s="18" t="inlineStr"/>
      <c r="V2255" s="19" t="inlineStr">
        <is>
          <t>Aprobada</t>
        </is>
      </c>
      <c r="W2255" s="19" t="inlineStr"/>
      <c r="X2255" s="19" t="inlineStr">
        <is>
          <t>Aldair González (aprobación en bloque)</t>
        </is>
      </c>
      <c r="Y2255" s="20" t="n">
        <v>46321</v>
      </c>
      <c r="Z2255" s="19" t="inlineStr">
        <is>
          <t>Nivel 2: regla estructural con redacción revisada.</t>
        </is>
      </c>
      <c r="AA2255" s="18">
        <f>IF(OR(V2255="Aprobada"),R2255,IF(AND(OR(V2255="Aprobada con ajuste",V2255="Rechazada"),W2255&lt;&gt;""),W2255,""))</f>
        <v/>
      </c>
    </row>
    <row r="2256">
      <c r="A2256" s="18" t="inlineStr">
        <is>
          <t>C2255</t>
        </is>
      </c>
      <c r="B2256" s="18" t="inlineStr">
        <is>
          <t>Control disciplinario interno</t>
        </is>
      </c>
      <c r="C2256" s="18" t="inlineStr">
        <is>
          <t>internal_disciplinary_control</t>
        </is>
      </c>
      <c r="D2256" s="18" t="inlineStr">
        <is>
          <t>oficios_configuration</t>
        </is>
      </c>
      <c r="E2256" s="18" t="n">
        <v>14</v>
      </c>
      <c r="F2256" s="18" t="inlineStr">
        <is>
          <t>descripcion</t>
        </is>
      </c>
      <c r="G2256" s="18" t="inlineStr">
        <is>
          <t>text</t>
        </is>
      </c>
      <c r="H2256" s="18" t="inlineStr">
        <is>
          <t>Sí</t>
        </is>
      </c>
      <c r="I2256" s="18" t="inlineStr"/>
      <c r="J2256" s="18" t="inlineStr"/>
      <c r="K2256" s="18" t="inlineStr"/>
      <c r="L2256" s="18" t="inlineStr">
        <is>
          <t>No</t>
        </is>
      </c>
      <c r="M2256" s="18" t="inlineStr">
        <is>
          <t>No</t>
        </is>
      </c>
      <c r="N2256" s="18" t="inlineStr"/>
      <c r="O2256" s="18" t="inlineStr"/>
      <c r="P2256" s="18" t="inlineStr">
        <is>
          <t>Mapeada en internal-disciplinary-control-service/src/entities/oficio-configuration.entity.ts:26 (OficioConfiguration.descripcion) | Validación: IsNotEmpty, IsObject, IsOptional, IsString</t>
        </is>
      </c>
      <c r="Q2256" s="18" t="inlineStr">
        <is>
          <t>Regla estructural (redacción revisada)</t>
        </is>
      </c>
      <c r="R2256" s="18" t="inlineStr">
        <is>
          <t>Descripción del oficio configurado.</t>
        </is>
      </c>
      <c r="S2256" s="18" t="inlineStr">
        <is>
          <t>Alta</t>
        </is>
      </c>
      <c r="T2256" s="18" t="inlineStr">
        <is>
          <t>Convención de nombre, redactada con el contexto de la tabla y el código.</t>
        </is>
      </c>
      <c r="U2256" s="18" t="inlineStr"/>
      <c r="V2256" s="19" t="inlineStr">
        <is>
          <t>Aprobada</t>
        </is>
      </c>
      <c r="W2256" s="19" t="inlineStr"/>
      <c r="X2256" s="19" t="inlineStr">
        <is>
          <t>Aldair González (aprobación en bloque)</t>
        </is>
      </c>
      <c r="Y2256" s="20" t="n">
        <v>46321</v>
      </c>
      <c r="Z2256" s="19" t="inlineStr">
        <is>
          <t>Nivel 2: regla estructural con redacción revisada.</t>
        </is>
      </c>
      <c r="AA2256" s="18">
        <f>IF(OR(V2256="Aprobada"),R2256,IF(AND(OR(V2256="Aprobada con ajuste",V2256="Rechazada"),W2256&lt;&gt;""),W2256,""))</f>
        <v/>
      </c>
    </row>
    <row r="2257">
      <c r="A2257" s="18" t="inlineStr">
        <is>
          <t>C2256</t>
        </is>
      </c>
      <c r="B2257" s="18" t="inlineStr">
        <is>
          <t>Control disciplinario interno</t>
        </is>
      </c>
      <c r="C2257" s="18" t="inlineStr">
        <is>
          <t>internal_disciplinary_control</t>
        </is>
      </c>
      <c r="D2257" s="18" t="inlineStr">
        <is>
          <t>oficios_configuration</t>
        </is>
      </c>
      <c r="E2257" s="18" t="n">
        <v>14</v>
      </c>
      <c r="F2257" s="18" t="inlineStr">
        <is>
          <t>estado</t>
        </is>
      </c>
      <c r="G2257" s="18" t="inlineStr">
        <is>
          <t>character varying(50)</t>
        </is>
      </c>
      <c r="H2257" s="18" t="inlineStr">
        <is>
          <t>No</t>
        </is>
      </c>
      <c r="I2257" s="18" t="inlineStr"/>
      <c r="J2257" s="18" t="inlineStr"/>
      <c r="K2257" s="18" t="inlineStr"/>
      <c r="L2257" s="18" t="inlineStr">
        <is>
          <t>No</t>
        </is>
      </c>
      <c r="M2257" s="18" t="inlineStr">
        <is>
          <t>No</t>
        </is>
      </c>
      <c r="N2257" s="18" t="inlineStr"/>
      <c r="O2257" s="18" t="inlineStr">
        <is>
          <t>idx_oficios_configuration_estado</t>
        </is>
      </c>
      <c r="P2257" s="18" t="inlineStr">
        <is>
          <t>Mapeada en internal-disciplinary-control-service/src/entities/oficio-configuration.entity.ts:20 (OficioConfiguration.estado) | Validación: IsBoolean, IsEnum(AutoStatus), IsEnum(EstadoAlerta), IsEnum(TerminoEstado), IsIn(['activo', 'inactivo']), IsOptional</t>
        </is>
      </c>
      <c r="Q2257" s="18" t="inlineStr">
        <is>
          <t>Regla estructural (redacción revisada)</t>
        </is>
      </c>
      <c r="R2257" s="18" t="inlineStr">
        <is>
          <t>Estado de la configuración del oficio.</t>
        </is>
      </c>
      <c r="S2257" s="18" t="inlineStr">
        <is>
          <t>Alta</t>
        </is>
      </c>
      <c r="T2257" s="18" t="inlineStr">
        <is>
          <t>Convención de nombre, redactada con el contexto de la tabla y el código.</t>
        </is>
      </c>
      <c r="U2257" s="18" t="inlineStr"/>
      <c r="V2257" s="19" t="inlineStr">
        <is>
          <t>Aprobada</t>
        </is>
      </c>
      <c r="W2257" s="19" t="inlineStr"/>
      <c r="X2257" s="19" t="inlineStr">
        <is>
          <t>Aldair González (aprobación en bloque)</t>
        </is>
      </c>
      <c r="Y2257" s="20" t="n">
        <v>46321</v>
      </c>
      <c r="Z2257" s="19" t="inlineStr">
        <is>
          <t>Nivel 2: regla estructural con redacción revisada.</t>
        </is>
      </c>
      <c r="AA2257" s="18">
        <f>IF(OR(V2257="Aprobada"),R2257,IF(AND(OR(V2257="Aprobada con ajuste",V2257="Rechazada"),W2257&lt;&gt;""),W2257,""))</f>
        <v/>
      </c>
    </row>
    <row r="2258">
      <c r="A2258" s="18" t="inlineStr">
        <is>
          <t>C2257</t>
        </is>
      </c>
      <c r="B2258" s="18" t="inlineStr">
        <is>
          <t>Control disciplinario interno</t>
        </is>
      </c>
      <c r="C2258" s="18" t="inlineStr">
        <is>
          <t>internal_disciplinary_control</t>
        </is>
      </c>
      <c r="D2258" s="18" t="inlineStr">
        <is>
          <t>oficios_configuration</t>
        </is>
      </c>
      <c r="E2258" s="18" t="n">
        <v>14</v>
      </c>
      <c r="F2258" s="18" t="inlineStr">
        <is>
          <t>plantilla</t>
        </is>
      </c>
      <c r="G2258" s="18" t="inlineStr">
        <is>
          <t>text</t>
        </is>
      </c>
      <c r="H2258" s="18" t="inlineStr">
        <is>
          <t>Sí</t>
        </is>
      </c>
      <c r="I2258" s="18" t="inlineStr"/>
      <c r="J2258" s="18" t="inlineStr"/>
      <c r="K2258" s="18" t="inlineStr"/>
      <c r="L2258" s="18" t="inlineStr">
        <is>
          <t>No</t>
        </is>
      </c>
      <c r="M2258" s="18" t="inlineStr">
        <is>
          <t>No</t>
        </is>
      </c>
      <c r="N2258" s="18" t="inlineStr"/>
      <c r="O2258" s="18" t="inlineStr"/>
      <c r="P2258" s="18" t="inlineStr">
        <is>
          <t>Mapeada en internal-disciplinary-control-service/src/entities/oficio-configuration.entity.ts:29 (OficioConfiguration.plantilla) | Validación: IsOptional, IsString</t>
        </is>
      </c>
      <c r="Q2258" s="18" t="inlineStr">
        <is>
          <t>Código fuente (verificado)</t>
        </is>
      </c>
      <c r="R2258" s="18" t="inlineStr">
        <is>
          <t>Plantilla del oficio: ruta del archivo Word cargado (/uploads/plantillas-oficios/...); la API también admite base64 o enlace. No se guarda como HTML.</t>
        </is>
      </c>
      <c r="S2258" s="18" t="inlineStr">
        <is>
          <t>Alta</t>
        </is>
      </c>
      <c r="T2258" s="18" t="inlineStr">
        <is>
          <t>internal-disciplinary-control-service/src/controllers/oficio-configuration.controller.ts:200: fileUrl = /uploads/plantillas-oficios/&lt;archivo&gt; | internal-disciplinary-control-service/src/services/oficio-configuration.service.ts:185: plantilla = plantillaUrl | internal-disciplinary-control-service/src/dtos/oficio-configuration.dto.ts:29: Plantilla en formato base64 o link</t>
        </is>
      </c>
      <c r="U2258" s="18" t="inlineStr"/>
      <c r="V2258" s="19" t="inlineStr">
        <is>
          <t>Aprobada</t>
        </is>
      </c>
      <c r="W2258" s="19" t="inlineStr"/>
      <c r="X2258" s="19" t="inlineStr">
        <is>
          <t>Aldair González (aprobación en bloque)</t>
        </is>
      </c>
      <c r="Y2258" s="20" t="n">
        <v>46321</v>
      </c>
      <c r="Z2258" s="19" t="inlineStr">
        <is>
          <t>Nivel 3: verificada con el código de la aplicación.</t>
        </is>
      </c>
      <c r="AA2258" s="18">
        <f>IF(OR(V2258="Aprobada"),R2258,IF(AND(OR(V2258="Aprobada con ajuste",V2258="Rechazada"),W2258&lt;&gt;""),W2258,""))</f>
        <v/>
      </c>
    </row>
    <row r="2259">
      <c r="A2259" s="18" t="inlineStr">
        <is>
          <t>C2258</t>
        </is>
      </c>
      <c r="B2259" s="18" t="inlineStr">
        <is>
          <t>Control disciplinario interno</t>
        </is>
      </c>
      <c r="C2259" s="18" t="inlineStr">
        <is>
          <t>internal_disciplinary_control</t>
        </is>
      </c>
      <c r="D2259" s="18" t="inlineStr">
        <is>
          <t>oficios_configuration</t>
        </is>
      </c>
      <c r="E2259" s="18" t="n">
        <v>14</v>
      </c>
      <c r="F2259" s="18" t="inlineStr">
        <is>
          <t>nombre_plantilla</t>
        </is>
      </c>
      <c r="G2259" s="18" t="inlineStr">
        <is>
          <t>character varying(255)</t>
        </is>
      </c>
      <c r="H2259" s="18" t="inlineStr">
        <is>
          <t>Sí</t>
        </is>
      </c>
      <c r="I2259" s="18" t="inlineStr"/>
      <c r="J2259" s="18" t="inlineStr"/>
      <c r="K2259" s="18" t="inlineStr"/>
      <c r="L2259" s="18" t="inlineStr">
        <is>
          <t>No</t>
        </is>
      </c>
      <c r="M2259" s="18" t="inlineStr">
        <is>
          <t>No</t>
        </is>
      </c>
      <c r="N2259" s="18" t="inlineStr"/>
      <c r="O2259" s="18" t="inlineStr"/>
      <c r="P2259" s="18" t="inlineStr">
        <is>
          <t>internal-disciplinary-control-service/src/entities/oficio-configuration.entity.ts:33: Nuevos campos para información de la plantilla | Validación: IsOptional, IsString</t>
        </is>
      </c>
      <c r="Q2259" s="18" t="inlineStr">
        <is>
          <t>Código fuente</t>
        </is>
      </c>
      <c r="R2259" s="18" t="inlineStr">
        <is>
          <t>Nombre de la plantilla asociada a la configuración del oficio.</t>
        </is>
      </c>
      <c r="S2259" s="18" t="inlineStr">
        <is>
          <t>Alta</t>
        </is>
      </c>
      <c r="T2259" s="18" t="inlineStr">
        <is>
          <t>código: internal-disciplinary-control-service/src/entities/oficio-configuration.entity.ts:33</t>
        </is>
      </c>
      <c r="U2259" s="18" t="inlineStr"/>
      <c r="V2259" s="19" t="inlineStr">
        <is>
          <t>Aprobada</t>
        </is>
      </c>
      <c r="W2259" s="19" t="inlineStr"/>
      <c r="X2259" s="19" t="inlineStr">
        <is>
          <t>Aldair González (aprobación en bloque)</t>
        </is>
      </c>
      <c r="Y2259" s="20" t="n">
        <v>46321</v>
      </c>
      <c r="Z2259" s="19" t="inlineStr">
        <is>
          <t>Nivel 1: propuesta del comentario del desarrollador o de confianza alta, o regla de fecha/responsable/motivo.</t>
        </is>
      </c>
      <c r="AA2259" s="18">
        <f>IF(OR(V2259="Aprobada"),R2259,IF(AND(OR(V2259="Aprobada con ajuste",V2259="Rechazada"),W2259&lt;&gt;""),W2259,""))</f>
        <v/>
      </c>
    </row>
    <row r="2260">
      <c r="A2260" s="18" t="inlineStr">
        <is>
          <t>C2259</t>
        </is>
      </c>
      <c r="B2260" s="18" t="inlineStr">
        <is>
          <t>Control disciplinario interno</t>
        </is>
      </c>
      <c r="C2260" s="18" t="inlineStr">
        <is>
          <t>internal_disciplinary_control</t>
        </is>
      </c>
      <c r="D2260" s="18" t="inlineStr">
        <is>
          <t>oficios_configuration</t>
        </is>
      </c>
      <c r="E2260" s="18" t="n">
        <v>14</v>
      </c>
      <c r="F2260" s="18" t="inlineStr">
        <is>
          <t>descripcion_plantilla</t>
        </is>
      </c>
      <c r="G2260" s="18" t="inlineStr">
        <is>
          <t>text</t>
        </is>
      </c>
      <c r="H2260" s="18" t="inlineStr">
        <is>
          <t>Sí</t>
        </is>
      </c>
      <c r="I2260" s="18" t="inlineStr"/>
      <c r="J2260" s="18" t="inlineStr"/>
      <c r="K2260" s="18" t="inlineStr"/>
      <c r="L2260" s="18" t="inlineStr">
        <is>
          <t>No</t>
        </is>
      </c>
      <c r="M2260" s="18" t="inlineStr">
        <is>
          <t>No</t>
        </is>
      </c>
      <c r="N2260" s="18" t="inlineStr"/>
      <c r="O2260" s="18" t="inlineStr"/>
      <c r="P2260" s="18" t="inlineStr">
        <is>
          <t>Mapeada en internal-disciplinary-control-service/src/entities/oficio-configuration.entity.ts:36 (OficioConfiguration.descripcion_plantilla) | Validación: IsOptional, IsString</t>
        </is>
      </c>
      <c r="Q2260" s="18" t="inlineStr">
        <is>
          <t>Propuesta semántica</t>
        </is>
      </c>
      <c r="R2260" s="18" t="inlineStr">
        <is>
          <t>Descripción de la plantilla del oficio.</t>
        </is>
      </c>
      <c r="S2260" s="18" t="inlineStr">
        <is>
          <t>Alta</t>
        </is>
      </c>
      <c r="T2260" s="18" t="inlineStr">
        <is>
          <t>nombre + tipo + columnas vecinas</t>
        </is>
      </c>
      <c r="U2260" s="18" t="inlineStr"/>
      <c r="V2260" s="19" t="inlineStr">
        <is>
          <t>Aprobada</t>
        </is>
      </c>
      <c r="W2260" s="19" t="inlineStr"/>
      <c r="X2260" s="19" t="inlineStr">
        <is>
          <t>Aldair González (aprobación en bloque)</t>
        </is>
      </c>
      <c r="Y2260" s="20" t="n">
        <v>46321</v>
      </c>
      <c r="Z2260" s="19" t="inlineStr">
        <is>
          <t>Nivel 1: propuesta del comentario del desarrollador o de confianza alta, o regla de fecha/responsable/motivo.</t>
        </is>
      </c>
      <c r="AA2260" s="18">
        <f>IF(OR(V2260="Aprobada"),R2260,IF(AND(OR(V2260="Aprobada con ajuste",V2260="Rechazada"),W2260&lt;&gt;""),W2260,""))</f>
        <v/>
      </c>
    </row>
    <row r="2261">
      <c r="A2261" s="18" t="inlineStr">
        <is>
          <t>C2260</t>
        </is>
      </c>
      <c r="B2261" s="18" t="inlineStr">
        <is>
          <t>Control disciplinario interno</t>
        </is>
      </c>
      <c r="C2261" s="18" t="inlineStr">
        <is>
          <t>internal_disciplinary_control</t>
        </is>
      </c>
      <c r="D2261" s="18" t="inlineStr">
        <is>
          <t>oficios_configuration</t>
        </is>
      </c>
      <c r="E2261" s="18" t="n">
        <v>14</v>
      </c>
      <c r="F2261" s="18" t="inlineStr">
        <is>
          <t>version_plantilla</t>
        </is>
      </c>
      <c r="G2261" s="18" t="inlineStr">
        <is>
          <t>character varying(50)</t>
        </is>
      </c>
      <c r="H2261" s="18" t="inlineStr">
        <is>
          <t>Sí</t>
        </is>
      </c>
      <c r="I2261" s="18" t="inlineStr"/>
      <c r="J2261" s="18" t="inlineStr"/>
      <c r="K2261" s="18" t="inlineStr"/>
      <c r="L2261" s="18" t="inlineStr">
        <is>
          <t>No</t>
        </is>
      </c>
      <c r="M2261" s="18" t="inlineStr">
        <is>
          <t>No</t>
        </is>
      </c>
      <c r="N2261" s="18" t="inlineStr"/>
      <c r="O2261" s="18" t="inlineStr"/>
      <c r="P2261" s="18" t="inlineStr">
        <is>
          <t>Mapeada en internal-disciplinary-control-service/src/entities/oficio-configuration.entity.ts:39 (OficioConfiguration.version_plantilla) | Validación: IsOptional, IsString</t>
        </is>
      </c>
      <c r="Q2261" s="18" t="inlineStr">
        <is>
          <t>Propuesta semántica</t>
        </is>
      </c>
      <c r="R2261" s="18" t="inlineStr">
        <is>
          <t>Versión de la plantilla del oficio. Valor por defecto: 1.0.</t>
        </is>
      </c>
      <c r="S2261" s="18" t="inlineStr">
        <is>
          <t>Alta</t>
        </is>
      </c>
      <c r="T2261" s="18" t="inlineStr">
        <is>
          <t>nombre + tipo + columnas vecinas + defecto</t>
        </is>
      </c>
      <c r="U2261" s="18" t="inlineStr"/>
      <c r="V2261" s="19" t="inlineStr">
        <is>
          <t>Aprobada</t>
        </is>
      </c>
      <c r="W2261" s="19" t="inlineStr"/>
      <c r="X2261" s="19" t="inlineStr">
        <is>
          <t>Aldair González (aprobación en bloque)</t>
        </is>
      </c>
      <c r="Y2261" s="20" t="n">
        <v>46321</v>
      </c>
      <c r="Z2261" s="19" t="inlineStr">
        <is>
          <t>Nivel 1: propuesta del comentario del desarrollador o de confianza alta, o regla de fecha/responsable/motivo.</t>
        </is>
      </c>
      <c r="AA2261" s="18">
        <f>IF(OR(V2261="Aprobada"),R2261,IF(AND(OR(V2261="Aprobada con ajuste",V2261="Rechazada"),W2261&lt;&gt;""),W2261,""))</f>
        <v/>
      </c>
    </row>
    <row r="2262">
      <c r="A2262" s="18" t="inlineStr">
        <is>
          <t>C2261</t>
        </is>
      </c>
      <c r="B2262" s="18" t="inlineStr">
        <is>
          <t>Control disciplinario interno</t>
        </is>
      </c>
      <c r="C2262" s="18" t="inlineStr">
        <is>
          <t>internal_disciplinary_control</t>
        </is>
      </c>
      <c r="D2262" s="18" t="inlineStr">
        <is>
          <t>oficios_configuration</t>
        </is>
      </c>
      <c r="E2262" s="18" t="n">
        <v>14</v>
      </c>
      <c r="F2262" s="18" t="inlineStr">
        <is>
          <t>estado_plantilla</t>
        </is>
      </c>
      <c r="G2262" s="18" t="inlineStr">
        <is>
          <t>character varying(50)</t>
        </is>
      </c>
      <c r="H2262" s="18" t="inlineStr">
        <is>
          <t>Sí</t>
        </is>
      </c>
      <c r="I2262" s="18" t="inlineStr"/>
      <c r="J2262" s="18" t="inlineStr"/>
      <c r="K2262" s="18" t="inlineStr"/>
      <c r="L2262" s="18" t="inlineStr">
        <is>
          <t>No</t>
        </is>
      </c>
      <c r="M2262" s="18" t="inlineStr">
        <is>
          <t>No</t>
        </is>
      </c>
      <c r="N2262" s="18" t="inlineStr"/>
      <c r="O2262" s="18" t="inlineStr"/>
      <c r="P2262" s="18" t="inlineStr">
        <is>
          <t>Mapeada en internal-disciplinary-control-service/src/entities/oficio-configuration.entity.ts:42 (OficioConfiguration.estado_plantilla) | Validación: IsIn(['activo', 'inactivo']), IsOptional, IsString</t>
        </is>
      </c>
      <c r="Q2262" s="18" t="inlineStr">
        <is>
          <t>Propuesta semántica</t>
        </is>
      </c>
      <c r="R2262" s="18" t="inlineStr">
        <is>
          <t>Estado de la plantilla del oficio. Valores permitidos: activo, inactivo. Valor por defecto: activo.</t>
        </is>
      </c>
      <c r="S2262" s="18" t="inlineStr">
        <is>
          <t>Alta</t>
        </is>
      </c>
      <c r="T2262" s="18" t="inlineStr">
        <is>
          <t>validación IsIn + defecto</t>
        </is>
      </c>
      <c r="U2262" s="18" t="inlineStr"/>
      <c r="V2262" s="19" t="inlineStr">
        <is>
          <t>Aprobada</t>
        </is>
      </c>
      <c r="W2262" s="19" t="inlineStr"/>
      <c r="X2262" s="19" t="inlineStr">
        <is>
          <t>Aldair González (aprobación en bloque)</t>
        </is>
      </c>
      <c r="Y2262" s="20" t="n">
        <v>46321</v>
      </c>
      <c r="Z2262" s="19" t="inlineStr">
        <is>
          <t>Nivel 1: propuesta del comentario del desarrollador o de confianza alta, o regla de fecha/responsable/motivo.</t>
        </is>
      </c>
      <c r="AA2262" s="18">
        <f>IF(OR(V2262="Aprobada"),R2262,IF(AND(OR(V2262="Aprobada con ajuste",V2262="Rechazada"),W2262&lt;&gt;""),W2262,""))</f>
        <v/>
      </c>
    </row>
    <row r="2263">
      <c r="A2263" s="18" t="inlineStr">
        <is>
          <t>C2262</t>
        </is>
      </c>
      <c r="B2263" s="18" t="inlineStr">
        <is>
          <t>Control disciplinario interno</t>
        </is>
      </c>
      <c r="C2263" s="18" t="inlineStr">
        <is>
          <t>internal_disciplinary_control</t>
        </is>
      </c>
      <c r="D2263" s="18" t="inlineStr">
        <is>
          <t>oficios_configuration</t>
        </is>
      </c>
      <c r="E2263" s="18" t="n">
        <v>14</v>
      </c>
      <c r="F2263" s="18" t="inlineStr">
        <is>
          <t>stage</t>
        </is>
      </c>
      <c r="G2263" s="18" t="inlineStr">
        <is>
          <t>character varying(50)</t>
        </is>
      </c>
      <c r="H2263" s="18" t="inlineStr">
        <is>
          <t>Sí</t>
        </is>
      </c>
      <c r="I2263" s="18" t="inlineStr"/>
      <c r="J2263" s="18" t="inlineStr"/>
      <c r="K2263" s="18" t="inlineStr"/>
      <c r="L2263" s="18" t="inlineStr">
        <is>
          <t>No</t>
        </is>
      </c>
      <c r="M2263" s="18" t="inlineStr">
        <is>
          <t>No</t>
        </is>
      </c>
      <c r="N2263" s="18" t="inlineStr"/>
      <c r="O2263" s="18" t="inlineStr"/>
      <c r="P2263" s="18" t="inlineStr">
        <is>
          <t>internal-disciplinary-control-service/src/entities/oficio-configuration.entity.ts:46: Campo para la etapa del proceso asociada | Validación: IsOptional, IsString</t>
        </is>
      </c>
      <c r="Q2263" s="18" t="inlineStr">
        <is>
          <t>Código fuente</t>
        </is>
      </c>
      <c r="R2263" s="18" t="inlineStr">
        <is>
          <t>Etapa del proceso disciplinario asociada al oficio.</t>
        </is>
      </c>
      <c r="S2263" s="18" t="inlineStr">
        <is>
          <t>Alta</t>
        </is>
      </c>
      <c r="T2263" s="18" t="inlineStr">
        <is>
          <t>código: internal-disciplinary-control-service/src/entities/oficio-configuration.entity.ts:46</t>
        </is>
      </c>
      <c r="U2263" s="18" t="inlineStr"/>
      <c r="V2263" s="19" t="inlineStr">
        <is>
          <t>Aprobada</t>
        </is>
      </c>
      <c r="W2263" s="19" t="inlineStr"/>
      <c r="X2263" s="19" t="inlineStr">
        <is>
          <t>Aldair González (aprobación en bloque)</t>
        </is>
      </c>
      <c r="Y2263" s="20" t="n">
        <v>46321</v>
      </c>
      <c r="Z2263" s="19" t="inlineStr">
        <is>
          <t>Nivel 1: propuesta del comentario del desarrollador o de confianza alta, o regla de fecha/responsable/motivo.</t>
        </is>
      </c>
      <c r="AA2263" s="18">
        <f>IF(OR(V2263="Aprobada"),R2263,IF(AND(OR(V2263="Aprobada con ajuste",V2263="Rechazada"),W2263&lt;&gt;""),W2263,""))</f>
        <v/>
      </c>
    </row>
    <row r="2264">
      <c r="A2264" s="18" t="inlineStr">
        <is>
          <t>C2263</t>
        </is>
      </c>
      <c r="B2264" s="18" t="inlineStr">
        <is>
          <t>Control disciplinario interno</t>
        </is>
      </c>
      <c r="C2264" s="18" t="inlineStr">
        <is>
          <t>internal_disciplinary_control</t>
        </is>
      </c>
      <c r="D2264" s="18" t="inlineStr">
        <is>
          <t>oficios_configuration</t>
        </is>
      </c>
      <c r="E2264" s="18" t="n">
        <v>14</v>
      </c>
      <c r="F2264" s="18" t="inlineStr">
        <is>
          <t>orden</t>
        </is>
      </c>
      <c r="G2264" s="18" t="inlineStr">
        <is>
          <t>integer</t>
        </is>
      </c>
      <c r="H2264" s="18" t="inlineStr">
        <is>
          <t>Sí</t>
        </is>
      </c>
      <c r="I2264" s="18" t="inlineStr"/>
      <c r="J2264" s="18" t="inlineStr"/>
      <c r="K2264" s="18" t="inlineStr"/>
      <c r="L2264" s="18" t="inlineStr">
        <is>
          <t>No</t>
        </is>
      </c>
      <c r="M2264" s="18" t="inlineStr">
        <is>
          <t>No</t>
        </is>
      </c>
      <c r="N2264" s="18" t="inlineStr"/>
      <c r="O2264" s="18" t="inlineStr">
        <is>
          <t>idx_oficios_configuration_orden</t>
        </is>
      </c>
      <c r="P2264" s="18" t="inlineStr">
        <is>
          <t>Mapeada en internal-disciplinary-control-service/src/entities/oficio-configuration.entity.ts:49 (OficioConfiguration.orden) | Validación: IsInt, IsNumber, IsOptional, Max(9999), Min(0)</t>
        </is>
      </c>
      <c r="Q2264" s="18" t="inlineStr">
        <is>
          <t>Regla estructural (redacción revisada)</t>
        </is>
      </c>
      <c r="R2264" s="18" t="inlineStr">
        <is>
          <t>Posición del oficio en el listado.</t>
        </is>
      </c>
      <c r="S2264" s="18" t="inlineStr">
        <is>
          <t>Alta</t>
        </is>
      </c>
      <c r="T2264" s="18" t="inlineStr">
        <is>
          <t>Convención de nombre, redactada con el contexto de la tabla y el código.</t>
        </is>
      </c>
      <c r="U2264" s="18" t="inlineStr"/>
      <c r="V2264" s="19" t="inlineStr">
        <is>
          <t>Aprobada</t>
        </is>
      </c>
      <c r="W2264" s="19" t="inlineStr"/>
      <c r="X2264" s="19" t="inlineStr">
        <is>
          <t>Aldair González (aprobación en bloque)</t>
        </is>
      </c>
      <c r="Y2264" s="20" t="n">
        <v>46321</v>
      </c>
      <c r="Z2264" s="19" t="inlineStr">
        <is>
          <t>Nivel 2: regla estructural con redacción revisada.</t>
        </is>
      </c>
      <c r="AA2264" s="18">
        <f>IF(OR(V2264="Aprobada"),R2264,IF(AND(OR(V2264="Aprobada con ajuste",V2264="Rechazada"),W2264&lt;&gt;""),W2264,""))</f>
        <v/>
      </c>
    </row>
    <row r="2265">
      <c r="A2265" s="18" t="inlineStr">
        <is>
          <t>C2264</t>
        </is>
      </c>
      <c r="B2265" s="18" t="inlineStr">
        <is>
          <t>Control disciplinario interno</t>
        </is>
      </c>
      <c r="C2265" s="18" t="inlineStr">
        <is>
          <t>internal_disciplinary_control</t>
        </is>
      </c>
      <c r="D2265" s="18" t="inlineStr">
        <is>
          <t>plantilla_auto</t>
        </is>
      </c>
      <c r="E2265" s="18" t="n">
        <v>1</v>
      </c>
      <c r="F2265" s="18" t="inlineStr">
        <is>
          <t>htmlContent</t>
        </is>
      </c>
      <c r="G2265" s="18" t="inlineStr">
        <is>
          <t>text</t>
        </is>
      </c>
      <c r="H2265" s="18" t="inlineStr">
        <is>
          <t>No</t>
        </is>
      </c>
      <c r="I2265" s="18" t="inlineStr"/>
      <c r="J2265" s="18" t="inlineStr"/>
      <c r="K2265" s="18" t="inlineStr"/>
      <c r="L2265" s="18" t="inlineStr">
        <is>
          <t>No</t>
        </is>
      </c>
      <c r="M2265" s="18" t="inlineStr">
        <is>
          <t>No</t>
        </is>
      </c>
      <c r="N2265" s="18" t="inlineStr"/>
      <c r="O2265" s="18" t="inlineStr"/>
      <c r="P2265" s="18" t="inlineStr">
        <is>
          <t>Mapeada en internal-disciplinary-control-service/src/entities/plantilla-auto.entity.ts:8 (PlantillaAuto.htmlContent)</t>
        </is>
      </c>
      <c r="Q2265" s="18" t="inlineStr">
        <is>
          <t>Propuesta semántica</t>
        </is>
      </c>
      <c r="R2265" s="18" t="inlineStr">
        <is>
          <t>Contenido HTML de la plantilla de auto.</t>
        </is>
      </c>
      <c r="S2265" s="18" t="inlineStr">
        <is>
          <t>Alta</t>
        </is>
      </c>
      <c r="T2265" s="18" t="inlineStr">
        <is>
          <t>nombre + tipo + columnas vecinas</t>
        </is>
      </c>
      <c r="U2265" s="18" t="inlineStr"/>
      <c r="V2265" s="19" t="inlineStr">
        <is>
          <t>Aprobada</t>
        </is>
      </c>
      <c r="W2265" s="19" t="inlineStr"/>
      <c r="X2265" s="19" t="inlineStr">
        <is>
          <t>Aldair González (aprobación en bloque)</t>
        </is>
      </c>
      <c r="Y2265" s="20" t="n">
        <v>46321</v>
      </c>
      <c r="Z2265" s="19" t="inlineStr">
        <is>
          <t>Nivel 1: propuesta del comentario del desarrollador o de confianza alta, o regla de fecha/responsable/motivo.</t>
        </is>
      </c>
      <c r="AA2265" s="18">
        <f>IF(OR(V2265="Aprobada"),R2265,IF(AND(OR(V2265="Aprobada con ajuste",V2265="Rechazada"),W2265&lt;&gt;""),W2265,""))</f>
        <v/>
      </c>
    </row>
    <row r="2266">
      <c r="A2266" s="18" t="inlineStr">
        <is>
          <t>C2265</t>
        </is>
      </c>
      <c r="B2266" s="18" t="inlineStr">
        <is>
          <t>Control disciplinario interno</t>
        </is>
      </c>
      <c r="C2266" s="18" t="inlineStr">
        <is>
          <t>internal_disciplinary_control</t>
        </is>
      </c>
      <c r="D2266" s="18" t="inlineStr">
        <is>
          <t>plantilla_auto</t>
        </is>
      </c>
      <c r="E2266" s="18" t="n">
        <v>1</v>
      </c>
      <c r="F2266" s="18" t="inlineStr">
        <is>
          <t>estado</t>
        </is>
      </c>
      <c r="G2266" s="18" t="inlineStr">
        <is>
          <t>character varying(50)</t>
        </is>
      </c>
      <c r="H2266" s="18" t="inlineStr">
        <is>
          <t>No</t>
        </is>
      </c>
      <c r="I2266" s="18" t="inlineStr">
        <is>
          <t>CHECK</t>
        </is>
      </c>
      <c r="J2266" s="18" t="inlineStr">
        <is>
          <t>activo, inactivo</t>
        </is>
      </c>
      <c r="K2266" s="18" t="inlineStr"/>
      <c r="L2266" s="18" t="inlineStr">
        <is>
          <t>Sí</t>
        </is>
      </c>
      <c r="M2266" s="18" t="inlineStr">
        <is>
          <t>No</t>
        </is>
      </c>
      <c r="N2266" s="18" t="inlineStr"/>
      <c r="O2266" s="18" t="inlineStr">
        <is>
          <t>idx_plantilla_auto_estado</t>
        </is>
      </c>
      <c r="P2266" s="18" t="inlineStr">
        <is>
          <t>internal-disciplinary-control-service/src/entities/plantilla-auto.entity.ts:11: 'activo', 'inactivo' | Validación: IsBoolean, IsEnum(AutoStatus), IsEnum(EstadoAlerta), IsEnum(TerminoEstado), IsIn(['activo', 'inactivo']), IsOptional</t>
        </is>
      </c>
      <c r="Q2266" s="18" t="inlineStr">
        <is>
          <t>Código fuente</t>
        </is>
      </c>
      <c r="R2266" s="18" t="inlineStr">
        <is>
          <t>Estado de la plantilla de auto. Valores permitidos: activo, inactivo. Por defecto, activo.</t>
        </is>
      </c>
      <c r="S2266" s="18" t="inlineStr">
        <is>
          <t>Alta</t>
        </is>
      </c>
      <c r="T2266" s="18" t="inlineStr">
        <is>
          <t>código: plantilla-auto.entity.ts:11 + valores permitidos del CHECK</t>
        </is>
      </c>
      <c r="U2266" s="18" t="inlineStr"/>
      <c r="V2266" s="19" t="inlineStr">
        <is>
          <t>Aprobada</t>
        </is>
      </c>
      <c r="W2266" s="19" t="inlineStr"/>
      <c r="X2266" s="19" t="inlineStr">
        <is>
          <t>Aldair González (aprobación en bloque)</t>
        </is>
      </c>
      <c r="Y2266" s="20" t="n">
        <v>46321</v>
      </c>
      <c r="Z2266" s="19" t="inlineStr">
        <is>
          <t>Nivel 1: propuesta del comentario del desarrollador o de confianza alta, o regla de fecha/responsable/motivo.</t>
        </is>
      </c>
      <c r="AA2266" s="18">
        <f>IF(OR(V2266="Aprobada"),R2266,IF(AND(OR(V2266="Aprobada con ajuste",V2266="Rechazada"),W2266&lt;&gt;""),W2266,""))</f>
        <v/>
      </c>
    </row>
    <row r="2267">
      <c r="A2267" s="18" t="inlineStr">
        <is>
          <t>C2266</t>
        </is>
      </c>
      <c r="B2267" s="18" t="inlineStr">
        <is>
          <t>Control disciplinario interno</t>
        </is>
      </c>
      <c r="C2267" s="18" t="inlineStr">
        <is>
          <t>internal_disciplinary_control</t>
        </is>
      </c>
      <c r="D2267" s="18" t="inlineStr">
        <is>
          <t>plantilla_auto</t>
        </is>
      </c>
      <c r="E2267" s="18" t="n">
        <v>1</v>
      </c>
      <c r="F2267" s="18" t="inlineStr">
        <is>
          <t>nombre</t>
        </is>
      </c>
      <c r="G2267" s="18" t="inlineStr">
        <is>
          <t>character varying(100)</t>
        </is>
      </c>
      <c r="H2267" s="18" t="inlineStr">
        <is>
          <t>Sí</t>
        </is>
      </c>
      <c r="I2267" s="18" t="inlineStr"/>
      <c r="J2267" s="18" t="inlineStr"/>
      <c r="K2267" s="18" t="inlineStr"/>
      <c r="L2267" s="18" t="inlineStr">
        <is>
          <t>No</t>
        </is>
      </c>
      <c r="M2267" s="18" t="inlineStr">
        <is>
          <t>No</t>
        </is>
      </c>
      <c r="N2267" s="18" t="inlineStr"/>
      <c r="O2267" s="18" t="inlineStr"/>
      <c r="P2267" s="18" t="inlineStr">
        <is>
          <t>Mapeada en internal-disciplinary-control-service/src/entities/plantilla-auto.entity.ts:14 (PlantillaAuto.nombre) | Validación: IsNotEmpty, IsOptional, IsString, MaxLength(255)</t>
        </is>
      </c>
      <c r="Q2267" s="18" t="inlineStr">
        <is>
          <t>Regla estructural (redacción revisada)</t>
        </is>
      </c>
      <c r="R2267" s="18" t="inlineStr">
        <is>
          <t>Nombre de la plantilla de auto.</t>
        </is>
      </c>
      <c r="S2267" s="18" t="inlineStr">
        <is>
          <t>Alta</t>
        </is>
      </c>
      <c r="T2267" s="18" t="inlineStr">
        <is>
          <t>Convención de nombre, redactada con el contexto de la tabla y el código.</t>
        </is>
      </c>
      <c r="U2267" s="18" t="inlineStr"/>
      <c r="V2267" s="19" t="inlineStr">
        <is>
          <t>Aprobada</t>
        </is>
      </c>
      <c r="W2267" s="19" t="inlineStr"/>
      <c r="X2267" s="19" t="inlineStr">
        <is>
          <t>Aldair González (aprobación en bloque)</t>
        </is>
      </c>
      <c r="Y2267" s="20" t="n">
        <v>46321</v>
      </c>
      <c r="Z2267" s="19" t="inlineStr">
        <is>
          <t>Nivel 2: regla estructural con redacción revisada.</t>
        </is>
      </c>
      <c r="AA2267" s="18">
        <f>IF(OR(V2267="Aprobada"),R2267,IF(AND(OR(V2267="Aprobada con ajuste",V2267="Rechazada"),W2267&lt;&gt;""),W2267,""))</f>
        <v/>
      </c>
    </row>
    <row r="2268">
      <c r="A2268" s="18" t="inlineStr">
        <is>
          <t>C2267</t>
        </is>
      </c>
      <c r="B2268" s="18" t="inlineStr">
        <is>
          <t>Control disciplinario interno</t>
        </is>
      </c>
      <c r="C2268" s="18" t="inlineStr">
        <is>
          <t>internal_disciplinary_control</t>
        </is>
      </c>
      <c r="D2268" s="18" t="inlineStr">
        <is>
          <t>plantilla_auto</t>
        </is>
      </c>
      <c r="E2268" s="18" t="n">
        <v>1</v>
      </c>
      <c r="F2268" s="18" t="inlineStr">
        <is>
          <t>descripcion</t>
        </is>
      </c>
      <c r="G2268" s="18" t="inlineStr">
        <is>
          <t>text</t>
        </is>
      </c>
      <c r="H2268" s="18" t="inlineStr">
        <is>
          <t>Sí</t>
        </is>
      </c>
      <c r="I2268" s="18" t="inlineStr"/>
      <c r="J2268" s="18" t="inlineStr"/>
      <c r="K2268" s="18" t="inlineStr"/>
      <c r="L2268" s="18" t="inlineStr">
        <is>
          <t>No</t>
        </is>
      </c>
      <c r="M2268" s="18" t="inlineStr">
        <is>
          <t>No</t>
        </is>
      </c>
      <c r="N2268" s="18" t="inlineStr"/>
      <c r="O2268" s="18" t="inlineStr"/>
      <c r="P2268" s="18" t="inlineStr">
        <is>
          <t>Mapeada en internal-disciplinary-control-service/src/entities/plantilla-auto.entity.ts:17 (PlantillaAuto.descripcion) | Validación: IsNotEmpty, IsObject, IsOptional, IsString</t>
        </is>
      </c>
      <c r="Q2268" s="18" t="inlineStr">
        <is>
          <t>Regla estructural (redacción revisada)</t>
        </is>
      </c>
      <c r="R2268" s="18" t="inlineStr">
        <is>
          <t>Descripción de la plantilla de auto.</t>
        </is>
      </c>
      <c r="S2268" s="18" t="inlineStr">
        <is>
          <t>Alta</t>
        </is>
      </c>
      <c r="T2268" s="18" t="inlineStr">
        <is>
          <t>Convención de nombre, redactada con el contexto de la tabla y el código.</t>
        </is>
      </c>
      <c r="U2268" s="18" t="inlineStr"/>
      <c r="V2268" s="19" t="inlineStr">
        <is>
          <t>Aprobada</t>
        </is>
      </c>
      <c r="W2268" s="19" t="inlineStr"/>
      <c r="X2268" s="19" t="inlineStr">
        <is>
          <t>Aldair González (aprobación en bloque)</t>
        </is>
      </c>
      <c r="Y2268" s="20" t="n">
        <v>46321</v>
      </c>
      <c r="Z2268" s="19" t="inlineStr">
        <is>
          <t>Nivel 2: regla estructural con redacción revisada.</t>
        </is>
      </c>
      <c r="AA2268" s="18">
        <f>IF(OR(V2268="Aprobada"),R2268,IF(AND(OR(V2268="Aprobada con ajuste",V2268="Rechazada"),W2268&lt;&gt;""),W2268,""))</f>
        <v/>
      </c>
    </row>
    <row r="2269">
      <c r="A2269" s="18" t="inlineStr">
        <is>
          <t>C2268</t>
        </is>
      </c>
      <c r="B2269" s="18" t="inlineStr">
        <is>
          <t>Control disciplinario interno</t>
        </is>
      </c>
      <c r="C2269" s="18" t="inlineStr">
        <is>
          <t>internal_disciplinary_control</t>
        </is>
      </c>
      <c r="D2269" s="18" t="inlineStr">
        <is>
          <t>reglas_alerta</t>
        </is>
      </c>
      <c r="E2269" s="18" t="n">
        <v>7</v>
      </c>
      <c r="F2269" s="18" t="inlineStr">
        <is>
          <t>nombre</t>
        </is>
      </c>
      <c r="G2269" s="18" t="inlineStr">
        <is>
          <t>character varying(200)</t>
        </is>
      </c>
      <c r="H2269" s="18" t="inlineStr">
        <is>
          <t>No</t>
        </is>
      </c>
      <c r="I2269" s="18" t="inlineStr">
        <is>
          <t>Única</t>
        </is>
      </c>
      <c r="J2269" s="18" t="inlineStr"/>
      <c r="K2269" s="18" t="inlineStr"/>
      <c r="L2269" s="18" t="inlineStr">
        <is>
          <t>No</t>
        </is>
      </c>
      <c r="M2269" s="18" t="inlineStr">
        <is>
          <t>No</t>
        </is>
      </c>
      <c r="N2269" s="18" t="inlineStr"/>
      <c r="O2269" s="18" t="inlineStr">
        <is>
          <t>UQ_reglas_alerta_nombre</t>
        </is>
      </c>
      <c r="P2269" s="18" t="inlineStr">
        <is>
          <t>Mapeada en internal-disciplinary-control-service/src/entities/regla-alerta.entity.ts:20 (ReglaAlerta.nombre) | Validación: IsNotEmpty, IsOptional, IsString, MaxLength(255)</t>
        </is>
      </c>
      <c r="Q2269" s="18" t="inlineStr">
        <is>
          <t>Regla estructural (redacción revisada)</t>
        </is>
      </c>
      <c r="R2269" s="18" t="inlineStr">
        <is>
          <t>Nombre de la regla de alerta.</t>
        </is>
      </c>
      <c r="S2269" s="18" t="inlineStr">
        <is>
          <t>Alta</t>
        </is>
      </c>
      <c r="T2269" s="18" t="inlineStr">
        <is>
          <t>Convención de nombre, redactada con el contexto de la tabla y el código.</t>
        </is>
      </c>
      <c r="U2269" s="18" t="inlineStr"/>
      <c r="V2269" s="19" t="inlineStr">
        <is>
          <t>Aprobada</t>
        </is>
      </c>
      <c r="W2269" s="19" t="inlineStr"/>
      <c r="X2269" s="19" t="inlineStr">
        <is>
          <t>Aldair González (aprobación en bloque)</t>
        </is>
      </c>
      <c r="Y2269" s="20" t="n">
        <v>46321</v>
      </c>
      <c r="Z2269" s="19" t="inlineStr">
        <is>
          <t>Nivel 2: regla estructural con redacción revisada.</t>
        </is>
      </c>
      <c r="AA2269" s="18">
        <f>IF(OR(V2269="Aprobada"),R2269,IF(AND(OR(V2269="Aprobada con ajuste",V2269="Rechazada"),W2269&lt;&gt;""),W2269,""))</f>
        <v/>
      </c>
    </row>
    <row r="2270">
      <c r="A2270" s="18" t="inlineStr">
        <is>
          <t>C2269</t>
        </is>
      </c>
      <c r="B2270" s="18" t="inlineStr">
        <is>
          <t>Control disciplinario interno</t>
        </is>
      </c>
      <c r="C2270" s="18" t="inlineStr">
        <is>
          <t>internal_disciplinary_control</t>
        </is>
      </c>
      <c r="D2270" s="18" t="inlineStr">
        <is>
          <t>reglas_alerta</t>
        </is>
      </c>
      <c r="E2270" s="18" t="n">
        <v>7</v>
      </c>
      <c r="F2270" s="18" t="inlineStr">
        <is>
          <t>dias_anticipacion</t>
        </is>
      </c>
      <c r="G2270" s="18" t="inlineStr">
        <is>
          <t>integer</t>
        </is>
      </c>
      <c r="H2270" s="18" t="inlineStr">
        <is>
          <t>No</t>
        </is>
      </c>
      <c r="I2270" s="18" t="inlineStr">
        <is>
          <t>CHECK</t>
        </is>
      </c>
      <c r="J2270" s="18" t="inlineStr"/>
      <c r="K2270" s="18" t="inlineStr"/>
      <c r="L2270" s="18" t="inlineStr">
        <is>
          <t>No</t>
        </is>
      </c>
      <c r="M2270" s="18" t="inlineStr">
        <is>
          <t>No</t>
        </is>
      </c>
      <c r="N2270" s="18" t="inlineStr"/>
      <c r="O2270" s="18" t="inlineStr"/>
      <c r="P2270" s="18" t="inlineStr">
        <is>
          <t>internal-disciplinary-control-service/src/entities/regla-alerta.entity.ts:23: CHECK: &gt;= 0 AND &lt;= 30 (0 = immediate/vencido) | Validación: IsInt, IsOptional, Max(30), Min(1)</t>
        </is>
      </c>
      <c r="Q2270" s="18" t="inlineStr">
        <is>
          <t>Código fuente (verificado)</t>
        </is>
      </c>
      <c r="R2270" s="18" t="inlineStr">
        <is>
          <t>Días hábiles de anticipación al vencimiento con que se genera la alerta, de 0 a 30. El valor 0 lo usa la regla de proceso vencido que crea el sistema; las reglas creadas o editadas por la API exigen de 1 a 30.</t>
        </is>
      </c>
      <c r="S2270" s="18" t="inlineStr">
        <is>
          <t>Alta</t>
        </is>
      </c>
      <c r="T2270" s="18" t="inlineStr">
        <is>
          <t>db/init/006_internal_disciplinary_control_ddl_20260129_215540.sql:480: CHECK 0 a 30 | internal-disciplinary-control-service/src/dtos/reglas-alerta.dto.ts:17: Min(1) Max(30) en la API | internal-disciplinary-control-service/src/controllers/configuration.controller.ts:181: regla Alerta Proceso Vencido con days 0 | internal-disciplinary-control-service/src/services/alertas-automaticas.service.ts:186: días hábiles</t>
        </is>
      </c>
      <c r="U2270" s="18" t="inlineStr"/>
      <c r="V2270" s="19" t="inlineStr">
        <is>
          <t>Aprobada</t>
        </is>
      </c>
      <c r="W2270" s="19" t="inlineStr"/>
      <c r="X2270" s="19" t="inlineStr">
        <is>
          <t>Aldair González (aprobación en bloque)</t>
        </is>
      </c>
      <c r="Y2270" s="20" t="n">
        <v>46321</v>
      </c>
      <c r="Z2270" s="19" t="inlineStr">
        <is>
          <t>Nivel 3: verificada con el código de la aplicación.</t>
        </is>
      </c>
      <c r="AA2270" s="18">
        <f>IF(OR(V2270="Aprobada"),R2270,IF(AND(OR(V2270="Aprobada con ajuste",V2270="Rechazada"),W2270&lt;&gt;""),W2270,""))</f>
        <v/>
      </c>
    </row>
    <row r="2271">
      <c r="A2271" s="18" t="inlineStr">
        <is>
          <t>C2270</t>
        </is>
      </c>
      <c r="B2271" s="18" t="inlineStr">
        <is>
          <t>Control disciplinario interno</t>
        </is>
      </c>
      <c r="C2271" s="18" t="inlineStr">
        <is>
          <t>internal_disciplinary_control</t>
        </is>
      </c>
      <c r="D2271" s="18" t="inlineStr">
        <is>
          <t>reglas_alerta</t>
        </is>
      </c>
      <c r="E2271" s="18" t="n">
        <v>7</v>
      </c>
      <c r="F2271" s="18" t="inlineStr">
        <is>
          <t>activa</t>
        </is>
      </c>
      <c r="G2271" s="18" t="inlineStr">
        <is>
          <t>boolean</t>
        </is>
      </c>
      <c r="H2271" s="18" t="inlineStr">
        <is>
          <t>No</t>
        </is>
      </c>
      <c r="I2271" s="18" t="inlineStr"/>
      <c r="J2271" s="18" t="inlineStr"/>
      <c r="K2271" s="18" t="inlineStr"/>
      <c r="L2271" s="18" t="inlineStr">
        <is>
          <t>No</t>
        </is>
      </c>
      <c r="M2271" s="18" t="inlineStr">
        <is>
          <t>No</t>
        </is>
      </c>
      <c r="N2271" s="18" t="inlineStr"/>
      <c r="O2271" s="18" t="inlineStr">
        <is>
          <t>IDX_reglas_alerta_activa, idx_reglas_activa</t>
        </is>
      </c>
      <c r="P2271" s="18" t="inlineStr">
        <is>
          <t>Mapeada en internal-disciplinary-control-service/src/entities/regla-alerta.entity.ts:27 (ReglaAlerta.activa) | Validación: IsBoolean, IsOptional</t>
        </is>
      </c>
      <c r="Q2271" s="18" t="inlineStr">
        <is>
          <t>Regla estructural (redacción revisada)</t>
        </is>
      </c>
      <c r="R2271" s="18" t="inlineStr">
        <is>
          <t>Indica si la regla de alerta está activa.</t>
        </is>
      </c>
      <c r="S2271" s="18" t="inlineStr">
        <is>
          <t>Alta</t>
        </is>
      </c>
      <c r="T2271" s="18" t="inlineStr">
        <is>
          <t>Convención de nombre, redactada con el contexto de la tabla y el código.</t>
        </is>
      </c>
      <c r="U2271" s="18" t="inlineStr"/>
      <c r="V2271" s="19" t="inlineStr">
        <is>
          <t>Aprobada</t>
        </is>
      </c>
      <c r="W2271" s="19" t="inlineStr"/>
      <c r="X2271" s="19" t="inlineStr">
        <is>
          <t>Aldair González (aprobación en bloque)</t>
        </is>
      </c>
      <c r="Y2271" s="20" t="n">
        <v>46321</v>
      </c>
      <c r="Z2271" s="19" t="inlineStr">
        <is>
          <t>Nivel 2: regla estructural con redacción revisada.</t>
        </is>
      </c>
      <c r="AA2271" s="18">
        <f>IF(OR(V2271="Aprobada"),R2271,IF(AND(OR(V2271="Aprobada con ajuste",V2271="Rechazada"),W2271&lt;&gt;""),W2271,""))</f>
        <v/>
      </c>
    </row>
    <row r="2272">
      <c r="A2272" s="18" t="inlineStr">
        <is>
          <t>C2271</t>
        </is>
      </c>
      <c r="B2272" s="18" t="inlineStr">
        <is>
          <t>Control disciplinario interno</t>
        </is>
      </c>
      <c r="C2272" s="18" t="inlineStr">
        <is>
          <t>internal_disciplinary_control</t>
        </is>
      </c>
      <c r="D2272" s="18" t="inlineStr">
        <is>
          <t>reglas_alerta</t>
        </is>
      </c>
      <c r="E2272" s="18" t="n">
        <v>7</v>
      </c>
      <c r="F2272" s="18" t="inlineStr">
        <is>
          <t>enviar_email</t>
        </is>
      </c>
      <c r="G2272" s="18" t="inlineStr">
        <is>
          <t>boolean</t>
        </is>
      </c>
      <c r="H2272" s="18" t="inlineStr">
        <is>
          <t>No</t>
        </is>
      </c>
      <c r="I2272" s="18" t="inlineStr"/>
      <c r="J2272" s="18" t="inlineStr"/>
      <c r="K2272" s="18" t="inlineStr"/>
      <c r="L2272" s="18" t="inlineStr">
        <is>
          <t>No</t>
        </is>
      </c>
      <c r="M2272" s="18" t="inlineStr">
        <is>
          <t>No</t>
        </is>
      </c>
      <c r="N2272" s="18" t="inlineStr"/>
      <c r="O2272" s="18" t="inlineStr"/>
      <c r="P2272" s="18" t="inlineStr">
        <is>
          <t>Mapeada en internal-disciplinary-control-service/src/entities/regla-alerta.entity.ts:30 (ReglaAlerta.enviarEmail) | Validación: IsBoolean, IsOptional</t>
        </is>
      </c>
      <c r="Q2272" s="18" t="inlineStr">
        <is>
          <t>Regla estructural (redacción revisada)</t>
        </is>
      </c>
      <c r="R2272" s="18" t="inlineStr">
        <is>
          <t>Indica si la regla envía la alerta por correo electrónico.</t>
        </is>
      </c>
      <c r="S2272" s="18" t="inlineStr">
        <is>
          <t>Alta</t>
        </is>
      </c>
      <c r="T2272" s="18" t="inlineStr">
        <is>
          <t>Convención de nombre, redactada con el contexto de la tabla y el código.</t>
        </is>
      </c>
      <c r="U2272" s="18" t="inlineStr"/>
      <c r="V2272" s="19" t="inlineStr">
        <is>
          <t>Aprobada</t>
        </is>
      </c>
      <c r="W2272" s="19" t="inlineStr"/>
      <c r="X2272" s="19" t="inlineStr">
        <is>
          <t>Aldair González (aprobación en bloque)</t>
        </is>
      </c>
      <c r="Y2272" s="20" t="n">
        <v>46321</v>
      </c>
      <c r="Z2272" s="19" t="inlineStr">
        <is>
          <t>Nivel 2: regla estructural con redacción revisada.</t>
        </is>
      </c>
      <c r="AA2272" s="18">
        <f>IF(OR(V2272="Aprobada"),R2272,IF(AND(OR(V2272="Aprobada con ajuste",V2272="Rechazada"),W2272&lt;&gt;""),W2272,""))</f>
        <v/>
      </c>
    </row>
    <row r="2273">
      <c r="A2273" s="18" t="inlineStr">
        <is>
          <t>C2272</t>
        </is>
      </c>
      <c r="B2273" s="18" t="inlineStr">
        <is>
          <t>Control disciplinario interno</t>
        </is>
      </c>
      <c r="C2273" s="18" t="inlineStr">
        <is>
          <t>internal_disciplinary_control</t>
        </is>
      </c>
      <c r="D2273" s="18" t="inlineStr">
        <is>
          <t>reglas_alerta</t>
        </is>
      </c>
      <c r="E2273" s="18" t="n">
        <v>7</v>
      </c>
      <c r="F2273" s="18" t="inlineStr">
        <is>
          <t>mostrar_panel</t>
        </is>
      </c>
      <c r="G2273" s="18" t="inlineStr">
        <is>
          <t>boolean</t>
        </is>
      </c>
      <c r="H2273" s="18" t="inlineStr">
        <is>
          <t>No</t>
        </is>
      </c>
      <c r="I2273" s="18" t="inlineStr"/>
      <c r="J2273" s="18" t="inlineStr"/>
      <c r="K2273" s="18" t="inlineStr"/>
      <c r="L2273" s="18" t="inlineStr">
        <is>
          <t>No</t>
        </is>
      </c>
      <c r="M2273" s="18" t="inlineStr">
        <is>
          <t>No</t>
        </is>
      </c>
      <c r="N2273" s="18" t="inlineStr"/>
      <c r="O2273" s="18" t="inlineStr"/>
      <c r="P2273" s="18" t="inlineStr">
        <is>
          <t>Mapeada en internal-disciplinary-control-service/src/entities/regla-alerta.entity.ts:33 (ReglaAlerta.mostrarPanel) | Validación: IsBoolean, IsOptional</t>
        </is>
      </c>
      <c r="Q2273" s="18" t="inlineStr">
        <is>
          <t>Regla estructural (redacción revisada)</t>
        </is>
      </c>
      <c r="R2273" s="18" t="inlineStr">
        <is>
          <t>Indica si la regla muestra la alerta en el panel.</t>
        </is>
      </c>
      <c r="S2273" s="18" t="inlineStr">
        <is>
          <t>Alta</t>
        </is>
      </c>
      <c r="T2273" s="18" t="inlineStr">
        <is>
          <t>Convención de nombre, redactada con el contexto de la tabla y el código.</t>
        </is>
      </c>
      <c r="U2273" s="18" t="inlineStr"/>
      <c r="V2273" s="19" t="inlineStr">
        <is>
          <t>Aprobada</t>
        </is>
      </c>
      <c r="W2273" s="19" t="inlineStr"/>
      <c r="X2273" s="19" t="inlineStr">
        <is>
          <t>Aldair González (aprobación en bloque)</t>
        </is>
      </c>
      <c r="Y2273" s="20" t="n">
        <v>46321</v>
      </c>
      <c r="Z2273" s="19" t="inlineStr">
        <is>
          <t>Nivel 2: regla estructural con redacción revisada.</t>
        </is>
      </c>
      <c r="AA2273" s="18">
        <f>IF(OR(V2273="Aprobada"),R2273,IF(AND(OR(V2273="Aprobada con ajuste",V2273="Rechazada"),W2273&lt;&gt;""),W2273,""))</f>
        <v/>
      </c>
    </row>
    <row r="2274">
      <c r="A2274" s="18" t="inlineStr">
        <is>
          <t>C2273</t>
        </is>
      </c>
      <c r="B2274" s="18" t="inlineStr">
        <is>
          <t>Control disciplinario interno</t>
        </is>
      </c>
      <c r="C2274" s="18" t="inlineStr">
        <is>
          <t>internal_disciplinary_control</t>
        </is>
      </c>
      <c r="D2274" s="18" t="inlineStr">
        <is>
          <t>reglas_alerta</t>
        </is>
      </c>
      <c r="E2274" s="18" t="n">
        <v>7</v>
      </c>
      <c r="F2274" s="18" t="inlineStr">
        <is>
          <t>descripcion</t>
        </is>
      </c>
      <c r="G2274" s="18" t="inlineStr">
        <is>
          <t>text</t>
        </is>
      </c>
      <c r="H2274" s="18" t="inlineStr">
        <is>
          <t>Sí</t>
        </is>
      </c>
      <c r="I2274" s="18" t="inlineStr"/>
      <c r="J2274" s="18" t="inlineStr"/>
      <c r="K2274" s="18" t="inlineStr"/>
      <c r="L2274" s="18" t="inlineStr">
        <is>
          <t>No</t>
        </is>
      </c>
      <c r="M2274" s="18" t="inlineStr">
        <is>
          <t>No</t>
        </is>
      </c>
      <c r="N2274" s="18" t="inlineStr"/>
      <c r="O2274" s="18" t="inlineStr"/>
      <c r="P2274" s="18" t="inlineStr">
        <is>
          <t>Mapeada en internal-disciplinary-control-service/src/entities/regla-alerta.entity.ts:36 (ReglaAlerta.descripcion) | Validación: IsNotEmpty, IsObject, IsOptional, IsString</t>
        </is>
      </c>
      <c r="Q2274" s="18" t="inlineStr">
        <is>
          <t>Regla estructural (redacción revisada)</t>
        </is>
      </c>
      <c r="R2274" s="18" t="inlineStr">
        <is>
          <t>Descripción de la regla de alerta.</t>
        </is>
      </c>
      <c r="S2274" s="18" t="inlineStr">
        <is>
          <t>Alta</t>
        </is>
      </c>
      <c r="T2274" s="18" t="inlineStr">
        <is>
          <t>Convención de nombre, redactada con el contexto de la tabla y el código.</t>
        </is>
      </c>
      <c r="U2274" s="18" t="inlineStr"/>
      <c r="V2274" s="19" t="inlineStr">
        <is>
          <t>Aprobada</t>
        </is>
      </c>
      <c r="W2274" s="19" t="inlineStr"/>
      <c r="X2274" s="19" t="inlineStr">
        <is>
          <t>Aldair González (aprobación en bloque)</t>
        </is>
      </c>
      <c r="Y2274" s="20" t="n">
        <v>46321</v>
      </c>
      <c r="Z2274" s="19" t="inlineStr">
        <is>
          <t>Nivel 2: regla estructural con redacción revisada.</t>
        </is>
      </c>
      <c r="AA2274" s="18">
        <f>IF(OR(V2274="Aprobada"),R2274,IF(AND(OR(V2274="Aprobada con ajuste",V2274="Rechazada"),W2274&lt;&gt;""),W2274,""))</f>
        <v/>
      </c>
    </row>
    <row r="2275">
      <c r="A2275" s="18" t="inlineStr">
        <is>
          <t>C2274</t>
        </is>
      </c>
      <c r="B2275" s="18" t="inlineStr">
        <is>
          <t>Control disciplinario interno</t>
        </is>
      </c>
      <c r="C2275" s="18" t="inlineStr">
        <is>
          <t>internal_disciplinary_control</t>
        </is>
      </c>
      <c r="D2275" s="18" t="inlineStr">
        <is>
          <t>reglas_alerta</t>
        </is>
      </c>
      <c r="E2275" s="18" t="n">
        <v>7</v>
      </c>
      <c r="F2275" s="18" t="inlineStr">
        <is>
          <t>creado_por_id</t>
        </is>
      </c>
      <c r="G2275" s="18" t="inlineStr">
        <is>
          <t>uuid</t>
        </is>
      </c>
      <c r="H2275" s="18" t="inlineStr">
        <is>
          <t>Sí</t>
        </is>
      </c>
      <c r="I2275" s="18" t="inlineStr"/>
      <c r="J2275" s="18" t="inlineStr"/>
      <c r="K2275" s="18" t="inlineStr"/>
      <c r="L2275" s="18" t="inlineStr">
        <is>
          <t>No</t>
        </is>
      </c>
      <c r="M2275" s="18" t="inlineStr">
        <is>
          <t>No</t>
        </is>
      </c>
      <c r="N2275" s="18" t="inlineStr"/>
      <c r="O2275" s="18" t="inlineStr"/>
      <c r="P2275" s="18" t="inlineStr">
        <is>
          <t>internal-disciplinary-control-service/src/entities/regla-alerta.entity.ts:39: FK a personas (nullable for system-generated rules)</t>
        </is>
      </c>
      <c r="Q2275" s="18" t="inlineStr">
        <is>
          <t>Código fuente</t>
        </is>
      </c>
      <c r="R2275" s="18" t="inlineStr">
        <is>
          <t>Identificador de la persona que creó la regla (auth.personas); nulo en las reglas generadas por el sistema.</t>
        </is>
      </c>
      <c r="S2275" s="18" t="inlineStr">
        <is>
          <t>Alta</t>
        </is>
      </c>
      <c r="T2275" s="18" t="inlineStr">
        <is>
          <t>código: regla-alerta.entity.ts:39</t>
        </is>
      </c>
      <c r="U2275" s="18" t="inlineStr"/>
      <c r="V2275" s="19" t="inlineStr">
        <is>
          <t>Aprobada</t>
        </is>
      </c>
      <c r="W2275" s="19" t="inlineStr"/>
      <c r="X2275" s="19" t="inlineStr">
        <is>
          <t>Aldair González (aprobación en bloque)</t>
        </is>
      </c>
      <c r="Y2275" s="20" t="n">
        <v>46321</v>
      </c>
      <c r="Z2275" s="19" t="inlineStr">
        <is>
          <t>Nivel 1: propuesta del comentario del desarrollador o de confianza alta, o regla de fecha/responsable/motivo.</t>
        </is>
      </c>
      <c r="AA2275" s="18">
        <f>IF(OR(V2275="Aprobada"),R2275,IF(AND(OR(V2275="Aprobada con ajuste",V2275="Rechazada"),W2275&lt;&gt;""),W2275,""))</f>
        <v/>
      </c>
    </row>
    <row r="2276">
      <c r="A2276" s="18" t="inlineStr">
        <is>
          <t>C2275</t>
        </is>
      </c>
      <c r="B2276" s="18" t="inlineStr">
        <is>
          <t>Control disciplinario interno</t>
        </is>
      </c>
      <c r="C2276" s="18" t="inlineStr">
        <is>
          <t>internal_disciplinary_control</t>
        </is>
      </c>
      <c r="D2276" s="18" t="inlineStr">
        <is>
          <t>sequences</t>
        </is>
      </c>
      <c r="E2276" s="18" t="n">
        <v>7</v>
      </c>
      <c r="F2276" s="18" t="inlineStr">
        <is>
          <t>currentValue</t>
        </is>
      </c>
      <c r="G2276" s="18" t="inlineStr">
        <is>
          <t>integer</t>
        </is>
      </c>
      <c r="H2276" s="18" t="inlineStr">
        <is>
          <t>Sí</t>
        </is>
      </c>
      <c r="I2276" s="18" t="inlineStr"/>
      <c r="J2276" s="18" t="inlineStr"/>
      <c r="K2276" s="18" t="inlineStr"/>
      <c r="L2276" s="18" t="inlineStr">
        <is>
          <t>Sí</t>
        </is>
      </c>
      <c r="M2276" s="18" t="inlineStr">
        <is>
          <t>No</t>
        </is>
      </c>
      <c r="N2276" s="18" t="inlineStr"/>
      <c r="O2276" s="18" t="inlineStr"/>
      <c r="P2276" s="18" t="inlineStr">
        <is>
          <t>Mapeada en internal-disciplinary-control-service/src/entities/sequence.entity.ts:8 (Sequence.currentValue)</t>
        </is>
      </c>
      <c r="Q2276" s="18" t="inlineStr">
        <is>
          <t>Código fuente (verificado)</t>
        </is>
      </c>
      <c r="R2276" s="18" t="inlineStr">
        <is>
          <t>Último número asignado de la secuencia de consecutivos (se incrementa y luego se usa). Por defecto, 0.</t>
        </is>
      </c>
      <c r="S2276" s="18" t="inlineStr">
        <is>
          <t>Alta</t>
        </is>
      </c>
      <c r="T2276" s="18" t="inlineStr">
        <is>
          <t>internal-disciplinary-control-service/src/services/sequence.service.ts:32: currentValue++ antes de generar | internal-disciplinary-control-service/src/services/sequence.service.ts:35: usa el valor incrementado en el consecutivo</t>
        </is>
      </c>
      <c r="U2276" s="18" t="inlineStr"/>
      <c r="V2276" s="19" t="inlineStr">
        <is>
          <t>Aprobada</t>
        </is>
      </c>
      <c r="W2276" s="19" t="inlineStr"/>
      <c r="X2276" s="19" t="inlineStr">
        <is>
          <t>Aldair González (aprobación en bloque)</t>
        </is>
      </c>
      <c r="Y2276" s="20" t="n">
        <v>46321</v>
      </c>
      <c r="Z2276" s="19" t="inlineStr">
        <is>
          <t>Nivel 3: verificada con el código de la aplicación.</t>
        </is>
      </c>
      <c r="AA2276" s="18">
        <f>IF(OR(V2276="Aprobada"),R2276,IF(AND(OR(V2276="Aprobada con ajuste",V2276="Rechazada"),W2276&lt;&gt;""),W2276,""))</f>
        <v/>
      </c>
    </row>
    <row r="2277">
      <c r="A2277" s="18" t="inlineStr">
        <is>
          <t>C2276</t>
        </is>
      </c>
      <c r="B2277" s="18" t="inlineStr">
        <is>
          <t>Control disciplinario interno</t>
        </is>
      </c>
      <c r="C2277" s="18" t="inlineStr">
        <is>
          <t>internal_disciplinary_control</t>
        </is>
      </c>
      <c r="D2277" s="18" t="inlineStr">
        <is>
          <t>stage_configuration</t>
        </is>
      </c>
      <c r="E2277" s="18" t="n">
        <v>7</v>
      </c>
      <c r="F2277" s="18" t="inlineStr">
        <is>
          <t>etapa</t>
        </is>
      </c>
      <c r="G2277" s="18" t="inlineStr">
        <is>
          <t>character varying(255)</t>
        </is>
      </c>
      <c r="H2277" s="18" t="inlineStr">
        <is>
          <t>No</t>
        </is>
      </c>
      <c r="I2277" s="18" t="inlineStr"/>
      <c r="J2277" s="18" t="inlineStr"/>
      <c r="K2277" s="18" t="inlineStr"/>
      <c r="L2277" s="18" t="inlineStr">
        <is>
          <t>No</t>
        </is>
      </c>
      <c r="M2277" s="18" t="inlineStr">
        <is>
          <t>No</t>
        </is>
      </c>
      <c r="N2277" s="18" t="inlineStr"/>
      <c r="O2277" s="18" t="inlineStr"/>
      <c r="P2277" s="18" t="inlineStr">
        <is>
          <t>Mapeada en internal-disciplinary-control-service/src/entities/stage-configuration.entity.ts:14 (StageConfiguration.etapa) | Validación: IsOptional, IsString, MaxLength(80)</t>
        </is>
      </c>
      <c r="Q2277" s="18" t="inlineStr">
        <is>
          <t>Propuesta semántica</t>
        </is>
      </c>
      <c r="R2277" s="18" t="inlineStr">
        <is>
          <t>Nombre de la etapa procesal (máximo 80 caracteres).</t>
        </is>
      </c>
      <c r="S2277" s="18" t="inlineStr">
        <is>
          <t>Alta</t>
        </is>
      </c>
      <c r="T2277" s="18" t="inlineStr">
        <is>
          <t>nombre + tipo + columnas vecinas + validación MaxLength(80)</t>
        </is>
      </c>
      <c r="U2277" s="18" t="inlineStr"/>
      <c r="V2277" s="19" t="inlineStr">
        <is>
          <t>Aprobada</t>
        </is>
      </c>
      <c r="W2277" s="19" t="inlineStr"/>
      <c r="X2277" s="19" t="inlineStr">
        <is>
          <t>Aldair González (aprobación en bloque)</t>
        </is>
      </c>
      <c r="Y2277" s="20" t="n">
        <v>46321</v>
      </c>
      <c r="Z2277" s="19" t="inlineStr">
        <is>
          <t>Nivel 1: propuesta del comentario del desarrollador o de confianza alta, o regla de fecha/responsable/motivo.</t>
        </is>
      </c>
      <c r="AA2277" s="18">
        <f>IF(OR(V2277="Aprobada"),R2277,IF(AND(OR(V2277="Aprobada con ajuste",V2277="Rechazada"),W2277&lt;&gt;""),W2277,""))</f>
        <v/>
      </c>
    </row>
    <row r="2278">
      <c r="A2278" s="18" t="inlineStr">
        <is>
          <t>C2277</t>
        </is>
      </c>
      <c r="B2278" s="18" t="inlineStr">
        <is>
          <t>Control disciplinario interno</t>
        </is>
      </c>
      <c r="C2278" s="18" t="inlineStr">
        <is>
          <t>internal_disciplinary_control</t>
        </is>
      </c>
      <c r="D2278" s="18" t="inlineStr">
        <is>
          <t>stage_configuration</t>
        </is>
      </c>
      <c r="E2278" s="18" t="n">
        <v>7</v>
      </c>
      <c r="F2278" s="18" t="inlineStr">
        <is>
          <t>diasHabiles</t>
        </is>
      </c>
      <c r="G2278" s="18" t="inlineStr">
        <is>
          <t>integer</t>
        </is>
      </c>
      <c r="H2278" s="18" t="inlineStr">
        <is>
          <t>No</t>
        </is>
      </c>
      <c r="I2278" s="18" t="inlineStr"/>
      <c r="J2278" s="18" t="inlineStr"/>
      <c r="K2278" s="18" t="inlineStr"/>
      <c r="L2278" s="18" t="inlineStr">
        <is>
          <t>No</t>
        </is>
      </c>
      <c r="M2278" s="18" t="inlineStr">
        <is>
          <t>No</t>
        </is>
      </c>
      <c r="N2278" s="18" t="inlineStr"/>
      <c r="O2278" s="18" t="inlineStr"/>
      <c r="P2278" s="18" t="inlineStr">
        <is>
          <t>Mapeada en internal-disciplinary-control-service/src/entities/stage-configuration.entity.ts:17 (StageConfiguration.diasHabiles) | Validación: IsInt, IsOptional, Max(180), Min(1)</t>
        </is>
      </c>
      <c r="Q2278" s="18" t="inlineStr">
        <is>
          <t>Propuesta semántica</t>
        </is>
      </c>
      <c r="R2278" s="18" t="inlineStr">
        <is>
          <t>Días hábiles de duración de la etapa (entre 1 y 180). Valor por defecto: 30.</t>
        </is>
      </c>
      <c r="S2278" s="18" t="inlineStr">
        <is>
          <t>Alta</t>
        </is>
      </c>
      <c r="T2278" s="18" t="inlineStr">
        <is>
          <t>validaciones Min(1), Max(180) + defecto</t>
        </is>
      </c>
      <c r="U2278" s="18" t="inlineStr"/>
      <c r="V2278" s="19" t="inlineStr">
        <is>
          <t>Aprobada</t>
        </is>
      </c>
      <c r="W2278" s="19" t="inlineStr"/>
      <c r="X2278" s="19" t="inlineStr">
        <is>
          <t>Aldair González (aprobación en bloque)</t>
        </is>
      </c>
      <c r="Y2278" s="20" t="n">
        <v>46321</v>
      </c>
      <c r="Z2278" s="19" t="inlineStr">
        <is>
          <t>Nivel 1: propuesta del comentario del desarrollador o de confianza alta, o regla de fecha/responsable/motivo.</t>
        </is>
      </c>
      <c r="AA2278" s="18">
        <f>IF(OR(V2278="Aprobada"),R2278,IF(AND(OR(V2278="Aprobada con ajuste",V2278="Rechazada"),W2278&lt;&gt;""),W2278,""))</f>
        <v/>
      </c>
    </row>
    <row r="2279">
      <c r="A2279" s="18" t="inlineStr">
        <is>
          <t>C2278</t>
        </is>
      </c>
      <c r="B2279" s="18" t="inlineStr">
        <is>
          <t>Control disciplinario interno</t>
        </is>
      </c>
      <c r="C2279" s="18" t="inlineStr">
        <is>
          <t>internal_disciplinary_control</t>
        </is>
      </c>
      <c r="D2279" s="18" t="inlineStr">
        <is>
          <t>stage_configuration</t>
        </is>
      </c>
      <c r="E2279" s="18" t="n">
        <v>7</v>
      </c>
      <c r="F2279" s="18" t="inlineStr">
        <is>
          <t>descripcion</t>
        </is>
      </c>
      <c r="G2279" s="18" t="inlineStr">
        <is>
          <t>text</t>
        </is>
      </c>
      <c r="H2279" s="18" t="inlineStr">
        <is>
          <t>Sí</t>
        </is>
      </c>
      <c r="I2279" s="18" t="inlineStr"/>
      <c r="J2279" s="18" t="inlineStr"/>
      <c r="K2279" s="18" t="inlineStr"/>
      <c r="L2279" s="18" t="inlineStr">
        <is>
          <t>No</t>
        </is>
      </c>
      <c r="M2279" s="18" t="inlineStr">
        <is>
          <t>No</t>
        </is>
      </c>
      <c r="N2279" s="18" t="inlineStr"/>
      <c r="O2279" s="18" t="inlineStr"/>
      <c r="P2279" s="18" t="inlineStr">
        <is>
          <t>Mapeada en internal-disciplinary-control-service/src/entities/stage-configuration.entity.ts:23 (StageConfiguration.descripcion) | Validación: IsNotEmpty, IsObject, IsOptional, IsString</t>
        </is>
      </c>
      <c r="Q2279" s="18" t="inlineStr">
        <is>
          <t>Regla estructural (redacción revisada)</t>
        </is>
      </c>
      <c r="R2279" s="18" t="inlineStr">
        <is>
          <t>Descripción de la etapa procesal.</t>
        </is>
      </c>
      <c r="S2279" s="18" t="inlineStr">
        <is>
          <t>Alta</t>
        </is>
      </c>
      <c r="T2279" s="18" t="inlineStr">
        <is>
          <t>Convención de nombre, redactada con el contexto de la tabla y el código.</t>
        </is>
      </c>
      <c r="U2279" s="18" t="inlineStr"/>
      <c r="V2279" s="19" t="inlineStr">
        <is>
          <t>Aprobada</t>
        </is>
      </c>
      <c r="W2279" s="19" t="inlineStr"/>
      <c r="X2279" s="19" t="inlineStr">
        <is>
          <t>Aldair González (aprobación en bloque)</t>
        </is>
      </c>
      <c r="Y2279" s="20" t="n">
        <v>46321</v>
      </c>
      <c r="Z2279" s="19" t="inlineStr">
        <is>
          <t>Nivel 2: regla estructural con redacción revisada.</t>
        </is>
      </c>
      <c r="AA2279" s="18">
        <f>IF(OR(V2279="Aprobada"),R2279,IF(AND(OR(V2279="Aprobada con ajuste",V2279="Rechazada"),W2279&lt;&gt;""),W2279,""))</f>
        <v/>
      </c>
    </row>
    <row r="2280">
      <c r="A2280" s="18" t="inlineStr">
        <is>
          <t>C2279</t>
        </is>
      </c>
      <c r="B2280" s="18" t="inlineStr">
        <is>
          <t>Control disciplinario interno</t>
        </is>
      </c>
      <c r="C2280" s="18" t="inlineStr">
        <is>
          <t>internal_disciplinary_control</t>
        </is>
      </c>
      <c r="D2280" s="18" t="inlineStr">
        <is>
          <t>stage_configuration</t>
        </is>
      </c>
      <c r="E2280" s="18" t="n">
        <v>7</v>
      </c>
      <c r="F2280" s="18" t="inlineStr">
        <is>
          <t>activo</t>
        </is>
      </c>
      <c r="G2280" s="18" t="inlineStr">
        <is>
          <t>boolean</t>
        </is>
      </c>
      <c r="H2280" s="18" t="inlineStr">
        <is>
          <t>Sí</t>
        </is>
      </c>
      <c r="I2280" s="18" t="inlineStr"/>
      <c r="J2280" s="18" t="inlineStr"/>
      <c r="K2280" s="18" t="inlineStr"/>
      <c r="L2280" s="18" t="inlineStr">
        <is>
          <t>No</t>
        </is>
      </c>
      <c r="M2280" s="18" t="inlineStr">
        <is>
          <t>No</t>
        </is>
      </c>
      <c r="N2280" s="18" t="inlineStr"/>
      <c r="O2280" s="18" t="inlineStr"/>
      <c r="P2280" s="18" t="inlineStr">
        <is>
          <t>Mapeada en internal-disciplinary-control-service/src/entities/stage-configuration.entity.ts:26 (StageConfiguration.activo) | Validación: IsBoolean, IsOptional</t>
        </is>
      </c>
      <c r="Q2280" s="18" t="inlineStr">
        <is>
          <t>Regla estructural (redacción revisada)</t>
        </is>
      </c>
      <c r="R2280" s="18" t="inlineStr">
        <is>
          <t>Indica si la configuración de la etapa está activa.</t>
        </is>
      </c>
      <c r="S2280" s="18" t="inlineStr">
        <is>
          <t>Alta</t>
        </is>
      </c>
      <c r="T2280" s="18" t="inlineStr">
        <is>
          <t>Convención de nombre, redactada con el contexto de la tabla y el código.</t>
        </is>
      </c>
      <c r="U2280" s="18" t="inlineStr"/>
      <c r="V2280" s="19" t="inlineStr">
        <is>
          <t>Aprobada</t>
        </is>
      </c>
      <c r="W2280" s="19" t="inlineStr"/>
      <c r="X2280" s="19" t="inlineStr">
        <is>
          <t>Aldair González (aprobación en bloque)</t>
        </is>
      </c>
      <c r="Y2280" s="20" t="n">
        <v>46321</v>
      </c>
      <c r="Z2280" s="19" t="inlineStr">
        <is>
          <t>Nivel 2: regla estructural con redacción revisada.</t>
        </is>
      </c>
      <c r="AA2280" s="18">
        <f>IF(OR(V2280="Aprobada"),R2280,IF(AND(OR(V2280="Aprobada con ajuste",V2280="Rechazada"),W2280&lt;&gt;""),W2280,""))</f>
        <v/>
      </c>
    </row>
    <row r="2281">
      <c r="A2281" s="18" t="inlineStr">
        <is>
          <t>C2280</t>
        </is>
      </c>
      <c r="B2281" s="18" t="inlineStr">
        <is>
          <t>Control disciplinario interno</t>
        </is>
      </c>
      <c r="C2281" s="18" t="inlineStr">
        <is>
          <t>internal_disciplinary_control</t>
        </is>
      </c>
      <c r="D2281" s="18" t="inlineStr">
        <is>
          <t>stage_configuration</t>
        </is>
      </c>
      <c r="E2281" s="18" t="n">
        <v>7</v>
      </c>
      <c r="F2281" s="18" t="inlineStr">
        <is>
          <t>color</t>
        </is>
      </c>
      <c r="G2281" s="18" t="inlineStr">
        <is>
          <t>character varying(50)</t>
        </is>
      </c>
      <c r="H2281" s="18" t="inlineStr">
        <is>
          <t>Sí</t>
        </is>
      </c>
      <c r="I2281" s="18" t="inlineStr"/>
      <c r="J2281" s="18" t="inlineStr"/>
      <c r="K2281" s="18" t="inlineStr"/>
      <c r="L2281" s="18" t="inlineStr">
        <is>
          <t>No</t>
        </is>
      </c>
      <c r="M2281" s="18" t="inlineStr">
        <is>
          <t>No</t>
        </is>
      </c>
      <c r="N2281" s="18" t="inlineStr"/>
      <c r="O2281" s="18" t="inlineStr"/>
      <c r="P2281" s="18" t="inlineStr">
        <is>
          <t>Mapeada en internal-disciplinary-control-service/src/entities/stage-configuration.entity.ts:20 (StageConfiguration.color)</t>
        </is>
      </c>
      <c r="Q2281" s="18" t="inlineStr">
        <is>
          <t>Código fuente (verificado)</t>
        </is>
      </c>
      <c r="R2281" s="18" t="inlineStr">
        <is>
          <t>Color con que se muestra la etapa en la interfaz, en formato hexadecimal. Por defecto, #6B7280.</t>
        </is>
      </c>
      <c r="S2281" s="18" t="inlineStr">
        <is>
          <t>Alta</t>
        </is>
      </c>
      <c r="T2281" s="18" t="inlineStr">
        <is>
          <t>internal-disciplinary-control-service/src/entities/stage-configuration.entity.ts:20: default #6B7280</t>
        </is>
      </c>
      <c r="U2281" s="18" t="inlineStr"/>
      <c r="V2281" s="19" t="inlineStr">
        <is>
          <t>Aprobada</t>
        </is>
      </c>
      <c r="W2281" s="19" t="inlineStr"/>
      <c r="X2281" s="19" t="inlineStr">
        <is>
          <t>Aldair González (aprobación en bloque)</t>
        </is>
      </c>
      <c r="Y2281" s="20" t="n">
        <v>46321</v>
      </c>
      <c r="Z2281" s="19" t="inlineStr">
        <is>
          <t>Nivel 3: verificada con el código de la aplicación.</t>
        </is>
      </c>
      <c r="AA2281" s="18">
        <f>IF(OR(V2281="Aprobada"),R2281,IF(AND(OR(V2281="Aprobada con ajuste",V2281="Rechazada"),W2281&lt;&gt;""),W2281,""))</f>
        <v/>
      </c>
    </row>
    <row r="2282">
      <c r="A2282" s="18" t="inlineStr">
        <is>
          <t>C2281</t>
        </is>
      </c>
      <c r="B2282" s="18" t="inlineStr">
        <is>
          <t>Control disciplinario interno</t>
        </is>
      </c>
      <c r="C2282" s="18" t="inlineStr">
        <is>
          <t>internal_disciplinary_control</t>
        </is>
      </c>
      <c r="D2282" s="18" t="inlineStr">
        <is>
          <t>stage_configuration</t>
        </is>
      </c>
      <c r="E2282" s="18" t="n">
        <v>7</v>
      </c>
      <c r="F2282" s="18" t="inlineStr">
        <is>
          <t>orden</t>
        </is>
      </c>
      <c r="G2282" s="18" t="inlineStr">
        <is>
          <t>integer</t>
        </is>
      </c>
      <c r="H2282" s="18" t="inlineStr">
        <is>
          <t>Sí</t>
        </is>
      </c>
      <c r="I2282" s="18" t="inlineStr"/>
      <c r="J2282" s="18" t="inlineStr"/>
      <c r="K2282" s="18" t="inlineStr"/>
      <c r="L2282" s="18" t="inlineStr">
        <is>
          <t>No</t>
        </is>
      </c>
      <c r="M2282" s="18" t="inlineStr">
        <is>
          <t>No</t>
        </is>
      </c>
      <c r="N2282" s="18" t="inlineStr"/>
      <c r="O2282" s="18" t="inlineStr"/>
      <c r="P2282" s="18" t="inlineStr">
        <is>
          <t>Mapeada en internal-disciplinary-control-service/src/entities/stage-configuration.entity.ts:29 (StageConfiguration.orden) | Validación: IsInt, IsNumber, IsOptional, Max(9999), Min(0)</t>
        </is>
      </c>
      <c r="Q2282" s="18" t="inlineStr">
        <is>
          <t>Regla estructural (redacción revisada)</t>
        </is>
      </c>
      <c r="R2282" s="18" t="inlineStr">
        <is>
          <t>Posición de la etapa procesal en el listado.</t>
        </is>
      </c>
      <c r="S2282" s="18" t="inlineStr">
        <is>
          <t>Alta</t>
        </is>
      </c>
      <c r="T2282" s="18" t="inlineStr">
        <is>
          <t>Convención de nombre, redactada con el contexto de la tabla y el código.</t>
        </is>
      </c>
      <c r="U2282" s="18" t="inlineStr"/>
      <c r="V2282" s="19" t="inlineStr">
        <is>
          <t>Aprobada</t>
        </is>
      </c>
      <c r="W2282" s="19" t="inlineStr"/>
      <c r="X2282" s="19" t="inlineStr">
        <is>
          <t>Aldair González (aprobación en bloque)</t>
        </is>
      </c>
      <c r="Y2282" s="20" t="n">
        <v>46321</v>
      </c>
      <c r="Z2282" s="19" t="inlineStr">
        <is>
          <t>Nivel 2: regla estructural con redacción revisada.</t>
        </is>
      </c>
      <c r="AA2282" s="18">
        <f>IF(OR(V2282="Aprobada"),R2282,IF(AND(OR(V2282="Aprobada con ajuste",V2282="Rechazada"),W2282&lt;&gt;""),W2282,""))</f>
        <v/>
      </c>
    </row>
    <row r="2283">
      <c r="A2283" s="18" t="inlineStr">
        <is>
          <t>C2282</t>
        </is>
      </c>
      <c r="B2283" s="18" t="inlineStr">
        <is>
          <t>Control disciplinario interno</t>
        </is>
      </c>
      <c r="C2283" s="18" t="inlineStr">
        <is>
          <t>internal_disciplinary_control</t>
        </is>
      </c>
      <c r="D2283" s="18" t="inlineStr">
        <is>
          <t>system_configuration</t>
        </is>
      </c>
      <c r="E2283" s="18" t="n">
        <v>1</v>
      </c>
      <c r="F2283" s="18" t="inlineStr">
        <is>
          <t>roleCapacities</t>
        </is>
      </c>
      <c r="G2283" s="18" t="inlineStr">
        <is>
          <t>jsonb</t>
        </is>
      </c>
      <c r="H2283" s="18" t="inlineStr">
        <is>
          <t>Sí</t>
        </is>
      </c>
      <c r="I2283" s="18" t="inlineStr"/>
      <c r="J2283" s="18" t="inlineStr"/>
      <c r="K2283" s="18" t="inlineStr"/>
      <c r="L2283" s="18" t="inlineStr">
        <is>
          <t>Sí</t>
        </is>
      </c>
      <c r="M2283" s="18" t="inlineStr">
        <is>
          <t>No</t>
        </is>
      </c>
      <c r="N2283" s="18" t="inlineStr"/>
      <c r="O2283" s="18" t="inlineStr"/>
      <c r="P2283" s="18" t="inlineStr">
        <is>
          <t>internal-disciplinary-control-service/src/entities/system-configuration.entity.ts:10: CAPACIDAD POR CARGO (JSON) Ejemplo: { "profesional": 10, "especializado": 15 ... }</t>
        </is>
      </c>
      <c r="Q2283" s="18" t="inlineStr">
        <is>
          <t>Código fuente (verificado)</t>
        </is>
      </c>
      <c r="R2283" s="18" t="inlineStr">
        <is>
          <t>Capacidad máxima por cargo, en formato JSON (llave: texto del cargo; valor: número). Fija el tope de capacidad_maxima del profesional, que se compara con sus procesos activos asignados.</t>
        </is>
      </c>
      <c r="S2283" s="18" t="inlineStr">
        <is>
          <t>Alta</t>
        </is>
      </c>
      <c r="T2283" s="18" t="inlineStr">
        <is>
          <t>internal-disciplinary-control-service/src/controllers/professional.controller.ts:264: validateAndGetCapacity limita capacidadMaxima con roleCapacities | internal-disciplinary-control-service/src/controllers/professional.controller.ts:62: cuenta procesos activos asignados frente a capacidadMaxima | internal-disciplinary-control-service/src/entities/system-configuration.entity.ts:10: ejemplo de estructura</t>
        </is>
      </c>
      <c r="U2283" s="18" t="inlineStr"/>
      <c r="V2283" s="19" t="inlineStr">
        <is>
          <t>Aprobada</t>
        </is>
      </c>
      <c r="W2283" s="19" t="inlineStr"/>
      <c r="X2283" s="19" t="inlineStr">
        <is>
          <t>Aldair González (aprobación en bloque)</t>
        </is>
      </c>
      <c r="Y2283" s="20" t="n">
        <v>46321</v>
      </c>
      <c r="Z2283" s="19" t="inlineStr">
        <is>
          <t>Nivel 3: verificada con el código de la aplicación.</t>
        </is>
      </c>
      <c r="AA2283" s="18">
        <f>IF(OR(V2283="Aprobada"),R2283,IF(AND(OR(V2283="Aprobada con ajuste",V2283="Rechazada"),W2283&lt;&gt;""),W2283,""))</f>
        <v/>
      </c>
    </row>
    <row r="2284">
      <c r="A2284" s="18" t="inlineStr">
        <is>
          <t>C2283</t>
        </is>
      </c>
      <c r="B2284" s="18" t="inlineStr">
        <is>
          <t>Control disciplinario interno</t>
        </is>
      </c>
      <c r="C2284" s="18" t="inlineStr">
        <is>
          <t>internal_disciplinary_control</t>
        </is>
      </c>
      <c r="D2284" s="18" t="inlineStr">
        <is>
          <t>system_configuration</t>
        </is>
      </c>
      <c r="E2284" s="18" t="n">
        <v>1</v>
      </c>
      <c r="F2284" s="18" t="inlineStr">
        <is>
          <t>notificationSettings</t>
        </is>
      </c>
      <c r="G2284" s="18" t="inlineStr">
        <is>
          <t>jsonb</t>
        </is>
      </c>
      <c r="H2284" s="18" t="inlineStr">
        <is>
          <t>Sí</t>
        </is>
      </c>
      <c r="I2284" s="18" t="inlineStr"/>
      <c r="J2284" s="18" t="inlineStr"/>
      <c r="K2284" s="18" t="inlineStr"/>
      <c r="L2284" s="18" t="inlineStr">
        <is>
          <t>Sí</t>
        </is>
      </c>
      <c r="M2284" s="18" t="inlineStr">
        <is>
          <t>No</t>
        </is>
      </c>
      <c r="N2284" s="18" t="inlineStr"/>
      <c r="O2284" s="18" t="inlineStr"/>
      <c r="P2284" s="18" t="inlineStr">
        <is>
          <t>internal-disciplinary-control-service/src/entities/system-configuration.entity.ts:15: CONFIGURACIÓN DE NOTIFICACIONES (JSON) Ejemplo: { "vencimiento7dias": true, "emailMasterSwitch": true ... }</t>
        </is>
      </c>
      <c r="Q2284" s="18" t="inlineStr">
        <is>
          <t>Código fuente</t>
        </is>
      </c>
      <c r="R2284" s="18" t="inlineStr">
        <is>
          <t>Configuración de notificaciones, en formato JSON (por ejemplo, vencimiento7dias, emailMasterSwitch).</t>
        </is>
      </c>
      <c r="S2284" s="18" t="inlineStr">
        <is>
          <t>Alta</t>
        </is>
      </c>
      <c r="T2284" s="18" t="inlineStr">
        <is>
          <t>código: internal-disciplinary-control-service/src/entities/system-configuration.entity.ts:15</t>
        </is>
      </c>
      <c r="U2284" s="18" t="inlineStr"/>
      <c r="V2284" s="19" t="inlineStr">
        <is>
          <t>Aprobada</t>
        </is>
      </c>
      <c r="W2284" s="19" t="inlineStr"/>
      <c r="X2284" s="19" t="inlineStr">
        <is>
          <t>Aldair González (aprobación en bloque)</t>
        </is>
      </c>
      <c r="Y2284" s="20" t="n">
        <v>46321</v>
      </c>
      <c r="Z2284" s="19" t="inlineStr">
        <is>
          <t>Nivel 1: propuesta del comentario del desarrollador o de confianza alta, o regla de fecha/responsable/motivo.</t>
        </is>
      </c>
      <c r="AA2284" s="18">
        <f>IF(OR(V2284="Aprobada"),R2284,IF(AND(OR(V2284="Aprobada con ajuste",V2284="Rechazada"),W2284&lt;&gt;""),W2284,""))</f>
        <v/>
      </c>
    </row>
    <row r="2285">
      <c r="A2285" s="18" t="inlineStr">
        <is>
          <t>C2284</t>
        </is>
      </c>
      <c r="B2285" s="18" t="inlineStr">
        <is>
          <t>Control disciplinario interno</t>
        </is>
      </c>
      <c r="C2285" s="18" t="inlineStr">
        <is>
          <t>internal_disciplinary_control</t>
        </is>
      </c>
      <c r="D2285" s="18" t="inlineStr">
        <is>
          <t>system_configuration</t>
        </is>
      </c>
      <c r="E2285" s="18" t="n">
        <v>1</v>
      </c>
      <c r="F2285" s="18" t="inlineStr">
        <is>
          <t>alertSettings</t>
        </is>
      </c>
      <c r="G2285" s="18" t="inlineStr">
        <is>
          <t>jsonb</t>
        </is>
      </c>
      <c r="H2285" s="18" t="inlineStr">
        <is>
          <t>Sí</t>
        </is>
      </c>
      <c r="I2285" s="18" t="inlineStr"/>
      <c r="J2285" s="18" t="inlineStr"/>
      <c r="K2285" s="18" t="inlineStr"/>
      <c r="L2285" s="18" t="inlineStr">
        <is>
          <t>Sí</t>
        </is>
      </c>
      <c r="M2285" s="18" t="inlineStr">
        <is>
          <t>No</t>
        </is>
      </c>
      <c r="N2285" s="18" t="inlineStr"/>
      <c r="O2285" s="18" t="inlineStr"/>
      <c r="P2285" s="18" t="inlineStr">
        <is>
          <t>internal-disciplinary-control-service/src/entities/system-configuration.entity.ts:20: CONFIGURACIÓN DE ALERTAS (JSON) Ejemplo: { "porcentajeAmarillo": 85, "porcentajeRojo": 95 ... }</t>
        </is>
      </c>
      <c r="Q2285" s="18" t="inlineStr">
        <is>
          <t>Código fuente</t>
        </is>
      </c>
      <c r="R2285" s="18" t="inlineStr">
        <is>
          <t>Configuración de alertas, en formato JSON (por ejemplo, porcentajeAmarillo: 85, porcentajeRojo: 95).</t>
        </is>
      </c>
      <c r="S2285" s="18" t="inlineStr">
        <is>
          <t>Alta</t>
        </is>
      </c>
      <c r="T2285" s="18" t="inlineStr">
        <is>
          <t>código: internal-disciplinary-control-service/src/entities/system-configuration.entity.ts:20</t>
        </is>
      </c>
      <c r="U2285" s="18" t="inlineStr"/>
      <c r="V2285" s="19" t="inlineStr">
        <is>
          <t>Aprobada</t>
        </is>
      </c>
      <c r="W2285" s="19" t="inlineStr"/>
      <c r="X2285" s="19" t="inlineStr">
        <is>
          <t>Aldair González (aprobación en bloque)</t>
        </is>
      </c>
      <c r="Y2285" s="20" t="n">
        <v>46321</v>
      </c>
      <c r="Z2285" s="19" t="inlineStr">
        <is>
          <t>Nivel 1: propuesta del comentario del desarrollador o de confianza alta, o regla de fecha/responsable/motivo.</t>
        </is>
      </c>
      <c r="AA2285" s="18">
        <f>IF(OR(V2285="Aprobada"),R2285,IF(AND(OR(V2285="Aprobada con ajuste",V2285="Rechazada"),W2285&lt;&gt;""),W2285,""))</f>
        <v/>
      </c>
    </row>
    <row r="2286">
      <c r="A2286" s="18" t="inlineStr">
        <is>
          <t>C2285</t>
        </is>
      </c>
      <c r="B2286" s="18" t="inlineStr">
        <is>
          <t>Control disciplinario interno</t>
        </is>
      </c>
      <c r="C2286" s="18" t="inlineStr">
        <is>
          <t>internal_disciplinary_control</t>
        </is>
      </c>
      <c r="D2286" s="18" t="inlineStr">
        <is>
          <t>system_configuration</t>
        </is>
      </c>
      <c r="E2286" s="18" t="n">
        <v>1</v>
      </c>
      <c r="F2286" s="18" t="inlineStr">
        <is>
          <t>securitySettings</t>
        </is>
      </c>
      <c r="G2286" s="18" t="inlineStr">
        <is>
          <t>jsonb</t>
        </is>
      </c>
      <c r="H2286" s="18" t="inlineStr">
        <is>
          <t>Sí</t>
        </is>
      </c>
      <c r="I2286" s="18" t="inlineStr"/>
      <c r="J2286" s="18" t="inlineStr"/>
      <c r="K2286" s="18" t="inlineStr"/>
      <c r="L2286" s="18" t="inlineStr">
        <is>
          <t>Sí</t>
        </is>
      </c>
      <c r="M2286" s="18" t="inlineStr">
        <is>
          <t>No</t>
        </is>
      </c>
      <c r="N2286" s="18" t="inlineStr"/>
      <c r="O2286" s="18" t="inlineStr"/>
      <c r="P2286" s="18" t="inlineStr">
        <is>
          <t>internal-disciplinary-control-service/src/entities/system-configuration.entity.ts:25: SEGURIDAD Y AUDITORÍA (JSON) Ejemplo: { "auditEnabled": true, "digitalSignature": false ... }</t>
        </is>
      </c>
      <c r="Q2286" s="18" t="inlineStr">
        <is>
          <t>Código fuente</t>
        </is>
      </c>
      <c r="R2286" s="18" t="inlineStr">
        <is>
          <t>Configuración de seguridad y auditoría, en formato JSON (por ejemplo, auditEnabled, digitalSignature).</t>
        </is>
      </c>
      <c r="S2286" s="18" t="inlineStr">
        <is>
          <t>Alta</t>
        </is>
      </c>
      <c r="T2286" s="18" t="inlineStr">
        <is>
          <t>código: internal-disciplinary-control-service/src/entities/system-configuration.entity.ts:25</t>
        </is>
      </c>
      <c r="U2286" s="18" t="inlineStr"/>
      <c r="V2286" s="19" t="inlineStr">
        <is>
          <t>Aprobada</t>
        </is>
      </c>
      <c r="W2286" s="19" t="inlineStr"/>
      <c r="X2286" s="19" t="inlineStr">
        <is>
          <t>Aldair González (aprobación en bloque)</t>
        </is>
      </c>
      <c r="Y2286" s="20" t="n">
        <v>46321</v>
      </c>
      <c r="Z2286" s="19" t="inlineStr">
        <is>
          <t>Nivel 1: propuesta del comentario del desarrollador o de confianza alta, o regla de fecha/responsable/motivo.</t>
        </is>
      </c>
      <c r="AA2286" s="18">
        <f>IF(OR(V2286="Aprobada"),R2286,IF(AND(OR(V2286="Aprobada con ajuste",V2286="Rechazada"),W2286&lt;&gt;""),W2286,""))</f>
        <v/>
      </c>
    </row>
    <row r="2287">
      <c r="A2287" s="18" t="inlineStr">
        <is>
          <t>C2286</t>
        </is>
      </c>
      <c r="B2287" s="18" t="inlineStr">
        <is>
          <t>Control disciplinario interno</t>
        </is>
      </c>
      <c r="C2287" s="18" t="inlineStr">
        <is>
          <t>internal_disciplinary_control</t>
        </is>
      </c>
      <c r="D2287" s="18" t="inlineStr">
        <is>
          <t>system_configuration</t>
        </is>
      </c>
      <c r="E2287" s="18" t="n">
        <v>1</v>
      </c>
      <c r="F2287" s="18" t="inlineStr">
        <is>
          <t>documentTemplates</t>
        </is>
      </c>
      <c r="G2287" s="18" t="inlineStr">
        <is>
          <t>jsonb</t>
        </is>
      </c>
      <c r="H2287" s="18" t="inlineStr">
        <is>
          <t>Sí</t>
        </is>
      </c>
      <c r="I2287" s="18" t="inlineStr"/>
      <c r="J2287" s="18" t="inlineStr"/>
      <c r="K2287" s="18" t="inlineStr"/>
      <c r="L2287" s="18" t="inlineStr">
        <is>
          <t>Sí</t>
        </is>
      </c>
      <c r="M2287" s="18" t="inlineStr">
        <is>
          <t>No</t>
        </is>
      </c>
      <c r="N2287" s="18" t="inlineStr"/>
      <c r="O2287" s="18" t="inlineStr"/>
      <c r="P2287" s="18" t="inlineStr">
        <is>
          <t>internal-disciplinary-control-service/src/entities/system-configuration.entity.ts:30: PLANTILLAS DE DOCUMENTOS (JSON) Ejemplo: { "oficios": [...], "autos": [...], "actas": [...] }</t>
        </is>
      </c>
      <c r="Q2287" s="18" t="inlineStr">
        <is>
          <t>Código fuente</t>
        </is>
      </c>
      <c r="R2287" s="18" t="inlineStr">
        <is>
          <t>Plantillas de documentos (oficios, autos, actas), en formato JSON.</t>
        </is>
      </c>
      <c r="S2287" s="18" t="inlineStr">
        <is>
          <t>Alta</t>
        </is>
      </c>
      <c r="T2287" s="18" t="inlineStr">
        <is>
          <t>código: internal-disciplinary-control-service/src/entities/system-configuration.entity.ts:30</t>
        </is>
      </c>
      <c r="U2287" s="18" t="inlineStr"/>
      <c r="V2287" s="19" t="inlineStr">
        <is>
          <t>Aprobada</t>
        </is>
      </c>
      <c r="W2287" s="19" t="inlineStr"/>
      <c r="X2287" s="19" t="inlineStr">
        <is>
          <t>Aldair González (aprobación en bloque)</t>
        </is>
      </c>
      <c r="Y2287" s="20" t="n">
        <v>46321</v>
      </c>
      <c r="Z2287" s="19" t="inlineStr">
        <is>
          <t>Nivel 1: propuesta del comentario del desarrollador o de confianza alta, o regla de fecha/responsable/motivo.</t>
        </is>
      </c>
      <c r="AA2287" s="18">
        <f>IF(OR(V2287="Aprobada"),R2287,IF(AND(OR(V2287="Aprobada con ajuste",V2287="Rechazada"),W2287&lt;&gt;""),W2287,""))</f>
        <v/>
      </c>
    </row>
    <row r="2288">
      <c r="A2288" s="18" t="inlineStr">
        <is>
          <t>C2287</t>
        </is>
      </c>
      <c r="B2288" s="18" t="inlineStr">
        <is>
          <t>Control disciplinario interno</t>
        </is>
      </c>
      <c r="C2288" s="18" t="inlineStr">
        <is>
          <t>internal_disciplinary_control</t>
        </is>
      </c>
      <c r="D2288" s="18" t="inlineStr">
        <is>
          <t>terminos_procesales</t>
        </is>
      </c>
      <c r="E2288" s="18" t="n">
        <v>23</v>
      </c>
      <c r="F2288" s="18" t="inlineStr">
        <is>
          <t>proceso_id</t>
        </is>
      </c>
      <c r="G2288" s="18" t="inlineStr">
        <is>
          <t>uuid</t>
        </is>
      </c>
      <c r="H2288" s="18" t="inlineStr">
        <is>
          <t>No</t>
        </is>
      </c>
      <c r="I2288" s="18" t="inlineStr"/>
      <c r="J2288" s="18" t="inlineStr"/>
      <c r="K2288" s="18" t="inlineStr"/>
      <c r="L2288" s="18" t="inlineStr">
        <is>
          <t>No</t>
        </is>
      </c>
      <c r="M2288" s="18" t="inlineStr">
        <is>
          <t>No</t>
        </is>
      </c>
      <c r="N2288" s="18" t="inlineStr"/>
      <c r="O2288" s="18" t="inlineStr">
        <is>
          <t>IDX_terminos_proceso_id, idx_terminos_proceso</t>
        </is>
      </c>
      <c r="P2288" s="18" t="inlineStr">
        <is>
          <t>Mapeada en internal-disciplinary-control-service/src/entities/termino-procesal.entity.ts:32 (TerminoProcesal.procesoId) | Validación: IsNotEmpty({ message: 'procesoId must not be empty' }), IsOptional, IsString({ message: 'procesoId must be a string' }), Matches(/^[0-9a-f]{8}-[0-9a-f]{4}-[0-9a-f]{4}-[0-9a-f]{4}-[0-9a-f]{12}$/i, {
    message: 'procesoId must be a valid UUID',
  })</t>
        </is>
      </c>
      <c r="Q2288" s="18" t="inlineStr">
        <is>
          <t>Código fuente (verificado)</t>
        </is>
      </c>
      <c r="R2288" s="18" t="inlineStr">
        <is>
          <t>Identificador (UUID) del proceso disciplinario al que pertenece el término; corresponde a disciplinary_processes.id según la relación de la entidad.</t>
        </is>
      </c>
      <c r="S2288" s="18" t="inlineStr">
        <is>
          <t>Alta</t>
        </is>
      </c>
      <c r="T2288" s="18" t="inlineStr">
        <is>
          <t>internal-disciplinary-control-service/src/entities/termino-procesal.entity.ts:35: ManyToOne DisciplinaryProcess con JoinColumn proceso_id</t>
        </is>
      </c>
      <c r="U2288" s="18" t="inlineStr"/>
      <c r="V2288" s="19" t="inlineStr">
        <is>
          <t>Aprobada</t>
        </is>
      </c>
      <c r="W2288" s="19" t="inlineStr"/>
      <c r="X2288" s="19" t="inlineStr">
        <is>
          <t>Aldair González (aprobación en bloque)</t>
        </is>
      </c>
      <c r="Y2288" s="20" t="n">
        <v>46321</v>
      </c>
      <c r="Z2288" s="19" t="inlineStr">
        <is>
          <t>Nivel 3: verificada con el código de la aplicación.</t>
        </is>
      </c>
      <c r="AA2288" s="18">
        <f>IF(OR(V2288="Aprobada"),R2288,IF(AND(OR(V2288="Aprobada con ajuste",V2288="Rechazada"),W2288&lt;&gt;""),W2288,""))</f>
        <v/>
      </c>
    </row>
    <row r="2289">
      <c r="A2289" s="18" t="inlineStr">
        <is>
          <t>C2288</t>
        </is>
      </c>
      <c r="B2289" s="18" t="inlineStr">
        <is>
          <t>Control disciplinario interno</t>
        </is>
      </c>
      <c r="C2289" s="18" t="inlineStr">
        <is>
          <t>internal_disciplinary_control</t>
        </is>
      </c>
      <c r="D2289" s="18" t="inlineStr">
        <is>
          <t>terminos_procesales</t>
        </is>
      </c>
      <c r="E2289" s="18" t="n">
        <v>23</v>
      </c>
      <c r="F2289" s="18" t="inlineStr">
        <is>
          <t>numero_proceso</t>
        </is>
      </c>
      <c r="G2289" s="18" t="inlineStr">
        <is>
          <t>character varying(20)</t>
        </is>
      </c>
      <c r="H2289" s="18" t="inlineStr">
        <is>
          <t>Sí</t>
        </is>
      </c>
      <c r="I2289" s="18" t="inlineStr"/>
      <c r="J2289" s="18" t="inlineStr"/>
      <c r="K2289" s="18" t="inlineStr"/>
      <c r="L2289" s="18" t="inlineStr">
        <is>
          <t>No</t>
        </is>
      </c>
      <c r="M2289" s="18" t="inlineStr">
        <is>
          <t>No</t>
        </is>
      </c>
      <c r="N2289" s="18" t="inlineStr"/>
      <c r="O2289" s="18" t="inlineStr"/>
      <c r="P2289" s="18" t="inlineStr">
        <is>
          <t>internal-disciplinary-control-service/src/entities/termino-procesal.entity.ts:39: Puede venir vacío si aún no hay radicado visible</t>
        </is>
      </c>
      <c r="Q2289" s="18" t="inlineStr">
        <is>
          <t>Código fuente</t>
        </is>
      </c>
      <c r="R2289" s="18" t="inlineStr">
        <is>
          <t>Número de radicado del proceso; puede estar vacío si aún no hay radicado visible.</t>
        </is>
      </c>
      <c r="S2289" s="18" t="inlineStr">
        <is>
          <t>Alta</t>
        </is>
      </c>
      <c r="T2289" s="18" t="inlineStr">
        <is>
          <t>código: termino-procesal.entity.ts:39</t>
        </is>
      </c>
      <c r="U2289" s="18" t="inlineStr"/>
      <c r="V2289" s="19" t="inlineStr">
        <is>
          <t>Aprobada</t>
        </is>
      </c>
      <c r="W2289" s="19" t="inlineStr"/>
      <c r="X2289" s="19" t="inlineStr">
        <is>
          <t>Aldair González (aprobación en bloque)</t>
        </is>
      </c>
      <c r="Y2289" s="20" t="n">
        <v>46321</v>
      </c>
      <c r="Z2289" s="19" t="inlineStr">
        <is>
          <t>Nivel 1: propuesta del comentario del desarrollador o de confianza alta, o regla de fecha/responsable/motivo.</t>
        </is>
      </c>
      <c r="AA2289" s="18">
        <f>IF(OR(V2289="Aprobada"),R2289,IF(AND(OR(V2289="Aprobada con ajuste",V2289="Rechazada"),W2289&lt;&gt;""),W2289,""))</f>
        <v/>
      </c>
    </row>
    <row r="2290">
      <c r="A2290" s="18" t="inlineStr">
        <is>
          <t>C2289</t>
        </is>
      </c>
      <c r="B2290" s="18" t="inlineStr">
        <is>
          <t>Control disciplinario interno</t>
        </is>
      </c>
      <c r="C2290" s="18" t="inlineStr">
        <is>
          <t>internal_disciplinary_control</t>
        </is>
      </c>
      <c r="D2290" s="18" t="inlineStr">
        <is>
          <t>terminos_procesales</t>
        </is>
      </c>
      <c r="E2290" s="18" t="n">
        <v>23</v>
      </c>
      <c r="F2290" s="18" t="inlineStr">
        <is>
          <t>actuacion</t>
        </is>
      </c>
      <c r="G2290" s="18" t="inlineStr">
        <is>
          <t>character varying(200)</t>
        </is>
      </c>
      <c r="H2290" s="18" t="inlineStr">
        <is>
          <t>No</t>
        </is>
      </c>
      <c r="I2290" s="18" t="inlineStr"/>
      <c r="J2290" s="18" t="inlineStr"/>
      <c r="K2290" s="18" t="inlineStr"/>
      <c r="L2290" s="18" t="inlineStr">
        <is>
          <t>No</t>
        </is>
      </c>
      <c r="M2290" s="18" t="inlineStr">
        <is>
          <t>No</t>
        </is>
      </c>
      <c r="N2290" s="18" t="inlineStr"/>
      <c r="O2290" s="18" t="inlineStr"/>
      <c r="P2290" s="18" t="inlineStr">
        <is>
          <t>internal-disciplinary-control-service/src/entities/termino-procesal.entity.ts:42: Tipo de actuación procesal | Validación: IsNotEmpty, IsOptional, IsString</t>
        </is>
      </c>
      <c r="Q2290" s="18" t="inlineStr">
        <is>
          <t>Código fuente</t>
        </is>
      </c>
      <c r="R2290" s="18" t="inlineStr">
        <is>
          <t>Tipo de actuación procesal a la que corresponde el término.</t>
        </is>
      </c>
      <c r="S2290" s="18" t="inlineStr">
        <is>
          <t>Alta</t>
        </is>
      </c>
      <c r="T2290" s="18" t="inlineStr">
        <is>
          <t>código: termino-procesal.entity.ts:42</t>
        </is>
      </c>
      <c r="U2290" s="18" t="inlineStr"/>
      <c r="V2290" s="19" t="inlineStr">
        <is>
          <t>Aprobada</t>
        </is>
      </c>
      <c r="W2290" s="19" t="inlineStr"/>
      <c r="X2290" s="19" t="inlineStr">
        <is>
          <t>Aldair González (aprobación en bloque)</t>
        </is>
      </c>
      <c r="Y2290" s="20" t="n">
        <v>46321</v>
      </c>
      <c r="Z2290" s="19" t="inlineStr">
        <is>
          <t>Nivel 1: propuesta del comentario del desarrollador o de confianza alta, o regla de fecha/responsable/motivo.</t>
        </is>
      </c>
      <c r="AA2290" s="18">
        <f>IF(OR(V2290="Aprobada"),R2290,IF(AND(OR(V2290="Aprobada con ajuste",V2290="Rechazada"),W2290&lt;&gt;""),W2290,""))</f>
        <v/>
      </c>
    </row>
    <row r="2291">
      <c r="A2291" s="18" t="inlineStr">
        <is>
          <t>C2290</t>
        </is>
      </c>
      <c r="B2291" s="18" t="inlineStr">
        <is>
          <t>Control disciplinario interno</t>
        </is>
      </c>
      <c r="C2291" s="18" t="inlineStr">
        <is>
          <t>internal_disciplinary_control</t>
        </is>
      </c>
      <c r="D2291" s="18" t="inlineStr">
        <is>
          <t>terminos_procesales</t>
        </is>
      </c>
      <c r="E2291" s="18" t="n">
        <v>23</v>
      </c>
      <c r="F2291" s="18" t="inlineStr">
        <is>
          <t>responsable_id</t>
        </is>
      </c>
      <c r="G2291" s="18" t="inlineStr">
        <is>
          <t>uuid</t>
        </is>
      </c>
      <c r="H2291" s="18" t="inlineStr">
        <is>
          <t>No</t>
        </is>
      </c>
      <c r="I2291" s="18" t="inlineStr"/>
      <c r="J2291" s="18" t="inlineStr"/>
      <c r="K2291" s="18" t="inlineStr"/>
      <c r="L2291" s="18" t="inlineStr">
        <is>
          <t>No</t>
        </is>
      </c>
      <c r="M2291" s="18" t="inlineStr">
        <is>
          <t>No</t>
        </is>
      </c>
      <c r="N2291" s="18" t="inlineStr"/>
      <c r="O2291" s="18" t="inlineStr">
        <is>
          <t>IDX_terminos_responsable_id, idx_terminos_responsable</t>
        </is>
      </c>
      <c r="P2291" s="18" t="inlineStr">
        <is>
          <t>internal-disciplinary-control-service/src/entities/termino-procesal.entity.ts:45: FK a personas (tabla externa) | Validación: IsNotEmpty({ message: 'responsableId must not be empty' }), IsOptional, IsString({ message: 'responsableId must be a string' }), Matches(/^[0-9a-f]{8}-[0-9a-f]{4}-[0-9a-f]{4}-[0-9a-f]{4}-[0-9a-f]{12}$/i, {
    message: 'responsableId must be a valid UUID',
  })</t>
        </is>
      </c>
      <c r="Q2291" s="18" t="inlineStr">
        <is>
          <t>Código fuente</t>
        </is>
      </c>
      <c r="R2291" s="18" t="inlineStr">
        <is>
          <t>Identificador de la persona responsable del término (auth.personas).</t>
        </is>
      </c>
      <c r="S2291" s="18" t="inlineStr">
        <is>
          <t>Alta</t>
        </is>
      </c>
      <c r="T2291" s="18" t="inlineStr">
        <is>
          <t>código: termino-procesal.entity.ts:45</t>
        </is>
      </c>
      <c r="U2291" s="18" t="inlineStr"/>
      <c r="V2291" s="19" t="inlineStr">
        <is>
          <t>Aprobada</t>
        </is>
      </c>
      <c r="W2291" s="19" t="inlineStr"/>
      <c r="X2291" s="19" t="inlineStr">
        <is>
          <t>Aldair González (aprobación en bloque)</t>
        </is>
      </c>
      <c r="Y2291" s="20" t="n">
        <v>46321</v>
      </c>
      <c r="Z2291" s="19" t="inlineStr">
        <is>
          <t>Nivel 1: propuesta del comentario del desarrollador o de confianza alta, o regla de fecha/responsable/motivo.</t>
        </is>
      </c>
      <c r="AA2291" s="18">
        <f>IF(OR(V2291="Aprobada"),R2291,IF(AND(OR(V2291="Aprobada con ajuste",V2291="Rechazada"),W2291&lt;&gt;""),W2291,""))</f>
        <v/>
      </c>
    </row>
    <row r="2292">
      <c r="A2292" s="18" t="inlineStr">
        <is>
          <t>C2291</t>
        </is>
      </c>
      <c r="B2292" s="18" t="inlineStr">
        <is>
          <t>Control disciplinario interno</t>
        </is>
      </c>
      <c r="C2292" s="18" t="inlineStr">
        <is>
          <t>internal_disciplinary_control</t>
        </is>
      </c>
      <c r="D2292" s="18" t="inlineStr">
        <is>
          <t>terminos_procesales</t>
        </is>
      </c>
      <c r="E2292" s="18" t="n">
        <v>23</v>
      </c>
      <c r="F2292" s="18" t="inlineStr">
        <is>
          <t>responsable_nombre</t>
        </is>
      </c>
      <c r="G2292" s="18" t="inlineStr">
        <is>
          <t>character varying(200)</t>
        </is>
      </c>
      <c r="H2292" s="18" t="inlineStr">
        <is>
          <t>No</t>
        </is>
      </c>
      <c r="I2292" s="18" t="inlineStr"/>
      <c r="J2292" s="18" t="inlineStr"/>
      <c r="K2292" s="18" t="inlineStr"/>
      <c r="L2292" s="18" t="inlineStr">
        <is>
          <t>No</t>
        </is>
      </c>
      <c r="M2292" s="18" t="inlineStr">
        <is>
          <t>No</t>
        </is>
      </c>
      <c r="N2292" s="18" t="inlineStr"/>
      <c r="O2292" s="18" t="inlineStr"/>
      <c r="P2292" s="18" t="inlineStr">
        <is>
          <t>internal-disciplinary-control-service/src/entities/termino-procesal.entity.ts:48: Denormalizado para performance | Validación: IsNotEmpty, IsOptional, IsString, MaxLength(255)</t>
        </is>
      </c>
      <c r="Q2292" s="18" t="inlineStr">
        <is>
          <t>Código fuente</t>
        </is>
      </c>
      <c r="R2292" s="18" t="inlineStr">
        <is>
          <t>Nombre del responsable del término, copiado de la persona responsable.</t>
        </is>
      </c>
      <c r="S2292" s="18" t="inlineStr">
        <is>
          <t>Alta</t>
        </is>
      </c>
      <c r="T2292" s="18" t="inlineStr">
        <is>
          <t>código: termino-procesal.entity.ts:48</t>
        </is>
      </c>
      <c r="U2292" s="18" t="inlineStr"/>
      <c r="V2292" s="19" t="inlineStr">
        <is>
          <t>Aprobada</t>
        </is>
      </c>
      <c r="W2292" s="19" t="inlineStr"/>
      <c r="X2292" s="19" t="inlineStr">
        <is>
          <t>Aldair González (aprobación en bloque)</t>
        </is>
      </c>
      <c r="Y2292" s="20" t="n">
        <v>46321</v>
      </c>
      <c r="Z2292" s="19" t="inlineStr">
        <is>
          <t>Nivel 1: propuesta del comentario del desarrollador o de confianza alta, o regla de fecha/responsable/motivo.</t>
        </is>
      </c>
      <c r="AA2292" s="18">
        <f>IF(OR(V2292="Aprobada"),R2292,IF(AND(OR(V2292="Aprobada con ajuste",V2292="Rechazada"),W2292&lt;&gt;""),W2292,""))</f>
        <v/>
      </c>
    </row>
    <row r="2293">
      <c r="A2293" s="18" t="inlineStr">
        <is>
          <t>C2292</t>
        </is>
      </c>
      <c r="B2293" s="18" t="inlineStr">
        <is>
          <t>Control disciplinario interno</t>
        </is>
      </c>
      <c r="C2293" s="18" t="inlineStr">
        <is>
          <t>internal_disciplinary_control</t>
        </is>
      </c>
      <c r="D2293" s="18" t="inlineStr">
        <is>
          <t>terminos_procesales</t>
        </is>
      </c>
      <c r="E2293" s="18" t="n">
        <v>23</v>
      </c>
      <c r="F2293" s="18" t="inlineStr">
        <is>
          <t>email_responsable</t>
        </is>
      </c>
      <c r="G2293" s="18" t="inlineStr">
        <is>
          <t>character varying(100)</t>
        </is>
      </c>
      <c r="H2293" s="18" t="inlineStr">
        <is>
          <t>No</t>
        </is>
      </c>
      <c r="I2293" s="18" t="inlineStr"/>
      <c r="J2293" s="18" t="inlineStr"/>
      <c r="K2293" s="18" t="inlineStr"/>
      <c r="L2293" s="18" t="inlineStr">
        <is>
          <t>No</t>
        </is>
      </c>
      <c r="M2293" s="18" t="inlineStr">
        <is>
          <t>No</t>
        </is>
      </c>
      <c r="N2293" s="18" t="inlineStr"/>
      <c r="O2293" s="18" t="inlineStr"/>
      <c r="P2293" s="18" t="inlineStr">
        <is>
          <t>Mapeada en internal-disciplinary-control-service/src/entities/termino-procesal.entity.ts:51 (TerminoProcesal.emailResponsable)</t>
        </is>
      </c>
      <c r="Q2293" s="18" t="inlineStr">
        <is>
          <t>Propuesta semántica</t>
        </is>
      </c>
      <c r="R2293" s="18" t="inlineStr">
        <is>
          <t>Correo electrónico del responsable del término.</t>
        </is>
      </c>
      <c r="S2293" s="18" t="inlineStr">
        <is>
          <t>Alta</t>
        </is>
      </c>
      <c r="T2293" s="18" t="inlineStr">
        <is>
          <t>nombre + columnas vecinas (responsable_id, responsable_nombre)</t>
        </is>
      </c>
      <c r="U2293" s="18" t="inlineStr"/>
      <c r="V2293" s="19" t="inlineStr">
        <is>
          <t>Aprobada</t>
        </is>
      </c>
      <c r="W2293" s="19" t="inlineStr"/>
      <c r="X2293" s="19" t="inlineStr">
        <is>
          <t>Aldair González (aprobación en bloque)</t>
        </is>
      </c>
      <c r="Y2293" s="20" t="n">
        <v>46321</v>
      </c>
      <c r="Z2293" s="19" t="inlineStr">
        <is>
          <t>Nivel 1: propuesta del comentario del desarrollador o de confianza alta, o regla de fecha/responsable/motivo.</t>
        </is>
      </c>
      <c r="AA2293" s="18">
        <f>IF(OR(V2293="Aprobada"),R2293,IF(AND(OR(V2293="Aprobada con ajuste",V2293="Rechazada"),W2293&lt;&gt;""),W2293,""))</f>
        <v/>
      </c>
    </row>
    <row r="2294">
      <c r="A2294" s="18" t="inlineStr">
        <is>
          <t>C2293</t>
        </is>
      </c>
      <c r="B2294" s="18" t="inlineStr">
        <is>
          <t>Control disciplinario interno</t>
        </is>
      </c>
      <c r="C2294" s="18" t="inlineStr">
        <is>
          <t>internal_disciplinary_control</t>
        </is>
      </c>
      <c r="D2294" s="18" t="inlineStr">
        <is>
          <t>terminos_procesales</t>
        </is>
      </c>
      <c r="E2294" s="18" t="n">
        <v>23</v>
      </c>
      <c r="F2294" s="18" t="inlineStr">
        <is>
          <t>fecha_inicio</t>
        </is>
      </c>
      <c r="G2294" s="18" t="inlineStr">
        <is>
          <t>date</t>
        </is>
      </c>
      <c r="H2294" s="18" t="inlineStr">
        <is>
          <t>No</t>
        </is>
      </c>
      <c r="I2294" s="18" t="inlineStr"/>
      <c r="J2294" s="18" t="inlineStr"/>
      <c r="K2294" s="18" t="inlineStr"/>
      <c r="L2294" s="18" t="inlineStr">
        <is>
          <t>No</t>
        </is>
      </c>
      <c r="M2294" s="18" t="inlineStr">
        <is>
          <t>No</t>
        </is>
      </c>
      <c r="N2294" s="18" t="inlineStr"/>
      <c r="O2294" s="18" t="inlineStr"/>
      <c r="P2294" s="18" t="inlineStr">
        <is>
          <t>Mapeada en internal-disciplinary-control-service/src/entities/termino-procesal.entity.ts:54 (TerminoProcesal.fechaInicio) | Validación: IsDateString, IsNotEmpty, IsOptional</t>
        </is>
      </c>
      <c r="Q2294" s="18" t="inlineStr">
        <is>
          <t>Regla estructural (redacción revisada)</t>
        </is>
      </c>
      <c r="R2294" s="18" t="inlineStr">
        <is>
          <t>Fecha de inicio del término procesal.</t>
        </is>
      </c>
      <c r="S2294" s="18" t="inlineStr">
        <is>
          <t>Alta</t>
        </is>
      </c>
      <c r="T2294" s="18" t="inlineStr">
        <is>
          <t>Convención de nombre, redactada con el contexto de la tabla y el código.</t>
        </is>
      </c>
      <c r="U2294" s="18" t="inlineStr"/>
      <c r="V2294" s="19" t="inlineStr">
        <is>
          <t>Aprobada</t>
        </is>
      </c>
      <c r="W2294" s="19" t="inlineStr"/>
      <c r="X2294" s="19" t="inlineStr">
        <is>
          <t>Aldair González (aprobación en bloque)</t>
        </is>
      </c>
      <c r="Y2294" s="20" t="n">
        <v>46321</v>
      </c>
      <c r="Z2294" s="19" t="inlineStr">
        <is>
          <t>Nivel 2: regla estructural con redacción revisada.</t>
        </is>
      </c>
      <c r="AA2294" s="18">
        <f>IF(OR(V2294="Aprobada"),R2294,IF(AND(OR(V2294="Aprobada con ajuste",V2294="Rechazada"),W2294&lt;&gt;""),W2294,""))</f>
        <v/>
      </c>
    </row>
    <row r="2295">
      <c r="A2295" s="18" t="inlineStr">
        <is>
          <t>C2294</t>
        </is>
      </c>
      <c r="B2295" s="18" t="inlineStr">
        <is>
          <t>Control disciplinario interno</t>
        </is>
      </c>
      <c r="C2295" s="18" t="inlineStr">
        <is>
          <t>internal_disciplinary_control</t>
        </is>
      </c>
      <c r="D2295" s="18" t="inlineStr">
        <is>
          <t>terminos_procesales</t>
        </is>
      </c>
      <c r="E2295" s="18" t="n">
        <v>23</v>
      </c>
      <c r="F2295" s="18" t="inlineStr">
        <is>
          <t>dias_habiles</t>
        </is>
      </c>
      <c r="G2295" s="18" t="inlineStr">
        <is>
          <t>integer</t>
        </is>
      </c>
      <c r="H2295" s="18" t="inlineStr">
        <is>
          <t>No</t>
        </is>
      </c>
      <c r="I2295" s="18" t="inlineStr"/>
      <c r="J2295" s="18" t="inlineStr"/>
      <c r="K2295" s="18" t="inlineStr"/>
      <c r="L2295" s="18" t="inlineStr">
        <is>
          <t>No</t>
        </is>
      </c>
      <c r="M2295" s="18" t="inlineStr">
        <is>
          <t>No</t>
        </is>
      </c>
      <c r="N2295" s="18" t="inlineStr"/>
      <c r="O2295" s="18" t="inlineStr"/>
      <c r="P2295" s="18" t="inlineStr">
        <is>
          <t>internal-disciplinary-control-service/src/entities/termino-procesal.entity.ts:57: CHECK: &gt; 0 AND &lt;= 180 | Validación: IsInt, IsOptional, Max(180), Min(1)</t>
        </is>
      </c>
      <c r="Q2295" s="18" t="inlineStr">
        <is>
          <t>Código fuente</t>
        </is>
      </c>
      <c r="R2295" s="18" t="inlineStr">
        <is>
          <t>Número de días hábiles del término, mayor que 0 y hasta 180.</t>
        </is>
      </c>
      <c r="S2295" s="18" t="inlineStr">
        <is>
          <t>Alta</t>
        </is>
      </c>
      <c r="T2295" s="18" t="inlineStr">
        <is>
          <t>código: termino-procesal.entity.ts:57</t>
        </is>
      </c>
      <c r="U2295" s="18" t="inlineStr"/>
      <c r="V2295" s="19" t="inlineStr">
        <is>
          <t>Aprobada</t>
        </is>
      </c>
      <c r="W2295" s="19" t="inlineStr"/>
      <c r="X2295" s="19" t="inlineStr">
        <is>
          <t>Aldair González (aprobación en bloque)</t>
        </is>
      </c>
      <c r="Y2295" s="20" t="n">
        <v>46321</v>
      </c>
      <c r="Z2295" s="19" t="inlineStr">
        <is>
          <t>Nivel 1: propuesta del comentario del desarrollador o de confianza alta, o regla de fecha/responsable/motivo.</t>
        </is>
      </c>
      <c r="AA2295" s="18">
        <f>IF(OR(V2295="Aprobada"),R2295,IF(AND(OR(V2295="Aprobada con ajuste",V2295="Rechazada"),W2295&lt;&gt;""),W2295,""))</f>
        <v/>
      </c>
    </row>
    <row r="2296">
      <c r="A2296" s="18" t="inlineStr">
        <is>
          <t>C2295</t>
        </is>
      </c>
      <c r="B2296" s="18" t="inlineStr">
        <is>
          <t>Control disciplinario interno</t>
        </is>
      </c>
      <c r="C2296" s="18" t="inlineStr">
        <is>
          <t>internal_disciplinary_control</t>
        </is>
      </c>
      <c r="D2296" s="18" t="inlineStr">
        <is>
          <t>terminos_procesales</t>
        </is>
      </c>
      <c r="E2296" s="18" t="n">
        <v>23</v>
      </c>
      <c r="F2296" s="18" t="inlineStr">
        <is>
          <t>fecha_vencimiento</t>
        </is>
      </c>
      <c r="G2296" s="18" t="inlineStr">
        <is>
          <t>date</t>
        </is>
      </c>
      <c r="H2296" s="18" t="inlineStr">
        <is>
          <t>No</t>
        </is>
      </c>
      <c r="I2296" s="18" t="inlineStr"/>
      <c r="J2296" s="18" t="inlineStr"/>
      <c r="K2296" s="18" t="inlineStr"/>
      <c r="L2296" s="18" t="inlineStr">
        <is>
          <t>No</t>
        </is>
      </c>
      <c r="M2296" s="18" t="inlineStr">
        <is>
          <t>No</t>
        </is>
      </c>
      <c r="N2296" s="18" t="inlineStr"/>
      <c r="O2296" s="18" t="inlineStr">
        <is>
          <t>IDX_terminos_fecha_vencimiento, idx_terminos_fecha_vencimiento</t>
        </is>
      </c>
      <c r="P2296" s="18" t="inlineStr">
        <is>
          <t>Mapeada en internal-disciplinary-control-service/src/entities/termino-procesal.entity.ts:60 (TerminoProcesal.fechaVencimiento) | Validación: IsDateString, IsNotEmpty</t>
        </is>
      </c>
      <c r="Q2296" s="18" t="inlineStr">
        <is>
          <t>Regla estructural (redacción revisada)</t>
        </is>
      </c>
      <c r="R2296" s="18" t="inlineStr">
        <is>
          <t>Fecha de vencimiento del término procesal.</t>
        </is>
      </c>
      <c r="S2296" s="18" t="inlineStr">
        <is>
          <t>Alta</t>
        </is>
      </c>
      <c r="T2296" s="18" t="inlineStr">
        <is>
          <t>Convención de nombre, redactada con el contexto de la tabla y el código.</t>
        </is>
      </c>
      <c r="U2296" s="18" t="inlineStr"/>
      <c r="V2296" s="19" t="inlineStr">
        <is>
          <t>Aprobada</t>
        </is>
      </c>
      <c r="W2296" s="19" t="inlineStr"/>
      <c r="X2296" s="19" t="inlineStr">
        <is>
          <t>Aldair González (aprobación en bloque)</t>
        </is>
      </c>
      <c r="Y2296" s="20" t="n">
        <v>46321</v>
      </c>
      <c r="Z2296" s="19" t="inlineStr">
        <is>
          <t>Nivel 2: regla estructural con redacción revisada.</t>
        </is>
      </c>
      <c r="AA2296" s="18">
        <f>IF(OR(V2296="Aprobada"),R2296,IF(AND(OR(V2296="Aprobada con ajuste",V2296="Rechazada"),W2296&lt;&gt;""),W2296,""))</f>
        <v/>
      </c>
    </row>
    <row r="2297">
      <c r="A2297" s="18" t="inlineStr">
        <is>
          <t>C2296</t>
        </is>
      </c>
      <c r="B2297" s="18" t="inlineStr">
        <is>
          <t>Control disciplinario interno</t>
        </is>
      </c>
      <c r="C2297" s="18" t="inlineStr">
        <is>
          <t>internal_disciplinary_control</t>
        </is>
      </c>
      <c r="D2297" s="18" t="inlineStr">
        <is>
          <t>terminos_procesales</t>
        </is>
      </c>
      <c r="E2297" s="18" t="n">
        <v>23</v>
      </c>
      <c r="F2297" s="18" t="inlineStr">
        <is>
          <t>dias_restantes</t>
        </is>
      </c>
      <c r="G2297" s="18" t="inlineStr">
        <is>
          <t>integer</t>
        </is>
      </c>
      <c r="H2297" s="18" t="inlineStr">
        <is>
          <t>No</t>
        </is>
      </c>
      <c r="I2297" s="18" t="inlineStr"/>
      <c r="J2297" s="18" t="inlineStr"/>
      <c r="K2297" s="18" t="inlineStr"/>
      <c r="L2297" s="18" t="inlineStr">
        <is>
          <t>No</t>
        </is>
      </c>
      <c r="M2297" s="18" t="inlineStr">
        <is>
          <t>No</t>
        </is>
      </c>
      <c r="N2297" s="18" t="inlineStr"/>
      <c r="O2297" s="18" t="inlineStr">
        <is>
          <t>IDX_terminos_dias_restantes, idx_terminos_dias_restantes</t>
        </is>
      </c>
      <c r="P2297" s="18" t="inlineStr">
        <is>
          <t>internal-disciplinary-control-service/src/entities/termino-procesal.entity.ts:63: CHECK: &gt;= -365 (permite hasta 1 año vencido)</t>
        </is>
      </c>
      <c r="Q2297" s="18" t="inlineStr">
        <is>
          <t>Código fuente</t>
        </is>
      </c>
      <c r="R2297" s="18" t="inlineStr">
        <is>
          <t>Días que faltan para el vencimiento del término; negativo si está vencido, con mínimo de -365.</t>
        </is>
      </c>
      <c r="S2297" s="18" t="inlineStr">
        <is>
          <t>Alta</t>
        </is>
      </c>
      <c r="T2297" s="18" t="inlineStr">
        <is>
          <t>código: termino-procesal.entity.ts:63</t>
        </is>
      </c>
      <c r="U2297" s="18" t="inlineStr"/>
      <c r="V2297" s="19" t="inlineStr">
        <is>
          <t>Aprobada</t>
        </is>
      </c>
      <c r="W2297" s="19" t="inlineStr"/>
      <c r="X2297" s="19" t="inlineStr">
        <is>
          <t>Aldair González (aprobación en bloque)</t>
        </is>
      </c>
      <c r="Y2297" s="20" t="n">
        <v>46321</v>
      </c>
      <c r="Z2297" s="19" t="inlineStr">
        <is>
          <t>Nivel 1: propuesta del comentario del desarrollador o de confianza alta, o regla de fecha/responsable/motivo.</t>
        </is>
      </c>
      <c r="AA2297" s="18">
        <f>IF(OR(V2297="Aprobada"),R2297,IF(AND(OR(V2297="Aprobada con ajuste",V2297="Rechazada"),W2297&lt;&gt;""),W2297,""))</f>
        <v/>
      </c>
    </row>
    <row r="2298">
      <c r="A2298" s="18" t="inlineStr">
        <is>
          <t>C2297</t>
        </is>
      </c>
      <c r="B2298" s="18" t="inlineStr">
        <is>
          <t>Control disciplinario interno</t>
        </is>
      </c>
      <c r="C2298" s="18" t="inlineStr">
        <is>
          <t>internal_disciplinary_control</t>
        </is>
      </c>
      <c r="D2298" s="18" t="inlineStr">
        <is>
          <t>terminos_procesales</t>
        </is>
      </c>
      <c r="E2298" s="18" t="n">
        <v>23</v>
      </c>
      <c r="F2298" s="18" t="inlineStr">
        <is>
          <t>estado</t>
        </is>
      </c>
      <c r="G2298" s="18" t="inlineStr">
        <is>
          <t>internal_disciplinary_control.termino_estado_enum</t>
        </is>
      </c>
      <c r="H2298" s="18" t="inlineStr">
        <is>
          <t>No</t>
        </is>
      </c>
      <c r="I2298" s="18" t="inlineStr">
        <is>
          <t>Enumerado</t>
        </is>
      </c>
      <c r="J2298" s="18" t="inlineStr">
        <is>
          <t>pendiente, proximo_vencer, vencido, cumplido</t>
        </is>
      </c>
      <c r="K2298" s="18" t="inlineStr"/>
      <c r="L2298" s="18" t="inlineStr">
        <is>
          <t>Sí</t>
        </is>
      </c>
      <c r="M2298" s="18" t="inlineStr">
        <is>
          <t>No</t>
        </is>
      </c>
      <c r="N2298" s="18" t="inlineStr"/>
      <c r="O2298" s="18" t="inlineStr">
        <is>
          <t>IDX_terminos_estado, idx_terminos_estado</t>
        </is>
      </c>
      <c r="P2298" s="18" t="inlineStr">
        <is>
          <t>Mapeada en internal-disciplinary-control-service/src/entities/termino-procesal.entity.ts:66 (TerminoProcesal.estado) | Validación: IsBoolean, IsEnum(AutoStatus), IsEnum(EstadoAlerta), IsEnum(TerminoEstado), IsIn(['activo', 'inactivo']), IsOptional</t>
        </is>
      </c>
      <c r="Q2298" s="18" t="inlineStr">
        <is>
          <t>Regla estructural (redacción revisada)</t>
        </is>
      </c>
      <c r="R2298" s="18" t="inlineStr">
        <is>
          <t>Estado del término procesal (pendiente, próximo a vencer, vencido o cumplido).</t>
        </is>
      </c>
      <c r="S2298" s="18" t="inlineStr">
        <is>
          <t>Alta</t>
        </is>
      </c>
      <c r="T2298" s="18" t="inlineStr">
        <is>
          <t>Convención de nombre, redactada con el contexto de la tabla y el código.</t>
        </is>
      </c>
      <c r="U2298" s="18" t="inlineStr"/>
      <c r="V2298" s="19" t="inlineStr">
        <is>
          <t>Aprobada</t>
        </is>
      </c>
      <c r="W2298" s="19" t="inlineStr"/>
      <c r="X2298" s="19" t="inlineStr">
        <is>
          <t>Aldair González (aprobación en bloque)</t>
        </is>
      </c>
      <c r="Y2298" s="20" t="n">
        <v>46321</v>
      </c>
      <c r="Z2298" s="19" t="inlineStr">
        <is>
          <t>Nivel 2: regla estructural con redacción revisada.</t>
        </is>
      </c>
      <c r="AA2298" s="18">
        <f>IF(OR(V2298="Aprobada"),R2298,IF(AND(OR(V2298="Aprobada con ajuste",V2298="Rechazada"),W2298&lt;&gt;""),W2298,""))</f>
        <v/>
      </c>
    </row>
    <row r="2299">
      <c r="A2299" s="18" t="inlineStr">
        <is>
          <t>C2298</t>
        </is>
      </c>
      <c r="B2299" s="18" t="inlineStr">
        <is>
          <t>Control disciplinario interno</t>
        </is>
      </c>
      <c r="C2299" s="18" t="inlineStr">
        <is>
          <t>internal_disciplinary_control</t>
        </is>
      </c>
      <c r="D2299" s="18" t="inlineStr">
        <is>
          <t>terminos_procesales</t>
        </is>
      </c>
      <c r="E2299" s="18" t="n">
        <v>23</v>
      </c>
      <c r="F2299" s="18" t="inlineStr">
        <is>
          <t>alerta_enviada</t>
        </is>
      </c>
      <c r="G2299" s="18" t="inlineStr">
        <is>
          <t>boolean</t>
        </is>
      </c>
      <c r="H2299" s="18" t="inlineStr">
        <is>
          <t>No</t>
        </is>
      </c>
      <c r="I2299" s="18" t="inlineStr"/>
      <c r="J2299" s="18" t="inlineStr"/>
      <c r="K2299" s="18" t="inlineStr"/>
      <c r="L2299" s="18" t="inlineStr">
        <is>
          <t>No</t>
        </is>
      </c>
      <c r="M2299" s="18" t="inlineStr">
        <is>
          <t>No</t>
        </is>
      </c>
      <c r="N2299" s="18" t="inlineStr"/>
      <c r="O2299" s="18" t="inlineStr"/>
      <c r="P2299" s="18" t="inlineStr">
        <is>
          <t>Mapeada en internal-disciplinary-control-service/src/entities/termino-procesal.entity.ts:73 (TerminoProcesal.alertaEnviada)</t>
        </is>
      </c>
      <c r="Q2299" s="18" t="inlineStr">
        <is>
          <t>Regla estructural (redacción revisada)</t>
        </is>
      </c>
      <c r="R2299" s="18" t="inlineStr">
        <is>
          <t>Indica si se envió la alerta del término procesal.</t>
        </is>
      </c>
      <c r="S2299" s="18" t="inlineStr">
        <is>
          <t>Alta</t>
        </is>
      </c>
      <c r="T2299" s="18" t="inlineStr">
        <is>
          <t>Convención de nombre, redactada con el contexto de la tabla y el código.</t>
        </is>
      </c>
      <c r="U2299" s="18" t="inlineStr"/>
      <c r="V2299" s="19" t="inlineStr">
        <is>
          <t>Aprobada</t>
        </is>
      </c>
      <c r="W2299" s="19" t="inlineStr"/>
      <c r="X2299" s="19" t="inlineStr">
        <is>
          <t>Aldair González (aprobación en bloque)</t>
        </is>
      </c>
      <c r="Y2299" s="20" t="n">
        <v>46321</v>
      </c>
      <c r="Z2299" s="19" t="inlineStr">
        <is>
          <t>Nivel 2: regla estructural con redacción revisada.</t>
        </is>
      </c>
      <c r="AA2299" s="18">
        <f>IF(OR(V2299="Aprobada"),R2299,IF(AND(OR(V2299="Aprobada con ajuste",V2299="Rechazada"),W2299&lt;&gt;""),W2299,""))</f>
        <v/>
      </c>
    </row>
    <row r="2300">
      <c r="A2300" s="18" t="inlineStr">
        <is>
          <t>C2299</t>
        </is>
      </c>
      <c r="B2300" s="18" t="inlineStr">
        <is>
          <t>Control disciplinario interno</t>
        </is>
      </c>
      <c r="C2300" s="18" t="inlineStr">
        <is>
          <t>internal_disciplinary_control</t>
        </is>
      </c>
      <c r="D2300" s="18" t="inlineStr">
        <is>
          <t>terminos_procesales</t>
        </is>
      </c>
      <c r="E2300" s="18" t="n">
        <v>23</v>
      </c>
      <c r="F2300" s="18" t="inlineStr">
        <is>
          <t>fecha_cumplimiento</t>
        </is>
      </c>
      <c r="G2300" s="18" t="inlineStr">
        <is>
          <t>date</t>
        </is>
      </c>
      <c r="H2300" s="18" t="inlineStr">
        <is>
          <t>Sí</t>
        </is>
      </c>
      <c r="I2300" s="18" t="inlineStr"/>
      <c r="J2300" s="18" t="inlineStr"/>
      <c r="K2300" s="18" t="inlineStr"/>
      <c r="L2300" s="18" t="inlineStr">
        <is>
          <t>No</t>
        </is>
      </c>
      <c r="M2300" s="18" t="inlineStr">
        <is>
          <t>No</t>
        </is>
      </c>
      <c r="N2300" s="18" t="inlineStr"/>
      <c r="O2300" s="18" t="inlineStr"/>
      <c r="P2300" s="18" t="inlineStr">
        <is>
          <t>Mapeada en internal-disciplinary-control-service/src/entities/termino-procesal.entity.ts:76 (TerminoProcesal.fechaCumplimiento) | Validación: IsDateString, IsNotEmpty</t>
        </is>
      </c>
      <c r="Q2300" s="18" t="inlineStr">
        <is>
          <t>Regla estructural (redacción revisada)</t>
        </is>
      </c>
      <c r="R2300" s="18" t="inlineStr">
        <is>
          <t>Fecha en que se cumplió el término procesal.</t>
        </is>
      </c>
      <c r="S2300" s="18" t="inlineStr">
        <is>
          <t>Alta</t>
        </is>
      </c>
      <c r="T2300" s="18" t="inlineStr">
        <is>
          <t>Convención de nombre, redactada con el contexto de la tabla y el código.</t>
        </is>
      </c>
      <c r="U2300" s="18" t="inlineStr"/>
      <c r="V2300" s="19" t="inlineStr">
        <is>
          <t>Aprobada</t>
        </is>
      </c>
      <c r="W2300" s="19" t="inlineStr"/>
      <c r="X2300" s="19" t="inlineStr">
        <is>
          <t>Aldair González (aprobación en bloque)</t>
        </is>
      </c>
      <c r="Y2300" s="20" t="n">
        <v>46321</v>
      </c>
      <c r="Z2300" s="19" t="inlineStr">
        <is>
          <t>Nivel 2: regla estructural con redacción revisada.</t>
        </is>
      </c>
      <c r="AA2300" s="18">
        <f>IF(OR(V2300="Aprobada"),R2300,IF(AND(OR(V2300="Aprobada con ajuste",V2300="Rechazada"),W2300&lt;&gt;""),W2300,""))</f>
        <v/>
      </c>
    </row>
    <row r="2301">
      <c r="A2301" s="18" t="inlineStr">
        <is>
          <t>C2300</t>
        </is>
      </c>
      <c r="B2301" s="18" t="inlineStr">
        <is>
          <t>Control disciplinario interno</t>
        </is>
      </c>
      <c r="C2301" s="18" t="inlineStr">
        <is>
          <t>internal_disciplinary_control</t>
        </is>
      </c>
      <c r="D2301" s="18" t="inlineStr">
        <is>
          <t>terminos_procesales</t>
        </is>
      </c>
      <c r="E2301" s="18" t="n">
        <v>23</v>
      </c>
      <c r="F2301" s="18" t="inlineStr">
        <is>
          <t>observaciones</t>
        </is>
      </c>
      <c r="G2301" s="18" t="inlineStr">
        <is>
          <t>text</t>
        </is>
      </c>
      <c r="H2301" s="18" t="inlineStr">
        <is>
          <t>Sí</t>
        </is>
      </c>
      <c r="I2301" s="18" t="inlineStr"/>
      <c r="J2301" s="18" t="inlineStr"/>
      <c r="K2301" s="18" t="inlineStr"/>
      <c r="L2301" s="18" t="inlineStr">
        <is>
          <t>No</t>
        </is>
      </c>
      <c r="M2301" s="18" t="inlineStr">
        <is>
          <t>No</t>
        </is>
      </c>
      <c r="N2301" s="18" t="inlineStr"/>
      <c r="O2301" s="18" t="inlineStr"/>
      <c r="P2301" s="18" t="inlineStr">
        <is>
          <t>Mapeada en internal-disciplinary-control-service/src/entities/termino-procesal.entity.ts:79 (TerminoProcesal.observaciones) | Validación: IsNotEmpty, IsOptional, IsString</t>
        </is>
      </c>
      <c r="Q2301" s="18" t="inlineStr">
        <is>
          <t>Regla estructural (redacción revisada)</t>
        </is>
      </c>
      <c r="R2301" s="18" t="inlineStr">
        <is>
          <t>Observaciones sobre el término procesal.</t>
        </is>
      </c>
      <c r="S2301" s="18" t="inlineStr">
        <is>
          <t>Alta</t>
        </is>
      </c>
      <c r="T2301" s="18" t="inlineStr">
        <is>
          <t>Convención de nombre, redactada con el contexto de la tabla y el código.</t>
        </is>
      </c>
      <c r="U2301" s="18" t="inlineStr"/>
      <c r="V2301" s="19" t="inlineStr">
        <is>
          <t>Aprobada</t>
        </is>
      </c>
      <c r="W2301" s="19" t="inlineStr"/>
      <c r="X2301" s="19" t="inlineStr">
        <is>
          <t>Aldair González (aprobación en bloque)</t>
        </is>
      </c>
      <c r="Y2301" s="20" t="n">
        <v>46321</v>
      </c>
      <c r="Z2301" s="19" t="inlineStr">
        <is>
          <t>Nivel 2: regla estructural con redacción revisada.</t>
        </is>
      </c>
      <c r="AA2301" s="18">
        <f>IF(OR(V2301="Aprobada"),R2301,IF(AND(OR(V2301="Aprobada con ajuste",V2301="Rechazada"),W2301&lt;&gt;""),W2301,""))</f>
        <v/>
      </c>
    </row>
    <row r="2302">
      <c r="A2302" s="18" t="inlineStr">
        <is>
          <t>C2301</t>
        </is>
      </c>
      <c r="B2302" s="18" t="inlineStr">
        <is>
          <t>Control disciplinario interno</t>
        </is>
      </c>
      <c r="C2302" s="18" t="inlineStr">
        <is>
          <t>internal_disciplinary_control</t>
        </is>
      </c>
      <c r="D2302" s="18" t="inlineStr">
        <is>
          <t>terminos_procesales</t>
        </is>
      </c>
      <c r="E2302" s="18" t="n">
        <v>23</v>
      </c>
      <c r="F2302" s="18" t="inlineStr">
        <is>
          <t>creado_por_id</t>
        </is>
      </c>
      <c r="G2302" s="18" t="inlineStr">
        <is>
          <t>uuid</t>
        </is>
      </c>
      <c r="H2302" s="18" t="inlineStr">
        <is>
          <t>No</t>
        </is>
      </c>
      <c r="I2302" s="18" t="inlineStr"/>
      <c r="J2302" s="18" t="inlineStr"/>
      <c r="K2302" s="18" t="inlineStr"/>
      <c r="L2302" s="18" t="inlineStr">
        <is>
          <t>No</t>
        </is>
      </c>
      <c r="M2302" s="18" t="inlineStr">
        <is>
          <t>No</t>
        </is>
      </c>
      <c r="N2302" s="18" t="inlineStr"/>
      <c r="O2302" s="18" t="inlineStr"/>
      <c r="P2302" s="18" t="inlineStr">
        <is>
          <t>internal-disciplinary-control-service/src/entities/termino-procesal.entity.ts:82: FK a personas</t>
        </is>
      </c>
      <c r="Q2302" s="18" t="inlineStr">
        <is>
          <t>Código fuente</t>
        </is>
      </c>
      <c r="R2302" s="18" t="inlineStr">
        <is>
          <t>Identificador de la persona que registró el término (auth.personas).</t>
        </is>
      </c>
      <c r="S2302" s="18" t="inlineStr">
        <is>
          <t>Alta</t>
        </is>
      </c>
      <c r="T2302" s="18" t="inlineStr">
        <is>
          <t>código: termino-procesal.entity.ts:82</t>
        </is>
      </c>
      <c r="U2302" s="18" t="inlineStr"/>
      <c r="V2302" s="19" t="inlineStr">
        <is>
          <t>Aprobada</t>
        </is>
      </c>
      <c r="W2302" s="19" t="inlineStr"/>
      <c r="X2302" s="19" t="inlineStr">
        <is>
          <t>Aldair González (aprobación en bloque)</t>
        </is>
      </c>
      <c r="Y2302" s="20" t="n">
        <v>46321</v>
      </c>
      <c r="Z2302" s="19" t="inlineStr">
        <is>
          <t>Nivel 1: propuesta del comentario del desarrollador o de confianza alta, o regla de fecha/responsable/motivo.</t>
        </is>
      </c>
      <c r="AA2302" s="18">
        <f>IF(OR(V2302="Aprobada"),R2302,IF(AND(OR(V2302="Aprobada con ajuste",V2302="Rechazada"),W2302&lt;&gt;""),W2302,""))</f>
        <v/>
      </c>
    </row>
    <row r="2303">
      <c r="A2303" s="18" t="inlineStr">
        <is>
          <t>C2302</t>
        </is>
      </c>
      <c r="B2303" s="18" t="inlineStr">
        <is>
          <t>Requerimientos</t>
        </is>
      </c>
      <c r="C2303" s="18" t="inlineStr">
        <is>
          <t>requerimientos_oc</t>
        </is>
      </c>
      <c r="D2303" s="18" t="inlineStr">
        <is>
          <t>avances_hallazgo</t>
        </is>
      </c>
      <c r="E2303" s="18" t="n">
        <v>0</v>
      </c>
      <c r="F2303" s="18" t="inlineStr">
        <is>
          <t>fecha_reporte</t>
        </is>
      </c>
      <c r="G2303" s="18" t="inlineStr">
        <is>
          <t>timestamp without time zone</t>
        </is>
      </c>
      <c r="H2303" s="18" t="inlineStr">
        <is>
          <t>Sí</t>
        </is>
      </c>
      <c r="I2303" s="18" t="inlineStr"/>
      <c r="J2303" s="18" t="inlineStr"/>
      <c r="K2303" s="18" t="inlineStr"/>
      <c r="L2303" s="18" t="inlineStr">
        <is>
          <t>No</t>
        </is>
      </c>
      <c r="M2303" s="18" t="inlineStr">
        <is>
          <t>No</t>
        </is>
      </c>
      <c r="N2303" s="18" t="inlineStr"/>
      <c r="O2303" s="18" t="inlineStr">
        <is>
          <t>idx_avances_fecha</t>
        </is>
      </c>
      <c r="P2303" s="18" t="inlineStr"/>
      <c r="Q2303" s="18" t="inlineStr">
        <is>
          <t>Regla estructural (redacción revisada)</t>
        </is>
      </c>
      <c r="R2303" s="18" t="inlineStr">
        <is>
          <t>Fecha y hora del reporte de avance del hallazgo.</t>
        </is>
      </c>
      <c r="S2303" s="18" t="inlineStr">
        <is>
          <t>Alta</t>
        </is>
      </c>
      <c r="T2303" s="18" t="inlineStr">
        <is>
          <t>Convención de nombre, redactada con el contexto de la tabla y el código.</t>
        </is>
      </c>
      <c r="U2303" s="18" t="inlineStr"/>
      <c r="V2303" s="19" t="inlineStr">
        <is>
          <t>Aprobada</t>
        </is>
      </c>
      <c r="W2303" s="19" t="inlineStr"/>
      <c r="X2303" s="19" t="inlineStr">
        <is>
          <t>Aldair González (aprobación en bloque)</t>
        </is>
      </c>
      <c r="Y2303" s="20" t="n">
        <v>46321</v>
      </c>
      <c r="Z2303" s="19" t="inlineStr">
        <is>
          <t>Nivel 2: regla estructural con redacción revisada.</t>
        </is>
      </c>
      <c r="AA2303" s="18">
        <f>IF(OR(V2303="Aprobada"),R2303,IF(AND(OR(V2303="Aprobada con ajuste",V2303="Rechazada"),W2303&lt;&gt;""),W2303,""))</f>
        <v/>
      </c>
    </row>
    <row r="2304">
      <c r="A2304" s="18" t="inlineStr">
        <is>
          <t>C2303</t>
        </is>
      </c>
      <c r="B2304" s="18" t="inlineStr">
        <is>
          <t>Requerimientos</t>
        </is>
      </c>
      <c r="C2304" s="18" t="inlineStr">
        <is>
          <t>requerimientos_oc</t>
        </is>
      </c>
      <c r="D2304" s="18" t="inlineStr">
        <is>
          <t>avances_hallazgo</t>
        </is>
      </c>
      <c r="E2304" s="18" t="n">
        <v>0</v>
      </c>
      <c r="F2304" s="18" t="inlineStr">
        <is>
          <t>porcentaje_avance</t>
        </is>
      </c>
      <c r="G2304" s="18" t="inlineStr">
        <is>
          <t>integer</t>
        </is>
      </c>
      <c r="H2304" s="18" t="inlineStr">
        <is>
          <t>Sí</t>
        </is>
      </c>
      <c r="I2304" s="18" t="inlineStr">
        <is>
          <t>CHECK</t>
        </is>
      </c>
      <c r="J2304" s="18" t="inlineStr"/>
      <c r="K2304" s="18" t="inlineStr"/>
      <c r="L2304" s="18" t="inlineStr">
        <is>
          <t>No</t>
        </is>
      </c>
      <c r="M2304" s="18" t="inlineStr">
        <is>
          <t>No</t>
        </is>
      </c>
      <c r="N2304" s="18" t="inlineStr"/>
      <c r="O2304" s="18" t="inlineStr"/>
      <c r="P2304" s="18" t="inlineStr"/>
      <c r="Q2304" s="18" t="inlineStr">
        <is>
          <t>Propuesta semántica</t>
        </is>
      </c>
      <c r="R2304" s="18" t="inlineStr">
        <is>
          <t>Porcentaje de avance reportado para el hallazgo (0 a 100).</t>
        </is>
      </c>
      <c r="S2304" s="18" t="inlineStr">
        <is>
          <t>Alta</t>
        </is>
      </c>
      <c r="T2304" s="18" t="inlineStr">
        <is>
          <t>nombre + tipo + columnas vecinas</t>
        </is>
      </c>
      <c r="U2304" s="18" t="inlineStr"/>
      <c r="V2304" s="19" t="inlineStr">
        <is>
          <t>Aprobada</t>
        </is>
      </c>
      <c r="W2304" s="19" t="inlineStr"/>
      <c r="X2304" s="19" t="inlineStr">
        <is>
          <t>Aldair González (aprobación en bloque)</t>
        </is>
      </c>
      <c r="Y2304" s="20" t="n">
        <v>46321</v>
      </c>
      <c r="Z2304" s="19" t="inlineStr">
        <is>
          <t>Nivel 1: propuesta del comentario del desarrollador o de confianza alta, o regla de fecha/responsable/motivo.</t>
        </is>
      </c>
      <c r="AA2304" s="18">
        <f>IF(OR(V2304="Aprobada"),R2304,IF(AND(OR(V2304="Aprobada con ajuste",V2304="Rechazada"),W2304&lt;&gt;""),W2304,""))</f>
        <v/>
      </c>
    </row>
    <row r="2305">
      <c r="A2305" s="18" t="inlineStr">
        <is>
          <t>C2304</t>
        </is>
      </c>
      <c r="B2305" s="18" t="inlineStr">
        <is>
          <t>Requerimientos</t>
        </is>
      </c>
      <c r="C2305" s="18" t="inlineStr">
        <is>
          <t>requerimientos_oc</t>
        </is>
      </c>
      <c r="D2305" s="18" t="inlineStr">
        <is>
          <t>avances_hallazgo</t>
        </is>
      </c>
      <c r="E2305" s="18" t="n">
        <v>0</v>
      </c>
      <c r="F2305" s="18" t="inlineStr">
        <is>
          <t>descripcion_avance</t>
        </is>
      </c>
      <c r="G2305" s="18" t="inlineStr">
        <is>
          <t>text</t>
        </is>
      </c>
      <c r="H2305" s="18" t="inlineStr">
        <is>
          <t>No</t>
        </is>
      </c>
      <c r="I2305" s="18" t="inlineStr"/>
      <c r="J2305" s="18" t="inlineStr"/>
      <c r="K2305" s="18" t="inlineStr"/>
      <c r="L2305" s="18" t="inlineStr">
        <is>
          <t>No</t>
        </is>
      </c>
      <c r="M2305" s="18" t="inlineStr">
        <is>
          <t>No</t>
        </is>
      </c>
      <c r="N2305" s="18" t="inlineStr"/>
      <c r="O2305" s="18" t="inlineStr"/>
      <c r="P2305" s="18" t="inlineStr"/>
      <c r="Q2305" s="18" t="inlineStr">
        <is>
          <t>Propuesta semántica</t>
        </is>
      </c>
      <c r="R2305" s="18" t="inlineStr">
        <is>
          <t>Descripción del avance reportado.</t>
        </is>
      </c>
      <c r="S2305" s="18" t="inlineStr">
        <is>
          <t>Alta</t>
        </is>
      </c>
      <c r="T2305" s="18" t="inlineStr">
        <is>
          <t>nombre + tipo</t>
        </is>
      </c>
      <c r="U2305" s="18" t="inlineStr"/>
      <c r="V2305" s="19" t="inlineStr">
        <is>
          <t>Aprobada</t>
        </is>
      </c>
      <c r="W2305" s="19" t="inlineStr"/>
      <c r="X2305" s="19" t="inlineStr">
        <is>
          <t>Aldair González (aprobación en bloque)</t>
        </is>
      </c>
      <c r="Y2305" s="20" t="n">
        <v>46321</v>
      </c>
      <c r="Z2305" s="19" t="inlineStr">
        <is>
          <t>Nivel 1: propuesta del comentario del desarrollador o de confianza alta, o regla de fecha/responsable/motivo.</t>
        </is>
      </c>
      <c r="AA2305" s="18">
        <f>IF(OR(V2305="Aprobada"),R2305,IF(AND(OR(V2305="Aprobada con ajuste",V2305="Rechazada"),W2305&lt;&gt;""),W2305,""))</f>
        <v/>
      </c>
    </row>
    <row r="2306">
      <c r="A2306" s="18" t="inlineStr">
        <is>
          <t>C2305</t>
        </is>
      </c>
      <c r="B2306" s="18" t="inlineStr">
        <is>
          <t>Requerimientos</t>
        </is>
      </c>
      <c r="C2306" s="18" t="inlineStr">
        <is>
          <t>requerimientos_oc</t>
        </is>
      </c>
      <c r="D2306" s="18" t="inlineStr">
        <is>
          <t>avances_hallazgo</t>
        </is>
      </c>
      <c r="E2306" s="18" t="n">
        <v>0</v>
      </c>
      <c r="F2306" s="18" t="inlineStr">
        <is>
          <t>documentos_adjuntos_urls</t>
        </is>
      </c>
      <c r="G2306" s="18" t="inlineStr">
        <is>
          <t>text[]</t>
        </is>
      </c>
      <c r="H2306" s="18" t="inlineStr">
        <is>
          <t>Sí</t>
        </is>
      </c>
      <c r="I2306" s="18" t="inlineStr"/>
      <c r="J2306" s="18" t="inlineStr"/>
      <c r="K2306" s="18" t="inlineStr"/>
      <c r="L2306" s="18" t="inlineStr">
        <is>
          <t>No</t>
        </is>
      </c>
      <c r="M2306" s="18" t="inlineStr">
        <is>
          <t>No</t>
        </is>
      </c>
      <c r="N2306" s="18" t="inlineStr"/>
      <c r="O2306" s="18" t="inlineStr"/>
      <c r="P2306" s="18" t="inlineStr"/>
      <c r="Q2306" s="18" t="inlineStr">
        <is>
          <t>Propuesta semántica</t>
        </is>
      </c>
      <c r="R2306" s="18" t="inlineStr">
        <is>
          <t>Lista de URL de los documentos que soportan el avance.</t>
        </is>
      </c>
      <c r="S2306" s="18" t="inlineStr">
        <is>
          <t>Alta</t>
        </is>
      </c>
      <c r="T2306" s="18" t="inlineStr">
        <is>
          <t>nombre + tipo</t>
        </is>
      </c>
      <c r="U2306" s="18" t="inlineStr"/>
      <c r="V2306" s="19" t="inlineStr">
        <is>
          <t>Aprobada</t>
        </is>
      </c>
      <c r="W2306" s="19" t="inlineStr"/>
      <c r="X2306" s="19" t="inlineStr">
        <is>
          <t>Aldair González (aprobación en bloque)</t>
        </is>
      </c>
      <c r="Y2306" s="20" t="n">
        <v>46321</v>
      </c>
      <c r="Z2306" s="19" t="inlineStr">
        <is>
          <t>Nivel 1: propuesta del comentario del desarrollador o de confianza alta, o regla de fecha/responsable/motivo.</t>
        </is>
      </c>
      <c r="AA2306" s="18">
        <f>IF(OR(V2306="Aprobada"),R2306,IF(AND(OR(V2306="Aprobada con ajuste",V2306="Rechazada"),W2306&lt;&gt;""),W2306,""))</f>
        <v/>
      </c>
    </row>
    <row r="2307">
      <c r="A2307" s="18" t="inlineStr">
        <is>
          <t>C2306</t>
        </is>
      </c>
      <c r="B2307" s="18" t="inlineStr">
        <is>
          <t>Requerimientos</t>
        </is>
      </c>
      <c r="C2307" s="18" t="inlineStr">
        <is>
          <t>requerimientos_oc</t>
        </is>
      </c>
      <c r="D2307" s="18" t="inlineStr">
        <is>
          <t>avances_hallazgo</t>
        </is>
      </c>
      <c r="E2307" s="18" t="n">
        <v>0</v>
      </c>
      <c r="F2307" s="18" t="inlineStr">
        <is>
          <t>reportado_a_sireci</t>
        </is>
      </c>
      <c r="G2307" s="18" t="inlineStr">
        <is>
          <t>boolean</t>
        </is>
      </c>
      <c r="H2307" s="18" t="inlineStr">
        <is>
          <t>Sí</t>
        </is>
      </c>
      <c r="I2307" s="18" t="inlineStr"/>
      <c r="J2307" s="18" t="inlineStr"/>
      <c r="K2307" s="18" t="inlineStr"/>
      <c r="L2307" s="18" t="inlineStr">
        <is>
          <t>No</t>
        </is>
      </c>
      <c r="M2307" s="18" t="inlineStr">
        <is>
          <t>No</t>
        </is>
      </c>
      <c r="N2307" s="18" t="inlineStr"/>
      <c r="O2307" s="18" t="inlineStr"/>
      <c r="P2307" s="18" t="inlineStr"/>
      <c r="Q2307" s="18" t="inlineStr">
        <is>
          <t>Regla estructural (redacción revisada)</t>
        </is>
      </c>
      <c r="R2307" s="18" t="inlineStr">
        <is>
          <t>Indica si el avance se reportó a SIRECI.</t>
        </is>
      </c>
      <c r="S2307" s="18" t="inlineStr">
        <is>
          <t>Alta</t>
        </is>
      </c>
      <c r="T2307" s="18" t="inlineStr">
        <is>
          <t>Convención de nombre, redactada con el contexto de la tabla y el código.</t>
        </is>
      </c>
      <c r="U2307" s="18" t="inlineStr"/>
      <c r="V2307" s="19" t="inlineStr">
        <is>
          <t>Aprobada</t>
        </is>
      </c>
      <c r="W2307" s="19" t="inlineStr"/>
      <c r="X2307" s="19" t="inlineStr">
        <is>
          <t>Aldair González (aprobación en bloque)</t>
        </is>
      </c>
      <c r="Y2307" s="20" t="n">
        <v>46321</v>
      </c>
      <c r="Z2307" s="19" t="inlineStr">
        <is>
          <t>Nivel 2: regla estructural con redacción revisada.</t>
        </is>
      </c>
      <c r="AA2307" s="18">
        <f>IF(OR(V2307="Aprobada"),R2307,IF(AND(OR(V2307="Aprobada con ajuste",V2307="Rechazada"),W2307&lt;&gt;""),W2307,""))</f>
        <v/>
      </c>
    </row>
    <row r="2308">
      <c r="A2308" s="18" t="inlineStr">
        <is>
          <t>C2307</t>
        </is>
      </c>
      <c r="B2308" s="18" t="inlineStr">
        <is>
          <t>Requerimientos</t>
        </is>
      </c>
      <c r="C2308" s="18" t="inlineStr">
        <is>
          <t>requerimientos_oc</t>
        </is>
      </c>
      <c r="D2308" s="18" t="inlineStr">
        <is>
          <t>avances_hallazgo</t>
        </is>
      </c>
      <c r="E2308" s="18" t="n">
        <v>0</v>
      </c>
      <c r="F2308" s="18" t="inlineStr">
        <is>
          <t>fecha_reporte_sireci</t>
        </is>
      </c>
      <c r="G2308" s="18" t="inlineStr">
        <is>
          <t>timestamp without time zone</t>
        </is>
      </c>
      <c r="H2308" s="18" t="inlineStr">
        <is>
          <t>Sí</t>
        </is>
      </c>
      <c r="I2308" s="18" t="inlineStr"/>
      <c r="J2308" s="18" t="inlineStr"/>
      <c r="K2308" s="18" t="inlineStr"/>
      <c r="L2308" s="18" t="inlineStr">
        <is>
          <t>No</t>
        </is>
      </c>
      <c r="M2308" s="18" t="inlineStr">
        <is>
          <t>No</t>
        </is>
      </c>
      <c r="N2308" s="18" t="inlineStr"/>
      <c r="O2308" s="18" t="inlineStr"/>
      <c r="P2308" s="18" t="inlineStr"/>
      <c r="Q2308" s="18" t="inlineStr">
        <is>
          <t>Regla estructural (redacción revisada)</t>
        </is>
      </c>
      <c r="R2308" s="18" t="inlineStr">
        <is>
          <t>Fecha y hora del reporte del avance a SIRECI.</t>
        </is>
      </c>
      <c r="S2308" s="18" t="inlineStr">
        <is>
          <t>Alta</t>
        </is>
      </c>
      <c r="T2308" s="18" t="inlineStr">
        <is>
          <t>Convención de nombre, redactada con el contexto de la tabla y el código.</t>
        </is>
      </c>
      <c r="U2308" s="18" t="inlineStr"/>
      <c r="V2308" s="19" t="inlineStr">
        <is>
          <t>Aprobada</t>
        </is>
      </c>
      <c r="W2308" s="19" t="inlineStr"/>
      <c r="X2308" s="19" t="inlineStr">
        <is>
          <t>Aldair González (aprobación en bloque)</t>
        </is>
      </c>
      <c r="Y2308" s="20" t="n">
        <v>46321</v>
      </c>
      <c r="Z2308" s="19" t="inlineStr">
        <is>
          <t>Nivel 2: regla estructural con redacción revisada.</t>
        </is>
      </c>
      <c r="AA2308" s="18">
        <f>IF(OR(V2308="Aprobada"),R2308,IF(AND(OR(V2308="Aprobada con ajuste",V2308="Rechazada"),W2308&lt;&gt;""),W2308,""))</f>
        <v/>
      </c>
    </row>
    <row r="2309">
      <c r="A2309" s="18" t="inlineStr">
        <is>
          <t>C2308</t>
        </is>
      </c>
      <c r="B2309" s="18" t="inlineStr">
        <is>
          <t>Requerimientos</t>
        </is>
      </c>
      <c r="C2309" s="18" t="inlineStr">
        <is>
          <t>requerimientos_oc</t>
        </is>
      </c>
      <c r="D2309" s="18" t="inlineStr">
        <is>
          <t>avances_hallazgo</t>
        </is>
      </c>
      <c r="E2309" s="18" t="n">
        <v>0</v>
      </c>
      <c r="F2309" s="18" t="inlineStr">
        <is>
          <t>reportado_por</t>
        </is>
      </c>
      <c r="G2309" s="18" t="inlineStr">
        <is>
          <t>character varying(150)</t>
        </is>
      </c>
      <c r="H2309" s="18" t="inlineStr">
        <is>
          <t>Sí</t>
        </is>
      </c>
      <c r="I2309" s="18" t="inlineStr"/>
      <c r="J2309" s="18" t="inlineStr"/>
      <c r="K2309" s="18" t="inlineStr"/>
      <c r="L2309" s="18" t="inlineStr">
        <is>
          <t>No</t>
        </is>
      </c>
      <c r="M2309" s="18" t="inlineStr">
        <is>
          <t>No</t>
        </is>
      </c>
      <c r="N2309" s="18" t="inlineStr"/>
      <c r="O2309" s="18" t="inlineStr"/>
      <c r="P2309" s="18" t="inlineStr"/>
      <c r="Q2309" s="18" t="inlineStr">
        <is>
          <t>Código fuente (verificado)</t>
        </is>
      </c>
      <c r="R2309" s="18" t="inlineStr">
        <is>
          <t>Funcionario que reportó el avance.</t>
        </is>
      </c>
      <c r="S2309" s="18" t="inlineStr">
        <is>
          <t>Media</t>
        </is>
      </c>
      <c r="T2309" s="18" t="inlineStr">
        <is>
          <t>db/init/008_requerimientos_oc_ddl_20260129_215541.sql:77 varchar(150); ninguna entidad del backend mapea avances_hallazgo</t>
        </is>
      </c>
      <c r="U2309" s="18" t="inlineStr">
        <is>
          <t>¿Se guarda el nombre, el correo o el identificador del usuario? La tabla no tiene uso en el código.</t>
        </is>
      </c>
      <c r="V2309" s="19" t="inlineStr">
        <is>
          <t>Aprobada</t>
        </is>
      </c>
      <c r="W2309" s="19" t="inlineStr"/>
      <c r="X2309" s="19" t="inlineStr">
        <is>
          <t>Aldair González (validación del responsable de BD)</t>
        </is>
      </c>
      <c r="Y2309" s="20" t="n">
        <v>46321</v>
      </c>
      <c r="Z2309" s="19" t="inlineStr">
        <is>
          <t>Nivel 3: validada por decisión del responsable de la base de datos. Pregunta registrada para desarrollo: ¿Se guarda el nombre, el correo o el identificador del usuario? La tabla no tiene uso en el código.</t>
        </is>
      </c>
      <c r="AA2309" s="18">
        <f>IF(OR(V2309="Aprobada"),R2309,IF(AND(OR(V2309="Aprobada con ajuste",V2309="Rechazada"),W2309&lt;&gt;""),W2309,""))</f>
        <v/>
      </c>
    </row>
    <row r="2310">
      <c r="A2310" s="18" t="inlineStr">
        <is>
          <t>C2309</t>
        </is>
      </c>
      <c r="B2310" s="18" t="inlineStr">
        <is>
          <t>Requerimientos</t>
        </is>
      </c>
      <c r="C2310" s="18" t="inlineStr">
        <is>
          <t>requerimientos_oc</t>
        </is>
      </c>
      <c r="D2310" s="18" t="inlineStr">
        <is>
          <t>cat_organismos_control</t>
        </is>
      </c>
      <c r="E2310" s="18" t="n">
        <v>25</v>
      </c>
      <c r="F2310" s="18" t="inlineStr">
        <is>
          <t>nombre</t>
        </is>
      </c>
      <c r="G2310" s="18" t="inlineStr">
        <is>
          <t>character varying(255)</t>
        </is>
      </c>
      <c r="H2310" s="18" t="inlineStr">
        <is>
          <t>No</t>
        </is>
      </c>
      <c r="I2310" s="18" t="inlineStr">
        <is>
          <t>Única</t>
        </is>
      </c>
      <c r="J2310" s="18" t="inlineStr"/>
      <c r="K2310" s="18" t="inlineStr"/>
      <c r="L2310" s="18" t="inlineStr">
        <is>
          <t>Sí</t>
        </is>
      </c>
      <c r="M2310" s="18" t="inlineStr">
        <is>
          <t>No</t>
        </is>
      </c>
      <c r="N2310" s="18" t="inlineStr"/>
      <c r="O2310" s="18" t="inlineStr">
        <is>
          <t>cat_organismos_control_nombre_key</t>
        </is>
      </c>
      <c r="P2310" s="18" t="inlineStr">
        <is>
          <t>Mapeada en legal-management-service/src/entities/organismo-control.entity.ts:9 (OrganismoControl.nombre)</t>
        </is>
      </c>
      <c r="Q2310" s="18" t="inlineStr">
        <is>
          <t>Regla estructural (redacción revisada)</t>
        </is>
      </c>
      <c r="R2310" s="18" t="inlineStr">
        <is>
          <t>Nombre del organismo de control.</t>
        </is>
      </c>
      <c r="S2310" s="18" t="inlineStr">
        <is>
          <t>Alta</t>
        </is>
      </c>
      <c r="T2310" s="18" t="inlineStr">
        <is>
          <t>Convención de nombre, redactada con el contexto de la tabla y el código.</t>
        </is>
      </c>
      <c r="U2310" s="18" t="inlineStr"/>
      <c r="V2310" s="19" t="inlineStr">
        <is>
          <t>Aprobada</t>
        </is>
      </c>
      <c r="W2310" s="19" t="inlineStr"/>
      <c r="X2310" s="19" t="inlineStr">
        <is>
          <t>Aldair González (aprobación en bloque)</t>
        </is>
      </c>
      <c r="Y2310" s="20" t="n">
        <v>46321</v>
      </c>
      <c r="Z2310" s="19" t="inlineStr">
        <is>
          <t>Nivel 2: regla estructural con redacción revisada.</t>
        </is>
      </c>
      <c r="AA2310" s="18">
        <f>IF(OR(V2310="Aprobada"),R2310,IF(AND(OR(V2310="Aprobada con ajuste",V2310="Rechazada"),W2310&lt;&gt;""),W2310,""))</f>
        <v/>
      </c>
    </row>
    <row r="2311">
      <c r="A2311" s="18" t="inlineStr">
        <is>
          <t>C2310</t>
        </is>
      </c>
      <c r="B2311" s="18" t="inlineStr">
        <is>
          <t>Requerimientos</t>
        </is>
      </c>
      <c r="C2311" s="18" t="inlineStr">
        <is>
          <t>requerimientos_oc</t>
        </is>
      </c>
      <c r="D2311" s="18" t="inlineStr">
        <is>
          <t>cat_organismos_control</t>
        </is>
      </c>
      <c r="E2311" s="18" t="n">
        <v>25</v>
      </c>
      <c r="F2311" s="18" t="inlineStr">
        <is>
          <t>sigla</t>
        </is>
      </c>
      <c r="G2311" s="18" t="inlineStr">
        <is>
          <t>character varying(50)</t>
        </is>
      </c>
      <c r="H2311" s="18" t="inlineStr">
        <is>
          <t>No</t>
        </is>
      </c>
      <c r="I2311" s="18" t="inlineStr"/>
      <c r="J2311" s="18" t="inlineStr"/>
      <c r="K2311" s="18" t="inlineStr"/>
      <c r="L2311" s="18" t="inlineStr">
        <is>
          <t>Sí</t>
        </is>
      </c>
      <c r="M2311" s="18" t="inlineStr">
        <is>
          <t>No</t>
        </is>
      </c>
      <c r="N2311" s="18" t="inlineStr"/>
      <c r="O2311" s="18" t="inlineStr"/>
      <c r="P2311" s="18" t="inlineStr">
        <is>
          <t>Mapeada en legal-management-service/src/entities/organismo-control.entity.ts:12 (OrganismoControl.sigla)</t>
        </is>
      </c>
      <c r="Q2311" s="18" t="inlineStr">
        <is>
          <t>Propuesta semántica</t>
        </is>
      </c>
      <c r="R2311" s="18" t="inlineStr">
        <is>
          <t>Sigla del organismo de control.</t>
        </is>
      </c>
      <c r="S2311" s="18" t="inlineStr">
        <is>
          <t>Alta</t>
        </is>
      </c>
      <c r="T2311" s="18" t="inlineStr">
        <is>
          <t>nombre + tipo + descripción de la tabla</t>
        </is>
      </c>
      <c r="U2311" s="18" t="inlineStr"/>
      <c r="V2311" s="19" t="inlineStr">
        <is>
          <t>Aprobada</t>
        </is>
      </c>
      <c r="W2311" s="19" t="inlineStr"/>
      <c r="X2311" s="19" t="inlineStr">
        <is>
          <t>Aldair González (aprobación en bloque)</t>
        </is>
      </c>
      <c r="Y2311" s="20" t="n">
        <v>46321</v>
      </c>
      <c r="Z2311" s="19" t="inlineStr">
        <is>
          <t>Nivel 1: propuesta del comentario del desarrollador o de confianza alta, o regla de fecha/responsable/motivo.</t>
        </is>
      </c>
      <c r="AA2311" s="18">
        <f>IF(OR(V2311="Aprobada"),R2311,IF(AND(OR(V2311="Aprobada con ajuste",V2311="Rechazada"),W2311&lt;&gt;""),W2311,""))</f>
        <v/>
      </c>
    </row>
    <row r="2312">
      <c r="A2312" s="18" t="inlineStr">
        <is>
          <t>C2311</t>
        </is>
      </c>
      <c r="B2312" s="18" t="inlineStr">
        <is>
          <t>Requerimientos</t>
        </is>
      </c>
      <c r="C2312" s="18" t="inlineStr">
        <is>
          <t>requerimientos_oc</t>
        </is>
      </c>
      <c r="D2312" s="18" t="inlineStr">
        <is>
          <t>cat_organismos_control</t>
        </is>
      </c>
      <c r="E2312" s="18" t="n">
        <v>25</v>
      </c>
      <c r="F2312" s="18" t="inlineStr">
        <is>
          <t>tipo</t>
        </is>
      </c>
      <c r="G2312" s="18" t="inlineStr">
        <is>
          <t>character varying(50)</t>
        </is>
      </c>
      <c r="H2312" s="18" t="inlineStr">
        <is>
          <t>No</t>
        </is>
      </c>
      <c r="I2312" s="18" t="inlineStr"/>
      <c r="J2312" s="18" t="inlineStr"/>
      <c r="K2312" s="18" t="inlineStr"/>
      <c r="L2312" s="18" t="inlineStr">
        <is>
          <t>Sí</t>
        </is>
      </c>
      <c r="M2312" s="18" t="inlineStr">
        <is>
          <t>No</t>
        </is>
      </c>
      <c r="N2312" s="18" t="inlineStr"/>
      <c r="O2312" s="18" t="inlineStr"/>
      <c r="P2312" s="18" t="inlineStr">
        <is>
          <t>legal-management-service/src/entities/organismo-control.entity.ts:15: CONTRALORIA, PROCURADURIA, MINISTERIO, SUPERINTENDENCIA, OTROS | db/init/old/011_schema_organos_control.sql:14: CONTRALORIA, PROCURADURIA, MINISTERIO, SUPERINTENDENCIA, OTROS</t>
        </is>
      </c>
      <c r="Q2312" s="18" t="inlineStr">
        <is>
          <t>Código fuente</t>
        </is>
      </c>
      <c r="R2312" s="18" t="inlineStr">
        <is>
          <t>Tipo de organismo de control. Valores: CONTRALORIA, PROCURADURIA, MINISTERIO, SUPERINTENDENCIA, OTROS.</t>
        </is>
      </c>
      <c r="S2312" s="18" t="inlineStr">
        <is>
          <t>Alta</t>
        </is>
      </c>
      <c r="T2312" s="18" t="inlineStr">
        <is>
          <t>código: organismo-control.entity.ts:15</t>
        </is>
      </c>
      <c r="U2312" s="18" t="inlineStr"/>
      <c r="V2312" s="19" t="inlineStr">
        <is>
          <t>Aprobada</t>
        </is>
      </c>
      <c r="W2312" s="19" t="inlineStr"/>
      <c r="X2312" s="19" t="inlineStr">
        <is>
          <t>Aldair González (aprobación en bloque)</t>
        </is>
      </c>
      <c r="Y2312" s="20" t="n">
        <v>46321</v>
      </c>
      <c r="Z2312" s="19" t="inlineStr">
        <is>
          <t>Nivel 1: propuesta del comentario del desarrollador o de confianza alta, o regla de fecha/responsable/motivo.</t>
        </is>
      </c>
      <c r="AA2312" s="18">
        <f>IF(OR(V2312="Aprobada"),R2312,IF(AND(OR(V2312="Aprobada con ajuste",V2312="Rechazada"),W2312&lt;&gt;""),W2312,""))</f>
        <v/>
      </c>
    </row>
    <row r="2313">
      <c r="A2313" s="18" t="inlineStr">
        <is>
          <t>C2312</t>
        </is>
      </c>
      <c r="B2313" s="18" t="inlineStr">
        <is>
          <t>Requerimientos</t>
        </is>
      </c>
      <c r="C2313" s="18" t="inlineStr">
        <is>
          <t>requerimientos_oc</t>
        </is>
      </c>
      <c r="D2313" s="18" t="inlineStr">
        <is>
          <t>cat_organismos_control</t>
        </is>
      </c>
      <c r="E2313" s="18" t="n">
        <v>25</v>
      </c>
      <c r="F2313" s="18" t="inlineStr">
        <is>
          <t>nivel</t>
        </is>
      </c>
      <c r="G2313" s="18" t="inlineStr">
        <is>
          <t>character varying(50)</t>
        </is>
      </c>
      <c r="H2313" s="18" t="inlineStr">
        <is>
          <t>No</t>
        </is>
      </c>
      <c r="I2313" s="18" t="inlineStr"/>
      <c r="J2313" s="18" t="inlineStr"/>
      <c r="K2313" s="18" t="inlineStr"/>
      <c r="L2313" s="18" t="inlineStr">
        <is>
          <t>Sí</t>
        </is>
      </c>
      <c r="M2313" s="18" t="inlineStr">
        <is>
          <t>No</t>
        </is>
      </c>
      <c r="N2313" s="18" t="inlineStr"/>
      <c r="O2313" s="18" t="inlineStr"/>
      <c r="P2313" s="18" t="inlineStr">
        <is>
          <t>legal-management-service/src/entities/organismo-control.entity.ts:18: NACIONAL, DEPARTAMENTAL, MUNICIPAL | db/init/old/011_schema_organos_control.sql:15: NACIONAL, DEPARTAMENTAL, MUNICIPAL</t>
        </is>
      </c>
      <c r="Q2313" s="18" t="inlineStr">
        <is>
          <t>Código fuente</t>
        </is>
      </c>
      <c r="R2313" s="18" t="inlineStr">
        <is>
          <t>Nivel territorial del organismo de control. Valores: NACIONAL, DEPARTAMENTAL, MUNICIPAL.</t>
        </is>
      </c>
      <c r="S2313" s="18" t="inlineStr">
        <is>
          <t>Alta</t>
        </is>
      </c>
      <c r="T2313" s="18" t="inlineStr">
        <is>
          <t>código: organismo-control.entity.ts:18</t>
        </is>
      </c>
      <c r="U2313" s="18" t="inlineStr"/>
      <c r="V2313" s="19" t="inlineStr">
        <is>
          <t>Aprobada</t>
        </is>
      </c>
      <c r="W2313" s="19" t="inlineStr"/>
      <c r="X2313" s="19" t="inlineStr">
        <is>
          <t>Aldair González (aprobación en bloque)</t>
        </is>
      </c>
      <c r="Y2313" s="20" t="n">
        <v>46321</v>
      </c>
      <c r="Z2313" s="19" t="inlineStr">
        <is>
          <t>Nivel 1: propuesta del comentario del desarrollador o de confianza alta, o regla de fecha/responsable/motivo.</t>
        </is>
      </c>
      <c r="AA2313" s="18">
        <f>IF(OR(V2313="Aprobada"),R2313,IF(AND(OR(V2313="Aprobada con ajuste",V2313="Rechazada"),W2313&lt;&gt;""),W2313,""))</f>
        <v/>
      </c>
    </row>
    <row r="2314">
      <c r="A2314" s="18" t="inlineStr">
        <is>
          <t>C2313</t>
        </is>
      </c>
      <c r="B2314" s="18" t="inlineStr">
        <is>
          <t>Requerimientos</t>
        </is>
      </c>
      <c r="C2314" s="18" t="inlineStr">
        <is>
          <t>requerimientos_oc</t>
        </is>
      </c>
      <c r="D2314" s="18" t="inlineStr">
        <is>
          <t>cat_organismos_control</t>
        </is>
      </c>
      <c r="E2314" s="18" t="n">
        <v>25</v>
      </c>
      <c r="F2314" s="18" t="inlineStr">
        <is>
          <t>activo</t>
        </is>
      </c>
      <c r="G2314" s="18" t="inlineStr">
        <is>
          <t>boolean</t>
        </is>
      </c>
      <c r="H2314" s="18" t="inlineStr">
        <is>
          <t>Sí</t>
        </is>
      </c>
      <c r="I2314" s="18" t="inlineStr"/>
      <c r="J2314" s="18" t="inlineStr"/>
      <c r="K2314" s="18" t="inlineStr"/>
      <c r="L2314" s="18" t="inlineStr">
        <is>
          <t>Sí</t>
        </is>
      </c>
      <c r="M2314" s="18" t="inlineStr">
        <is>
          <t>No</t>
        </is>
      </c>
      <c r="N2314" s="18" t="inlineStr"/>
      <c r="O2314" s="18" t="inlineStr"/>
      <c r="P2314" s="18" t="inlineStr">
        <is>
          <t>Mapeada en legal-management-service/src/entities/organismo-control.entity.ts:21 (OrganismoControl.activo)</t>
        </is>
      </c>
      <c r="Q2314" s="18" t="inlineStr">
        <is>
          <t>Regla estructural (redacción revisada)</t>
        </is>
      </c>
      <c r="R2314" s="18" t="inlineStr">
        <is>
          <t>Indica si el organismo de control está activo.</t>
        </is>
      </c>
      <c r="S2314" s="18" t="inlineStr">
        <is>
          <t>Alta</t>
        </is>
      </c>
      <c r="T2314" s="18" t="inlineStr">
        <is>
          <t>Convención de nombre, redactada con el contexto de la tabla y el código.</t>
        </is>
      </c>
      <c r="U2314" s="18" t="inlineStr"/>
      <c r="V2314" s="19" t="inlineStr">
        <is>
          <t>Aprobada</t>
        </is>
      </c>
      <c r="W2314" s="19" t="inlineStr"/>
      <c r="X2314" s="19" t="inlineStr">
        <is>
          <t>Aldair González (aprobación en bloque)</t>
        </is>
      </c>
      <c r="Y2314" s="20" t="n">
        <v>46321</v>
      </c>
      <c r="Z2314" s="19" t="inlineStr">
        <is>
          <t>Nivel 2: regla estructural con redacción revisada.</t>
        </is>
      </c>
      <c r="AA2314" s="18">
        <f>IF(OR(V2314="Aprobada"),R2314,IF(AND(OR(V2314="Aprobada con ajuste",V2314="Rechazada"),W2314&lt;&gt;""),W2314,""))</f>
        <v/>
      </c>
    </row>
    <row r="2315">
      <c r="A2315" s="18" t="inlineStr">
        <is>
          <t>C2314</t>
        </is>
      </c>
      <c r="B2315" s="18" t="inlineStr">
        <is>
          <t>Requerimientos</t>
        </is>
      </c>
      <c r="C2315" s="18" t="inlineStr">
        <is>
          <t>requerimientos_oc</t>
        </is>
      </c>
      <c r="D2315" s="18" t="inlineStr">
        <is>
          <t>hallazgos</t>
        </is>
      </c>
      <c r="E2315" s="18" t="n">
        <v>2</v>
      </c>
      <c r="F2315" s="18" t="inlineStr">
        <is>
          <t>codigo_hallazgo</t>
        </is>
      </c>
      <c r="G2315" s="18" t="inlineStr">
        <is>
          <t>character varying(50)</t>
        </is>
      </c>
      <c r="H2315" s="18" t="inlineStr">
        <is>
          <t>No</t>
        </is>
      </c>
      <c r="I2315" s="18" t="inlineStr">
        <is>
          <t>Única</t>
        </is>
      </c>
      <c r="J2315" s="18" t="inlineStr"/>
      <c r="K2315" s="18" t="inlineStr"/>
      <c r="L2315" s="18" t="inlineStr">
        <is>
          <t>No</t>
        </is>
      </c>
      <c r="M2315" s="18" t="inlineStr">
        <is>
          <t>No</t>
        </is>
      </c>
      <c r="N2315" s="18" t="inlineStr"/>
      <c r="O2315" s="18" t="inlineStr">
        <is>
          <t>hallazgos_codigo_hallazgo_key</t>
        </is>
      </c>
      <c r="P2315" s="18" t="inlineStr"/>
      <c r="Q2315" s="18" t="inlineStr">
        <is>
          <t>Código fuente (verificado)</t>
        </is>
      </c>
      <c r="R2315" s="18" t="inlineStr">
        <is>
          <t>Código único del hallazgo asignado por el organismo de control.</t>
        </is>
      </c>
      <c r="S2315" s="18" t="inlineStr">
        <is>
          <t>Alta</t>
        </is>
      </c>
      <c r="T2315" s="18" t="inlineStr">
        <is>
          <t>db/migrations/old/039_expand_organos_control.sql:36 código asignado por la Contraloría | db/init/008_requerimientos_oc_ddl_20260129_215541.sql:319 UNIQUE</t>
        </is>
      </c>
      <c r="U2315" s="18" t="inlineStr"/>
      <c r="V2315" s="19" t="inlineStr">
        <is>
          <t>Aprobada</t>
        </is>
      </c>
      <c r="W2315" s="19" t="inlineStr"/>
      <c r="X2315" s="19" t="inlineStr">
        <is>
          <t>Aldair González (aprobación en bloque)</t>
        </is>
      </c>
      <c r="Y2315" s="20" t="n">
        <v>46321</v>
      </c>
      <c r="Z2315" s="19" t="inlineStr">
        <is>
          <t>Nivel 3: verificada con el código de la aplicación.</t>
        </is>
      </c>
      <c r="AA2315" s="18">
        <f>IF(OR(V2315="Aprobada"),R2315,IF(AND(OR(V2315="Aprobada con ajuste",V2315="Rechazada"),W2315&lt;&gt;""),W2315,""))</f>
        <v/>
      </c>
    </row>
    <row r="2316">
      <c r="A2316" s="18" t="inlineStr">
        <is>
          <t>C2315</t>
        </is>
      </c>
      <c r="B2316" s="18" t="inlineStr">
        <is>
          <t>Requerimientos</t>
        </is>
      </c>
      <c r="C2316" s="18" t="inlineStr">
        <is>
          <t>requerimientos_oc</t>
        </is>
      </c>
      <c r="D2316" s="18" t="inlineStr">
        <is>
          <t>hallazgos</t>
        </is>
      </c>
      <c r="E2316" s="18" t="n">
        <v>2</v>
      </c>
      <c r="F2316" s="18" t="inlineStr">
        <is>
          <t>numero_interno</t>
        </is>
      </c>
      <c r="G2316" s="18" t="inlineStr">
        <is>
          <t>character varying(50)</t>
        </is>
      </c>
      <c r="H2316" s="18" t="inlineStr">
        <is>
          <t>Sí</t>
        </is>
      </c>
      <c r="I2316" s="18" t="inlineStr"/>
      <c r="J2316" s="18" t="inlineStr"/>
      <c r="K2316" s="18" t="inlineStr"/>
      <c r="L2316" s="18" t="inlineStr">
        <is>
          <t>No</t>
        </is>
      </c>
      <c r="M2316" s="18" t="inlineStr">
        <is>
          <t>No</t>
        </is>
      </c>
      <c r="N2316" s="18" t="inlineStr"/>
      <c r="O2316" s="18" t="inlineStr"/>
      <c r="P2316" s="18" t="inlineStr"/>
      <c r="Q2316" s="18" t="inlineStr">
        <is>
          <t>Código fuente (verificado)</t>
        </is>
      </c>
      <c r="R2316" s="18" t="inlineStr">
        <is>
          <t>Número interno del hallazgo en la ESAP. Si no se informa, lo genera un trigger con el formato HAL-ESAP-&lt;año&gt;-&lt;consecutivo de 4 dígitos&gt;; codigo_hallazgo es el código del organismo de control.</t>
        </is>
      </c>
      <c r="S2316" s="18" t="inlineStr">
        <is>
          <t>Alta</t>
        </is>
      </c>
      <c r="T2316" s="18" t="inlineStr">
        <is>
          <t>db/init/008_requerimientos_oc_ddl_20260129_215541.sql:34 generar_numero_hallazgo: HAL-ESAP-año-consecutivo | db/init/008_requerimientos_oc_ddl_20260129_215541.sql:471 trigger BEFORE INSERT | db/migrations/old/039_expand_organos_control.sql:37 numeración interna ESAP</t>
        </is>
      </c>
      <c r="U2316" s="18" t="inlineStr"/>
      <c r="V2316" s="19" t="inlineStr">
        <is>
          <t>Aprobada</t>
        </is>
      </c>
      <c r="W2316" s="19" t="inlineStr"/>
      <c r="X2316" s="19" t="inlineStr">
        <is>
          <t>Aldair González (aprobación en bloque)</t>
        </is>
      </c>
      <c r="Y2316" s="20" t="n">
        <v>46321</v>
      </c>
      <c r="Z2316" s="19" t="inlineStr">
        <is>
          <t>Nivel 3: verificada con el código de la aplicación.</t>
        </is>
      </c>
      <c r="AA2316" s="18">
        <f>IF(OR(V2316="Aprobada"),R2316,IF(AND(OR(V2316="Aprobada con ajuste",V2316="Rechazada"),W2316&lt;&gt;""),W2316,""))</f>
        <v/>
      </c>
    </row>
    <row r="2317">
      <c r="A2317" s="18" t="inlineStr">
        <is>
          <t>C2316</t>
        </is>
      </c>
      <c r="B2317" s="18" t="inlineStr">
        <is>
          <t>Requerimientos</t>
        </is>
      </c>
      <c r="C2317" s="18" t="inlineStr">
        <is>
          <t>requerimientos_oc</t>
        </is>
      </c>
      <c r="D2317" s="18" t="inlineStr">
        <is>
          <t>hallazgos</t>
        </is>
      </c>
      <c r="E2317" s="18" t="n">
        <v>2</v>
      </c>
      <c r="F2317" s="18" t="inlineStr">
        <is>
          <t>tipo_hallazgo</t>
        </is>
      </c>
      <c r="G2317" s="18" t="inlineStr">
        <is>
          <t>character varying(30)</t>
        </is>
      </c>
      <c r="H2317" s="18" t="inlineStr">
        <is>
          <t>Sí</t>
        </is>
      </c>
      <c r="I2317" s="18" t="inlineStr">
        <is>
          <t>CHECK</t>
        </is>
      </c>
      <c r="J2317" s="18" t="inlineStr">
        <is>
          <t>ADMINISTRATIVO, DISCIPLINARIO, FISCAL, PENAL</t>
        </is>
      </c>
      <c r="K2317" s="18" t="inlineStr"/>
      <c r="L2317" s="18" t="inlineStr">
        <is>
          <t>Sí</t>
        </is>
      </c>
      <c r="M2317" s="18" t="inlineStr">
        <is>
          <t>No</t>
        </is>
      </c>
      <c r="N2317" s="18" t="inlineStr"/>
      <c r="O2317" s="18" t="inlineStr"/>
      <c r="P2317" s="18" t="inlineStr"/>
      <c r="Q2317" s="18" t="inlineStr">
        <is>
          <t>Propuesta semántica</t>
        </is>
      </c>
      <c r="R2317" s="18" t="inlineStr">
        <is>
          <t>Tipo de hallazgo según su incidencia. Valores permitidos: ADMINISTRATIVO, DISCIPLINARIO, FISCAL, PENAL. Por defecto, ADMINISTRATIVO.</t>
        </is>
      </c>
      <c r="S2317" s="18" t="inlineStr">
        <is>
          <t>Alta</t>
        </is>
      </c>
      <c r="T2317" s="18" t="inlineStr">
        <is>
          <t>valores permitidos del CHECK</t>
        </is>
      </c>
      <c r="U2317" s="18" t="inlineStr"/>
      <c r="V2317" s="19" t="inlineStr">
        <is>
          <t>Aprobada</t>
        </is>
      </c>
      <c r="W2317" s="19" t="inlineStr"/>
      <c r="X2317" s="19" t="inlineStr">
        <is>
          <t>Aldair González (aprobación en bloque)</t>
        </is>
      </c>
      <c r="Y2317" s="20" t="n">
        <v>46321</v>
      </c>
      <c r="Z2317" s="19" t="inlineStr">
        <is>
          <t>Nivel 1: propuesta del comentario del desarrollador o de confianza alta, o regla de fecha/responsable/motivo.</t>
        </is>
      </c>
      <c r="AA2317" s="18">
        <f>IF(OR(V2317="Aprobada"),R2317,IF(AND(OR(V2317="Aprobada con ajuste",V2317="Rechazada"),W2317&lt;&gt;""),W2317,""))</f>
        <v/>
      </c>
    </row>
    <row r="2318">
      <c r="A2318" s="18" t="inlineStr">
        <is>
          <t>C2317</t>
        </is>
      </c>
      <c r="B2318" s="18" t="inlineStr">
        <is>
          <t>Requerimientos</t>
        </is>
      </c>
      <c r="C2318" s="18" t="inlineStr">
        <is>
          <t>requerimientos_oc</t>
        </is>
      </c>
      <c r="D2318" s="18" t="inlineStr">
        <is>
          <t>hallazgos</t>
        </is>
      </c>
      <c r="E2318" s="18" t="n">
        <v>2</v>
      </c>
      <c r="F2318" s="18" t="inlineStr">
        <is>
          <t>titulo</t>
        </is>
      </c>
      <c r="G2318" s="18" t="inlineStr">
        <is>
          <t>character varying(300)</t>
        </is>
      </c>
      <c r="H2318" s="18" t="inlineStr">
        <is>
          <t>No</t>
        </is>
      </c>
      <c r="I2318" s="18" t="inlineStr"/>
      <c r="J2318" s="18" t="inlineStr"/>
      <c r="K2318" s="18" t="inlineStr"/>
      <c r="L2318" s="18" t="inlineStr">
        <is>
          <t>No</t>
        </is>
      </c>
      <c r="M2318" s="18" t="inlineStr">
        <is>
          <t>Sí</t>
        </is>
      </c>
      <c r="N2318" s="18" t="inlineStr">
        <is>
          <t>Vista control_interno.v_auditorias_kanban_completo</t>
        </is>
      </c>
      <c r="O2318" s="18" t="inlineStr"/>
      <c r="P2318" s="18" t="inlineStr"/>
      <c r="Q2318" s="18" t="inlineStr">
        <is>
          <t>Propuesta semántica</t>
        </is>
      </c>
      <c r="R2318" s="18" t="inlineStr">
        <is>
          <t>Título del hallazgo.</t>
        </is>
      </c>
      <c r="S2318" s="18" t="inlineStr">
        <is>
          <t>Alta</t>
        </is>
      </c>
      <c r="T2318" s="18" t="inlineStr">
        <is>
          <t>nombre + tipo</t>
        </is>
      </c>
      <c r="U2318" s="18" t="inlineStr"/>
      <c r="V2318" s="19" t="inlineStr">
        <is>
          <t>Aprobada</t>
        </is>
      </c>
      <c r="W2318" s="19" t="inlineStr"/>
      <c r="X2318" s="19" t="inlineStr">
        <is>
          <t>Aldair González (aprobación en bloque)</t>
        </is>
      </c>
      <c r="Y2318" s="20" t="n">
        <v>46321</v>
      </c>
      <c r="Z2318" s="19" t="inlineStr">
        <is>
          <t>Nivel 1: propuesta del comentario del desarrollador o de confianza alta, o regla de fecha/responsable/motivo.</t>
        </is>
      </c>
      <c r="AA2318" s="18">
        <f>IF(OR(V2318="Aprobada"),R2318,IF(AND(OR(V2318="Aprobada con ajuste",V2318="Rechazada"),W2318&lt;&gt;""),W2318,""))</f>
        <v/>
      </c>
    </row>
    <row r="2319">
      <c r="A2319" s="18" t="inlineStr">
        <is>
          <t>C2318</t>
        </is>
      </c>
      <c r="B2319" s="18" t="inlineStr">
        <is>
          <t>Requerimientos</t>
        </is>
      </c>
      <c r="C2319" s="18" t="inlineStr">
        <is>
          <t>requerimientos_oc</t>
        </is>
      </c>
      <c r="D2319" s="18" t="inlineStr">
        <is>
          <t>hallazgos</t>
        </is>
      </c>
      <c r="E2319" s="18" t="n">
        <v>2</v>
      </c>
      <c r="F2319" s="18" t="inlineStr">
        <is>
          <t>descripcion</t>
        </is>
      </c>
      <c r="G2319" s="18" t="inlineStr">
        <is>
          <t>text</t>
        </is>
      </c>
      <c r="H2319" s="18" t="inlineStr">
        <is>
          <t>No</t>
        </is>
      </c>
      <c r="I2319" s="18" t="inlineStr"/>
      <c r="J2319" s="18" t="inlineStr"/>
      <c r="K2319" s="18" t="inlineStr"/>
      <c r="L2319" s="18" t="inlineStr">
        <is>
          <t>No</t>
        </is>
      </c>
      <c r="M2319" s="18" t="inlineStr">
        <is>
          <t>Sí</t>
        </is>
      </c>
      <c r="N2319" s="18" t="inlineStr">
        <is>
          <t>Vista control_interno.v_auditorias_kanban_completo</t>
        </is>
      </c>
      <c r="O2319" s="18" t="inlineStr"/>
      <c r="P2319" s="18" t="inlineStr"/>
      <c r="Q2319" s="18" t="inlineStr">
        <is>
          <t>Regla estructural (redacción revisada)</t>
        </is>
      </c>
      <c r="R2319" s="18" t="inlineStr">
        <is>
          <t>Descripción del hallazgo.</t>
        </is>
      </c>
      <c r="S2319" s="18" t="inlineStr">
        <is>
          <t>Alta</t>
        </is>
      </c>
      <c r="T2319" s="18" t="inlineStr">
        <is>
          <t>Convención de nombre, redactada con el contexto de la tabla y el código.</t>
        </is>
      </c>
      <c r="U2319" s="18" t="inlineStr"/>
      <c r="V2319" s="19" t="inlineStr">
        <is>
          <t>Aprobada</t>
        </is>
      </c>
      <c r="W2319" s="19" t="inlineStr"/>
      <c r="X2319" s="19" t="inlineStr">
        <is>
          <t>Aldair González (aprobación en bloque)</t>
        </is>
      </c>
      <c r="Y2319" s="20" t="n">
        <v>46321</v>
      </c>
      <c r="Z2319" s="19" t="inlineStr">
        <is>
          <t>Nivel 2: regla estructural con redacción revisada.</t>
        </is>
      </c>
      <c r="AA2319" s="18">
        <f>IF(OR(V2319="Aprobada"),R2319,IF(AND(OR(V2319="Aprobada con ajuste",V2319="Rechazada"),W2319&lt;&gt;""),W2319,""))</f>
        <v/>
      </c>
    </row>
    <row r="2320">
      <c r="A2320" s="18" t="inlineStr">
        <is>
          <t>C2319</t>
        </is>
      </c>
      <c r="B2320" s="18" t="inlineStr">
        <is>
          <t>Requerimientos</t>
        </is>
      </c>
      <c r="C2320" s="18" t="inlineStr">
        <is>
          <t>requerimientos_oc</t>
        </is>
      </c>
      <c r="D2320" s="18" t="inlineStr">
        <is>
          <t>hallazgos</t>
        </is>
      </c>
      <c r="E2320" s="18" t="n">
        <v>2</v>
      </c>
      <c r="F2320" s="18" t="inlineStr">
        <is>
          <t>causa_raiz</t>
        </is>
      </c>
      <c r="G2320" s="18" t="inlineStr">
        <is>
          <t>text</t>
        </is>
      </c>
      <c r="H2320" s="18" t="inlineStr">
        <is>
          <t>Sí</t>
        </is>
      </c>
      <c r="I2320" s="18" t="inlineStr"/>
      <c r="J2320" s="18" t="inlineStr"/>
      <c r="K2320" s="18" t="inlineStr"/>
      <c r="L2320" s="18" t="inlineStr">
        <is>
          <t>No</t>
        </is>
      </c>
      <c r="M2320" s="18" t="inlineStr">
        <is>
          <t>No</t>
        </is>
      </c>
      <c r="N2320" s="18" t="inlineStr"/>
      <c r="O2320" s="18" t="inlineStr"/>
      <c r="P2320" s="18" t="inlineStr"/>
      <c r="Q2320" s="18" t="inlineStr">
        <is>
          <t>Propuesta semántica</t>
        </is>
      </c>
      <c r="R2320" s="18" t="inlineStr">
        <is>
          <t>Causa raíz identificada para el hallazgo.</t>
        </is>
      </c>
      <c r="S2320" s="18" t="inlineStr">
        <is>
          <t>Alta</t>
        </is>
      </c>
      <c r="T2320" s="18" t="inlineStr">
        <is>
          <t>nombre + tipo + columnas vecinas</t>
        </is>
      </c>
      <c r="U2320" s="18" t="inlineStr"/>
      <c r="V2320" s="19" t="inlineStr">
        <is>
          <t>Aprobada</t>
        </is>
      </c>
      <c r="W2320" s="19" t="inlineStr"/>
      <c r="X2320" s="19" t="inlineStr">
        <is>
          <t>Aldair González (aprobación en bloque)</t>
        </is>
      </c>
      <c r="Y2320" s="20" t="n">
        <v>46321</v>
      </c>
      <c r="Z2320" s="19" t="inlineStr">
        <is>
          <t>Nivel 1: propuesta del comentario del desarrollador o de confianza alta, o regla de fecha/responsable/motivo.</t>
        </is>
      </c>
      <c r="AA2320" s="18">
        <f>IF(OR(V2320="Aprobada"),R2320,IF(AND(OR(V2320="Aprobada con ajuste",V2320="Rechazada"),W2320&lt;&gt;""),W2320,""))</f>
        <v/>
      </c>
    </row>
    <row r="2321">
      <c r="A2321" s="18" t="inlineStr">
        <is>
          <t>C2320</t>
        </is>
      </c>
      <c r="B2321" s="18" t="inlineStr">
        <is>
          <t>Requerimientos</t>
        </is>
      </c>
      <c r="C2321" s="18" t="inlineStr">
        <is>
          <t>requerimientos_oc</t>
        </is>
      </c>
      <c r="D2321" s="18" t="inlineStr">
        <is>
          <t>hallazgos</t>
        </is>
      </c>
      <c r="E2321" s="18" t="n">
        <v>2</v>
      </c>
      <c r="F2321" s="18" t="inlineStr">
        <is>
          <t>efecto</t>
        </is>
      </c>
      <c r="G2321" s="18" t="inlineStr">
        <is>
          <t>text</t>
        </is>
      </c>
      <c r="H2321" s="18" t="inlineStr">
        <is>
          <t>Sí</t>
        </is>
      </c>
      <c r="I2321" s="18" t="inlineStr"/>
      <c r="J2321" s="18" t="inlineStr"/>
      <c r="K2321" s="18" t="inlineStr"/>
      <c r="L2321" s="18" t="inlineStr">
        <is>
          <t>No</t>
        </is>
      </c>
      <c r="M2321" s="18" t="inlineStr">
        <is>
          <t>No</t>
        </is>
      </c>
      <c r="N2321" s="18" t="inlineStr"/>
      <c r="O2321" s="18" t="inlineStr"/>
      <c r="P2321" s="18" t="inlineStr"/>
      <c r="Q2321" s="18" t="inlineStr">
        <is>
          <t>Propuesta semántica</t>
        </is>
      </c>
      <c r="R2321" s="18" t="inlineStr">
        <is>
          <t>Efecto o consecuencia del hallazgo.</t>
        </is>
      </c>
      <c r="S2321" s="18" t="inlineStr">
        <is>
          <t>Alta</t>
        </is>
      </c>
      <c r="T2321" s="18" t="inlineStr">
        <is>
          <t>nombre + tipo + columnas vecinas</t>
        </is>
      </c>
      <c r="U2321" s="18" t="inlineStr"/>
      <c r="V2321" s="19" t="inlineStr">
        <is>
          <t>Aprobada</t>
        </is>
      </c>
      <c r="W2321" s="19" t="inlineStr"/>
      <c r="X2321" s="19" t="inlineStr">
        <is>
          <t>Aldair González (aprobación en bloque)</t>
        </is>
      </c>
      <c r="Y2321" s="20" t="n">
        <v>46321</v>
      </c>
      <c r="Z2321" s="19" t="inlineStr">
        <is>
          <t>Nivel 1: propuesta del comentario del desarrollador o de confianza alta, o regla de fecha/responsable/motivo.</t>
        </is>
      </c>
      <c r="AA2321" s="18">
        <f>IF(OR(V2321="Aprobada"),R2321,IF(AND(OR(V2321="Aprobada con ajuste",V2321="Rechazada"),W2321&lt;&gt;""),W2321,""))</f>
        <v/>
      </c>
    </row>
    <row r="2322">
      <c r="A2322" s="18" t="inlineStr">
        <is>
          <t>C2321</t>
        </is>
      </c>
      <c r="B2322" s="18" t="inlineStr">
        <is>
          <t>Requerimientos</t>
        </is>
      </c>
      <c r="C2322" s="18" t="inlineStr">
        <is>
          <t>requerimientos_oc</t>
        </is>
      </c>
      <c r="D2322" s="18" t="inlineStr">
        <is>
          <t>hallazgos</t>
        </is>
      </c>
      <c r="E2322" s="18" t="n">
        <v>2</v>
      </c>
      <c r="F2322" s="18" t="inlineStr">
        <is>
          <t>area_responsable</t>
        </is>
      </c>
      <c r="G2322" s="18" t="inlineStr">
        <is>
          <t>character varying(100)</t>
        </is>
      </c>
      <c r="H2322" s="18" t="inlineStr">
        <is>
          <t>Sí</t>
        </is>
      </c>
      <c r="I2322" s="18" t="inlineStr"/>
      <c r="J2322" s="18" t="inlineStr"/>
      <c r="K2322" s="18" t="inlineStr"/>
      <c r="L2322" s="18" t="inlineStr">
        <is>
          <t>No</t>
        </is>
      </c>
      <c r="M2322" s="18" t="inlineStr">
        <is>
          <t>No</t>
        </is>
      </c>
      <c r="N2322" s="18" t="inlineStr"/>
      <c r="O2322" s="18" t="inlineStr"/>
      <c r="P2322" s="18" t="inlineStr"/>
      <c r="Q2322" s="18" t="inlineStr">
        <is>
          <t>Código fuente (verificado)</t>
        </is>
      </c>
      <c r="R2322" s="18" t="inlineStr">
        <is>
          <t>Nombre del área responsable de atender el hallazgo, registrado como texto; no está enlazado a un catálogo.</t>
        </is>
      </c>
      <c r="S2322" s="18" t="inlineStr">
        <is>
          <t>Alta</t>
        </is>
      </c>
      <c r="T2322" s="18" t="inlineStr">
        <is>
          <t>db/init/008_requerimientos_oc_ddl_20260129_215541.sql:140 varchar(100) sin clave foránea; el backend no mapea esta tabla</t>
        </is>
      </c>
      <c r="U2322" s="18" t="inlineStr"/>
      <c r="V2322" s="19" t="inlineStr">
        <is>
          <t>Aprobada</t>
        </is>
      </c>
      <c r="W2322" s="19" t="inlineStr"/>
      <c r="X2322" s="19" t="inlineStr">
        <is>
          <t>Aldair González (aprobación en bloque)</t>
        </is>
      </c>
      <c r="Y2322" s="20" t="n">
        <v>46321</v>
      </c>
      <c r="Z2322" s="19" t="inlineStr">
        <is>
          <t>Nivel 3: verificada con el código de la aplicación.</t>
        </is>
      </c>
      <c r="AA2322" s="18">
        <f>IF(OR(V2322="Aprobada"),R2322,IF(AND(OR(V2322="Aprobada con ajuste",V2322="Rechazada"),W2322&lt;&gt;""),W2322,""))</f>
        <v/>
      </c>
    </row>
    <row r="2323">
      <c r="A2323" s="18" t="inlineStr">
        <is>
          <t>C2322</t>
        </is>
      </c>
      <c r="B2323" s="18" t="inlineStr">
        <is>
          <t>Requerimientos</t>
        </is>
      </c>
      <c r="C2323" s="18" t="inlineStr">
        <is>
          <t>requerimientos_oc</t>
        </is>
      </c>
      <c r="D2323" s="18" t="inlineStr">
        <is>
          <t>hallazgos</t>
        </is>
      </c>
      <c r="E2323" s="18" t="n">
        <v>2</v>
      </c>
      <c r="F2323" s="18" t="inlineStr">
        <is>
          <t>funcionario_responsable</t>
        </is>
      </c>
      <c r="G2323" s="18" t="inlineStr">
        <is>
          <t>character varying(150)</t>
        </is>
      </c>
      <c r="H2323" s="18" t="inlineStr">
        <is>
          <t>Sí</t>
        </is>
      </c>
      <c r="I2323" s="18" t="inlineStr"/>
      <c r="J2323" s="18" t="inlineStr"/>
      <c r="K2323" s="18" t="inlineStr"/>
      <c r="L2323" s="18" t="inlineStr">
        <is>
          <t>No</t>
        </is>
      </c>
      <c r="M2323" s="18" t="inlineStr">
        <is>
          <t>No</t>
        </is>
      </c>
      <c r="N2323" s="18" t="inlineStr"/>
      <c r="O2323" s="18" t="inlineStr"/>
      <c r="P2323" s="18" t="inlineStr"/>
      <c r="Q2323" s="18" t="inlineStr">
        <is>
          <t>Código fuente (verificado)</t>
        </is>
      </c>
      <c r="R2323" s="18" t="inlineStr">
        <is>
          <t>Funcionario responsable de atender el hallazgo.</t>
        </is>
      </c>
      <c r="S2323" s="18" t="inlineStr">
        <is>
          <t>Media</t>
        </is>
      </c>
      <c r="T2323" s="18" t="inlineStr">
        <is>
          <t>db/init/008_requerimientos_oc_ddl_20260129_215541.sql:141 varchar(150); el backend no mapea esta tabla</t>
        </is>
      </c>
      <c r="U2323" s="18" t="inlineStr">
        <is>
          <t>¿Se guarda el nombre completo o un identificador de usuario?</t>
        </is>
      </c>
      <c r="V2323" s="19" t="inlineStr">
        <is>
          <t>Aprobada</t>
        </is>
      </c>
      <c r="W2323" s="19" t="inlineStr"/>
      <c r="X2323" s="19" t="inlineStr">
        <is>
          <t>Aldair González (validación del responsable de BD)</t>
        </is>
      </c>
      <c r="Y2323" s="20" t="n">
        <v>46321</v>
      </c>
      <c r="Z2323" s="19" t="inlineStr">
        <is>
          <t>Nivel 3: validada por decisión del responsable de la base de datos. Pregunta registrada para desarrollo: ¿Se guarda el nombre completo o un identificador de usuario?</t>
        </is>
      </c>
      <c r="AA2323" s="18">
        <f>IF(OR(V2323="Aprobada"),R2323,IF(AND(OR(V2323="Aprobada con ajuste",V2323="Rechazada"),W2323&lt;&gt;""),W2323,""))</f>
        <v/>
      </c>
    </row>
    <row r="2324">
      <c r="A2324" s="18" t="inlineStr">
        <is>
          <t>C2323</t>
        </is>
      </c>
      <c r="B2324" s="18" t="inlineStr">
        <is>
          <t>Requerimientos</t>
        </is>
      </c>
      <c r="C2324" s="18" t="inlineStr">
        <is>
          <t>requerimientos_oc</t>
        </is>
      </c>
      <c r="D2324" s="18" t="inlineStr">
        <is>
          <t>hallazgos</t>
        </is>
      </c>
      <c r="E2324" s="18" t="n">
        <v>2</v>
      </c>
      <c r="F2324" s="18" t="inlineStr">
        <is>
          <t>accion_correctiva</t>
        </is>
      </c>
      <c r="G2324" s="18" t="inlineStr">
        <is>
          <t>text</t>
        </is>
      </c>
      <c r="H2324" s="18" t="inlineStr">
        <is>
          <t>No</t>
        </is>
      </c>
      <c r="I2324" s="18" t="inlineStr"/>
      <c r="J2324" s="18" t="inlineStr"/>
      <c r="K2324" s="18" t="inlineStr"/>
      <c r="L2324" s="18" t="inlineStr">
        <is>
          <t>No</t>
        </is>
      </c>
      <c r="M2324" s="18" t="inlineStr">
        <is>
          <t>No</t>
        </is>
      </c>
      <c r="N2324" s="18" t="inlineStr"/>
      <c r="O2324" s="18" t="inlineStr"/>
      <c r="P2324" s="18" t="inlineStr"/>
      <c r="Q2324" s="18" t="inlineStr">
        <is>
          <t>Propuesta semántica</t>
        </is>
      </c>
      <c r="R2324" s="18" t="inlineStr">
        <is>
          <t>Acción correctiva definida para subsanar el hallazgo.</t>
        </is>
      </c>
      <c r="S2324" s="18" t="inlineStr">
        <is>
          <t>Alta</t>
        </is>
      </c>
      <c r="T2324" s="18" t="inlineStr">
        <is>
          <t>nombre + tipo + columnas vecinas</t>
        </is>
      </c>
      <c r="U2324" s="18" t="inlineStr"/>
      <c r="V2324" s="19" t="inlineStr">
        <is>
          <t>Aprobada</t>
        </is>
      </c>
      <c r="W2324" s="19" t="inlineStr"/>
      <c r="X2324" s="19" t="inlineStr">
        <is>
          <t>Aldair González (aprobación en bloque)</t>
        </is>
      </c>
      <c r="Y2324" s="20" t="n">
        <v>46321</v>
      </c>
      <c r="Z2324" s="19" t="inlineStr">
        <is>
          <t>Nivel 1: propuesta del comentario del desarrollador o de confianza alta, o regla de fecha/responsable/motivo.</t>
        </is>
      </c>
      <c r="AA2324" s="18">
        <f>IF(OR(V2324="Aprobada"),R2324,IF(AND(OR(V2324="Aprobada con ajuste",V2324="Rechazada"),W2324&lt;&gt;""),W2324,""))</f>
        <v/>
      </c>
    </row>
    <row r="2325">
      <c r="A2325" s="18" t="inlineStr">
        <is>
          <t>C2324</t>
        </is>
      </c>
      <c r="B2325" s="18" t="inlineStr">
        <is>
          <t>Requerimientos</t>
        </is>
      </c>
      <c r="C2325" s="18" t="inlineStr">
        <is>
          <t>requerimientos_oc</t>
        </is>
      </c>
      <c r="D2325" s="18" t="inlineStr">
        <is>
          <t>hallazgos</t>
        </is>
      </c>
      <c r="E2325" s="18" t="n">
        <v>2</v>
      </c>
      <c r="F2325" s="18" t="inlineStr">
        <is>
          <t>fecha_compromiso</t>
        </is>
      </c>
      <c r="G2325" s="18" t="inlineStr">
        <is>
          <t>date</t>
        </is>
      </c>
      <c r="H2325" s="18" t="inlineStr">
        <is>
          <t>No</t>
        </is>
      </c>
      <c r="I2325" s="18" t="inlineStr"/>
      <c r="J2325" s="18" t="inlineStr"/>
      <c r="K2325" s="18" t="inlineStr"/>
      <c r="L2325" s="18" t="inlineStr">
        <is>
          <t>No</t>
        </is>
      </c>
      <c r="M2325" s="18" t="inlineStr">
        <is>
          <t>No</t>
        </is>
      </c>
      <c r="N2325" s="18" t="inlineStr"/>
      <c r="O2325" s="18" t="inlineStr">
        <is>
          <t>idx_hallazgos_fecha_compromiso</t>
        </is>
      </c>
      <c r="P2325" s="18" t="inlineStr"/>
      <c r="Q2325" s="18" t="inlineStr">
        <is>
          <t>Regla estructural (redacción revisada)</t>
        </is>
      </c>
      <c r="R2325" s="18" t="inlineStr">
        <is>
          <t>Fecha de compromiso para la atención del hallazgo.</t>
        </is>
      </c>
      <c r="S2325" s="18" t="inlineStr">
        <is>
          <t>Alta</t>
        </is>
      </c>
      <c r="T2325" s="18" t="inlineStr">
        <is>
          <t>Convención de nombre, redactada con el contexto de la tabla y el código.</t>
        </is>
      </c>
      <c r="U2325" s="18" t="inlineStr"/>
      <c r="V2325" s="19" t="inlineStr">
        <is>
          <t>Aprobada</t>
        </is>
      </c>
      <c r="W2325" s="19" t="inlineStr"/>
      <c r="X2325" s="19" t="inlineStr">
        <is>
          <t>Aldair González (aprobación en bloque)</t>
        </is>
      </c>
      <c r="Y2325" s="20" t="n">
        <v>46321</v>
      </c>
      <c r="Z2325" s="19" t="inlineStr">
        <is>
          <t>Nivel 2: regla estructural con redacción revisada.</t>
        </is>
      </c>
      <c r="AA2325" s="18">
        <f>IF(OR(V2325="Aprobada"),R2325,IF(AND(OR(V2325="Aprobada con ajuste",V2325="Rechazada"),W2325&lt;&gt;""),W2325,""))</f>
        <v/>
      </c>
    </row>
    <row r="2326">
      <c r="A2326" s="18" t="inlineStr">
        <is>
          <t>C2325</t>
        </is>
      </c>
      <c r="B2326" s="18" t="inlineStr">
        <is>
          <t>Requerimientos</t>
        </is>
      </c>
      <c r="C2326" s="18" t="inlineStr">
        <is>
          <t>requerimientos_oc</t>
        </is>
      </c>
      <c r="D2326" s="18" t="inlineStr">
        <is>
          <t>hallazgos</t>
        </is>
      </c>
      <c r="E2326" s="18" t="n">
        <v>2</v>
      </c>
      <c r="F2326" s="18" t="inlineStr">
        <is>
          <t>indicador_cumplimiento</t>
        </is>
      </c>
      <c r="G2326" s="18" t="inlineStr">
        <is>
          <t>text</t>
        </is>
      </c>
      <c r="H2326" s="18" t="inlineStr">
        <is>
          <t>Sí</t>
        </is>
      </c>
      <c r="I2326" s="18" t="inlineStr"/>
      <c r="J2326" s="18" t="inlineStr"/>
      <c r="K2326" s="18" t="inlineStr"/>
      <c r="L2326" s="18" t="inlineStr">
        <is>
          <t>No</t>
        </is>
      </c>
      <c r="M2326" s="18" t="inlineStr">
        <is>
          <t>No</t>
        </is>
      </c>
      <c r="N2326" s="18" t="inlineStr"/>
      <c r="O2326" s="18" t="inlineStr"/>
      <c r="P2326" s="18" t="inlineStr"/>
      <c r="Q2326" s="18" t="inlineStr">
        <is>
          <t>Código fuente (verificado)</t>
        </is>
      </c>
      <c r="R2326" s="18" t="inlineStr">
        <is>
          <t>Indicador con el que se mide el cumplimiento de la acción correctiva.</t>
        </is>
      </c>
      <c r="S2326" s="18" t="inlineStr">
        <is>
          <t>Media</t>
        </is>
      </c>
      <c r="T2326" s="18" t="inlineStr">
        <is>
          <t>db/init/008_requerimientos_oc_ddl_20260129_215541.sql:144 text; el backend no mapea esta tabla</t>
        </is>
      </c>
      <c r="U2326" s="18" t="inlineStr">
        <is>
          <t>¿El indicador es una descripción libre o una fórmula de cálculo?</t>
        </is>
      </c>
      <c r="V2326" s="19" t="inlineStr">
        <is>
          <t>Aprobada</t>
        </is>
      </c>
      <c r="W2326" s="19" t="inlineStr"/>
      <c r="X2326" s="19" t="inlineStr">
        <is>
          <t>Aldair González (validación del responsable de BD)</t>
        </is>
      </c>
      <c r="Y2326" s="20" t="n">
        <v>46321</v>
      </c>
      <c r="Z2326" s="19" t="inlineStr">
        <is>
          <t>Nivel 3: validada por decisión del responsable de la base de datos. Pregunta registrada para desarrollo: ¿El indicador es una descripción libre o una fórmula de cálculo?</t>
        </is>
      </c>
      <c r="AA2326" s="18">
        <f>IF(OR(V2326="Aprobada"),R2326,IF(AND(OR(V2326="Aprobada con ajuste",V2326="Rechazada"),W2326&lt;&gt;""),W2326,""))</f>
        <v/>
      </c>
    </row>
    <row r="2327">
      <c r="A2327" s="18" t="inlineStr">
        <is>
          <t>C2326</t>
        </is>
      </c>
      <c r="B2327" s="18" t="inlineStr">
        <is>
          <t>Requerimientos</t>
        </is>
      </c>
      <c r="C2327" s="18" t="inlineStr">
        <is>
          <t>requerimientos_oc</t>
        </is>
      </c>
      <c r="D2327" s="18" t="inlineStr">
        <is>
          <t>hallazgos</t>
        </is>
      </c>
      <c r="E2327" s="18" t="n">
        <v>2</v>
      </c>
      <c r="F2327" s="18" t="inlineStr">
        <is>
          <t>meta_indicador</t>
        </is>
      </c>
      <c r="G2327" s="18" t="inlineStr">
        <is>
          <t>character varying(100)</t>
        </is>
      </c>
      <c r="H2327" s="18" t="inlineStr">
        <is>
          <t>Sí</t>
        </is>
      </c>
      <c r="I2327" s="18" t="inlineStr"/>
      <c r="J2327" s="18" t="inlineStr"/>
      <c r="K2327" s="18" t="inlineStr"/>
      <c r="L2327" s="18" t="inlineStr">
        <is>
          <t>No</t>
        </is>
      </c>
      <c r="M2327" s="18" t="inlineStr">
        <is>
          <t>No</t>
        </is>
      </c>
      <c r="N2327" s="18" t="inlineStr"/>
      <c r="O2327" s="18" t="inlineStr"/>
      <c r="P2327" s="18" t="inlineStr"/>
      <c r="Q2327" s="18" t="inlineStr">
        <is>
          <t>Código fuente (verificado)</t>
        </is>
      </c>
      <c r="R2327" s="18" t="inlineStr">
        <is>
          <t>Meta del indicador de cumplimiento.</t>
        </is>
      </c>
      <c r="S2327" s="18" t="inlineStr">
        <is>
          <t>Media</t>
        </is>
      </c>
      <c r="T2327" s="18" t="inlineStr">
        <is>
          <t>db/init/008_requerimientos_oc_ddl_20260129_215541.sql:145 varchar(100); el backend no mapea esta tabla</t>
        </is>
      </c>
      <c r="U2327" s="18" t="inlineStr">
        <is>
          <t>¿En qué unidad se expresa la meta (porcentaje, cantidad, texto libre)?</t>
        </is>
      </c>
      <c r="V2327" s="19" t="inlineStr">
        <is>
          <t>Aprobada</t>
        </is>
      </c>
      <c r="W2327" s="19" t="inlineStr"/>
      <c r="X2327" s="19" t="inlineStr">
        <is>
          <t>Aldair González (validación del responsable de BD)</t>
        </is>
      </c>
      <c r="Y2327" s="20" t="n">
        <v>46321</v>
      </c>
      <c r="Z2327" s="19" t="inlineStr">
        <is>
          <t>Nivel 3: validada por decisión del responsable de la base de datos. Pregunta registrada para desarrollo: ¿En qué unidad se expresa la meta (porcentaje, cantidad, texto libre)?</t>
        </is>
      </c>
      <c r="AA2327" s="18">
        <f>IF(OR(V2327="Aprobada"),R2327,IF(AND(OR(V2327="Aprobada con ajuste",V2327="Rechazada"),W2327&lt;&gt;""),W2327,""))</f>
        <v/>
      </c>
    </row>
    <row r="2328">
      <c r="A2328" s="18" t="inlineStr">
        <is>
          <t>C2327</t>
        </is>
      </c>
      <c r="B2328" s="18" t="inlineStr">
        <is>
          <t>Requerimientos</t>
        </is>
      </c>
      <c r="C2328" s="18" t="inlineStr">
        <is>
          <t>requerimientos_oc</t>
        </is>
      </c>
      <c r="D2328" s="18" t="inlineStr">
        <is>
          <t>hallazgos</t>
        </is>
      </c>
      <c r="E2328" s="18" t="n">
        <v>2</v>
      </c>
      <c r="F2328" s="18" t="inlineStr">
        <is>
          <t>estado</t>
        </is>
      </c>
      <c r="G2328" s="18" t="inlineStr">
        <is>
          <t>character varying(30)</t>
        </is>
      </c>
      <c r="H2328" s="18" t="inlineStr">
        <is>
          <t>Sí</t>
        </is>
      </c>
      <c r="I2328" s="18" t="inlineStr">
        <is>
          <t>CHECK</t>
        </is>
      </c>
      <c r="J2328" s="18" t="inlineStr">
        <is>
          <t>ABIERTO, CERRADO, EN_CURSO, EN_REVISION, RECHAZADO</t>
        </is>
      </c>
      <c r="K2328" s="18" t="inlineStr"/>
      <c r="L2328" s="18" t="inlineStr">
        <is>
          <t>Sí</t>
        </is>
      </c>
      <c r="M2328" s="18" t="inlineStr">
        <is>
          <t>Sí</t>
        </is>
      </c>
      <c r="N2328" s="18" t="inlineStr">
        <is>
          <t>Vista control_interno.v_auditorias_kanban_completo; Vista control_interno.v_auditorias_por_estado</t>
        </is>
      </c>
      <c r="O2328" s="18" t="inlineStr">
        <is>
          <t>idx_hallazgos_estado</t>
        </is>
      </c>
      <c r="P2328" s="18" t="inlineStr"/>
      <c r="Q2328" s="18" t="inlineStr">
        <is>
          <t>Regla estructural (redacción revisada)</t>
        </is>
      </c>
      <c r="R2328" s="18" t="inlineStr">
        <is>
          <t>Estado del hallazgo (ABIERTO, EN_CURSO, EN_REVISION, CERRADO o RECHAZADO).</t>
        </is>
      </c>
      <c r="S2328" s="18" t="inlineStr">
        <is>
          <t>Alta</t>
        </is>
      </c>
      <c r="T2328" s="18" t="inlineStr">
        <is>
          <t>Convención de nombre, redactada con el contexto de la tabla y el código.</t>
        </is>
      </c>
      <c r="U2328" s="18" t="inlineStr"/>
      <c r="V2328" s="19" t="inlineStr">
        <is>
          <t>Aprobada</t>
        </is>
      </c>
      <c r="W2328" s="19" t="inlineStr"/>
      <c r="X2328" s="19" t="inlineStr">
        <is>
          <t>Aldair González (aprobación en bloque)</t>
        </is>
      </c>
      <c r="Y2328" s="20" t="n">
        <v>46321</v>
      </c>
      <c r="Z2328" s="19" t="inlineStr">
        <is>
          <t>Nivel 2: regla estructural con redacción revisada.</t>
        </is>
      </c>
      <c r="AA2328" s="18">
        <f>IF(OR(V2328="Aprobada"),R2328,IF(AND(OR(V2328="Aprobada con ajuste",V2328="Rechazada"),W2328&lt;&gt;""),W2328,""))</f>
        <v/>
      </c>
    </row>
    <row r="2329">
      <c r="A2329" s="18" t="inlineStr">
        <is>
          <t>C2328</t>
        </is>
      </c>
      <c r="B2329" s="18" t="inlineStr">
        <is>
          <t>Requerimientos</t>
        </is>
      </c>
      <c r="C2329" s="18" t="inlineStr">
        <is>
          <t>requerimientos_oc</t>
        </is>
      </c>
      <c r="D2329" s="18" t="inlineStr">
        <is>
          <t>hallazgos</t>
        </is>
      </c>
      <c r="E2329" s="18" t="n">
        <v>2</v>
      </c>
      <c r="F2329" s="18" t="inlineStr">
        <is>
          <t>porcentaje_avance</t>
        </is>
      </c>
      <c r="G2329" s="18" t="inlineStr">
        <is>
          <t>integer</t>
        </is>
      </c>
      <c r="H2329" s="18" t="inlineStr">
        <is>
          <t>Sí</t>
        </is>
      </c>
      <c r="I2329" s="18" t="inlineStr">
        <is>
          <t>CHECK</t>
        </is>
      </c>
      <c r="J2329" s="18" t="inlineStr"/>
      <c r="K2329" s="18" t="inlineStr"/>
      <c r="L2329" s="18" t="inlineStr">
        <is>
          <t>No</t>
        </is>
      </c>
      <c r="M2329" s="18" t="inlineStr">
        <is>
          <t>No</t>
        </is>
      </c>
      <c r="N2329" s="18" t="inlineStr"/>
      <c r="O2329" s="18" t="inlineStr"/>
      <c r="P2329" s="18" t="inlineStr"/>
      <c r="Q2329" s="18" t="inlineStr">
        <is>
          <t>Código fuente (verificado)</t>
        </is>
      </c>
      <c r="R2329" s="18" t="inlineStr">
        <is>
          <t>Porcentaje de avance de la acción correctiva (0 a 100). Por defecto, 0.</t>
        </is>
      </c>
      <c r="S2329" s="18" t="inlineStr">
        <is>
          <t>Media</t>
        </is>
      </c>
      <c r="T2329" s="18" t="inlineStr">
        <is>
          <t>db/init/008_requerimientos_oc_ddl_20260129_215541.sql:158 CHECK entre 0 y 100 | db/init/008_requerimientos_oc_ddl_20260129_215541.sql:471 el único trigger de hallazgos genera numero_interno; ninguno actualiza el avance desde avances_hallazgo</t>
        </is>
      </c>
      <c r="U2329" s="18" t="inlineStr">
        <is>
          <t>¿Se actualiza a partir de avances_hallazgo o se registra manualmente? No hay código que lo haga.</t>
        </is>
      </c>
      <c r="V2329" s="19" t="inlineStr">
        <is>
          <t>Aprobada</t>
        </is>
      </c>
      <c r="W2329" s="19" t="inlineStr"/>
      <c r="X2329" s="19" t="inlineStr">
        <is>
          <t>Aldair González (validación del responsable de BD)</t>
        </is>
      </c>
      <c r="Y2329" s="20" t="n">
        <v>46321</v>
      </c>
      <c r="Z2329" s="19" t="inlineStr">
        <is>
          <t>Nivel 3: validada por decisión del responsable de la base de datos. Pregunta registrada para desarrollo: ¿Se actualiza a partir de avances_hallazgo o se registra manualmente? No hay código que lo haga.</t>
        </is>
      </c>
      <c r="AA2329" s="18">
        <f>IF(OR(V2329="Aprobada"),R2329,IF(AND(OR(V2329="Aprobada con ajuste",V2329="Rechazada"),W2329&lt;&gt;""),W2329,""))</f>
        <v/>
      </c>
    </row>
    <row r="2330">
      <c r="A2330" s="18" t="inlineStr">
        <is>
          <t>C2329</t>
        </is>
      </c>
      <c r="B2330" s="18" t="inlineStr">
        <is>
          <t>Requerimientos</t>
        </is>
      </c>
      <c r="C2330" s="18" t="inlineStr">
        <is>
          <t>requerimientos_oc</t>
        </is>
      </c>
      <c r="D2330" s="18" t="inlineStr">
        <is>
          <t>hallazgos</t>
        </is>
      </c>
      <c r="E2330" s="18" t="n">
        <v>2</v>
      </c>
      <c r="F2330" s="18" t="inlineStr">
        <is>
          <t>fecha_ultimo_reporte</t>
        </is>
      </c>
      <c r="G2330" s="18" t="inlineStr">
        <is>
          <t>timestamp without time zone</t>
        </is>
      </c>
      <c r="H2330" s="18" t="inlineStr">
        <is>
          <t>Sí</t>
        </is>
      </c>
      <c r="I2330" s="18" t="inlineStr"/>
      <c r="J2330" s="18" t="inlineStr"/>
      <c r="K2330" s="18" t="inlineStr"/>
      <c r="L2330" s="18" t="inlineStr">
        <is>
          <t>No</t>
        </is>
      </c>
      <c r="M2330" s="18" t="inlineStr">
        <is>
          <t>No</t>
        </is>
      </c>
      <c r="N2330" s="18" t="inlineStr"/>
      <c r="O2330" s="18" t="inlineStr"/>
      <c r="P2330" s="18" t="inlineStr"/>
      <c r="Q2330" s="18" t="inlineStr">
        <is>
          <t>Regla estructural (redacción revisada)</t>
        </is>
      </c>
      <c r="R2330" s="18" t="inlineStr">
        <is>
          <t>Fecha y hora del último reporte de avance del hallazgo.</t>
        </is>
      </c>
      <c r="S2330" s="18" t="inlineStr">
        <is>
          <t>Alta</t>
        </is>
      </c>
      <c r="T2330" s="18" t="inlineStr">
        <is>
          <t>Convención de nombre, redactada con el contexto de la tabla y el código.</t>
        </is>
      </c>
      <c r="U2330" s="18" t="inlineStr"/>
      <c r="V2330" s="19" t="inlineStr">
        <is>
          <t>Aprobada</t>
        </is>
      </c>
      <c r="W2330" s="19" t="inlineStr"/>
      <c r="X2330" s="19" t="inlineStr">
        <is>
          <t>Aldair González (aprobación en bloque)</t>
        </is>
      </c>
      <c r="Y2330" s="20" t="n">
        <v>46321</v>
      </c>
      <c r="Z2330" s="19" t="inlineStr">
        <is>
          <t>Nivel 2: regla estructural con redacción revisada.</t>
        </is>
      </c>
      <c r="AA2330" s="18">
        <f>IF(OR(V2330="Aprobada"),R2330,IF(AND(OR(V2330="Aprobada con ajuste",V2330="Rechazada"),W2330&lt;&gt;""),W2330,""))</f>
        <v/>
      </c>
    </row>
    <row r="2331">
      <c r="A2331" s="18" t="inlineStr">
        <is>
          <t>C2330</t>
        </is>
      </c>
      <c r="B2331" s="18" t="inlineStr">
        <is>
          <t>Requerimientos</t>
        </is>
      </c>
      <c r="C2331" s="18" t="inlineStr">
        <is>
          <t>requerimientos_oc</t>
        </is>
      </c>
      <c r="D2331" s="18" t="inlineStr">
        <is>
          <t>hallazgos</t>
        </is>
      </c>
      <c r="E2331" s="18" t="n">
        <v>2</v>
      </c>
      <c r="F2331" s="18" t="inlineStr">
        <is>
          <t>fecha_proximo_reporte</t>
        </is>
      </c>
      <c r="G2331" s="18" t="inlineStr">
        <is>
          <t>date</t>
        </is>
      </c>
      <c r="H2331" s="18" t="inlineStr">
        <is>
          <t>Sí</t>
        </is>
      </c>
      <c r="I2331" s="18" t="inlineStr"/>
      <c r="J2331" s="18" t="inlineStr"/>
      <c r="K2331" s="18" t="inlineStr"/>
      <c r="L2331" s="18" t="inlineStr">
        <is>
          <t>No</t>
        </is>
      </c>
      <c r="M2331" s="18" t="inlineStr">
        <is>
          <t>No</t>
        </is>
      </c>
      <c r="N2331" s="18" t="inlineStr"/>
      <c r="O2331" s="18" t="inlineStr"/>
      <c r="P2331" s="18" t="inlineStr"/>
      <c r="Q2331" s="18" t="inlineStr">
        <is>
          <t>Regla estructural (redacción revisada)</t>
        </is>
      </c>
      <c r="R2331" s="18" t="inlineStr">
        <is>
          <t>Fecha del próximo reporte de avance del hallazgo.</t>
        </is>
      </c>
      <c r="S2331" s="18" t="inlineStr">
        <is>
          <t>Alta</t>
        </is>
      </c>
      <c r="T2331" s="18" t="inlineStr">
        <is>
          <t>Convención de nombre, redactada con el contexto de la tabla y el código.</t>
        </is>
      </c>
      <c r="U2331" s="18" t="inlineStr"/>
      <c r="V2331" s="19" t="inlineStr">
        <is>
          <t>Aprobada</t>
        </is>
      </c>
      <c r="W2331" s="19" t="inlineStr"/>
      <c r="X2331" s="19" t="inlineStr">
        <is>
          <t>Aldair González (aprobación en bloque)</t>
        </is>
      </c>
      <c r="Y2331" s="20" t="n">
        <v>46321</v>
      </c>
      <c r="Z2331" s="19" t="inlineStr">
        <is>
          <t>Nivel 2: regla estructural con redacción revisada.</t>
        </is>
      </c>
      <c r="AA2331" s="18">
        <f>IF(OR(V2331="Aprobada"),R2331,IF(AND(OR(V2331="Aprobada con ajuste",V2331="Rechazada"),W2331&lt;&gt;""),W2331,""))</f>
        <v/>
      </c>
    </row>
    <row r="2332">
      <c r="A2332" s="18" t="inlineStr">
        <is>
          <t>C2331</t>
        </is>
      </c>
      <c r="B2332" s="18" t="inlineStr">
        <is>
          <t>Requerimientos</t>
        </is>
      </c>
      <c r="C2332" s="18" t="inlineStr">
        <is>
          <t>requerimientos_oc</t>
        </is>
      </c>
      <c r="D2332" s="18" t="inlineStr">
        <is>
          <t>hallazgos</t>
        </is>
      </c>
      <c r="E2332" s="18" t="n">
        <v>2</v>
      </c>
      <c r="F2332" s="18" t="inlineStr">
        <is>
          <t>periodicidad_reporte</t>
        </is>
      </c>
      <c r="G2332" s="18" t="inlineStr">
        <is>
          <t>character varying(20)</t>
        </is>
      </c>
      <c r="H2332" s="18" t="inlineStr">
        <is>
          <t>Sí</t>
        </is>
      </c>
      <c r="I2332" s="18" t="inlineStr">
        <is>
          <t>CHECK</t>
        </is>
      </c>
      <c r="J2332" s="18" t="inlineStr">
        <is>
          <t>ANUAL, MENSUAL, SEMESTRAL, TRIMESTRAL</t>
        </is>
      </c>
      <c r="K2332" s="18" t="inlineStr"/>
      <c r="L2332" s="18" t="inlineStr">
        <is>
          <t>Sí</t>
        </is>
      </c>
      <c r="M2332" s="18" t="inlineStr">
        <is>
          <t>No</t>
        </is>
      </c>
      <c r="N2332" s="18" t="inlineStr"/>
      <c r="O2332" s="18" t="inlineStr"/>
      <c r="P2332" s="18" t="inlineStr"/>
      <c r="Q2332" s="18" t="inlineStr">
        <is>
          <t>Propuesta semántica</t>
        </is>
      </c>
      <c r="R2332" s="18" t="inlineStr">
        <is>
          <t>Periodicidad con que se reporta el avance del hallazgo. Valores permitidos: ANUAL, MENSUAL, SEMESTRAL, TRIMESTRAL. Por defecto, SEMESTRAL.</t>
        </is>
      </c>
      <c r="S2332" s="18" t="inlineStr">
        <is>
          <t>Alta</t>
        </is>
      </c>
      <c r="T2332" s="18" t="inlineStr">
        <is>
          <t>valores permitidos del CHECK</t>
        </is>
      </c>
      <c r="U2332" s="18" t="inlineStr"/>
      <c r="V2332" s="19" t="inlineStr">
        <is>
          <t>Aprobada</t>
        </is>
      </c>
      <c r="W2332" s="19" t="inlineStr"/>
      <c r="X2332" s="19" t="inlineStr">
        <is>
          <t>Aldair González (aprobación en bloque)</t>
        </is>
      </c>
      <c r="Y2332" s="20" t="n">
        <v>46321</v>
      </c>
      <c r="Z2332" s="19" t="inlineStr">
        <is>
          <t>Nivel 1: propuesta del comentario del desarrollador o de confianza alta, o regla de fecha/responsable/motivo.</t>
        </is>
      </c>
      <c r="AA2332" s="18">
        <f>IF(OR(V2332="Aprobada"),R2332,IF(AND(OR(V2332="Aprobada con ajuste",V2332="Rechazada"),W2332&lt;&gt;""),W2332,""))</f>
        <v/>
      </c>
    </row>
    <row r="2333">
      <c r="A2333" s="18" t="inlineStr">
        <is>
          <t>C2332</t>
        </is>
      </c>
      <c r="B2333" s="18" t="inlineStr">
        <is>
          <t>Requerimientos</t>
        </is>
      </c>
      <c r="C2333" s="18" t="inlineStr">
        <is>
          <t>requerimientos_oc</t>
        </is>
      </c>
      <c r="D2333" s="18" t="inlineStr">
        <is>
          <t>hallazgos</t>
        </is>
      </c>
      <c r="E2333" s="18" t="n">
        <v>2</v>
      </c>
      <c r="F2333" s="18" t="inlineStr">
        <is>
          <t>documento_plan_url</t>
        </is>
      </c>
      <c r="G2333" s="18" t="inlineStr">
        <is>
          <t>character varying(500)</t>
        </is>
      </c>
      <c r="H2333" s="18" t="inlineStr">
        <is>
          <t>Sí</t>
        </is>
      </c>
      <c r="I2333" s="18" t="inlineStr"/>
      <c r="J2333" s="18" t="inlineStr"/>
      <c r="K2333" s="18" t="inlineStr"/>
      <c r="L2333" s="18" t="inlineStr">
        <is>
          <t>No</t>
        </is>
      </c>
      <c r="M2333" s="18" t="inlineStr">
        <is>
          <t>No</t>
        </is>
      </c>
      <c r="N2333" s="18" t="inlineStr"/>
      <c r="O2333" s="18" t="inlineStr"/>
      <c r="P2333" s="18" t="inlineStr"/>
      <c r="Q2333" s="18" t="inlineStr">
        <is>
          <t>Código fuente (verificado)</t>
        </is>
      </c>
      <c r="R2333" s="18" t="inlineStr">
        <is>
          <t>URL del documento del plan de mejoramiento asociado al hallazgo.</t>
        </is>
      </c>
      <c r="S2333" s="18" t="inlineStr">
        <is>
          <t>Media</t>
        </is>
      </c>
      <c r="T2333" s="18" t="inlineStr">
        <is>
          <t>db/init/008_requerimientos_oc_ddl_20260129_215541.sql:151 varchar(500); el backend no mapea esta tabla</t>
        </is>
      </c>
      <c r="U2333" s="18" t="inlineStr">
        <is>
          <t>¿La URL apunta al almacenamiento de la plataforma o a un sistema externo?</t>
        </is>
      </c>
      <c r="V2333" s="19" t="inlineStr">
        <is>
          <t>Aprobada</t>
        </is>
      </c>
      <c r="W2333" s="19" t="inlineStr"/>
      <c r="X2333" s="19" t="inlineStr">
        <is>
          <t>Aldair González (validación del responsable de BD)</t>
        </is>
      </c>
      <c r="Y2333" s="20" t="n">
        <v>46321</v>
      </c>
      <c r="Z2333" s="19" t="inlineStr">
        <is>
          <t>Nivel 3: validada por decisión del responsable de la base de datos. Pregunta registrada para desarrollo: ¿La URL apunta al almacenamiento de la plataforma o a un sistema externo?</t>
        </is>
      </c>
      <c r="AA2333" s="18">
        <f>IF(OR(V2333="Aprobada"),R2333,IF(AND(OR(V2333="Aprobada con ajuste",V2333="Rechazada"),W2333&lt;&gt;""),W2333,""))</f>
        <v/>
      </c>
    </row>
    <row r="2334">
      <c r="A2334" s="18" t="inlineStr">
        <is>
          <t>C2333</t>
        </is>
      </c>
      <c r="B2334" s="18" t="inlineStr">
        <is>
          <t>Requerimientos</t>
        </is>
      </c>
      <c r="C2334" s="18" t="inlineStr">
        <is>
          <t>requerimientos_oc</t>
        </is>
      </c>
      <c r="D2334" s="18" t="inlineStr">
        <is>
          <t>hallazgos</t>
        </is>
      </c>
      <c r="E2334" s="18" t="n">
        <v>2</v>
      </c>
      <c r="F2334" s="18" t="inlineStr">
        <is>
          <t>documentos_evidencia_urls</t>
        </is>
      </c>
      <c r="G2334" s="18" t="inlineStr">
        <is>
          <t>text[]</t>
        </is>
      </c>
      <c r="H2334" s="18" t="inlineStr">
        <is>
          <t>Sí</t>
        </is>
      </c>
      <c r="I2334" s="18" t="inlineStr"/>
      <c r="J2334" s="18" t="inlineStr"/>
      <c r="K2334" s="18" t="inlineStr"/>
      <c r="L2334" s="18" t="inlineStr">
        <is>
          <t>No</t>
        </is>
      </c>
      <c r="M2334" s="18" t="inlineStr">
        <is>
          <t>No</t>
        </is>
      </c>
      <c r="N2334" s="18" t="inlineStr"/>
      <c r="O2334" s="18" t="inlineStr"/>
      <c r="P2334" s="18" t="inlineStr"/>
      <c r="Q2334" s="18" t="inlineStr">
        <is>
          <t>Propuesta semántica</t>
        </is>
      </c>
      <c r="R2334" s="18" t="inlineStr">
        <is>
          <t>Lista de URL de los documentos de evidencia del hallazgo.</t>
        </is>
      </c>
      <c r="S2334" s="18" t="inlineStr">
        <is>
          <t>Alta</t>
        </is>
      </c>
      <c r="T2334" s="18" t="inlineStr">
        <is>
          <t>nombre + tipo</t>
        </is>
      </c>
      <c r="U2334" s="18" t="inlineStr"/>
      <c r="V2334" s="19" t="inlineStr">
        <is>
          <t>Aprobada</t>
        </is>
      </c>
      <c r="W2334" s="19" t="inlineStr"/>
      <c r="X2334" s="19" t="inlineStr">
        <is>
          <t>Aldair González (aprobación en bloque)</t>
        </is>
      </c>
      <c r="Y2334" s="20" t="n">
        <v>46321</v>
      </c>
      <c r="Z2334" s="19" t="inlineStr">
        <is>
          <t>Nivel 1: propuesta del comentario del desarrollador o de confianza alta, o regla de fecha/responsable/motivo.</t>
        </is>
      </c>
      <c r="AA2334" s="18">
        <f>IF(OR(V2334="Aprobada"),R2334,IF(AND(OR(V2334="Aprobada con ajuste",V2334="Rechazada"),W2334&lt;&gt;""),W2334,""))</f>
        <v/>
      </c>
    </row>
    <row r="2335">
      <c r="A2335" s="18" t="inlineStr">
        <is>
          <t>C2334</t>
        </is>
      </c>
      <c r="B2335" s="18" t="inlineStr">
        <is>
          <t>Requerimientos</t>
        </is>
      </c>
      <c r="C2335" s="18" t="inlineStr">
        <is>
          <t>requerimientos_oc</t>
        </is>
      </c>
      <c r="D2335" s="18" t="inlineStr">
        <is>
          <t>historial_requerimientos</t>
        </is>
      </c>
      <c r="E2335" s="18" t="n">
        <v>0</v>
      </c>
      <c r="F2335" s="18" t="inlineStr">
        <is>
          <t>accion</t>
        </is>
      </c>
      <c r="G2335" s="18" t="inlineStr">
        <is>
          <t>character varying(50)</t>
        </is>
      </c>
      <c r="H2335" s="18" t="inlineStr">
        <is>
          <t>No</t>
        </is>
      </c>
      <c r="I2335" s="18" t="inlineStr"/>
      <c r="J2335" s="18" t="inlineStr"/>
      <c r="K2335" s="18" t="inlineStr"/>
      <c r="L2335" s="18" t="inlineStr">
        <is>
          <t>No</t>
        </is>
      </c>
      <c r="M2335" s="18" t="inlineStr">
        <is>
          <t>Sí</t>
        </is>
      </c>
      <c r="N2335" s="18" t="inlineStr">
        <is>
          <t>Función requerimientos_oc.registrar_historial_requerimiento — requerimientos_oc.registrar_historial_requerimiento: INSERT INTO historial_requerimientos (requerimiento_id, accion, descripcion, estado_anterior, estado_nuevo)</t>
        </is>
      </c>
      <c r="O2335" s="18" t="inlineStr"/>
      <c r="P2335" s="18" t="inlineStr"/>
      <c r="Q2335" s="18" t="inlineStr">
        <is>
          <t>Código fuente (verificado)</t>
        </is>
      </c>
      <c r="R2335" s="18" t="inlineStr">
        <is>
          <t>Acción registrada sobre el requerimiento: CREACION, ASIGNACION, DELEGACION, CAMBIO_ESTADO, RESPUESTA o CIERRE. El trigger registra CAMBIO_ESTADO cuando cambia el estado.</t>
        </is>
      </c>
      <c r="S2335" s="18" t="inlineStr">
        <is>
          <t>Alta</t>
        </is>
      </c>
      <c r="T2335" s="18" t="inlineStr">
        <is>
          <t>db/migrations/old/039_expand_organos_control.sql:153 valores CREACION, ASIGNACION, DELEGACION, CAMBIO_ESTADO, RESPUESTA, CIERRE | db/init/008_requerimientos_oc_ddl_20260129_215541.sql:52 registrar_historial_requerimiento inserta CAMBIO_ESTADO | db/init/008_requerimientos_oc_ddl_20260129_215541.sql:478 trigger AFTER UPDATE</t>
        </is>
      </c>
      <c r="U2335" s="18" t="inlineStr"/>
      <c r="V2335" s="19" t="inlineStr">
        <is>
          <t>Aprobada</t>
        </is>
      </c>
      <c r="W2335" s="19" t="inlineStr"/>
      <c r="X2335" s="19" t="inlineStr">
        <is>
          <t>Aldair González (aprobación en bloque)</t>
        </is>
      </c>
      <c r="Y2335" s="20" t="n">
        <v>46321</v>
      </c>
      <c r="Z2335" s="19" t="inlineStr">
        <is>
          <t>Nivel 3: verificada con el código de la aplicación.</t>
        </is>
      </c>
      <c r="AA2335" s="18">
        <f>IF(OR(V2335="Aprobada"),R2335,IF(AND(OR(V2335="Aprobada con ajuste",V2335="Rechazada"),W2335&lt;&gt;""),W2335,""))</f>
        <v/>
      </c>
    </row>
    <row r="2336">
      <c r="A2336" s="18" t="inlineStr">
        <is>
          <t>C2335</t>
        </is>
      </c>
      <c r="B2336" s="18" t="inlineStr">
        <is>
          <t>Requerimientos</t>
        </is>
      </c>
      <c r="C2336" s="18" t="inlineStr">
        <is>
          <t>requerimientos_oc</t>
        </is>
      </c>
      <c r="D2336" s="18" t="inlineStr">
        <is>
          <t>historial_requerimientos</t>
        </is>
      </c>
      <c r="E2336" s="18" t="n">
        <v>0</v>
      </c>
      <c r="F2336" s="18" t="inlineStr">
        <is>
          <t>descripcion</t>
        </is>
      </c>
      <c r="G2336" s="18" t="inlineStr">
        <is>
          <t>text</t>
        </is>
      </c>
      <c r="H2336" s="18" t="inlineStr">
        <is>
          <t>Sí</t>
        </is>
      </c>
      <c r="I2336" s="18" t="inlineStr"/>
      <c r="J2336" s="18" t="inlineStr"/>
      <c r="K2336" s="18" t="inlineStr"/>
      <c r="L2336" s="18" t="inlineStr">
        <is>
          <t>No</t>
        </is>
      </c>
      <c r="M2336" s="18" t="inlineStr">
        <is>
          <t>Sí</t>
        </is>
      </c>
      <c r="N2336" s="18" t="inlineStr">
        <is>
          <t>Función requerimientos_oc.registrar_historial_requerimiento — requerimientos_oc.registrar_historial_requerimiento: INSERT INTO historial_requerimientos (requerimiento_id, accion, descripcion, estado_anterior, estado_nuevo)</t>
        </is>
      </c>
      <c r="O2336" s="18" t="inlineStr"/>
      <c r="P2336" s="18" t="inlineStr"/>
      <c r="Q2336" s="18" t="inlineStr">
        <is>
          <t>Regla estructural (redacción revisada)</t>
        </is>
      </c>
      <c r="R2336" s="18" t="inlineStr">
        <is>
          <t>Descripción de la acción registrada en el historial del requerimiento.</t>
        </is>
      </c>
      <c r="S2336" s="18" t="inlineStr">
        <is>
          <t>Alta</t>
        </is>
      </c>
      <c r="T2336" s="18" t="inlineStr">
        <is>
          <t>Convención de nombre, redactada con el contexto de la tabla y el código.</t>
        </is>
      </c>
      <c r="U2336" s="18" t="inlineStr"/>
      <c r="V2336" s="19" t="inlineStr">
        <is>
          <t>Aprobada</t>
        </is>
      </c>
      <c r="W2336" s="19" t="inlineStr"/>
      <c r="X2336" s="19" t="inlineStr">
        <is>
          <t>Aldair González (aprobación en bloque)</t>
        </is>
      </c>
      <c r="Y2336" s="20" t="n">
        <v>46321</v>
      </c>
      <c r="Z2336" s="19" t="inlineStr">
        <is>
          <t>Nivel 2: regla estructural con redacción revisada.</t>
        </is>
      </c>
      <c r="AA2336" s="18">
        <f>IF(OR(V2336="Aprobada"),R2336,IF(AND(OR(V2336="Aprobada con ajuste",V2336="Rechazada"),W2336&lt;&gt;""),W2336,""))</f>
        <v/>
      </c>
    </row>
    <row r="2337">
      <c r="A2337" s="18" t="inlineStr">
        <is>
          <t>C2336</t>
        </is>
      </c>
      <c r="B2337" s="18" t="inlineStr">
        <is>
          <t>Requerimientos</t>
        </is>
      </c>
      <c r="C2337" s="18" t="inlineStr">
        <is>
          <t>requerimientos_oc</t>
        </is>
      </c>
      <c r="D2337" s="18" t="inlineStr">
        <is>
          <t>historial_requerimientos</t>
        </is>
      </c>
      <c r="E2337" s="18" t="n">
        <v>0</v>
      </c>
      <c r="F2337" s="18" t="inlineStr">
        <is>
          <t>estado_anterior</t>
        </is>
      </c>
      <c r="G2337" s="18" t="inlineStr">
        <is>
          <t>character varying(30)</t>
        </is>
      </c>
      <c r="H2337" s="18" t="inlineStr">
        <is>
          <t>Sí</t>
        </is>
      </c>
      <c r="I2337" s="18" t="inlineStr"/>
      <c r="J2337" s="18" t="inlineStr"/>
      <c r="K2337" s="18" t="inlineStr"/>
      <c r="L2337" s="18" t="inlineStr">
        <is>
          <t>No</t>
        </is>
      </c>
      <c r="M2337" s="18" t="inlineStr">
        <is>
          <t>Sí</t>
        </is>
      </c>
      <c r="N2337" s="18" t="inlineStr">
        <is>
          <t>Función requerimientos_oc.registrar_historial_requerimiento — requerimientos_oc.registrar_historial_requerimiento: INSERT INTO historial_requerimientos (requerimiento_id, accion, descripcion, estado_anterior, estado_nuevo)</t>
        </is>
      </c>
      <c r="O2337" s="18" t="inlineStr"/>
      <c r="P2337" s="18" t="inlineStr"/>
      <c r="Q2337" s="18" t="inlineStr">
        <is>
          <t>Propuesta semántica</t>
        </is>
      </c>
      <c r="R2337" s="18" t="inlineStr">
        <is>
          <t>Estado del requerimiento antes de la acción.</t>
        </is>
      </c>
      <c r="S2337" s="18" t="inlineStr">
        <is>
          <t>Alta</t>
        </is>
      </c>
      <c r="T2337" s="18" t="inlineStr">
        <is>
          <t>uso en la función requerimientos_oc.registrar_historial_requerimiento</t>
        </is>
      </c>
      <c r="U2337" s="18" t="inlineStr"/>
      <c r="V2337" s="19" t="inlineStr">
        <is>
          <t>Aprobada</t>
        </is>
      </c>
      <c r="W2337" s="19" t="inlineStr"/>
      <c r="X2337" s="19" t="inlineStr">
        <is>
          <t>Aldair González (aprobación en bloque)</t>
        </is>
      </c>
      <c r="Y2337" s="20" t="n">
        <v>46321</v>
      </c>
      <c r="Z2337" s="19" t="inlineStr">
        <is>
          <t>Nivel 1: propuesta del comentario del desarrollador o de confianza alta, o regla de fecha/responsable/motivo.</t>
        </is>
      </c>
      <c r="AA2337" s="18">
        <f>IF(OR(V2337="Aprobada"),R2337,IF(AND(OR(V2337="Aprobada con ajuste",V2337="Rechazada"),W2337&lt;&gt;""),W2337,""))</f>
        <v/>
      </c>
    </row>
    <row r="2338">
      <c r="A2338" s="18" t="inlineStr">
        <is>
          <t>C2337</t>
        </is>
      </c>
      <c r="B2338" s="18" t="inlineStr">
        <is>
          <t>Requerimientos</t>
        </is>
      </c>
      <c r="C2338" s="18" t="inlineStr">
        <is>
          <t>requerimientos_oc</t>
        </is>
      </c>
      <c r="D2338" s="18" t="inlineStr">
        <is>
          <t>historial_requerimientos</t>
        </is>
      </c>
      <c r="E2338" s="18" t="n">
        <v>0</v>
      </c>
      <c r="F2338" s="18" t="inlineStr">
        <is>
          <t>estado_nuevo</t>
        </is>
      </c>
      <c r="G2338" s="18" t="inlineStr">
        <is>
          <t>character varying(30)</t>
        </is>
      </c>
      <c r="H2338" s="18" t="inlineStr">
        <is>
          <t>Sí</t>
        </is>
      </c>
      <c r="I2338" s="18" t="inlineStr"/>
      <c r="J2338" s="18" t="inlineStr"/>
      <c r="K2338" s="18" t="inlineStr"/>
      <c r="L2338" s="18" t="inlineStr">
        <is>
          <t>No</t>
        </is>
      </c>
      <c r="M2338" s="18" t="inlineStr">
        <is>
          <t>Sí</t>
        </is>
      </c>
      <c r="N2338" s="18" t="inlineStr">
        <is>
          <t>Función requerimientos_oc.registrar_historial_requerimiento — requerimientos_oc.registrar_historial_requerimiento: INSERT INTO historial_requerimientos (requerimiento_id, accion, descripcion, estado_anterior, estado_nuevo)</t>
        </is>
      </c>
      <c r="O2338" s="18" t="inlineStr"/>
      <c r="P2338" s="18" t="inlineStr"/>
      <c r="Q2338" s="18" t="inlineStr">
        <is>
          <t>Propuesta semántica</t>
        </is>
      </c>
      <c r="R2338" s="18" t="inlineStr">
        <is>
          <t>Estado del requerimiento después de la acción.</t>
        </is>
      </c>
      <c r="S2338" s="18" t="inlineStr">
        <is>
          <t>Alta</t>
        </is>
      </c>
      <c r="T2338" s="18" t="inlineStr">
        <is>
          <t>uso en la función requerimientos_oc.registrar_historial_requerimiento</t>
        </is>
      </c>
      <c r="U2338" s="18" t="inlineStr"/>
      <c r="V2338" s="19" t="inlineStr">
        <is>
          <t>Aprobada</t>
        </is>
      </c>
      <c r="W2338" s="19" t="inlineStr"/>
      <c r="X2338" s="19" t="inlineStr">
        <is>
          <t>Aldair González (aprobación en bloque)</t>
        </is>
      </c>
      <c r="Y2338" s="20" t="n">
        <v>46321</v>
      </c>
      <c r="Z2338" s="19" t="inlineStr">
        <is>
          <t>Nivel 1: propuesta del comentario del desarrollador o de confianza alta, o regla de fecha/responsable/motivo.</t>
        </is>
      </c>
      <c r="AA2338" s="18">
        <f>IF(OR(V2338="Aprobada"),R2338,IF(AND(OR(V2338="Aprobada con ajuste",V2338="Rechazada"),W2338&lt;&gt;""),W2338,""))</f>
        <v/>
      </c>
    </row>
    <row r="2339">
      <c r="A2339" s="18" t="inlineStr">
        <is>
          <t>C2338</t>
        </is>
      </c>
      <c r="B2339" s="18" t="inlineStr">
        <is>
          <t>Requerimientos</t>
        </is>
      </c>
      <c r="C2339" s="18" t="inlineStr">
        <is>
          <t>requerimientos_oc</t>
        </is>
      </c>
      <c r="D2339" s="18" t="inlineStr">
        <is>
          <t>historial_requerimientos</t>
        </is>
      </c>
      <c r="E2339" s="18" t="n">
        <v>0</v>
      </c>
      <c r="F2339" s="18" t="inlineStr">
        <is>
          <t>usuario_nombre</t>
        </is>
      </c>
      <c r="G2339" s="18" t="inlineStr">
        <is>
          <t>character varying(150)</t>
        </is>
      </c>
      <c r="H2339" s="18" t="inlineStr">
        <is>
          <t>Sí</t>
        </is>
      </c>
      <c r="I2339" s="18" t="inlineStr"/>
      <c r="J2339" s="18" t="inlineStr"/>
      <c r="K2339" s="18" t="inlineStr"/>
      <c r="L2339" s="18" t="inlineStr">
        <is>
          <t>No</t>
        </is>
      </c>
      <c r="M2339" s="18" t="inlineStr">
        <is>
          <t>No</t>
        </is>
      </c>
      <c r="N2339" s="18" t="inlineStr"/>
      <c r="O2339" s="18" t="inlineStr"/>
      <c r="P2339" s="18" t="inlineStr"/>
      <c r="Q2339" s="18" t="inlineStr">
        <is>
          <t>Código fuente (verificado)</t>
        </is>
      </c>
      <c r="R2339" s="18" t="inlineStr">
        <is>
          <t>Nombre del usuario que realizó la acción. Queda vacío cuando la acción la registra el trigger de cambio de estado.</t>
        </is>
      </c>
      <c r="S2339" s="18" t="inlineStr">
        <is>
          <t>Alta</t>
        </is>
      </c>
      <c r="T2339" s="18" t="inlineStr">
        <is>
          <t>db/init/008_requerimientos_oc_ddl_20260129_215541.sql:52 el INSERT del trigger no incluye usuario_nombre</t>
        </is>
      </c>
      <c r="U2339" s="18" t="inlineStr"/>
      <c r="V2339" s="19" t="inlineStr">
        <is>
          <t>Aprobada</t>
        </is>
      </c>
      <c r="W2339" s="19" t="inlineStr"/>
      <c r="X2339" s="19" t="inlineStr">
        <is>
          <t>Aldair González (aprobación en bloque)</t>
        </is>
      </c>
      <c r="Y2339" s="20" t="n">
        <v>46321</v>
      </c>
      <c r="Z2339" s="19" t="inlineStr">
        <is>
          <t>Nivel 3: verificada con el código de la aplicación.</t>
        </is>
      </c>
      <c r="AA2339" s="18">
        <f>IF(OR(V2339="Aprobada"),R2339,IF(AND(OR(V2339="Aprobada con ajuste",V2339="Rechazada"),W2339&lt;&gt;""),W2339,""))</f>
        <v/>
      </c>
    </row>
    <row r="2340">
      <c r="A2340" s="18" t="inlineStr">
        <is>
          <t>C2339</t>
        </is>
      </c>
      <c r="B2340" s="18" t="inlineStr">
        <is>
          <t>Requerimientos</t>
        </is>
      </c>
      <c r="C2340" s="18" t="inlineStr">
        <is>
          <t>requerimientos_oc</t>
        </is>
      </c>
      <c r="D2340" s="18" t="inlineStr">
        <is>
          <t>historial_requerimientos</t>
        </is>
      </c>
      <c r="E2340" s="18" t="n">
        <v>0</v>
      </c>
      <c r="F2340" s="18" t="inlineStr">
        <is>
          <t>area_usuario</t>
        </is>
      </c>
      <c r="G2340" s="18" t="inlineStr">
        <is>
          <t>character varying(100)</t>
        </is>
      </c>
      <c r="H2340" s="18" t="inlineStr">
        <is>
          <t>Sí</t>
        </is>
      </c>
      <c r="I2340" s="18" t="inlineStr"/>
      <c r="J2340" s="18" t="inlineStr"/>
      <c r="K2340" s="18" t="inlineStr"/>
      <c r="L2340" s="18" t="inlineStr">
        <is>
          <t>No</t>
        </is>
      </c>
      <c r="M2340" s="18" t="inlineStr">
        <is>
          <t>No</t>
        </is>
      </c>
      <c r="N2340" s="18" t="inlineStr"/>
      <c r="O2340" s="18" t="inlineStr"/>
      <c r="P2340" s="18" t="inlineStr"/>
      <c r="Q2340" s="18" t="inlineStr">
        <is>
          <t>Propuesta semántica</t>
        </is>
      </c>
      <c r="R2340" s="18" t="inlineStr">
        <is>
          <t>Área a la que pertenece el usuario que realizó la acción.</t>
        </is>
      </c>
      <c r="S2340" s="18" t="inlineStr">
        <is>
          <t>Alta</t>
        </is>
      </c>
      <c r="T2340" s="18" t="inlineStr">
        <is>
          <t>nombre + tipo + columnas vecinas</t>
        </is>
      </c>
      <c r="U2340" s="18" t="inlineStr"/>
      <c r="V2340" s="19" t="inlineStr">
        <is>
          <t>Aprobada</t>
        </is>
      </c>
      <c r="W2340" s="19" t="inlineStr"/>
      <c r="X2340" s="19" t="inlineStr">
        <is>
          <t>Aldair González (aprobación en bloque)</t>
        </is>
      </c>
      <c r="Y2340" s="20" t="n">
        <v>46321</v>
      </c>
      <c r="Z2340" s="19" t="inlineStr">
        <is>
          <t>Nivel 1: propuesta del comentario del desarrollador o de confianza alta, o regla de fecha/responsable/motivo.</t>
        </is>
      </c>
      <c r="AA2340" s="18">
        <f>IF(OR(V2340="Aprobada"),R2340,IF(AND(OR(V2340="Aprobada con ajuste",V2340="Rechazada"),W2340&lt;&gt;""),W2340,""))</f>
        <v/>
      </c>
    </row>
    <row r="2341">
      <c r="A2341" s="18" t="inlineStr">
        <is>
          <t>C2340</t>
        </is>
      </c>
      <c r="B2341" s="18" t="inlineStr">
        <is>
          <t>Requerimientos</t>
        </is>
      </c>
      <c r="C2341" s="18" t="inlineStr">
        <is>
          <t>requerimientos_oc</t>
        </is>
      </c>
      <c r="D2341" s="18" t="inlineStr">
        <is>
          <t>historial_requerimientos</t>
        </is>
      </c>
      <c r="E2341" s="18" t="n">
        <v>0</v>
      </c>
      <c r="F2341" s="18" t="inlineStr">
        <is>
          <t>fecha</t>
        </is>
      </c>
      <c r="G2341" s="18" t="inlineStr">
        <is>
          <t>timestamp without time zone</t>
        </is>
      </c>
      <c r="H2341" s="18" t="inlineStr">
        <is>
          <t>Sí</t>
        </is>
      </c>
      <c r="I2341" s="18" t="inlineStr"/>
      <c r="J2341" s="18" t="inlineStr"/>
      <c r="K2341" s="18" t="inlineStr"/>
      <c r="L2341" s="18" t="inlineStr">
        <is>
          <t>No</t>
        </is>
      </c>
      <c r="M2341" s="18" t="inlineStr">
        <is>
          <t>No</t>
        </is>
      </c>
      <c r="N2341" s="18" t="inlineStr"/>
      <c r="O2341" s="18" t="inlineStr">
        <is>
          <t>idx_historial_fecha</t>
        </is>
      </c>
      <c r="P2341" s="18" t="inlineStr"/>
      <c r="Q2341" s="18" t="inlineStr">
        <is>
          <t>Propuesta semántica</t>
        </is>
      </c>
      <c r="R2341" s="18" t="inlineStr">
        <is>
          <t>Fecha y hora en que se registró la acción. Por defecto, la fecha y hora de inserción.</t>
        </is>
      </c>
      <c r="S2341" s="18" t="inlineStr">
        <is>
          <t>Alta</t>
        </is>
      </c>
      <c r="T2341" s="18" t="inlineStr">
        <is>
          <t>nombre + tipo + defecto</t>
        </is>
      </c>
      <c r="U2341" s="18" t="inlineStr"/>
      <c r="V2341" s="19" t="inlineStr">
        <is>
          <t>Aprobada</t>
        </is>
      </c>
      <c r="W2341" s="19" t="inlineStr"/>
      <c r="X2341" s="19" t="inlineStr">
        <is>
          <t>Aldair González (aprobación en bloque)</t>
        </is>
      </c>
      <c r="Y2341" s="20" t="n">
        <v>46321</v>
      </c>
      <c r="Z2341" s="19" t="inlineStr">
        <is>
          <t>Nivel 1: propuesta del comentario del desarrollador o de confianza alta, o regla de fecha/responsable/motivo.</t>
        </is>
      </c>
      <c r="AA2341" s="18">
        <f>IF(OR(V2341="Aprobada"),R2341,IF(AND(OR(V2341="Aprobada con ajuste",V2341="Rechazada"),W2341&lt;&gt;""),W2341,""))</f>
        <v/>
      </c>
    </row>
    <row r="2342">
      <c r="A2342" s="18" t="inlineStr">
        <is>
          <t>C2341</t>
        </is>
      </c>
      <c r="B2342" s="18" t="inlineStr">
        <is>
          <t>Requerimientos</t>
        </is>
      </c>
      <c r="C2342" s="18" t="inlineStr">
        <is>
          <t>requerimientos_oc</t>
        </is>
      </c>
      <c r="D2342" s="18" t="inlineStr">
        <is>
          <t>requerimientos</t>
        </is>
      </c>
      <c r="E2342" s="18" t="n">
        <v>5</v>
      </c>
      <c r="F2342" s="18" t="inlineStr">
        <is>
          <t>radicado_externo</t>
        </is>
      </c>
      <c r="G2342" s="18" t="inlineStr">
        <is>
          <t>character varying(50)</t>
        </is>
      </c>
      <c r="H2342" s="18" t="inlineStr">
        <is>
          <t>No</t>
        </is>
      </c>
      <c r="I2342" s="18" t="inlineStr"/>
      <c r="J2342" s="18" t="inlineStr"/>
      <c r="K2342" s="18" t="inlineStr"/>
      <c r="L2342" s="18" t="inlineStr">
        <is>
          <t>No</t>
        </is>
      </c>
      <c r="M2342" s="18" t="inlineStr">
        <is>
          <t>No</t>
        </is>
      </c>
      <c r="N2342" s="18" t="inlineStr"/>
      <c r="O2342" s="18" t="inlineStr"/>
      <c r="P2342" s="18" t="inlineStr">
        <is>
          <t>Mapeada en legal-management-service/src/entities/requerimiento.entity.ts:9 (Requerimiento.radicadoExterno)</t>
        </is>
      </c>
      <c r="Q2342" s="18" t="inlineStr">
        <is>
          <t>Propuesta semántica</t>
        </is>
      </c>
      <c r="R2342" s="18" t="inlineStr">
        <is>
          <t>Número de radicado asignado por el organismo de control al requerimiento.</t>
        </is>
      </c>
      <c r="S2342" s="18" t="inlineStr">
        <is>
          <t>Alta</t>
        </is>
      </c>
      <c r="T2342" s="18" t="inlineStr">
        <is>
          <t>nombre + tipo + descripción de la tabla</t>
        </is>
      </c>
      <c r="U2342" s="18" t="inlineStr"/>
      <c r="V2342" s="19" t="inlineStr">
        <is>
          <t>Aprobada</t>
        </is>
      </c>
      <c r="W2342" s="19" t="inlineStr"/>
      <c r="X2342" s="19" t="inlineStr">
        <is>
          <t>Aldair González (aprobación en bloque)</t>
        </is>
      </c>
      <c r="Y2342" s="20" t="n">
        <v>46321</v>
      </c>
      <c r="Z2342" s="19" t="inlineStr">
        <is>
          <t>Nivel 1: propuesta del comentario del desarrollador o de confianza alta, o regla de fecha/responsable/motivo.</t>
        </is>
      </c>
      <c r="AA2342" s="18">
        <f>IF(OR(V2342="Aprobada"),R2342,IF(AND(OR(V2342="Aprobada con ajuste",V2342="Rechazada"),W2342&lt;&gt;""),W2342,""))</f>
        <v/>
      </c>
    </row>
    <row r="2343">
      <c r="A2343" s="18" t="inlineStr">
        <is>
          <t>C2342</t>
        </is>
      </c>
      <c r="B2343" s="18" t="inlineStr">
        <is>
          <t>Requerimientos</t>
        </is>
      </c>
      <c r="C2343" s="18" t="inlineStr">
        <is>
          <t>requerimientos_oc</t>
        </is>
      </c>
      <c r="D2343" s="18" t="inlineStr">
        <is>
          <t>requerimientos</t>
        </is>
      </c>
      <c r="E2343" s="18" t="n">
        <v>5</v>
      </c>
      <c r="F2343" s="18" t="inlineStr">
        <is>
          <t>asunto</t>
        </is>
      </c>
      <c r="G2343" s="18" t="inlineStr">
        <is>
          <t>text</t>
        </is>
      </c>
      <c r="H2343" s="18" t="inlineStr">
        <is>
          <t>No</t>
        </is>
      </c>
      <c r="I2343" s="18" t="inlineStr"/>
      <c r="J2343" s="18" t="inlineStr"/>
      <c r="K2343" s="18" t="inlineStr"/>
      <c r="L2343" s="18" t="inlineStr">
        <is>
          <t>No</t>
        </is>
      </c>
      <c r="M2343" s="18" t="inlineStr">
        <is>
          <t>No</t>
        </is>
      </c>
      <c r="N2343" s="18" t="inlineStr"/>
      <c r="O2343" s="18" t="inlineStr"/>
      <c r="P2343" s="18" t="inlineStr">
        <is>
          <t>Mapeada en legal-management-service/src/entities/requerimiento.entity.ts:23 (Requerimiento.asunto)</t>
        </is>
      </c>
      <c r="Q2343" s="18" t="inlineStr">
        <is>
          <t>Propuesta semántica</t>
        </is>
      </c>
      <c r="R2343" s="18" t="inlineStr">
        <is>
          <t>Asunto del requerimiento.</t>
        </is>
      </c>
      <c r="S2343" s="18" t="inlineStr">
        <is>
          <t>Alta</t>
        </is>
      </c>
      <c r="T2343" s="18" t="inlineStr">
        <is>
          <t>nombre + tipo</t>
        </is>
      </c>
      <c r="U2343" s="18" t="inlineStr"/>
      <c r="V2343" s="19" t="inlineStr">
        <is>
          <t>Aprobada</t>
        </is>
      </c>
      <c r="W2343" s="19" t="inlineStr"/>
      <c r="X2343" s="19" t="inlineStr">
        <is>
          <t>Aldair González (aprobación en bloque)</t>
        </is>
      </c>
      <c r="Y2343" s="20" t="n">
        <v>46321</v>
      </c>
      <c r="Z2343" s="19" t="inlineStr">
        <is>
          <t>Nivel 1: propuesta del comentario del desarrollador o de confianza alta, o regla de fecha/responsable/motivo.</t>
        </is>
      </c>
      <c r="AA2343" s="18">
        <f>IF(OR(V2343="Aprobada"),R2343,IF(AND(OR(V2343="Aprobada con ajuste",V2343="Rechazada"),W2343&lt;&gt;""),W2343,""))</f>
        <v/>
      </c>
    </row>
    <row r="2344">
      <c r="A2344" s="18" t="inlineStr">
        <is>
          <t>C2343</t>
        </is>
      </c>
      <c r="B2344" s="18" t="inlineStr">
        <is>
          <t>Requerimientos</t>
        </is>
      </c>
      <c r="C2344" s="18" t="inlineStr">
        <is>
          <t>requerimientos_oc</t>
        </is>
      </c>
      <c r="D2344" s="18" t="inlineStr">
        <is>
          <t>requerimientos</t>
        </is>
      </c>
      <c r="E2344" s="18" t="n">
        <v>5</v>
      </c>
      <c r="F2344" s="18" t="inlineStr">
        <is>
          <t>tipo_requerimiento</t>
        </is>
      </c>
      <c r="G2344" s="18" t="inlineStr">
        <is>
          <t>character varying(50)</t>
        </is>
      </c>
      <c r="H2344" s="18" t="inlineStr">
        <is>
          <t>No</t>
        </is>
      </c>
      <c r="I2344" s="18" t="inlineStr">
        <is>
          <t>CHECK</t>
        </is>
      </c>
      <c r="J2344" s="18" t="inlineStr">
        <is>
          <t>AJUSTE, AUDITORIA, HALLAZGO, INFORMACION</t>
        </is>
      </c>
      <c r="K2344" s="18" t="inlineStr"/>
      <c r="L2344" s="18" t="inlineStr">
        <is>
          <t>Sí</t>
        </is>
      </c>
      <c r="M2344" s="18" t="inlineStr">
        <is>
          <t>No</t>
        </is>
      </c>
      <c r="N2344" s="18" t="inlineStr"/>
      <c r="O2344" s="18" t="inlineStr"/>
      <c r="P2344" s="18" t="inlineStr">
        <is>
          <t>db/init/old/011_schema_organos_control.sql:30: INFORMACION, AUDITORIA, HALLAZGO, AJUSTE</t>
        </is>
      </c>
      <c r="Q2344" s="18" t="inlineStr">
        <is>
          <t>Código fuente</t>
        </is>
      </c>
      <c r="R2344" s="18" t="inlineStr">
        <is>
          <t>Tipo de requerimiento del órgano de control. Valores permitidos: INFORMACION, AUDITORIA, HALLAZGO, AJUSTE.</t>
        </is>
      </c>
      <c r="S2344" s="18" t="inlineStr">
        <is>
          <t>Alta</t>
        </is>
      </c>
      <c r="T2344" s="18" t="inlineStr">
        <is>
          <t>valores permitidos del CHECK; código: db/init/old/011_schema_organos_control.sql:30</t>
        </is>
      </c>
      <c r="U2344" s="18" t="inlineStr"/>
      <c r="V2344" s="19" t="inlineStr">
        <is>
          <t>Aprobada</t>
        </is>
      </c>
      <c r="W2344" s="19" t="inlineStr"/>
      <c r="X2344" s="19" t="inlineStr">
        <is>
          <t>Aldair González (aprobación en bloque)</t>
        </is>
      </c>
      <c r="Y2344" s="20" t="n">
        <v>46321</v>
      </c>
      <c r="Z2344" s="19" t="inlineStr">
        <is>
          <t>Nivel 1: propuesta del comentario del desarrollador o de confianza alta, o regla de fecha/responsable/motivo.</t>
        </is>
      </c>
      <c r="AA2344" s="18">
        <f>IF(OR(V2344="Aprobada"),R2344,IF(AND(OR(V2344="Aprobada con ajuste",V2344="Rechazada"),W2344&lt;&gt;""),W2344,""))</f>
        <v/>
      </c>
    </row>
    <row r="2345">
      <c r="A2345" s="18" t="inlineStr">
        <is>
          <t>C2344</t>
        </is>
      </c>
      <c r="B2345" s="18" t="inlineStr">
        <is>
          <t>Requerimientos</t>
        </is>
      </c>
      <c r="C2345" s="18" t="inlineStr">
        <is>
          <t>requerimientos_oc</t>
        </is>
      </c>
      <c r="D2345" s="18" t="inlineStr">
        <is>
          <t>requerimientos</t>
        </is>
      </c>
      <c r="E2345" s="18" t="n">
        <v>5</v>
      </c>
      <c r="F2345" s="18" t="inlineStr">
        <is>
          <t>fecha_recepcion</t>
        </is>
      </c>
      <c r="G2345" s="18" t="inlineStr">
        <is>
          <t>date</t>
        </is>
      </c>
      <c r="H2345" s="18" t="inlineStr">
        <is>
          <t>No</t>
        </is>
      </c>
      <c r="I2345" s="18" t="inlineStr"/>
      <c r="J2345" s="18" t="inlineStr"/>
      <c r="K2345" s="18" t="inlineStr"/>
      <c r="L2345" s="18" t="inlineStr">
        <is>
          <t>No</t>
        </is>
      </c>
      <c r="M2345" s="18" t="inlineStr">
        <is>
          <t>No</t>
        </is>
      </c>
      <c r="N2345" s="18" t="inlineStr"/>
      <c r="O2345" s="18" t="inlineStr"/>
      <c r="P2345" s="18" t="inlineStr">
        <is>
          <t>legal-management-service/src/entities/requerimiento.entity.ts:29: TypeORM maps date to string usually for checks</t>
        </is>
      </c>
      <c r="Q2345" s="18" t="inlineStr">
        <is>
          <t>Código fuente</t>
        </is>
      </c>
      <c r="R2345" s="18" t="inlineStr">
        <is>
          <t>Fecha de recepción del requerimiento del órgano de control.</t>
        </is>
      </c>
      <c r="S2345" s="18" t="inlineStr">
        <is>
          <t>Alta</t>
        </is>
      </c>
      <c r="T2345" s="18" t="inlineStr">
        <is>
          <t>propuesta por regla + descripción de la tabla; el comentario de código requerimiento.entity.ts:29 no define el dato</t>
        </is>
      </c>
      <c r="U2345" s="18" t="inlineStr"/>
      <c r="V2345" s="19" t="inlineStr">
        <is>
          <t>Aprobada</t>
        </is>
      </c>
      <c r="W2345" s="19" t="inlineStr"/>
      <c r="X2345" s="19" t="inlineStr">
        <is>
          <t>Aldair González (aprobación en bloque)</t>
        </is>
      </c>
      <c r="Y2345" s="20" t="n">
        <v>46321</v>
      </c>
      <c r="Z2345" s="19" t="inlineStr">
        <is>
          <t>Nivel 1: propuesta del comentario del desarrollador o de confianza alta, o regla de fecha/responsable/motivo.</t>
        </is>
      </c>
      <c r="AA2345" s="18">
        <f>IF(OR(V2345="Aprobada"),R2345,IF(AND(OR(V2345="Aprobada con ajuste",V2345="Rechazada"),W2345&lt;&gt;""),W2345,""))</f>
        <v/>
      </c>
    </row>
    <row r="2346">
      <c r="A2346" s="18" t="inlineStr">
        <is>
          <t>C2345</t>
        </is>
      </c>
      <c r="B2346" s="18" t="inlineStr">
        <is>
          <t>Requerimientos</t>
        </is>
      </c>
      <c r="C2346" s="18" t="inlineStr">
        <is>
          <t>requerimientos_oc</t>
        </is>
      </c>
      <c r="D2346" s="18" t="inlineStr">
        <is>
          <t>requerimientos</t>
        </is>
      </c>
      <c r="E2346" s="18" t="n">
        <v>5</v>
      </c>
      <c r="F2346" s="18" t="inlineStr">
        <is>
          <t>estado</t>
        </is>
      </c>
      <c r="G2346" s="18" t="inlineStr">
        <is>
          <t>character varying(50)</t>
        </is>
      </c>
      <c r="H2346" s="18" t="inlineStr">
        <is>
          <t>No</t>
        </is>
      </c>
      <c r="I2346" s="18" t="inlineStr">
        <is>
          <t>CHECK</t>
        </is>
      </c>
      <c r="J2346" s="18" t="inlineStr">
        <is>
          <t>APROBADO, CERRADO, ENVIADO, EN_PREPARACION, EN_REVISION</t>
        </is>
      </c>
      <c r="K2346" s="18" t="inlineStr"/>
      <c r="L2346" s="18" t="inlineStr">
        <is>
          <t>Sí</t>
        </is>
      </c>
      <c r="M2346" s="18" t="inlineStr">
        <is>
          <t>No</t>
        </is>
      </c>
      <c r="N2346" s="18" t="inlineStr"/>
      <c r="O2346" s="18" t="inlineStr">
        <is>
          <t>idx_requerimientos_estado</t>
        </is>
      </c>
      <c r="P2346" s="18" t="inlineStr">
        <is>
          <t>db/init/old/011_schema_organos_control.sql:33: EN_PREPARACION, EN_REVISION, APROBADO, ENVIADO, CERRADO</t>
        </is>
      </c>
      <c r="Q2346" s="18" t="inlineStr">
        <is>
          <t>Código fuente</t>
        </is>
      </c>
      <c r="R2346" s="18" t="inlineStr">
        <is>
          <t>Estado del requerimiento. Valores permitidos: EN_PREPARACION, EN_REVISION, APROBADO, ENVIADO, CERRADO; valor por defecto EN_PREPARACION.</t>
        </is>
      </c>
      <c r="S2346" s="18" t="inlineStr">
        <is>
          <t>Alta</t>
        </is>
      </c>
      <c r="T2346" s="18" t="inlineStr">
        <is>
          <t>valores permitidos del CHECK; código: db/init/old/011_schema_organos_control.sql:33</t>
        </is>
      </c>
      <c r="U2346" s="18" t="inlineStr"/>
      <c r="V2346" s="19" t="inlineStr">
        <is>
          <t>Aprobada</t>
        </is>
      </c>
      <c r="W2346" s="19" t="inlineStr"/>
      <c r="X2346" s="19" t="inlineStr">
        <is>
          <t>Aldair González (aprobación en bloque)</t>
        </is>
      </c>
      <c r="Y2346" s="20" t="n">
        <v>46321</v>
      </c>
      <c r="Z2346" s="19" t="inlineStr">
        <is>
          <t>Nivel 1: propuesta del comentario del desarrollador o de confianza alta, o regla de fecha/responsable/motivo.</t>
        </is>
      </c>
      <c r="AA2346" s="18">
        <f>IF(OR(V2346="Aprobada"),R2346,IF(AND(OR(V2346="Aprobada con ajuste",V2346="Rechazada"),W2346&lt;&gt;""),W2346,""))</f>
        <v/>
      </c>
    </row>
    <row r="2347">
      <c r="A2347" s="18" t="inlineStr">
        <is>
          <t>C2346</t>
        </is>
      </c>
      <c r="B2347" s="18" t="inlineStr">
        <is>
          <t>Requerimientos</t>
        </is>
      </c>
      <c r="C2347" s="18" t="inlineStr">
        <is>
          <t>requerimientos_oc</t>
        </is>
      </c>
      <c r="D2347" s="18" t="inlineStr">
        <is>
          <t>requerimientos</t>
        </is>
      </c>
      <c r="E2347" s="18" t="n">
        <v>5</v>
      </c>
      <c r="F2347" s="18" t="inlineStr">
        <is>
          <t>archivo_adjunto_url</t>
        </is>
      </c>
      <c r="G2347" s="18" t="inlineStr">
        <is>
          <t>character varying(500)</t>
        </is>
      </c>
      <c r="H2347" s="18" t="inlineStr">
        <is>
          <t>Sí</t>
        </is>
      </c>
      <c r="I2347" s="18" t="inlineStr"/>
      <c r="J2347" s="18" t="inlineStr"/>
      <c r="K2347" s="18" t="inlineStr"/>
      <c r="L2347" s="18" t="inlineStr">
        <is>
          <t>No</t>
        </is>
      </c>
      <c r="M2347" s="18" t="inlineStr">
        <is>
          <t>No</t>
        </is>
      </c>
      <c r="N2347" s="18" t="inlineStr"/>
      <c r="O2347" s="18" t="inlineStr"/>
      <c r="P2347" s="18" t="inlineStr">
        <is>
          <t>Mapeada en legal-management-service/src/entities/requerimiento.entity.ts:41 (Requerimiento.archivoAdjuntoUrl)</t>
        </is>
      </c>
      <c r="Q2347" s="18" t="inlineStr">
        <is>
          <t>Propuesta semántica</t>
        </is>
      </c>
      <c r="R2347" s="18" t="inlineStr">
        <is>
          <t>URL del archivo del requerimiento recibido.</t>
        </is>
      </c>
      <c r="S2347" s="18" t="inlineStr">
        <is>
          <t>Alta</t>
        </is>
      </c>
      <c r="T2347" s="18" t="inlineStr">
        <is>
          <t>nombre + tipo</t>
        </is>
      </c>
      <c r="U2347" s="18" t="inlineStr"/>
      <c r="V2347" s="19" t="inlineStr">
        <is>
          <t>Aprobada</t>
        </is>
      </c>
      <c r="W2347" s="19" t="inlineStr"/>
      <c r="X2347" s="19" t="inlineStr">
        <is>
          <t>Aldair González (aprobación en bloque)</t>
        </is>
      </c>
      <c r="Y2347" s="20" t="n">
        <v>46321</v>
      </c>
      <c r="Z2347" s="19" t="inlineStr">
        <is>
          <t>Nivel 1: propuesta del comentario del desarrollador o de confianza alta, o regla de fecha/responsable/motivo.</t>
        </is>
      </c>
      <c r="AA2347" s="18">
        <f>IF(OR(V2347="Aprobada"),R2347,IF(AND(OR(V2347="Aprobada con ajuste",V2347="Rechazada"),W2347&lt;&gt;""),W2347,""))</f>
        <v/>
      </c>
    </row>
    <row r="2348">
      <c r="A2348" s="18" t="inlineStr">
        <is>
          <t>C2347</t>
        </is>
      </c>
      <c r="B2348" s="18" t="inlineStr">
        <is>
          <t>Requerimientos</t>
        </is>
      </c>
      <c r="C2348" s="18" t="inlineStr">
        <is>
          <t>requerimientos_oc</t>
        </is>
      </c>
      <c r="D2348" s="18" t="inlineStr">
        <is>
          <t>requerimientos</t>
        </is>
      </c>
      <c r="E2348" s="18" t="n">
        <v>5</v>
      </c>
      <c r="F2348" s="18" t="inlineStr">
        <is>
          <t>usuario_asignado_id</t>
        </is>
      </c>
      <c r="G2348" s="18" t="inlineStr">
        <is>
          <t>integer</t>
        </is>
      </c>
      <c r="H2348" s="18" t="inlineStr">
        <is>
          <t>Sí</t>
        </is>
      </c>
      <c r="I2348" s="18" t="inlineStr"/>
      <c r="J2348" s="18" t="inlineStr"/>
      <c r="K2348" s="18" t="inlineStr"/>
      <c r="L2348" s="18" t="inlineStr">
        <is>
          <t>No</t>
        </is>
      </c>
      <c r="M2348" s="18" t="inlineStr">
        <is>
          <t>No</t>
        </is>
      </c>
      <c r="N2348" s="18" t="inlineStr"/>
      <c r="O2348" s="18" t="inlineStr">
        <is>
          <t>idx_requerimientos_usuario_asignado</t>
        </is>
      </c>
      <c r="P2348" s="18" t="inlineStr">
        <is>
          <t>db/init/old/011_schema_organos_control.sql:36: FK a auth.personas (se asume que existe)</t>
        </is>
      </c>
      <c r="Q2348" s="18" t="inlineStr">
        <is>
          <t>Código fuente (verificado)</t>
        </is>
      </c>
      <c r="R2348" s="18" t="inlineStr">
        <is>
          <t>Identificador del usuario asignado al requerimiento; el código lo documenta como referencia a auth.personas, sin clave foránea en la base.</t>
        </is>
      </c>
      <c r="S2348" s="18" t="inlineStr">
        <is>
          <t>Media</t>
        </is>
      </c>
      <c r="T2348" s="18" t="inlineStr">
        <is>
          <t>db/init/old/011_schema_organos_control.sql:36 FK a auth.personas (se asume que existe) | backend/legal-management-service/src/entities/requerimiento.entity.ts:44 number | backend/legal-management-service/src/dtos/create-requerimiento.dto.ts:9 number | backend/legal-management-service/src/services/requerimiento.service.ts:332 solo se usa como filtro</t>
        </is>
      </c>
      <c r="U2348" s="18" t="inlineStr">
        <is>
          <t>La columna es integer y auth.personas no tiene una clave entera equivalente en el DDL; ¿qué identificador guarda realmente?</t>
        </is>
      </c>
      <c r="V2348" s="19" t="inlineStr">
        <is>
          <t>Aprobada</t>
        </is>
      </c>
      <c r="W2348" s="19" t="inlineStr"/>
      <c r="X2348" s="19" t="inlineStr">
        <is>
          <t>Aldair González (validación del responsable de BD)</t>
        </is>
      </c>
      <c r="Y2348" s="20" t="n">
        <v>46321</v>
      </c>
      <c r="Z2348" s="19" t="inlineStr">
        <is>
          <t>Nivel 3: validada por decisión del responsable de la base de datos. Pregunta registrada para desarrollo: La columna es integer y auth.personas no tiene una clave entera equivalente en el DDL; ¿qué identificador guarda realmente?</t>
        </is>
      </c>
      <c r="AA2348" s="18">
        <f>IF(OR(V2348="Aprobada"),R2348,IF(AND(OR(V2348="Aprobada con ajuste",V2348="Rechazada"),W2348&lt;&gt;""),W2348,""))</f>
        <v/>
      </c>
    </row>
    <row r="2349">
      <c r="A2349" s="18" t="inlineStr">
        <is>
          <t>C2348</t>
        </is>
      </c>
      <c r="B2349" s="18" t="inlineStr">
        <is>
          <t>Requerimientos</t>
        </is>
      </c>
      <c r="C2349" s="18" t="inlineStr">
        <is>
          <t>requerimientos_oc</t>
        </is>
      </c>
      <c r="D2349" s="18" t="inlineStr">
        <is>
          <t>requerimientos</t>
        </is>
      </c>
      <c r="E2349" s="18" t="n">
        <v>5</v>
      </c>
      <c r="F2349" s="18" t="inlineStr">
        <is>
          <t>auditoria_created_at</t>
        </is>
      </c>
      <c r="G2349" s="18" t="inlineStr">
        <is>
          <t>timestamp without time zone</t>
        </is>
      </c>
      <c r="H2349" s="18" t="inlineStr">
        <is>
          <t>Sí</t>
        </is>
      </c>
      <c r="I2349" s="18" t="inlineStr"/>
      <c r="J2349" s="18" t="inlineStr"/>
      <c r="K2349" s="18" t="inlineStr"/>
      <c r="L2349" s="18" t="inlineStr">
        <is>
          <t>No</t>
        </is>
      </c>
      <c r="M2349" s="18" t="inlineStr">
        <is>
          <t>No</t>
        </is>
      </c>
      <c r="N2349" s="18" t="inlineStr"/>
      <c r="O2349" s="18" t="inlineStr"/>
      <c r="P2349" s="18" t="inlineStr">
        <is>
          <t>Mapeada en legal-management-service/src/entities/requerimiento.entity.ts:47 (Requerimiento.auditoriaCreatedAt)</t>
        </is>
      </c>
      <c r="Q2349" s="18" t="inlineStr">
        <is>
          <t>Propuesta semántica</t>
        </is>
      </c>
      <c r="R2349" s="18" t="inlineStr">
        <is>
          <t>Fecha y hora de creación del registro. Por defecto, la fecha y hora de inserción.</t>
        </is>
      </c>
      <c r="S2349" s="18" t="inlineStr">
        <is>
          <t>Alta</t>
        </is>
      </c>
      <c r="T2349" s="18" t="inlineStr">
        <is>
          <t>nombre + tipo + defecto</t>
        </is>
      </c>
      <c r="U2349" s="18" t="inlineStr"/>
      <c r="V2349" s="19" t="inlineStr">
        <is>
          <t>Aprobada</t>
        </is>
      </c>
      <c r="W2349" s="19" t="inlineStr"/>
      <c r="X2349" s="19" t="inlineStr">
        <is>
          <t>Aldair González (aprobación en bloque)</t>
        </is>
      </c>
      <c r="Y2349" s="20" t="n">
        <v>46321</v>
      </c>
      <c r="Z2349" s="19" t="inlineStr">
        <is>
          <t>Nivel 1: propuesta del comentario del desarrollador o de confianza alta, o regla de fecha/responsable/motivo.</t>
        </is>
      </c>
      <c r="AA2349" s="18">
        <f>IF(OR(V2349="Aprobada"),R2349,IF(AND(OR(V2349="Aprobada con ajuste",V2349="Rechazada"),W2349&lt;&gt;""),W2349,""))</f>
        <v/>
      </c>
    </row>
    <row r="2350">
      <c r="A2350" s="18" t="inlineStr">
        <is>
          <t>C2349</t>
        </is>
      </c>
      <c r="B2350" s="18" t="inlineStr">
        <is>
          <t>Requerimientos</t>
        </is>
      </c>
      <c r="C2350" s="18" t="inlineStr">
        <is>
          <t>requerimientos_oc</t>
        </is>
      </c>
      <c r="D2350" s="18" t="inlineStr">
        <is>
          <t>requerimientos</t>
        </is>
      </c>
      <c r="E2350" s="18" t="n">
        <v>5</v>
      </c>
      <c r="F2350" s="18" t="inlineStr">
        <is>
          <t>unidad_tiempo</t>
        </is>
      </c>
      <c r="G2350" s="18" t="inlineStr">
        <is>
          <t>character varying(20)</t>
        </is>
      </c>
      <c r="H2350" s="18" t="inlineStr">
        <is>
          <t>Sí</t>
        </is>
      </c>
      <c r="I2350" s="18" t="inlineStr">
        <is>
          <t>CHECK</t>
        </is>
      </c>
      <c r="J2350" s="18" t="inlineStr">
        <is>
          <t>DIAS_CALENDARIO, DIAS_HABILES, HORAS</t>
        </is>
      </c>
      <c r="K2350" s="18" t="inlineStr"/>
      <c r="L2350" s="18" t="inlineStr">
        <is>
          <t>Sí</t>
        </is>
      </c>
      <c r="M2350" s="18" t="inlineStr">
        <is>
          <t>No</t>
        </is>
      </c>
      <c r="N2350" s="18" t="inlineStr"/>
      <c r="O2350" s="18" t="inlineStr"/>
      <c r="P2350" s="18" t="inlineStr"/>
      <c r="Q2350" s="18" t="inlineStr">
        <is>
          <t>Propuesta semántica</t>
        </is>
      </c>
      <c r="R2350" s="18" t="inlineStr">
        <is>
          <t>Unidad de tiempo del plazo otorgado. Valores permitidos: DIAS_CALENDARIO, DIAS_HABILES, HORAS. Por defecto, DIAS_HABILES.</t>
        </is>
      </c>
      <c r="S2350" s="18" t="inlineStr">
        <is>
          <t>Alta</t>
        </is>
      </c>
      <c r="T2350" s="18" t="inlineStr">
        <is>
          <t>valores permitidos del CHECK</t>
        </is>
      </c>
      <c r="U2350" s="18" t="inlineStr"/>
      <c r="V2350" s="19" t="inlineStr">
        <is>
          <t>Aprobada</t>
        </is>
      </c>
      <c r="W2350" s="19" t="inlineStr"/>
      <c r="X2350" s="19" t="inlineStr">
        <is>
          <t>Aldair González (aprobación en bloque)</t>
        </is>
      </c>
      <c r="Y2350" s="20" t="n">
        <v>46321</v>
      </c>
      <c r="Z2350" s="19" t="inlineStr">
        <is>
          <t>Nivel 1: propuesta del comentario del desarrollador o de confianza alta, o regla de fecha/responsable/motivo.</t>
        </is>
      </c>
      <c r="AA2350" s="18">
        <f>IF(OR(V2350="Aprobada"),R2350,IF(AND(OR(V2350="Aprobada con ajuste",V2350="Rechazada"),W2350&lt;&gt;""),W2350,""))</f>
        <v/>
      </c>
    </row>
    <row r="2351">
      <c r="A2351" s="18" t="inlineStr">
        <is>
          <t>C2350</t>
        </is>
      </c>
      <c r="B2351" s="18" t="inlineStr">
        <is>
          <t>Requerimientos</t>
        </is>
      </c>
      <c r="C2351" s="18" t="inlineStr">
        <is>
          <t>requerimientos_oc</t>
        </is>
      </c>
      <c r="D2351" s="18" t="inlineStr">
        <is>
          <t>requerimientos</t>
        </is>
      </c>
      <c r="E2351" s="18" t="n">
        <v>5</v>
      </c>
      <c r="F2351" s="18" t="inlineStr">
        <is>
          <t>dias_plazo_otorgado</t>
        </is>
      </c>
      <c r="G2351" s="18" t="inlineStr">
        <is>
          <t>integer</t>
        </is>
      </c>
      <c r="H2351" s="18" t="inlineStr">
        <is>
          <t>Sí</t>
        </is>
      </c>
      <c r="I2351" s="18" t="inlineStr"/>
      <c r="J2351" s="18" t="inlineStr"/>
      <c r="K2351" s="18" t="inlineStr"/>
      <c r="L2351" s="18" t="inlineStr">
        <is>
          <t>No</t>
        </is>
      </c>
      <c r="M2351" s="18" t="inlineStr">
        <is>
          <t>No</t>
        </is>
      </c>
      <c r="N2351" s="18" t="inlineStr"/>
      <c r="O2351" s="18" t="inlineStr"/>
      <c r="P2351" s="18" t="inlineStr"/>
      <c r="Q2351" s="18" t="inlineStr">
        <is>
          <t>Código fuente (verificado)</t>
        </is>
      </c>
      <c r="R2351" s="18" t="inlineStr">
        <is>
          <t>Plazo otorgado para responder el requerimiento. Por defecto, 15.</t>
        </is>
      </c>
      <c r="S2351" s="18" t="inlineStr">
        <is>
          <t>Media</t>
        </is>
      </c>
      <c r="T2351" s="18" t="inlineStr">
        <is>
          <t>backend/legal-management-service/src/services/requerimiento.service.ts:78 diasPlazo = valor recibido o 15 | backend/legal-management-service/src/services/requerimiento.service.ts:52 calcularVencimiento suma días hábiles (sin sábados ni domingos) | backend/legal-management-service/src/entities/requerimiento.entity.ts:4 la entidad no mapea dias_plazo_otorgado ni unidad_tiempo</t>
        </is>
      </c>
      <c r="U2351" s="18" t="inlineStr">
        <is>
          <t>El cálculo del vencimiento trata el plazo como días hábiles y no usa unidad_tiempo; ¿el valor se expresa siempre en días hábiles o debe seguir unidad_tiempo?</t>
        </is>
      </c>
      <c r="V2351" s="19" t="inlineStr">
        <is>
          <t>Aprobada</t>
        </is>
      </c>
      <c r="W2351" s="19" t="inlineStr"/>
      <c r="X2351" s="19" t="inlineStr">
        <is>
          <t>Aldair González (validación del responsable de BD)</t>
        </is>
      </c>
      <c r="Y2351" s="20" t="n">
        <v>46321</v>
      </c>
      <c r="Z2351" s="19" t="inlineStr">
        <is>
          <t>Nivel 3: validada por decisión del responsable de la base de datos. Pregunta registrada para desarrollo: El cálculo del vencimiento trata el plazo como días hábiles y no usa unidad_tiempo; ¿el valor se expresa siempre en días hábiles o debe seguir unidad_tiempo?</t>
        </is>
      </c>
      <c r="AA2351" s="18">
        <f>IF(OR(V2351="Aprobada"),R2351,IF(AND(OR(V2351="Aprobada con ajuste",V2351="Rechazada"),W2351&lt;&gt;""),W2351,""))</f>
        <v/>
      </c>
    </row>
    <row r="2352">
      <c r="A2352" s="18" t="inlineStr">
        <is>
          <t>C2351</t>
        </is>
      </c>
      <c r="B2352" s="18" t="inlineStr">
        <is>
          <t>Requerimientos</t>
        </is>
      </c>
      <c r="C2352" s="18" t="inlineStr">
        <is>
          <t>requerimientos_oc</t>
        </is>
      </c>
      <c r="D2352" s="18" t="inlineStr">
        <is>
          <t>requerimientos</t>
        </is>
      </c>
      <c r="E2352" s="18" t="n">
        <v>5</v>
      </c>
      <c r="F2352" s="18" t="inlineStr">
        <is>
          <t>referencia_externa</t>
        </is>
      </c>
      <c r="G2352" s="18" t="inlineStr">
        <is>
          <t>character varying(100)</t>
        </is>
      </c>
      <c r="H2352" s="18" t="inlineStr">
        <is>
          <t>Sí</t>
        </is>
      </c>
      <c r="I2352" s="18" t="inlineStr"/>
      <c r="J2352" s="18" t="inlineStr"/>
      <c r="K2352" s="18" t="inlineStr"/>
      <c r="L2352" s="18" t="inlineStr">
        <is>
          <t>No</t>
        </is>
      </c>
      <c r="M2352" s="18" t="inlineStr">
        <is>
          <t>No</t>
        </is>
      </c>
      <c r="N2352" s="18" t="inlineStr"/>
      <c r="O2352" s="18" t="inlineStr"/>
      <c r="P2352" s="18" t="inlineStr"/>
      <c r="Q2352" s="18" t="inlineStr">
        <is>
          <t>Código fuente (verificado)</t>
        </is>
      </c>
      <c r="R2352" s="18" t="inlineStr">
        <is>
          <t>Referencia externa del requerimiento.</t>
        </is>
      </c>
      <c r="S2352" s="18" t="inlineStr">
        <is>
          <t>Media</t>
        </is>
      </c>
      <c r="T2352" s="18" t="inlineStr">
        <is>
          <t>db/migrations/old/039_expand_organos_control.sql:16 columna agregada sin comentario; el backend no la mapea</t>
        </is>
      </c>
      <c r="U2352" s="18" t="inlineStr">
        <is>
          <t>¿En qué se diferencia la referencia externa del radicado externo?</t>
        </is>
      </c>
      <c r="V2352" s="19" t="inlineStr">
        <is>
          <t>Aprobada</t>
        </is>
      </c>
      <c r="W2352" s="19" t="inlineStr"/>
      <c r="X2352" s="19" t="inlineStr">
        <is>
          <t>Aldair González (validación del responsable de BD)</t>
        </is>
      </c>
      <c r="Y2352" s="20" t="n">
        <v>46321</v>
      </c>
      <c r="Z2352" s="19" t="inlineStr">
        <is>
          <t>Nivel 3: validada por decisión del responsable de la base de datos. Pregunta registrada para desarrollo: ¿En qué se diferencia la referencia externa del radicado externo?</t>
        </is>
      </c>
      <c r="AA2352" s="18">
        <f>IF(OR(V2352="Aprobada"),R2352,IF(AND(OR(V2352="Aprobada con ajuste",V2352="Rechazada"),W2352&lt;&gt;""),W2352,""))</f>
        <v/>
      </c>
    </row>
    <row r="2353">
      <c r="A2353" s="18" t="inlineStr">
        <is>
          <t>C2352</t>
        </is>
      </c>
      <c r="B2353" s="18" t="inlineStr">
        <is>
          <t>Requerimientos</t>
        </is>
      </c>
      <c r="C2353" s="18" t="inlineStr">
        <is>
          <t>requerimientos_oc</t>
        </is>
      </c>
      <c r="D2353" s="18" t="inlineStr">
        <is>
          <t>requerimientos</t>
        </is>
      </c>
      <c r="E2353" s="18" t="n">
        <v>5</v>
      </c>
      <c r="F2353" s="18" t="inlineStr">
        <is>
          <t>descripcion</t>
        </is>
      </c>
      <c r="G2353" s="18" t="inlineStr">
        <is>
          <t>text</t>
        </is>
      </c>
      <c r="H2353" s="18" t="inlineStr">
        <is>
          <t>Sí</t>
        </is>
      </c>
      <c r="I2353" s="18" t="inlineStr"/>
      <c r="J2353" s="18" t="inlineStr"/>
      <c r="K2353" s="18" t="inlineStr"/>
      <c r="L2353" s="18" t="inlineStr">
        <is>
          <t>No</t>
        </is>
      </c>
      <c r="M2353" s="18" t="inlineStr">
        <is>
          <t>No</t>
        </is>
      </c>
      <c r="N2353" s="18" t="inlineStr"/>
      <c r="O2353" s="18" t="inlineStr"/>
      <c r="P2353" s="18" t="inlineStr"/>
      <c r="Q2353" s="18" t="inlineStr">
        <is>
          <t>Regla estructural (redacción revisada)</t>
        </is>
      </c>
      <c r="R2353" s="18" t="inlineStr">
        <is>
          <t>Descripción del requerimiento.</t>
        </is>
      </c>
      <c r="S2353" s="18" t="inlineStr">
        <is>
          <t>Alta</t>
        </is>
      </c>
      <c r="T2353" s="18" t="inlineStr">
        <is>
          <t>Convención de nombre, redactada con el contexto de la tabla y el código.</t>
        </is>
      </c>
      <c r="U2353" s="18" t="inlineStr"/>
      <c r="V2353" s="19" t="inlineStr">
        <is>
          <t>Aprobada</t>
        </is>
      </c>
      <c r="W2353" s="19" t="inlineStr"/>
      <c r="X2353" s="19" t="inlineStr">
        <is>
          <t>Aldair González (aprobación en bloque)</t>
        </is>
      </c>
      <c r="Y2353" s="20" t="n">
        <v>46321</v>
      </c>
      <c r="Z2353" s="19" t="inlineStr">
        <is>
          <t>Nivel 2: regla estructural con redacción revisada.</t>
        </is>
      </c>
      <c r="AA2353" s="18">
        <f>IF(OR(V2353="Aprobada"),R2353,IF(AND(OR(V2353="Aprobada con ajuste",V2353="Rechazada"),W2353&lt;&gt;""),W2353,""))</f>
        <v/>
      </c>
    </row>
    <row r="2354">
      <c r="A2354" s="18" t="inlineStr">
        <is>
          <t>C2353</t>
        </is>
      </c>
      <c r="B2354" s="18" t="inlineStr">
        <is>
          <t>Requerimientos</t>
        </is>
      </c>
      <c r="C2354" s="18" t="inlineStr">
        <is>
          <t>requerimientos_oc</t>
        </is>
      </c>
      <c r="D2354" s="18" t="inlineStr">
        <is>
          <t>requerimientos</t>
        </is>
      </c>
      <c r="E2354" s="18" t="n">
        <v>5</v>
      </c>
      <c r="F2354" s="18" t="inlineStr">
        <is>
          <t>funcionario_responsable</t>
        </is>
      </c>
      <c r="G2354" s="18" t="inlineStr">
        <is>
          <t>character varying(150)</t>
        </is>
      </c>
      <c r="H2354" s="18" t="inlineStr">
        <is>
          <t>Sí</t>
        </is>
      </c>
      <c r="I2354" s="18" t="inlineStr"/>
      <c r="J2354" s="18" t="inlineStr"/>
      <c r="K2354" s="18" t="inlineStr"/>
      <c r="L2354" s="18" t="inlineStr">
        <is>
          <t>No</t>
        </is>
      </c>
      <c r="M2354" s="18" t="inlineStr">
        <is>
          <t>No</t>
        </is>
      </c>
      <c r="N2354" s="18" t="inlineStr"/>
      <c r="O2354" s="18" t="inlineStr"/>
      <c r="P2354" s="18" t="inlineStr"/>
      <c r="Q2354" s="18" t="inlineStr">
        <is>
          <t>Código fuente (verificado)</t>
        </is>
      </c>
      <c r="R2354" s="18" t="inlineStr">
        <is>
          <t>Funcionario responsable de atender el requerimiento.</t>
        </is>
      </c>
      <c r="S2354" s="18" t="inlineStr">
        <is>
          <t>Media</t>
        </is>
      </c>
      <c r="T2354" s="18" t="inlineStr">
        <is>
          <t>db/migrations/old/039_expand_organos_control.sql:18 varchar(150); el backend no la mapea</t>
        </is>
      </c>
      <c r="U2354" s="18" t="inlineStr">
        <is>
          <t>¿Se guarda el nombre completo o un identificador de usuario?</t>
        </is>
      </c>
      <c r="V2354" s="19" t="inlineStr">
        <is>
          <t>Aprobada</t>
        </is>
      </c>
      <c r="W2354" s="19" t="inlineStr"/>
      <c r="X2354" s="19" t="inlineStr">
        <is>
          <t>Aldair González (validación del responsable de BD)</t>
        </is>
      </c>
      <c r="Y2354" s="20" t="n">
        <v>46321</v>
      </c>
      <c r="Z2354" s="19" t="inlineStr">
        <is>
          <t>Nivel 3: validada por decisión del responsable de la base de datos. Pregunta registrada para desarrollo: ¿Se guarda el nombre completo o un identificador de usuario?</t>
        </is>
      </c>
      <c r="AA2354" s="18">
        <f>IF(OR(V2354="Aprobada"),R2354,IF(AND(OR(V2354="Aprobada con ajuste",V2354="Rechazada"),W2354&lt;&gt;""),W2354,""))</f>
        <v/>
      </c>
    </row>
    <row r="2355">
      <c r="A2355" s="18" t="inlineStr">
        <is>
          <t>C2354</t>
        </is>
      </c>
      <c r="B2355" s="18" t="inlineStr">
        <is>
          <t>Requerimientos</t>
        </is>
      </c>
      <c r="C2355" s="18" t="inlineStr">
        <is>
          <t>requerimientos_oc</t>
        </is>
      </c>
      <c r="D2355" s="18" t="inlineStr">
        <is>
          <t>requerimientos</t>
        </is>
      </c>
      <c r="E2355" s="18" t="n">
        <v>5</v>
      </c>
      <c r="F2355" s="18" t="inlineStr">
        <is>
          <t>area_responsable</t>
        </is>
      </c>
      <c r="G2355" s="18" t="inlineStr">
        <is>
          <t>character varying(100)</t>
        </is>
      </c>
      <c r="H2355" s="18" t="inlineStr">
        <is>
          <t>Sí</t>
        </is>
      </c>
      <c r="I2355" s="18" t="inlineStr"/>
      <c r="J2355" s="18" t="inlineStr"/>
      <c r="K2355" s="18" t="inlineStr"/>
      <c r="L2355" s="18" t="inlineStr">
        <is>
          <t>No</t>
        </is>
      </c>
      <c r="M2355" s="18" t="inlineStr">
        <is>
          <t>No</t>
        </is>
      </c>
      <c r="N2355" s="18" t="inlineStr"/>
      <c r="O2355" s="18" t="inlineStr"/>
      <c r="P2355" s="18" t="inlineStr"/>
      <c r="Q2355" s="18" t="inlineStr">
        <is>
          <t>Código fuente (verificado)</t>
        </is>
      </c>
      <c r="R2355" s="18" t="inlineStr">
        <is>
          <t>Nombre del área responsable de atender el requerimiento, registrado como texto; no está enlazado a un catálogo.</t>
        </is>
      </c>
      <c r="S2355" s="18" t="inlineStr">
        <is>
          <t>Alta</t>
        </is>
      </c>
      <c r="T2355" s="18" t="inlineStr">
        <is>
          <t>db/migrations/old/039_expand_organos_control.sql:19 varchar(100) sin clave foránea; el backend no la mapea</t>
        </is>
      </c>
      <c r="U2355" s="18" t="inlineStr"/>
      <c r="V2355" s="19" t="inlineStr">
        <is>
          <t>Aprobada</t>
        </is>
      </c>
      <c r="W2355" s="19" t="inlineStr"/>
      <c r="X2355" s="19" t="inlineStr">
        <is>
          <t>Aldair González (aprobación en bloque)</t>
        </is>
      </c>
      <c r="Y2355" s="20" t="n">
        <v>46321</v>
      </c>
      <c r="Z2355" s="19" t="inlineStr">
        <is>
          <t>Nivel 3: verificada con el código de la aplicación.</t>
        </is>
      </c>
      <c r="AA2355" s="18">
        <f>IF(OR(V2355="Aprobada"),R2355,IF(AND(OR(V2355="Aprobada con ajuste",V2355="Rechazada"),W2355&lt;&gt;""),W2355,""))</f>
        <v/>
      </c>
    </row>
    <row r="2356">
      <c r="A2356" s="18" t="inlineStr">
        <is>
          <t>C2355</t>
        </is>
      </c>
      <c r="B2356" s="18" t="inlineStr">
        <is>
          <t>Requerimientos</t>
        </is>
      </c>
      <c r="C2356" s="18" t="inlineStr">
        <is>
          <t>requerimientos_oc</t>
        </is>
      </c>
      <c r="D2356" s="18" t="inlineStr">
        <is>
          <t>requerimientos</t>
        </is>
      </c>
      <c r="E2356" s="18" t="n">
        <v>5</v>
      </c>
      <c r="F2356" s="18" t="inlineStr">
        <is>
          <t>fecha_respuesta</t>
        </is>
      </c>
      <c r="G2356" s="18" t="inlineStr">
        <is>
          <t>timestamp without time zone</t>
        </is>
      </c>
      <c r="H2356" s="18" t="inlineStr">
        <is>
          <t>Sí</t>
        </is>
      </c>
      <c r="I2356" s="18" t="inlineStr"/>
      <c r="J2356" s="18" t="inlineStr"/>
      <c r="K2356" s="18" t="inlineStr"/>
      <c r="L2356" s="18" t="inlineStr">
        <is>
          <t>No</t>
        </is>
      </c>
      <c r="M2356" s="18" t="inlineStr">
        <is>
          <t>No</t>
        </is>
      </c>
      <c r="N2356" s="18" t="inlineStr"/>
      <c r="O2356" s="18" t="inlineStr"/>
      <c r="P2356" s="18" t="inlineStr"/>
      <c r="Q2356" s="18" t="inlineStr">
        <is>
          <t>Regla estructural (redacción revisada)</t>
        </is>
      </c>
      <c r="R2356" s="18" t="inlineStr">
        <is>
          <t>Fecha y hora de la respuesta al requerimiento.</t>
        </is>
      </c>
      <c r="S2356" s="18" t="inlineStr">
        <is>
          <t>Alta</t>
        </is>
      </c>
      <c r="T2356" s="18" t="inlineStr">
        <is>
          <t>Convención de nombre, redactada con el contexto de la tabla y el código.</t>
        </is>
      </c>
      <c r="U2356" s="18" t="inlineStr"/>
      <c r="V2356" s="19" t="inlineStr">
        <is>
          <t>Aprobada</t>
        </is>
      </c>
      <c r="W2356" s="19" t="inlineStr"/>
      <c r="X2356" s="19" t="inlineStr">
        <is>
          <t>Aldair González (aprobación en bloque)</t>
        </is>
      </c>
      <c r="Y2356" s="20" t="n">
        <v>46321</v>
      </c>
      <c r="Z2356" s="19" t="inlineStr">
        <is>
          <t>Nivel 2: regla estructural con redacción revisada.</t>
        </is>
      </c>
      <c r="AA2356" s="18">
        <f>IF(OR(V2356="Aprobada"),R2356,IF(AND(OR(V2356="Aprobada con ajuste",V2356="Rechazada"),W2356&lt;&gt;""),W2356,""))</f>
        <v/>
      </c>
    </row>
    <row r="2357">
      <c r="A2357" s="18" t="inlineStr">
        <is>
          <t>C2356</t>
        </is>
      </c>
      <c r="B2357" s="18" t="inlineStr">
        <is>
          <t>Requerimientos</t>
        </is>
      </c>
      <c r="C2357" s="18" t="inlineStr">
        <is>
          <t>requerimientos_oc</t>
        </is>
      </c>
      <c r="D2357" s="18" t="inlineStr">
        <is>
          <t>requerimientos</t>
        </is>
      </c>
      <c r="E2357" s="18" t="n">
        <v>5</v>
      </c>
      <c r="F2357" s="18" t="inlineStr">
        <is>
          <t>oficio_respuesta_url</t>
        </is>
      </c>
      <c r="G2357" s="18" t="inlineStr">
        <is>
          <t>character varying(500)</t>
        </is>
      </c>
      <c r="H2357" s="18" t="inlineStr">
        <is>
          <t>Sí</t>
        </is>
      </c>
      <c r="I2357" s="18" t="inlineStr"/>
      <c r="J2357" s="18" t="inlineStr"/>
      <c r="K2357" s="18" t="inlineStr"/>
      <c r="L2357" s="18" t="inlineStr">
        <is>
          <t>No</t>
        </is>
      </c>
      <c r="M2357" s="18" t="inlineStr">
        <is>
          <t>No</t>
        </is>
      </c>
      <c r="N2357" s="18" t="inlineStr"/>
      <c r="O2357" s="18" t="inlineStr"/>
      <c r="P2357" s="18" t="inlineStr"/>
      <c r="Q2357" s="18" t="inlineStr">
        <is>
          <t>Propuesta semántica</t>
        </is>
      </c>
      <c r="R2357" s="18" t="inlineStr">
        <is>
          <t>URL del oficio de respuesta al requerimiento.</t>
        </is>
      </c>
      <c r="S2357" s="18" t="inlineStr">
        <is>
          <t>Alta</t>
        </is>
      </c>
      <c r="T2357" s="18" t="inlineStr">
        <is>
          <t>nombre + tipo</t>
        </is>
      </c>
      <c r="U2357" s="18" t="inlineStr"/>
      <c r="V2357" s="19" t="inlineStr">
        <is>
          <t>Aprobada</t>
        </is>
      </c>
      <c r="W2357" s="19" t="inlineStr"/>
      <c r="X2357" s="19" t="inlineStr">
        <is>
          <t>Aldair González (aprobación en bloque)</t>
        </is>
      </c>
      <c r="Y2357" s="20" t="n">
        <v>46321</v>
      </c>
      <c r="Z2357" s="19" t="inlineStr">
        <is>
          <t>Nivel 1: propuesta del comentario del desarrollador o de confianza alta, o regla de fecha/responsable/motivo.</t>
        </is>
      </c>
      <c r="AA2357" s="18">
        <f>IF(OR(V2357="Aprobada"),R2357,IF(AND(OR(V2357="Aprobada con ajuste",V2357="Rechazada"),W2357&lt;&gt;""),W2357,""))</f>
        <v/>
      </c>
    </row>
    <row r="2358">
      <c r="A2358" s="18" t="inlineStr">
        <is>
          <t>C2357</t>
        </is>
      </c>
      <c r="B2358" s="18" t="inlineStr">
        <is>
          <t>Requerimientos</t>
        </is>
      </c>
      <c r="C2358" s="18" t="inlineStr">
        <is>
          <t>requerimientos_oc</t>
        </is>
      </c>
      <c r="D2358" s="18" t="inlineStr">
        <is>
          <t>requerimientos</t>
        </is>
      </c>
      <c r="E2358" s="18" t="n">
        <v>5</v>
      </c>
      <c r="F2358" s="18" t="inlineStr">
        <is>
          <t>acuse_recibo_url</t>
        </is>
      </c>
      <c r="G2358" s="18" t="inlineStr">
        <is>
          <t>character varying(500)</t>
        </is>
      </c>
      <c r="H2358" s="18" t="inlineStr">
        <is>
          <t>Sí</t>
        </is>
      </c>
      <c r="I2358" s="18" t="inlineStr"/>
      <c r="J2358" s="18" t="inlineStr"/>
      <c r="K2358" s="18" t="inlineStr"/>
      <c r="L2358" s="18" t="inlineStr">
        <is>
          <t>No</t>
        </is>
      </c>
      <c r="M2358" s="18" t="inlineStr">
        <is>
          <t>No</t>
        </is>
      </c>
      <c r="N2358" s="18" t="inlineStr"/>
      <c r="O2358" s="18" t="inlineStr"/>
      <c r="P2358" s="18" t="inlineStr"/>
      <c r="Q2358" s="18" t="inlineStr">
        <is>
          <t>Propuesta semántica</t>
        </is>
      </c>
      <c r="R2358" s="18" t="inlineStr">
        <is>
          <t>URL del acuse de recibo de la respuesta por parte del organismo de control.</t>
        </is>
      </c>
      <c r="S2358" s="18" t="inlineStr">
        <is>
          <t>Alta</t>
        </is>
      </c>
      <c r="T2358" s="18" t="inlineStr">
        <is>
          <t>nombre + tipo + columnas vecinas</t>
        </is>
      </c>
      <c r="U2358" s="18" t="inlineStr"/>
      <c r="V2358" s="19" t="inlineStr">
        <is>
          <t>Aprobada</t>
        </is>
      </c>
      <c r="W2358" s="19" t="inlineStr"/>
      <c r="X2358" s="19" t="inlineStr">
        <is>
          <t>Aldair González (aprobación en bloque)</t>
        </is>
      </c>
      <c r="Y2358" s="20" t="n">
        <v>46321</v>
      </c>
      <c r="Z2358" s="19" t="inlineStr">
        <is>
          <t>Nivel 1: propuesta del comentario del desarrollador o de confianza alta, o regla de fecha/responsable/motivo.</t>
        </is>
      </c>
      <c r="AA2358" s="18">
        <f>IF(OR(V2358="Aprobada"),R2358,IF(AND(OR(V2358="Aprobada con ajuste",V2358="Rechazada"),W2358&lt;&gt;""),W2358,""))</f>
        <v/>
      </c>
    </row>
    <row r="2359">
      <c r="A2359" s="18" t="inlineStr">
        <is>
          <t>C2358</t>
        </is>
      </c>
      <c r="B2359" s="18" t="inlineStr">
        <is>
          <t>Requerimientos</t>
        </is>
      </c>
      <c r="C2359" s="18" t="inlineStr">
        <is>
          <t>requerimientos_oc</t>
        </is>
      </c>
      <c r="D2359" s="18" t="inlineStr">
        <is>
          <t>requerimientos</t>
        </is>
      </c>
      <c r="E2359" s="18" t="n">
        <v>5</v>
      </c>
      <c r="F2359" s="18" t="inlineStr">
        <is>
          <t>observaciones</t>
        </is>
      </c>
      <c r="G2359" s="18" t="inlineStr">
        <is>
          <t>text</t>
        </is>
      </c>
      <c r="H2359" s="18" t="inlineStr">
        <is>
          <t>Sí</t>
        </is>
      </c>
      <c r="I2359" s="18" t="inlineStr"/>
      <c r="J2359" s="18" t="inlineStr"/>
      <c r="K2359" s="18" t="inlineStr"/>
      <c r="L2359" s="18" t="inlineStr">
        <is>
          <t>No</t>
        </is>
      </c>
      <c r="M2359" s="18" t="inlineStr">
        <is>
          <t>No</t>
        </is>
      </c>
      <c r="N2359" s="18" t="inlineStr"/>
      <c r="O2359" s="18" t="inlineStr"/>
      <c r="P2359" s="18" t="inlineStr"/>
      <c r="Q2359" s="18" t="inlineStr">
        <is>
          <t>Regla estructural (redacción revisada)</t>
        </is>
      </c>
      <c r="R2359" s="18" t="inlineStr">
        <is>
          <t>Observaciones sobre el requerimiento.</t>
        </is>
      </c>
      <c r="S2359" s="18" t="inlineStr">
        <is>
          <t>Alta</t>
        </is>
      </c>
      <c r="T2359" s="18" t="inlineStr">
        <is>
          <t>Convención de nombre, redactada con el contexto de la tabla y el código.</t>
        </is>
      </c>
      <c r="U2359" s="18" t="inlineStr"/>
      <c r="V2359" s="19" t="inlineStr">
        <is>
          <t>Aprobada</t>
        </is>
      </c>
      <c r="W2359" s="19" t="inlineStr"/>
      <c r="X2359" s="19" t="inlineStr">
        <is>
          <t>Aldair González (aprobación en bloque)</t>
        </is>
      </c>
      <c r="Y2359" s="20" t="n">
        <v>46321</v>
      </c>
      <c r="Z2359" s="19" t="inlineStr">
        <is>
          <t>Nivel 2: regla estructural con redacción revisada.</t>
        </is>
      </c>
      <c r="AA2359" s="18">
        <f>IF(OR(V2359="Aprobada"),R2359,IF(AND(OR(V2359="Aprobada con ajuste",V2359="Rechazada"),W2359&lt;&gt;""),W2359,""))</f>
        <v/>
      </c>
    </row>
    <row r="2360">
      <c r="A2360" s="18" t="inlineStr">
        <is>
          <t>C2359</t>
        </is>
      </c>
      <c r="B2360" s="18" t="inlineStr">
        <is>
          <t>Requerimientos</t>
        </is>
      </c>
      <c r="C2360" s="18" t="inlineStr">
        <is>
          <t>requerimientos_oc</t>
        </is>
      </c>
      <c r="D2360" s="18" t="inlineStr">
        <is>
          <t>solicitudes_insumos</t>
        </is>
      </c>
      <c r="E2360" s="18" t="n">
        <v>0</v>
      </c>
      <c r="F2360" s="18" t="inlineStr">
        <is>
          <t>area_destino</t>
        </is>
      </c>
      <c r="G2360" s="18" t="inlineStr">
        <is>
          <t>character varying(100)</t>
        </is>
      </c>
      <c r="H2360" s="18" t="inlineStr">
        <is>
          <t>No</t>
        </is>
      </c>
      <c r="I2360" s="18" t="inlineStr"/>
      <c r="J2360" s="18" t="inlineStr"/>
      <c r="K2360" s="18" t="inlineStr"/>
      <c r="L2360" s="18" t="inlineStr">
        <is>
          <t>No</t>
        </is>
      </c>
      <c r="M2360" s="18" t="inlineStr">
        <is>
          <t>No</t>
        </is>
      </c>
      <c r="N2360" s="18" t="inlineStr"/>
      <c r="O2360" s="18" t="inlineStr">
        <is>
          <t>idx_insumos_area</t>
        </is>
      </c>
      <c r="P2360" s="18" t="inlineStr"/>
      <c r="Q2360" s="18" t="inlineStr">
        <is>
          <t>Propuesta semántica</t>
        </is>
      </c>
      <c r="R2360" s="18" t="inlineStr">
        <is>
          <t>Área a la que se solicitan los insumos para responder el requerimiento.</t>
        </is>
      </c>
      <c r="S2360" s="18" t="inlineStr">
        <is>
          <t>Alta</t>
        </is>
      </c>
      <c r="T2360" s="18" t="inlineStr">
        <is>
          <t>nombre + tipo + columnas vecinas</t>
        </is>
      </c>
      <c r="U2360" s="18" t="inlineStr"/>
      <c r="V2360" s="19" t="inlineStr">
        <is>
          <t>Aprobada</t>
        </is>
      </c>
      <c r="W2360" s="19" t="inlineStr"/>
      <c r="X2360" s="19" t="inlineStr">
        <is>
          <t>Aldair González (aprobación en bloque)</t>
        </is>
      </c>
      <c r="Y2360" s="20" t="n">
        <v>46321</v>
      </c>
      <c r="Z2360" s="19" t="inlineStr">
        <is>
          <t>Nivel 1: propuesta del comentario del desarrollador o de confianza alta, o regla de fecha/responsable/motivo.</t>
        </is>
      </c>
      <c r="AA2360" s="18">
        <f>IF(OR(V2360="Aprobada"),R2360,IF(AND(OR(V2360="Aprobada con ajuste",V2360="Rechazada"),W2360&lt;&gt;""),W2360,""))</f>
        <v/>
      </c>
    </row>
    <row r="2361">
      <c r="A2361" s="18" t="inlineStr">
        <is>
          <t>C2360</t>
        </is>
      </c>
      <c r="B2361" s="18" t="inlineStr">
        <is>
          <t>Requerimientos</t>
        </is>
      </c>
      <c r="C2361" s="18" t="inlineStr">
        <is>
          <t>requerimientos_oc</t>
        </is>
      </c>
      <c r="D2361" s="18" t="inlineStr">
        <is>
          <t>solicitudes_insumos</t>
        </is>
      </c>
      <c r="E2361" s="18" t="n">
        <v>0</v>
      </c>
      <c r="F2361" s="18" t="inlineStr">
        <is>
          <t>funcionario_destino</t>
        </is>
      </c>
      <c r="G2361" s="18" t="inlineStr">
        <is>
          <t>character varying(150)</t>
        </is>
      </c>
      <c r="H2361" s="18" t="inlineStr">
        <is>
          <t>Sí</t>
        </is>
      </c>
      <c r="I2361" s="18" t="inlineStr"/>
      <c r="J2361" s="18" t="inlineStr"/>
      <c r="K2361" s="18" t="inlineStr"/>
      <c r="L2361" s="18" t="inlineStr">
        <is>
          <t>No</t>
        </is>
      </c>
      <c r="M2361" s="18" t="inlineStr">
        <is>
          <t>No</t>
        </is>
      </c>
      <c r="N2361" s="18" t="inlineStr"/>
      <c r="O2361" s="18" t="inlineStr"/>
      <c r="P2361" s="18" t="inlineStr"/>
      <c r="Q2361" s="18" t="inlineStr">
        <is>
          <t>Propuesta semántica</t>
        </is>
      </c>
      <c r="R2361" s="18" t="inlineStr">
        <is>
          <t>Nombre del funcionario al que se dirige la solicitud de insumos.</t>
        </is>
      </c>
      <c r="S2361" s="18" t="inlineStr">
        <is>
          <t>Alta</t>
        </is>
      </c>
      <c r="T2361" s="18" t="inlineStr">
        <is>
          <t>nombre + tipo + columnas vecinas</t>
        </is>
      </c>
      <c r="U2361" s="18" t="inlineStr"/>
      <c r="V2361" s="19" t="inlineStr">
        <is>
          <t>Aprobada</t>
        </is>
      </c>
      <c r="W2361" s="19" t="inlineStr"/>
      <c r="X2361" s="19" t="inlineStr">
        <is>
          <t>Aldair González (aprobación en bloque)</t>
        </is>
      </c>
      <c r="Y2361" s="20" t="n">
        <v>46321</v>
      </c>
      <c r="Z2361" s="19" t="inlineStr">
        <is>
          <t>Nivel 1: propuesta del comentario del desarrollador o de confianza alta, o regla de fecha/responsable/motivo.</t>
        </is>
      </c>
      <c r="AA2361" s="18">
        <f>IF(OR(V2361="Aprobada"),R2361,IF(AND(OR(V2361="Aprobada con ajuste",V2361="Rechazada"),W2361&lt;&gt;""),W2361,""))</f>
        <v/>
      </c>
    </row>
    <row r="2362">
      <c r="A2362" s="18" t="inlineStr">
        <is>
          <t>C2361</t>
        </is>
      </c>
      <c r="B2362" s="18" t="inlineStr">
        <is>
          <t>Requerimientos</t>
        </is>
      </c>
      <c r="C2362" s="18" t="inlineStr">
        <is>
          <t>requerimientos_oc</t>
        </is>
      </c>
      <c r="D2362" s="18" t="inlineStr">
        <is>
          <t>solicitudes_insumos</t>
        </is>
      </c>
      <c r="E2362" s="18" t="n">
        <v>0</v>
      </c>
      <c r="F2362" s="18" t="inlineStr">
        <is>
          <t>email_destino</t>
        </is>
      </c>
      <c r="G2362" s="18" t="inlineStr">
        <is>
          <t>character varying(150)</t>
        </is>
      </c>
      <c r="H2362" s="18" t="inlineStr">
        <is>
          <t>Sí</t>
        </is>
      </c>
      <c r="I2362" s="18" t="inlineStr"/>
      <c r="J2362" s="18" t="inlineStr"/>
      <c r="K2362" s="18" t="inlineStr"/>
      <c r="L2362" s="18" t="inlineStr">
        <is>
          <t>No</t>
        </is>
      </c>
      <c r="M2362" s="18" t="inlineStr">
        <is>
          <t>No</t>
        </is>
      </c>
      <c r="N2362" s="18" t="inlineStr"/>
      <c r="O2362" s="18" t="inlineStr"/>
      <c r="P2362" s="18" t="inlineStr"/>
      <c r="Q2362" s="18" t="inlineStr">
        <is>
          <t>Propuesta semántica</t>
        </is>
      </c>
      <c r="R2362" s="18" t="inlineStr">
        <is>
          <t>Correo electrónico del funcionario al que se dirige la solicitud.</t>
        </is>
      </c>
      <c r="S2362" s="18" t="inlineStr">
        <is>
          <t>Alta</t>
        </is>
      </c>
      <c r="T2362" s="18" t="inlineStr">
        <is>
          <t>nombre + tipo + columnas vecinas</t>
        </is>
      </c>
      <c r="U2362" s="18" t="inlineStr"/>
      <c r="V2362" s="19" t="inlineStr">
        <is>
          <t>Aprobada</t>
        </is>
      </c>
      <c r="W2362" s="19" t="inlineStr"/>
      <c r="X2362" s="19" t="inlineStr">
        <is>
          <t>Aldair González (aprobación en bloque)</t>
        </is>
      </c>
      <c r="Y2362" s="20" t="n">
        <v>46321</v>
      </c>
      <c r="Z2362" s="19" t="inlineStr">
        <is>
          <t>Nivel 1: propuesta del comentario del desarrollador o de confianza alta, o regla de fecha/responsable/motivo.</t>
        </is>
      </c>
      <c r="AA2362" s="18">
        <f>IF(OR(V2362="Aprobada"),R2362,IF(AND(OR(V2362="Aprobada con ajuste",V2362="Rechazada"),W2362&lt;&gt;""),W2362,""))</f>
        <v/>
      </c>
    </row>
    <row r="2363">
      <c r="A2363" s="18" t="inlineStr">
        <is>
          <t>C2362</t>
        </is>
      </c>
      <c r="B2363" s="18" t="inlineStr">
        <is>
          <t>Requerimientos</t>
        </is>
      </c>
      <c r="C2363" s="18" t="inlineStr">
        <is>
          <t>requerimientos_oc</t>
        </is>
      </c>
      <c r="D2363" s="18" t="inlineStr">
        <is>
          <t>solicitudes_insumos</t>
        </is>
      </c>
      <c r="E2363" s="18" t="n">
        <v>0</v>
      </c>
      <c r="F2363" s="18" t="inlineStr">
        <is>
          <t>descripcion_solicitud</t>
        </is>
      </c>
      <c r="G2363" s="18" t="inlineStr">
        <is>
          <t>text</t>
        </is>
      </c>
      <c r="H2363" s="18" t="inlineStr">
        <is>
          <t>No</t>
        </is>
      </c>
      <c r="I2363" s="18" t="inlineStr"/>
      <c r="J2363" s="18" t="inlineStr"/>
      <c r="K2363" s="18" t="inlineStr"/>
      <c r="L2363" s="18" t="inlineStr">
        <is>
          <t>No</t>
        </is>
      </c>
      <c r="M2363" s="18" t="inlineStr">
        <is>
          <t>No</t>
        </is>
      </c>
      <c r="N2363" s="18" t="inlineStr"/>
      <c r="O2363" s="18" t="inlineStr"/>
      <c r="P2363" s="18" t="inlineStr"/>
      <c r="Q2363" s="18" t="inlineStr">
        <is>
          <t>Propuesta semántica</t>
        </is>
      </c>
      <c r="R2363" s="18" t="inlineStr">
        <is>
          <t>Descripción de los insumos solicitados.</t>
        </is>
      </c>
      <c r="S2363" s="18" t="inlineStr">
        <is>
          <t>Alta</t>
        </is>
      </c>
      <c r="T2363" s="18" t="inlineStr">
        <is>
          <t>nombre + tipo</t>
        </is>
      </c>
      <c r="U2363" s="18" t="inlineStr"/>
      <c r="V2363" s="19" t="inlineStr">
        <is>
          <t>Aprobada</t>
        </is>
      </c>
      <c r="W2363" s="19" t="inlineStr"/>
      <c r="X2363" s="19" t="inlineStr">
        <is>
          <t>Aldair González (aprobación en bloque)</t>
        </is>
      </c>
      <c r="Y2363" s="20" t="n">
        <v>46321</v>
      </c>
      <c r="Z2363" s="19" t="inlineStr">
        <is>
          <t>Nivel 1: propuesta del comentario del desarrollador o de confianza alta, o regla de fecha/responsable/motivo.</t>
        </is>
      </c>
      <c r="AA2363" s="18">
        <f>IF(OR(V2363="Aprobada"),R2363,IF(AND(OR(V2363="Aprobada con ajuste",V2363="Rechazada"),W2363&lt;&gt;""),W2363,""))</f>
        <v/>
      </c>
    </row>
    <row r="2364">
      <c r="A2364" s="18" t="inlineStr">
        <is>
          <t>C2363</t>
        </is>
      </c>
      <c r="B2364" s="18" t="inlineStr">
        <is>
          <t>Requerimientos</t>
        </is>
      </c>
      <c r="C2364" s="18" t="inlineStr">
        <is>
          <t>requerimientos_oc</t>
        </is>
      </c>
      <c r="D2364" s="18" t="inlineStr">
        <is>
          <t>solicitudes_insumos</t>
        </is>
      </c>
      <c r="E2364" s="18" t="n">
        <v>0</v>
      </c>
      <c r="F2364" s="18" t="inlineStr">
        <is>
          <t>documentos_solicitados</t>
        </is>
      </c>
      <c r="G2364" s="18" t="inlineStr">
        <is>
          <t>text</t>
        </is>
      </c>
      <c r="H2364" s="18" t="inlineStr">
        <is>
          <t>Sí</t>
        </is>
      </c>
      <c r="I2364" s="18" t="inlineStr"/>
      <c r="J2364" s="18" t="inlineStr"/>
      <c r="K2364" s="18" t="inlineStr"/>
      <c r="L2364" s="18" t="inlineStr">
        <is>
          <t>No</t>
        </is>
      </c>
      <c r="M2364" s="18" t="inlineStr">
        <is>
          <t>No</t>
        </is>
      </c>
      <c r="N2364" s="18" t="inlineStr"/>
      <c r="O2364" s="18" t="inlineStr"/>
      <c r="P2364" s="18" t="inlineStr"/>
      <c r="Q2364" s="18" t="inlineStr">
        <is>
          <t>Código fuente (verificado)</t>
        </is>
      </c>
      <c r="R2364" s="18" t="inlineStr">
        <is>
          <t>Relación de documentos solicitados al área, en texto.</t>
        </is>
      </c>
      <c r="S2364" s="18" t="inlineStr">
        <is>
          <t>Media</t>
        </is>
      </c>
      <c r="T2364" s="18" t="inlineStr">
        <is>
          <t>db/init/008_requerimientos_oc_ddl_20260129_215541.sql:268 text; ninguna entidad del backend mapea esta tabla</t>
        </is>
      </c>
      <c r="U2364" s="18" t="inlineStr">
        <is>
          <t>¿Se registra como texto libre o como lista?</t>
        </is>
      </c>
      <c r="V2364" s="19" t="inlineStr">
        <is>
          <t>Aprobada</t>
        </is>
      </c>
      <c r="W2364" s="19" t="inlineStr"/>
      <c r="X2364" s="19" t="inlineStr">
        <is>
          <t>Aldair González (validación del responsable de BD)</t>
        </is>
      </c>
      <c r="Y2364" s="20" t="n">
        <v>46321</v>
      </c>
      <c r="Z2364" s="19" t="inlineStr">
        <is>
          <t>Nivel 3: validada por decisión del responsable de la base de datos. Pregunta registrada para desarrollo: ¿Se registra como texto libre o como lista?</t>
        </is>
      </c>
      <c r="AA2364" s="18">
        <f>IF(OR(V2364="Aprobada"),R2364,IF(AND(OR(V2364="Aprobada con ajuste",V2364="Rechazada"),W2364&lt;&gt;""),W2364,""))</f>
        <v/>
      </c>
    </row>
    <row r="2365">
      <c r="A2365" s="18" t="inlineStr">
        <is>
          <t>C2364</t>
        </is>
      </c>
      <c r="B2365" s="18" t="inlineStr">
        <is>
          <t>Requerimientos</t>
        </is>
      </c>
      <c r="C2365" s="18" t="inlineStr">
        <is>
          <t>requerimientos_oc</t>
        </is>
      </c>
      <c r="D2365" s="18" t="inlineStr">
        <is>
          <t>solicitudes_insumos</t>
        </is>
      </c>
      <c r="E2365" s="18" t="n">
        <v>0</v>
      </c>
      <c r="F2365" s="18" t="inlineStr">
        <is>
          <t>fecha_solicitud</t>
        </is>
      </c>
      <c r="G2365" s="18" t="inlineStr">
        <is>
          <t>timestamp without time zone</t>
        </is>
      </c>
      <c r="H2365" s="18" t="inlineStr">
        <is>
          <t>Sí</t>
        </is>
      </c>
      <c r="I2365" s="18" t="inlineStr"/>
      <c r="J2365" s="18" t="inlineStr"/>
      <c r="K2365" s="18" t="inlineStr"/>
      <c r="L2365" s="18" t="inlineStr">
        <is>
          <t>No</t>
        </is>
      </c>
      <c r="M2365" s="18" t="inlineStr">
        <is>
          <t>No</t>
        </is>
      </c>
      <c r="N2365" s="18" t="inlineStr"/>
      <c r="O2365" s="18" t="inlineStr"/>
      <c r="P2365" s="18" t="inlineStr"/>
      <c r="Q2365" s="18" t="inlineStr">
        <is>
          <t>Regla estructural (redacción revisada)</t>
        </is>
      </c>
      <c r="R2365" s="18" t="inlineStr">
        <is>
          <t>Fecha y hora de la solicitud de insumos.</t>
        </is>
      </c>
      <c r="S2365" s="18" t="inlineStr">
        <is>
          <t>Alta</t>
        </is>
      </c>
      <c r="T2365" s="18" t="inlineStr">
        <is>
          <t>Convención de nombre, redactada con el contexto de la tabla y el código.</t>
        </is>
      </c>
      <c r="U2365" s="18" t="inlineStr"/>
      <c r="V2365" s="19" t="inlineStr">
        <is>
          <t>Aprobada</t>
        </is>
      </c>
      <c r="W2365" s="19" t="inlineStr"/>
      <c r="X2365" s="19" t="inlineStr">
        <is>
          <t>Aldair González (aprobación en bloque)</t>
        </is>
      </c>
      <c r="Y2365" s="20" t="n">
        <v>46321</v>
      </c>
      <c r="Z2365" s="19" t="inlineStr">
        <is>
          <t>Nivel 2: regla estructural con redacción revisada.</t>
        </is>
      </c>
      <c r="AA2365" s="18">
        <f>IF(OR(V2365="Aprobada"),R2365,IF(AND(OR(V2365="Aprobada con ajuste",V2365="Rechazada"),W2365&lt;&gt;""),W2365,""))</f>
        <v/>
      </c>
    </row>
    <row r="2366">
      <c r="A2366" s="18" t="inlineStr">
        <is>
          <t>C2365</t>
        </is>
      </c>
      <c r="B2366" s="18" t="inlineStr">
        <is>
          <t>Requerimientos</t>
        </is>
      </c>
      <c r="C2366" s="18" t="inlineStr">
        <is>
          <t>requerimientos_oc</t>
        </is>
      </c>
      <c r="D2366" s="18" t="inlineStr">
        <is>
          <t>solicitudes_insumos</t>
        </is>
      </c>
      <c r="E2366" s="18" t="n">
        <v>0</v>
      </c>
      <c r="F2366" s="18" t="inlineStr">
        <is>
          <t>fecha_vencimiento</t>
        </is>
      </c>
      <c r="G2366" s="18" t="inlineStr">
        <is>
          <t>timestamp without time zone</t>
        </is>
      </c>
      <c r="H2366" s="18" t="inlineStr">
        <is>
          <t>No</t>
        </is>
      </c>
      <c r="I2366" s="18" t="inlineStr"/>
      <c r="J2366" s="18" t="inlineStr"/>
      <c r="K2366" s="18" t="inlineStr"/>
      <c r="L2366" s="18" t="inlineStr">
        <is>
          <t>No</t>
        </is>
      </c>
      <c r="M2366" s="18" t="inlineStr">
        <is>
          <t>No</t>
        </is>
      </c>
      <c r="N2366" s="18" t="inlineStr"/>
      <c r="O2366" s="18" t="inlineStr"/>
      <c r="P2366" s="18" t="inlineStr"/>
      <c r="Q2366" s="18" t="inlineStr">
        <is>
          <t>Regla estructural (redacción revisada)</t>
        </is>
      </c>
      <c r="R2366" s="18" t="inlineStr">
        <is>
          <t>Fecha y hora de vencimiento de la solicitud de insumos.</t>
        </is>
      </c>
      <c r="S2366" s="18" t="inlineStr">
        <is>
          <t>Alta</t>
        </is>
      </c>
      <c r="T2366" s="18" t="inlineStr">
        <is>
          <t>Convención de nombre, redactada con el contexto de la tabla y el código.</t>
        </is>
      </c>
      <c r="U2366" s="18" t="inlineStr"/>
      <c r="V2366" s="19" t="inlineStr">
        <is>
          <t>Aprobada</t>
        </is>
      </c>
      <c r="W2366" s="19" t="inlineStr"/>
      <c r="X2366" s="19" t="inlineStr">
        <is>
          <t>Aldair González (aprobación en bloque)</t>
        </is>
      </c>
      <c r="Y2366" s="20" t="n">
        <v>46321</v>
      </c>
      <c r="Z2366" s="19" t="inlineStr">
        <is>
          <t>Nivel 2: regla estructural con redacción revisada.</t>
        </is>
      </c>
      <c r="AA2366" s="18">
        <f>IF(OR(V2366="Aprobada"),R2366,IF(AND(OR(V2366="Aprobada con ajuste",V2366="Rechazada"),W2366&lt;&gt;""),W2366,""))</f>
        <v/>
      </c>
    </row>
    <row r="2367">
      <c r="A2367" s="18" t="inlineStr">
        <is>
          <t>C2366</t>
        </is>
      </c>
      <c r="B2367" s="18" t="inlineStr">
        <is>
          <t>Requerimientos</t>
        </is>
      </c>
      <c r="C2367" s="18" t="inlineStr">
        <is>
          <t>requerimientos_oc</t>
        </is>
      </c>
      <c r="D2367" s="18" t="inlineStr">
        <is>
          <t>solicitudes_insumos</t>
        </is>
      </c>
      <c r="E2367" s="18" t="n">
        <v>0</v>
      </c>
      <c r="F2367" s="18" t="inlineStr">
        <is>
          <t>fecha_respuesta</t>
        </is>
      </c>
      <c r="G2367" s="18" t="inlineStr">
        <is>
          <t>timestamp without time zone</t>
        </is>
      </c>
      <c r="H2367" s="18" t="inlineStr">
        <is>
          <t>Sí</t>
        </is>
      </c>
      <c r="I2367" s="18" t="inlineStr"/>
      <c r="J2367" s="18" t="inlineStr"/>
      <c r="K2367" s="18" t="inlineStr"/>
      <c r="L2367" s="18" t="inlineStr">
        <is>
          <t>No</t>
        </is>
      </c>
      <c r="M2367" s="18" t="inlineStr">
        <is>
          <t>No</t>
        </is>
      </c>
      <c r="N2367" s="18" t="inlineStr"/>
      <c r="O2367" s="18" t="inlineStr"/>
      <c r="P2367" s="18" t="inlineStr"/>
      <c r="Q2367" s="18" t="inlineStr">
        <is>
          <t>Regla estructural (redacción revisada)</t>
        </is>
      </c>
      <c r="R2367" s="18" t="inlineStr">
        <is>
          <t>Fecha y hora de la respuesta a la solicitud de insumos.</t>
        </is>
      </c>
      <c r="S2367" s="18" t="inlineStr">
        <is>
          <t>Alta</t>
        </is>
      </c>
      <c r="T2367" s="18" t="inlineStr">
        <is>
          <t>Convención de nombre, redactada con el contexto de la tabla y el código.</t>
        </is>
      </c>
      <c r="U2367" s="18" t="inlineStr"/>
      <c r="V2367" s="19" t="inlineStr">
        <is>
          <t>Aprobada</t>
        </is>
      </c>
      <c r="W2367" s="19" t="inlineStr"/>
      <c r="X2367" s="19" t="inlineStr">
        <is>
          <t>Aldair González (aprobación en bloque)</t>
        </is>
      </c>
      <c r="Y2367" s="20" t="n">
        <v>46321</v>
      </c>
      <c r="Z2367" s="19" t="inlineStr">
        <is>
          <t>Nivel 2: regla estructural con redacción revisada.</t>
        </is>
      </c>
      <c r="AA2367" s="18">
        <f>IF(OR(V2367="Aprobada"),R2367,IF(AND(OR(V2367="Aprobada con ajuste",V2367="Rechazada"),W2367&lt;&gt;""),W2367,""))</f>
        <v/>
      </c>
    </row>
    <row r="2368">
      <c r="A2368" s="18" t="inlineStr">
        <is>
          <t>C2367</t>
        </is>
      </c>
      <c r="B2368" s="18" t="inlineStr">
        <is>
          <t>Requerimientos</t>
        </is>
      </c>
      <c r="C2368" s="18" t="inlineStr">
        <is>
          <t>requerimientos_oc</t>
        </is>
      </c>
      <c r="D2368" s="18" t="inlineStr">
        <is>
          <t>solicitudes_insumos</t>
        </is>
      </c>
      <c r="E2368" s="18" t="n">
        <v>0</v>
      </c>
      <c r="F2368" s="18" t="inlineStr">
        <is>
          <t>estado</t>
        </is>
      </c>
      <c r="G2368" s="18" t="inlineStr">
        <is>
          <t>character varying(20)</t>
        </is>
      </c>
      <c r="H2368" s="18" t="inlineStr">
        <is>
          <t>Sí</t>
        </is>
      </c>
      <c r="I2368" s="18" t="inlineStr">
        <is>
          <t>CHECK</t>
        </is>
      </c>
      <c r="J2368" s="18" t="inlineStr">
        <is>
          <t>ENTREGADO, EN_PROCESO, PENDIENTE, RECHAZADO, VENCIDO</t>
        </is>
      </c>
      <c r="K2368" s="18" t="inlineStr"/>
      <c r="L2368" s="18" t="inlineStr">
        <is>
          <t>Sí</t>
        </is>
      </c>
      <c r="M2368" s="18" t="inlineStr">
        <is>
          <t>No</t>
        </is>
      </c>
      <c r="N2368" s="18" t="inlineStr"/>
      <c r="O2368" s="18" t="inlineStr">
        <is>
          <t>idx_insumos_estado</t>
        </is>
      </c>
      <c r="P2368" s="18" t="inlineStr"/>
      <c r="Q2368" s="18" t="inlineStr">
        <is>
          <t>Regla estructural (redacción revisada)</t>
        </is>
      </c>
      <c r="R2368" s="18" t="inlineStr">
        <is>
          <t>Estado de la solicitud de insumos (PENDIENTE, EN_PROCESO, ENTREGADO, RECHAZADO o VENCIDO).</t>
        </is>
      </c>
      <c r="S2368" s="18" t="inlineStr">
        <is>
          <t>Alta</t>
        </is>
      </c>
      <c r="T2368" s="18" t="inlineStr">
        <is>
          <t>Convención de nombre, redactada con el contexto de la tabla y el código.</t>
        </is>
      </c>
      <c r="U2368" s="18" t="inlineStr"/>
      <c r="V2368" s="19" t="inlineStr">
        <is>
          <t>Aprobada</t>
        </is>
      </c>
      <c r="W2368" s="19" t="inlineStr"/>
      <c r="X2368" s="19" t="inlineStr">
        <is>
          <t>Aldair González (aprobación en bloque)</t>
        </is>
      </c>
      <c r="Y2368" s="20" t="n">
        <v>46321</v>
      </c>
      <c r="Z2368" s="19" t="inlineStr">
        <is>
          <t>Nivel 2: regla estructural con redacción revisada.</t>
        </is>
      </c>
      <c r="AA2368" s="18">
        <f>IF(OR(V2368="Aprobada"),R2368,IF(AND(OR(V2368="Aprobada con ajuste",V2368="Rechazada"),W2368&lt;&gt;""),W2368,""))</f>
        <v/>
      </c>
    </row>
    <row r="2369">
      <c r="A2369" s="18" t="inlineStr">
        <is>
          <t>C2368</t>
        </is>
      </c>
      <c r="B2369" s="18" t="inlineStr">
        <is>
          <t>Requerimientos</t>
        </is>
      </c>
      <c r="C2369" s="18" t="inlineStr">
        <is>
          <t>requerimientos_oc</t>
        </is>
      </c>
      <c r="D2369" s="18" t="inlineStr">
        <is>
          <t>solicitudes_insumos</t>
        </is>
      </c>
      <c r="E2369" s="18" t="n">
        <v>0</v>
      </c>
      <c r="F2369" s="18" t="inlineStr">
        <is>
          <t>documentos_entregados_urls</t>
        </is>
      </c>
      <c r="G2369" s="18" t="inlineStr">
        <is>
          <t>text[]</t>
        </is>
      </c>
      <c r="H2369" s="18" t="inlineStr">
        <is>
          <t>Sí</t>
        </is>
      </c>
      <c r="I2369" s="18" t="inlineStr"/>
      <c r="J2369" s="18" t="inlineStr"/>
      <c r="K2369" s="18" t="inlineStr"/>
      <c r="L2369" s="18" t="inlineStr">
        <is>
          <t>No</t>
        </is>
      </c>
      <c r="M2369" s="18" t="inlineStr">
        <is>
          <t>No</t>
        </is>
      </c>
      <c r="N2369" s="18" t="inlineStr"/>
      <c r="O2369" s="18" t="inlineStr"/>
      <c r="P2369" s="18" t="inlineStr"/>
      <c r="Q2369" s="18" t="inlineStr">
        <is>
          <t>Propuesta semántica</t>
        </is>
      </c>
      <c r="R2369" s="18" t="inlineStr">
        <is>
          <t>Lista de URL de los documentos entregados por el área.</t>
        </is>
      </c>
      <c r="S2369" s="18" t="inlineStr">
        <is>
          <t>Alta</t>
        </is>
      </c>
      <c r="T2369" s="18" t="inlineStr">
        <is>
          <t>nombre + tipo</t>
        </is>
      </c>
      <c r="U2369" s="18" t="inlineStr"/>
      <c r="V2369" s="19" t="inlineStr">
        <is>
          <t>Aprobada</t>
        </is>
      </c>
      <c r="W2369" s="19" t="inlineStr"/>
      <c r="X2369" s="19" t="inlineStr">
        <is>
          <t>Aldair González (aprobación en bloque)</t>
        </is>
      </c>
      <c r="Y2369" s="20" t="n">
        <v>46321</v>
      </c>
      <c r="Z2369" s="19" t="inlineStr">
        <is>
          <t>Nivel 1: propuesta del comentario del desarrollador o de confianza alta, o regla de fecha/responsable/motivo.</t>
        </is>
      </c>
      <c r="AA2369" s="18">
        <f>IF(OR(V2369="Aprobada"),R2369,IF(AND(OR(V2369="Aprobada con ajuste",V2369="Rechazada"),W2369&lt;&gt;""),W2369,""))</f>
        <v/>
      </c>
    </row>
    <row r="2370">
      <c r="A2370" s="18" t="inlineStr">
        <is>
          <t>C2369</t>
        </is>
      </c>
      <c r="B2370" s="18" t="inlineStr">
        <is>
          <t>Requerimientos</t>
        </is>
      </c>
      <c r="C2370" s="18" t="inlineStr">
        <is>
          <t>requerimientos_oc</t>
        </is>
      </c>
      <c r="D2370" s="18" t="inlineStr">
        <is>
          <t>solicitudes_insumos</t>
        </is>
      </c>
      <c r="E2370" s="18" t="n">
        <v>0</v>
      </c>
      <c r="F2370" s="18" t="inlineStr">
        <is>
          <t>comentario_respuesta</t>
        </is>
      </c>
      <c r="G2370" s="18" t="inlineStr">
        <is>
          <t>text</t>
        </is>
      </c>
      <c r="H2370" s="18" t="inlineStr">
        <is>
          <t>Sí</t>
        </is>
      </c>
      <c r="I2370" s="18" t="inlineStr"/>
      <c r="J2370" s="18" t="inlineStr"/>
      <c r="K2370" s="18" t="inlineStr"/>
      <c r="L2370" s="18" t="inlineStr">
        <is>
          <t>No</t>
        </is>
      </c>
      <c r="M2370" s="18" t="inlineStr">
        <is>
          <t>No</t>
        </is>
      </c>
      <c r="N2370" s="18" t="inlineStr"/>
      <c r="O2370" s="18" t="inlineStr"/>
      <c r="P2370" s="18" t="inlineStr"/>
      <c r="Q2370" s="18" t="inlineStr">
        <is>
          <t>Propuesta semántica</t>
        </is>
      </c>
      <c r="R2370" s="18" t="inlineStr">
        <is>
          <t>Comentario del área al responder la solicitud.</t>
        </is>
      </c>
      <c r="S2370" s="18" t="inlineStr">
        <is>
          <t>Alta</t>
        </is>
      </c>
      <c r="T2370" s="18" t="inlineStr">
        <is>
          <t>nombre + tipo + columnas vecinas</t>
        </is>
      </c>
      <c r="U2370" s="18" t="inlineStr"/>
      <c r="V2370" s="19" t="inlineStr">
        <is>
          <t>Aprobada</t>
        </is>
      </c>
      <c r="W2370" s="19" t="inlineStr"/>
      <c r="X2370" s="19" t="inlineStr">
        <is>
          <t>Aldair González (aprobación en bloque)</t>
        </is>
      </c>
      <c r="Y2370" s="20" t="n">
        <v>46321</v>
      </c>
      <c r="Z2370" s="19" t="inlineStr">
        <is>
          <t>Nivel 1: propuesta del comentario del desarrollador o de confianza alta, o regla de fecha/responsable/motivo.</t>
        </is>
      </c>
      <c r="AA2370" s="18">
        <f>IF(OR(V2370="Aprobada"),R2370,IF(AND(OR(V2370="Aprobada con ajuste",V2370="Rechazada"),W2370&lt;&gt;""),W2370,""))</f>
        <v/>
      </c>
    </row>
    <row r="2371">
      <c r="A2371" s="18" t="inlineStr">
        <is>
          <t>C2370</t>
        </is>
      </c>
      <c r="B2371" s="18" t="inlineStr">
        <is>
          <t>Requerimientos</t>
        </is>
      </c>
      <c r="C2371" s="18" t="inlineStr">
        <is>
          <t>requerimientos_oc</t>
        </is>
      </c>
      <c r="D2371" s="18" t="inlineStr">
        <is>
          <t>solicitudes_insumos</t>
        </is>
      </c>
      <c r="E2371" s="18" t="n">
        <v>0</v>
      </c>
      <c r="F2371" s="18" t="inlineStr">
        <is>
          <t>solicitado_por</t>
        </is>
      </c>
      <c r="G2371" s="18" t="inlineStr">
        <is>
          <t>character varying(150)</t>
        </is>
      </c>
      <c r="H2371" s="18" t="inlineStr">
        <is>
          <t>Sí</t>
        </is>
      </c>
      <c r="I2371" s="18" t="inlineStr"/>
      <c r="J2371" s="18" t="inlineStr"/>
      <c r="K2371" s="18" t="inlineStr"/>
      <c r="L2371" s="18" t="inlineStr">
        <is>
          <t>No</t>
        </is>
      </c>
      <c r="M2371" s="18" t="inlineStr">
        <is>
          <t>No</t>
        </is>
      </c>
      <c r="N2371" s="18" t="inlineStr"/>
      <c r="O2371" s="18" t="inlineStr"/>
      <c r="P2371" s="18" t="inlineStr"/>
      <c r="Q2371" s="18" t="inlineStr">
        <is>
          <t>Regla estructural</t>
        </is>
      </c>
      <c r="R2371" s="18" t="inlineStr">
        <is>
          <t>Usuario que realizó la solicitud.</t>
        </is>
      </c>
      <c r="S2371" s="18" t="inlineStr">
        <is>
          <t>Media</t>
        </is>
      </c>
      <c r="T2371" s="18" t="inlineStr">
        <is>
          <t>Convención de nombre de la columna.</t>
        </is>
      </c>
      <c r="U2371" s="18" t="inlineStr"/>
      <c r="V2371" s="19" t="inlineStr">
        <is>
          <t>Aprobada</t>
        </is>
      </c>
      <c r="W2371" s="19" t="inlineStr"/>
      <c r="X2371" s="19" t="inlineStr">
        <is>
          <t>Aldair González (aprobación en bloque)</t>
        </is>
      </c>
      <c r="Y2371" s="20" t="n">
        <v>46321</v>
      </c>
      <c r="Z2371" s="19" t="inlineStr">
        <is>
          <t>Nivel 1: propuesta del comentario del desarrollador o de confianza alta, o regla de fecha/responsable/motivo.</t>
        </is>
      </c>
      <c r="AA2371" s="18">
        <f>IF(OR(V2371="Aprobada"),R2371,IF(AND(OR(V2371="Aprobada con ajuste",V2371="Rechazada"),W2371&lt;&gt;""),W2371,""))</f>
        <v/>
      </c>
    </row>
    <row r="2372">
      <c r="A2372" s="18" t="inlineStr">
        <is>
          <t>C2371</t>
        </is>
      </c>
      <c r="B2372" s="18" t="inlineStr">
        <is>
          <t>Requerimientos</t>
        </is>
      </c>
      <c r="C2372" s="18" t="inlineStr">
        <is>
          <t>requerimientos_oc</t>
        </is>
      </c>
      <c r="D2372" s="18" t="inlineStr">
        <is>
          <t>solicitudes_insumos</t>
        </is>
      </c>
      <c r="E2372" s="18" t="n">
        <v>0</v>
      </c>
      <c r="F2372" s="18" t="inlineStr">
        <is>
          <t>respondido_por</t>
        </is>
      </c>
      <c r="G2372" s="18" t="inlineStr">
        <is>
          <t>character varying(150)</t>
        </is>
      </c>
      <c r="H2372" s="18" t="inlineStr">
        <is>
          <t>Sí</t>
        </is>
      </c>
      <c r="I2372" s="18" t="inlineStr"/>
      <c r="J2372" s="18" t="inlineStr"/>
      <c r="K2372" s="18" t="inlineStr"/>
      <c r="L2372" s="18" t="inlineStr">
        <is>
          <t>No</t>
        </is>
      </c>
      <c r="M2372" s="18" t="inlineStr">
        <is>
          <t>No</t>
        </is>
      </c>
      <c r="N2372" s="18" t="inlineStr"/>
      <c r="O2372" s="18" t="inlineStr"/>
      <c r="P2372" s="18" t="inlineStr"/>
      <c r="Q2372" s="18" t="inlineStr">
        <is>
          <t>Código fuente (verificado)</t>
        </is>
      </c>
      <c r="R2372" s="18" t="inlineStr">
        <is>
          <t>Funcionario que respondió la solicitud.</t>
        </is>
      </c>
      <c r="S2372" s="18" t="inlineStr">
        <is>
          <t>Media</t>
        </is>
      </c>
      <c r="T2372" s="18" t="inlineStr">
        <is>
          <t>db/init/008_requerimientos_oc_ddl_20260129_215541.sql:276 varchar(150); ninguna entidad del backend mapea esta tabla</t>
        </is>
      </c>
      <c r="U2372" s="18" t="inlineStr">
        <is>
          <t>¿Se guarda el nombre, el correo o el identificador del usuario?</t>
        </is>
      </c>
      <c r="V2372" s="19" t="inlineStr">
        <is>
          <t>Aprobada</t>
        </is>
      </c>
      <c r="W2372" s="19" t="inlineStr"/>
      <c r="X2372" s="19" t="inlineStr">
        <is>
          <t>Aldair González (validación del responsable de BD)</t>
        </is>
      </c>
      <c r="Y2372" s="20" t="n">
        <v>46321</v>
      </c>
      <c r="Z2372" s="19" t="inlineStr">
        <is>
          <t>Nivel 3: validada por decisión del responsable de la base de datos. Pregunta registrada para desarrollo: ¿Se guarda el nombre, el correo o el identificador del usuario?</t>
        </is>
      </c>
      <c r="AA2372" s="18">
        <f>IF(OR(V2372="Aprobada"),R2372,IF(AND(OR(V2372="Aprobada con ajuste",V2372="Rechazada"),W2372&lt;&gt;""),W2372,""))</f>
        <v/>
      </c>
    </row>
    <row r="2373">
      <c r="A2373" s="18" t="inlineStr">
        <is>
          <t>C2372</t>
        </is>
      </c>
      <c r="B2373" s="18" t="inlineStr">
        <is>
          <t>Notificaciones</t>
        </is>
      </c>
      <c r="C2373" s="18" t="inlineStr">
        <is>
          <t>notifications</t>
        </is>
      </c>
      <c r="D2373" s="18" t="inlineStr">
        <is>
          <t>notificacion</t>
        </is>
      </c>
      <c r="E2373" s="18" t="n">
        <v>6345</v>
      </c>
      <c r="F2373" s="18" t="inlineStr">
        <is>
          <t>id_usuario_destinatario</t>
        </is>
      </c>
      <c r="G2373" s="18" t="inlineStr">
        <is>
          <t>uuid</t>
        </is>
      </c>
      <c r="H2373" s="18" t="inlineStr">
        <is>
          <t>No</t>
        </is>
      </c>
      <c r="I2373" s="18" t="inlineStr"/>
      <c r="J2373" s="18" t="inlineStr"/>
      <c r="K2373" s="18" t="inlineStr"/>
      <c r="L2373" s="18" t="inlineStr">
        <is>
          <t>No</t>
        </is>
      </c>
      <c r="M2373" s="18" t="inlineStr">
        <is>
          <t>No</t>
        </is>
      </c>
      <c r="N2373" s="18" t="inlineStr"/>
      <c r="O2373" s="18" t="inlineStr">
        <is>
          <t>idx_notificacion_leida, idx_notificacion_usuario</t>
        </is>
      </c>
      <c r="P2373" s="18" t="inlineStr">
        <is>
          <t>Mapeada en notifications-service/src/notifications/entities/notification.entity.ts:14 (Notification.id_usuario_destinatario) | Validación: IsString</t>
        </is>
      </c>
      <c r="Q2373" s="18" t="inlineStr">
        <is>
          <t>Propuesta semántica</t>
        </is>
      </c>
      <c r="R2373" s="18" t="inlineStr">
        <is>
          <t>Identificador del usuario destinatario de la notificación.</t>
        </is>
      </c>
      <c r="S2373" s="18" t="inlineStr">
        <is>
          <t>Alta</t>
        </is>
      </c>
      <c r="T2373" s="18" t="inlineStr">
        <is>
          <t>nombre + tipo + índices</t>
        </is>
      </c>
      <c r="U2373" s="18" t="inlineStr"/>
      <c r="V2373" s="19" t="inlineStr">
        <is>
          <t>Aprobada</t>
        </is>
      </c>
      <c r="W2373" s="19" t="inlineStr"/>
      <c r="X2373" s="19" t="inlineStr">
        <is>
          <t>Aldair González (aprobación en bloque)</t>
        </is>
      </c>
      <c r="Y2373" s="20" t="n">
        <v>46321</v>
      </c>
      <c r="Z2373" s="19" t="inlineStr">
        <is>
          <t>Nivel 1: propuesta del comentario del desarrollador o de confianza alta, o regla de fecha/responsable/motivo.</t>
        </is>
      </c>
      <c r="AA2373" s="18">
        <f>IF(OR(V2373="Aprobada"),R2373,IF(AND(OR(V2373="Aprobada con ajuste",V2373="Rechazada"),W2373&lt;&gt;""),W2373,""))</f>
        <v/>
      </c>
    </row>
    <row r="2374">
      <c r="A2374" s="18" t="inlineStr">
        <is>
          <t>C2373</t>
        </is>
      </c>
      <c r="B2374" s="18" t="inlineStr">
        <is>
          <t>Notificaciones</t>
        </is>
      </c>
      <c r="C2374" s="18" t="inlineStr">
        <is>
          <t>notifications</t>
        </is>
      </c>
      <c r="D2374" s="18" t="inlineStr">
        <is>
          <t>notificacion</t>
        </is>
      </c>
      <c r="E2374" s="18" t="n">
        <v>6345</v>
      </c>
      <c r="F2374" s="18" t="inlineStr">
        <is>
          <t>tipo_notificacion</t>
        </is>
      </c>
      <c r="G2374" s="18" t="inlineStr">
        <is>
          <t>character varying(100)</t>
        </is>
      </c>
      <c r="H2374" s="18" t="inlineStr">
        <is>
          <t>No</t>
        </is>
      </c>
      <c r="I2374" s="18" t="inlineStr"/>
      <c r="J2374" s="18" t="inlineStr"/>
      <c r="K2374" s="18" t="inlineStr"/>
      <c r="L2374" s="18" t="inlineStr">
        <is>
          <t>No</t>
        </is>
      </c>
      <c r="M2374" s="18" t="inlineStr">
        <is>
          <t>No</t>
        </is>
      </c>
      <c r="N2374" s="18" t="inlineStr"/>
      <c r="O2374" s="18" t="inlineStr"/>
      <c r="P2374" s="18" t="inlineStr">
        <is>
          <t>Mapeada en notifications-service/src/notifications/entities/notification.entity.ts:17 (Notification.tipo_notificacion) | Validación: IsString</t>
        </is>
      </c>
      <c r="Q2374" s="18" t="inlineStr">
        <is>
          <t>Código fuente (verificado)</t>
        </is>
      </c>
      <c r="R2374" s="18" t="inlineStr">
        <is>
          <t>Código del tipo de evento que genera la notificación, definido por cada servicio emisor; por ejemplo, PROCESO_ASIGNADO o VIATICOS_RADICADA.</t>
        </is>
      </c>
      <c r="S2374" s="18" t="inlineStr">
        <is>
          <t>Alta</t>
        </is>
      </c>
      <c r="T2374" s="18" t="inlineStr">
        <is>
          <t>backend/notifications-service/src/notifications/dto/create-notification.dto.ts:11 texto obligatorio sin lista fija | backend/internal-disciplinary-control-service/src/services/process.service.ts:708 PROCESO_ASIGNADO | backend/travel-expenses-service/src/modules/travel-expenses/travel-expenses.service.ts códigos VIATICOS_*</t>
        </is>
      </c>
      <c r="U2374" s="18" t="inlineStr"/>
      <c r="V2374" s="19" t="inlineStr">
        <is>
          <t>Aprobada</t>
        </is>
      </c>
      <c r="W2374" s="19" t="inlineStr"/>
      <c r="X2374" s="19" t="inlineStr">
        <is>
          <t>Aldair González (aprobación en bloque)</t>
        </is>
      </c>
      <c r="Y2374" s="20" t="n">
        <v>46321</v>
      </c>
      <c r="Z2374" s="19" t="inlineStr">
        <is>
          <t>Nivel 3: verificada con el código de la aplicación.</t>
        </is>
      </c>
      <c r="AA2374" s="18">
        <f>IF(OR(V2374="Aprobada"),R2374,IF(AND(OR(V2374="Aprobada con ajuste",V2374="Rechazada"),W2374&lt;&gt;""),W2374,""))</f>
        <v/>
      </c>
    </row>
    <row r="2375">
      <c r="A2375" s="18" t="inlineStr">
        <is>
          <t>C2374</t>
        </is>
      </c>
      <c r="B2375" s="18" t="inlineStr">
        <is>
          <t>Notificaciones</t>
        </is>
      </c>
      <c r="C2375" s="18" t="inlineStr">
        <is>
          <t>notifications</t>
        </is>
      </c>
      <c r="D2375" s="18" t="inlineStr">
        <is>
          <t>notificacion</t>
        </is>
      </c>
      <c r="E2375" s="18" t="n">
        <v>6345</v>
      </c>
      <c r="F2375" s="18" t="inlineStr">
        <is>
          <t>titulo</t>
        </is>
      </c>
      <c r="G2375" s="18" t="inlineStr">
        <is>
          <t>character varying(255)</t>
        </is>
      </c>
      <c r="H2375" s="18" t="inlineStr">
        <is>
          <t>No</t>
        </is>
      </c>
      <c r="I2375" s="18" t="inlineStr"/>
      <c r="J2375" s="18" t="inlineStr"/>
      <c r="K2375" s="18" t="inlineStr"/>
      <c r="L2375" s="18" t="inlineStr">
        <is>
          <t>No</t>
        </is>
      </c>
      <c r="M2375" s="18" t="inlineStr">
        <is>
          <t>No</t>
        </is>
      </c>
      <c r="N2375" s="18" t="inlineStr"/>
      <c r="O2375" s="18" t="inlineStr"/>
      <c r="P2375" s="18" t="inlineStr">
        <is>
          <t>Mapeada en notifications-service/src/notifications/entities/notification.entity.ts:20 (Notification.titulo) | Validación: IsString</t>
        </is>
      </c>
      <c r="Q2375" s="18" t="inlineStr">
        <is>
          <t>Propuesta semántica</t>
        </is>
      </c>
      <c r="R2375" s="18" t="inlineStr">
        <is>
          <t>Título de la notificación.</t>
        </is>
      </c>
      <c r="S2375" s="18" t="inlineStr">
        <is>
          <t>Alta</t>
        </is>
      </c>
      <c r="T2375" s="18" t="inlineStr">
        <is>
          <t>nombre + tipo</t>
        </is>
      </c>
      <c r="U2375" s="18" t="inlineStr"/>
      <c r="V2375" s="19" t="inlineStr">
        <is>
          <t>Aprobada</t>
        </is>
      </c>
      <c r="W2375" s="19" t="inlineStr"/>
      <c r="X2375" s="19" t="inlineStr">
        <is>
          <t>Aldair González (aprobación en bloque)</t>
        </is>
      </c>
      <c r="Y2375" s="20" t="n">
        <v>46321</v>
      </c>
      <c r="Z2375" s="19" t="inlineStr">
        <is>
          <t>Nivel 1: propuesta del comentario del desarrollador o de confianza alta, o regla de fecha/responsable/motivo.</t>
        </is>
      </c>
      <c r="AA2375" s="18">
        <f>IF(OR(V2375="Aprobada"),R2375,IF(AND(OR(V2375="Aprobada con ajuste",V2375="Rechazada"),W2375&lt;&gt;""),W2375,""))</f>
        <v/>
      </c>
    </row>
    <row r="2376">
      <c r="A2376" s="18" t="inlineStr">
        <is>
          <t>C2375</t>
        </is>
      </c>
      <c r="B2376" s="18" t="inlineStr">
        <is>
          <t>Notificaciones</t>
        </is>
      </c>
      <c r="C2376" s="18" t="inlineStr">
        <is>
          <t>notifications</t>
        </is>
      </c>
      <c r="D2376" s="18" t="inlineStr">
        <is>
          <t>notificacion</t>
        </is>
      </c>
      <c r="E2376" s="18" t="n">
        <v>6345</v>
      </c>
      <c r="F2376" s="18" t="inlineStr">
        <is>
          <t>mensaje</t>
        </is>
      </c>
      <c r="G2376" s="18" t="inlineStr">
        <is>
          <t>text</t>
        </is>
      </c>
      <c r="H2376" s="18" t="inlineStr">
        <is>
          <t>No</t>
        </is>
      </c>
      <c r="I2376" s="18" t="inlineStr"/>
      <c r="J2376" s="18" t="inlineStr"/>
      <c r="K2376" s="18" t="inlineStr"/>
      <c r="L2376" s="18" t="inlineStr">
        <is>
          <t>No</t>
        </is>
      </c>
      <c r="M2376" s="18" t="inlineStr">
        <is>
          <t>No</t>
        </is>
      </c>
      <c r="N2376" s="18" t="inlineStr"/>
      <c r="O2376" s="18" t="inlineStr"/>
      <c r="P2376" s="18" t="inlineStr">
        <is>
          <t>Mapeada en notifications-service/src/notifications/entities/notification.entity.ts:23 (Notification.mensaje) | Validación: IsString</t>
        </is>
      </c>
      <c r="Q2376" s="18" t="inlineStr">
        <is>
          <t>Propuesta semántica</t>
        </is>
      </c>
      <c r="R2376" s="18" t="inlineStr">
        <is>
          <t>Texto del mensaje de la notificación.</t>
        </is>
      </c>
      <c r="S2376" s="18" t="inlineStr">
        <is>
          <t>Alta</t>
        </is>
      </c>
      <c r="T2376" s="18" t="inlineStr">
        <is>
          <t>nombre + tipo</t>
        </is>
      </c>
      <c r="U2376" s="18" t="inlineStr"/>
      <c r="V2376" s="19" t="inlineStr">
        <is>
          <t>Aprobada</t>
        </is>
      </c>
      <c r="W2376" s="19" t="inlineStr"/>
      <c r="X2376" s="19" t="inlineStr">
        <is>
          <t>Aldair González (aprobación en bloque)</t>
        </is>
      </c>
      <c r="Y2376" s="20" t="n">
        <v>46321</v>
      </c>
      <c r="Z2376" s="19" t="inlineStr">
        <is>
          <t>Nivel 1: propuesta del comentario del desarrollador o de confianza alta, o regla de fecha/responsable/motivo.</t>
        </is>
      </c>
      <c r="AA2376" s="18">
        <f>IF(OR(V2376="Aprobada"),R2376,IF(AND(OR(V2376="Aprobada con ajuste",V2376="Rechazada"),W2376&lt;&gt;""),W2376,""))</f>
        <v/>
      </c>
    </row>
    <row r="2377">
      <c r="A2377" s="18" t="inlineStr">
        <is>
          <t>C2376</t>
        </is>
      </c>
      <c r="B2377" s="18" t="inlineStr">
        <is>
          <t>Notificaciones</t>
        </is>
      </c>
      <c r="C2377" s="18" t="inlineStr">
        <is>
          <t>notifications</t>
        </is>
      </c>
      <c r="D2377" s="18" t="inlineStr">
        <is>
          <t>notificacion</t>
        </is>
      </c>
      <c r="E2377" s="18" t="n">
        <v>6345</v>
      </c>
      <c r="F2377" s="18" t="inlineStr">
        <is>
          <t>descripcion_corta</t>
        </is>
      </c>
      <c r="G2377" s="18" t="inlineStr">
        <is>
          <t>character varying(255)</t>
        </is>
      </c>
      <c r="H2377" s="18" t="inlineStr">
        <is>
          <t>Sí</t>
        </is>
      </c>
      <c r="I2377" s="18" t="inlineStr"/>
      <c r="J2377" s="18" t="inlineStr"/>
      <c r="K2377" s="18" t="inlineStr"/>
      <c r="L2377" s="18" t="inlineStr">
        <is>
          <t>No</t>
        </is>
      </c>
      <c r="M2377" s="18" t="inlineStr">
        <is>
          <t>No</t>
        </is>
      </c>
      <c r="N2377" s="18" t="inlineStr"/>
      <c r="O2377" s="18" t="inlineStr"/>
      <c r="P2377" s="18" t="inlineStr">
        <is>
          <t>Mapeada en notifications-service/src/notifications/entities/notification.entity.ts:26 (Notification.descripcion_corta) | Validación: IsOptional, IsString</t>
        </is>
      </c>
      <c r="Q2377" s="18" t="inlineStr">
        <is>
          <t>Propuesta semántica</t>
        </is>
      </c>
      <c r="R2377" s="18" t="inlineStr">
        <is>
          <t>Resumen corto de la notificación.</t>
        </is>
      </c>
      <c r="S2377" s="18" t="inlineStr">
        <is>
          <t>Alta</t>
        </is>
      </c>
      <c r="T2377" s="18" t="inlineStr">
        <is>
          <t>nombre + tipo</t>
        </is>
      </c>
      <c r="U2377" s="18" t="inlineStr"/>
      <c r="V2377" s="19" t="inlineStr">
        <is>
          <t>Aprobada</t>
        </is>
      </c>
      <c r="W2377" s="19" t="inlineStr"/>
      <c r="X2377" s="19" t="inlineStr">
        <is>
          <t>Aldair González (aprobación en bloque)</t>
        </is>
      </c>
      <c r="Y2377" s="20" t="n">
        <v>46321</v>
      </c>
      <c r="Z2377" s="19" t="inlineStr">
        <is>
          <t>Nivel 1: propuesta del comentario del desarrollador o de confianza alta, o regla de fecha/responsable/motivo.</t>
        </is>
      </c>
      <c r="AA2377" s="18">
        <f>IF(OR(V2377="Aprobada"),R2377,IF(AND(OR(V2377="Aprobada con ajuste",V2377="Rechazada"),W2377&lt;&gt;""),W2377,""))</f>
        <v/>
      </c>
    </row>
    <row r="2378">
      <c r="A2378" s="18" t="inlineStr">
        <is>
          <t>C2377</t>
        </is>
      </c>
      <c r="B2378" s="18" t="inlineStr">
        <is>
          <t>Notificaciones</t>
        </is>
      </c>
      <c r="C2378" s="18" t="inlineStr">
        <is>
          <t>notifications</t>
        </is>
      </c>
      <c r="D2378" s="18" t="inlineStr">
        <is>
          <t>notificacion</t>
        </is>
      </c>
      <c r="E2378" s="18" t="n">
        <v>6345</v>
      </c>
      <c r="F2378" s="18" t="inlineStr">
        <is>
          <t>icono</t>
        </is>
      </c>
      <c r="G2378" s="18" t="inlineStr">
        <is>
          <t>character varying(100)</t>
        </is>
      </c>
      <c r="H2378" s="18" t="inlineStr">
        <is>
          <t>Sí</t>
        </is>
      </c>
      <c r="I2378" s="18" t="inlineStr"/>
      <c r="J2378" s="18" t="inlineStr"/>
      <c r="K2378" s="18" t="inlineStr"/>
      <c r="L2378" s="18" t="inlineStr">
        <is>
          <t>No</t>
        </is>
      </c>
      <c r="M2378" s="18" t="inlineStr">
        <is>
          <t>No</t>
        </is>
      </c>
      <c r="N2378" s="18" t="inlineStr"/>
      <c r="O2378" s="18" t="inlineStr"/>
      <c r="P2378" s="18" t="inlineStr">
        <is>
          <t>Mapeada en notifications-service/src/notifications/entities/notification.entity.ts:29 (Notification.icono) | Validación: IsOptional, IsString</t>
        </is>
      </c>
      <c r="Q2378" s="18" t="inlineStr">
        <is>
          <t>Código fuente (verificado)</t>
        </is>
      </c>
      <c r="R2378" s="18" t="inlineStr">
        <is>
          <t>Nombre del ícono que se muestra con la notificación; por ejemplo, AlertTriangle o FileCheck.</t>
        </is>
      </c>
      <c r="S2378" s="18" t="inlineStr">
        <is>
          <t>Media</t>
        </is>
      </c>
      <c r="T2378" s="18" t="inlineStr">
        <is>
          <t>backend/notifications-service/src/notifications/dto/create-notification.dto.ts:28 texto opcional | backend/travel-expenses-service/src/modules/travel-expenses/travel-expenses.service.ts:1292 icono AlertTriangle</t>
        </is>
      </c>
      <c r="U2378" s="18" t="inlineStr">
        <is>
          <t>¿Los nombres corresponden a componentes de lucide-react, la librería de íconos del frontend?</t>
        </is>
      </c>
      <c r="V2378" s="19" t="inlineStr">
        <is>
          <t>Aprobada</t>
        </is>
      </c>
      <c r="W2378" s="19" t="inlineStr"/>
      <c r="X2378" s="19" t="inlineStr">
        <is>
          <t>Aldair González (validación del responsable de BD)</t>
        </is>
      </c>
      <c r="Y2378" s="20" t="n">
        <v>46321</v>
      </c>
      <c r="Z2378" s="19" t="inlineStr">
        <is>
          <t>Nivel 3: validada por decisión del responsable de la base de datos. Pregunta registrada para desarrollo: ¿Los nombres corresponden a componentes de lucide-react, la librería de íconos del frontend?</t>
        </is>
      </c>
      <c r="AA2378" s="18">
        <f>IF(OR(V2378="Aprobada"),R2378,IF(AND(OR(V2378="Aprobada con ajuste",V2378="Rechazada"),W2378&lt;&gt;""),W2378,""))</f>
        <v/>
      </c>
    </row>
    <row r="2379">
      <c r="A2379" s="18" t="inlineStr">
        <is>
          <t>C2378</t>
        </is>
      </c>
      <c r="B2379" s="18" t="inlineStr">
        <is>
          <t>Notificaciones</t>
        </is>
      </c>
      <c r="C2379" s="18" t="inlineStr">
        <is>
          <t>notifications</t>
        </is>
      </c>
      <c r="D2379" s="18" t="inlineStr">
        <is>
          <t>notificacion</t>
        </is>
      </c>
      <c r="E2379" s="18" t="n">
        <v>6345</v>
      </c>
      <c r="F2379" s="18" t="inlineStr">
        <is>
          <t>color</t>
        </is>
      </c>
      <c r="G2379" s="18" t="inlineStr">
        <is>
          <t>character varying(50)</t>
        </is>
      </c>
      <c r="H2379" s="18" t="inlineStr">
        <is>
          <t>Sí</t>
        </is>
      </c>
      <c r="I2379" s="18" t="inlineStr"/>
      <c r="J2379" s="18" t="inlineStr"/>
      <c r="K2379" s="18" t="inlineStr"/>
      <c r="L2379" s="18" t="inlineStr">
        <is>
          <t>No</t>
        </is>
      </c>
      <c r="M2379" s="18" t="inlineStr">
        <is>
          <t>No</t>
        </is>
      </c>
      <c r="N2379" s="18" t="inlineStr"/>
      <c r="O2379" s="18" t="inlineStr"/>
      <c r="P2379" s="18" t="inlineStr">
        <is>
          <t>Mapeada en notifications-service/src/notifications/entities/notification.entity.ts:32 (Notification.color) | Validación: IsOptional, IsString</t>
        </is>
      </c>
      <c r="Q2379" s="18" t="inlineStr">
        <is>
          <t>Código fuente (verificado)</t>
        </is>
      </c>
      <c r="R2379" s="18" t="inlineStr">
        <is>
          <t>Color con que se muestra la notificación, como código hexadecimal (por ejemplo, #DC2626).</t>
        </is>
      </c>
      <c r="S2379" s="18" t="inlineStr">
        <is>
          <t>Alta</t>
        </is>
      </c>
      <c r="T2379" s="18" t="inlineStr">
        <is>
          <t>backend/travel-expenses-service/src/modules/travel-expenses/travel-expenses.service.ts:1293 color #DC2626 | backend/academic-work-plan-service/src/pta/notifications/pta-notifications.service.ts:505 color hexadecimal</t>
        </is>
      </c>
      <c r="U2379" s="18" t="inlineStr"/>
      <c r="V2379" s="19" t="inlineStr">
        <is>
          <t>Aprobada</t>
        </is>
      </c>
      <c r="W2379" s="19" t="inlineStr"/>
      <c r="X2379" s="19" t="inlineStr">
        <is>
          <t>Aldair González (aprobación en bloque)</t>
        </is>
      </c>
      <c r="Y2379" s="20" t="n">
        <v>46321</v>
      </c>
      <c r="Z2379" s="19" t="inlineStr">
        <is>
          <t>Nivel 3: verificada con el código de la aplicación.</t>
        </is>
      </c>
      <c r="AA2379" s="18">
        <f>IF(OR(V2379="Aprobada"),R2379,IF(AND(OR(V2379="Aprobada con ajuste",V2379="Rechazada"),W2379&lt;&gt;""),W2379,""))</f>
        <v/>
      </c>
    </row>
    <row r="2380">
      <c r="A2380" s="18" t="inlineStr">
        <is>
          <t>C2379</t>
        </is>
      </c>
      <c r="B2380" s="18" t="inlineStr">
        <is>
          <t>Notificaciones</t>
        </is>
      </c>
      <c r="C2380" s="18" t="inlineStr">
        <is>
          <t>notifications</t>
        </is>
      </c>
      <c r="D2380" s="18" t="inlineStr">
        <is>
          <t>notificacion</t>
        </is>
      </c>
      <c r="E2380" s="18" t="n">
        <v>6345</v>
      </c>
      <c r="F2380" s="18" t="inlineStr">
        <is>
          <t>prioridad</t>
        </is>
      </c>
      <c r="G2380" s="18" t="inlineStr">
        <is>
          <t>character varying(20)</t>
        </is>
      </c>
      <c r="H2380" s="18" t="inlineStr">
        <is>
          <t>No</t>
        </is>
      </c>
      <c r="I2380" s="18" t="inlineStr"/>
      <c r="J2380" s="18" t="inlineStr"/>
      <c r="K2380" s="18" t="inlineStr"/>
      <c r="L2380" s="18" t="inlineStr">
        <is>
          <t>No</t>
        </is>
      </c>
      <c r="M2380" s="18" t="inlineStr">
        <is>
          <t>No</t>
        </is>
      </c>
      <c r="N2380" s="18" t="inlineStr"/>
      <c r="O2380" s="18" t="inlineStr"/>
      <c r="P2380" s="18" t="inlineStr">
        <is>
          <t>Mapeada en notifications-service/src/notifications/entities/notification.entity.ts:35 (Notification.prioridad) | Validación: IsIn(['Baja', 'Media', 'Alta', 'Crítica']), IsOptional</t>
        </is>
      </c>
      <c r="Q2380" s="18" t="inlineStr">
        <is>
          <t>Propuesta semántica</t>
        </is>
      </c>
      <c r="R2380" s="18" t="inlineStr">
        <is>
          <t>Prioridad de la notificación. Valores permitidos: Baja, Media, Alta, Crítica. Por defecto, Media.</t>
        </is>
      </c>
      <c r="S2380" s="18" t="inlineStr">
        <is>
          <t>Alta</t>
        </is>
      </c>
      <c r="T2380" s="18" t="inlineStr">
        <is>
          <t>validación IsIn + defecto</t>
        </is>
      </c>
      <c r="U2380" s="18" t="inlineStr"/>
      <c r="V2380" s="19" t="inlineStr">
        <is>
          <t>Aprobada</t>
        </is>
      </c>
      <c r="W2380" s="19" t="inlineStr"/>
      <c r="X2380" s="19" t="inlineStr">
        <is>
          <t>Aldair González (aprobación en bloque)</t>
        </is>
      </c>
      <c r="Y2380" s="20" t="n">
        <v>46321</v>
      </c>
      <c r="Z2380" s="19" t="inlineStr">
        <is>
          <t>Nivel 1: propuesta del comentario del desarrollador o de confianza alta, o regla de fecha/responsable/motivo.</t>
        </is>
      </c>
      <c r="AA2380" s="18">
        <f>IF(OR(V2380="Aprobada"),R2380,IF(AND(OR(V2380="Aprobada con ajuste",V2380="Rechazada"),W2380&lt;&gt;""),W2380,""))</f>
        <v/>
      </c>
    </row>
    <row r="2381">
      <c r="A2381" s="18" t="inlineStr">
        <is>
          <t>C2380</t>
        </is>
      </c>
      <c r="B2381" s="18" t="inlineStr">
        <is>
          <t>Notificaciones</t>
        </is>
      </c>
      <c r="C2381" s="18" t="inlineStr">
        <is>
          <t>notifications</t>
        </is>
      </c>
      <c r="D2381" s="18" t="inlineStr">
        <is>
          <t>notificacion</t>
        </is>
      </c>
      <c r="E2381" s="18" t="n">
        <v>6345</v>
      </c>
      <c r="F2381" s="18" t="inlineStr">
        <is>
          <t>categoria</t>
        </is>
      </c>
      <c r="G2381" s="18" t="inlineStr">
        <is>
          <t>character varying(100)</t>
        </is>
      </c>
      <c r="H2381" s="18" t="inlineStr">
        <is>
          <t>Sí</t>
        </is>
      </c>
      <c r="I2381" s="18" t="inlineStr"/>
      <c r="J2381" s="18" t="inlineStr"/>
      <c r="K2381" s="18" t="inlineStr"/>
      <c r="L2381" s="18" t="inlineStr">
        <is>
          <t>No</t>
        </is>
      </c>
      <c r="M2381" s="18" t="inlineStr">
        <is>
          <t>No</t>
        </is>
      </c>
      <c r="N2381" s="18" t="inlineStr"/>
      <c r="O2381" s="18" t="inlineStr"/>
      <c r="P2381" s="18" t="inlineStr">
        <is>
          <t>Mapeada en notifications-service/src/notifications/entities/notification.entity.ts:38 (Notification.categoria) | Validación: IsOptional, IsString</t>
        </is>
      </c>
      <c r="Q2381" s="18" t="inlineStr">
        <is>
          <t>Código fuente (verificado)</t>
        </is>
      </c>
      <c r="R2381" s="18" t="inlineStr">
        <is>
          <t>Módulo o área de la notificación, usada para filtrar la bandeja; por ejemplo, VIATICOS, gestion-legal, DISCIPLINARIO o PTA. tipo_notificacion identifica el evento concreto.</t>
        </is>
      </c>
      <c r="S2381" s="18" t="inlineStr">
        <is>
          <t>Alta</t>
        </is>
      </c>
      <c r="T2381" s="18" t="inlineStr">
        <is>
          <t>backend/notifications-service/src/notifications/notifications.service.ts:34 filtro por categoria | backend/legal-management-service/src/controllers/expediente.controller.ts:267 categoria gestion-legal | backend/notifications-service/src/notifications/dto/create-notification.dto.ts:36 texto opcional sin lista fija</t>
        </is>
      </c>
      <c r="U2381" s="18" t="inlineStr"/>
      <c r="V2381" s="19" t="inlineStr">
        <is>
          <t>Aprobada</t>
        </is>
      </c>
      <c r="W2381" s="19" t="inlineStr"/>
      <c r="X2381" s="19" t="inlineStr">
        <is>
          <t>Aldair González (aprobación en bloque)</t>
        </is>
      </c>
      <c r="Y2381" s="20" t="n">
        <v>46321</v>
      </c>
      <c r="Z2381" s="19" t="inlineStr">
        <is>
          <t>Nivel 3: verificada con el código de la aplicación.</t>
        </is>
      </c>
      <c r="AA2381" s="18">
        <f>IF(OR(V2381="Aprobada"),R2381,IF(AND(OR(V2381="Aprobada con ajuste",V2381="Rechazada"),W2381&lt;&gt;""),W2381,""))</f>
        <v/>
      </c>
    </row>
    <row r="2382">
      <c r="A2382" s="18" t="inlineStr">
        <is>
          <t>C2381</t>
        </is>
      </c>
      <c r="B2382" s="18" t="inlineStr">
        <is>
          <t>Notificaciones</t>
        </is>
      </c>
      <c r="C2382" s="18" t="inlineStr">
        <is>
          <t>notifications</t>
        </is>
      </c>
      <c r="D2382" s="18" t="inlineStr">
        <is>
          <t>notificacion</t>
        </is>
      </c>
      <c r="E2382" s="18" t="n">
        <v>6345</v>
      </c>
      <c r="F2382" s="18" t="inlineStr">
        <is>
          <t>leida</t>
        </is>
      </c>
      <c r="G2382" s="18" t="inlineStr">
        <is>
          <t>boolean</t>
        </is>
      </c>
      <c r="H2382" s="18" t="inlineStr">
        <is>
          <t>No</t>
        </is>
      </c>
      <c r="I2382" s="18" t="inlineStr"/>
      <c r="J2382" s="18" t="inlineStr"/>
      <c r="K2382" s="18" t="inlineStr"/>
      <c r="L2382" s="18" t="inlineStr">
        <is>
          <t>No</t>
        </is>
      </c>
      <c r="M2382" s="18" t="inlineStr">
        <is>
          <t>No</t>
        </is>
      </c>
      <c r="N2382" s="18" t="inlineStr"/>
      <c r="O2382" s="18" t="inlineStr">
        <is>
          <t>idx_notificacion_leida</t>
        </is>
      </c>
      <c r="P2382" s="18" t="inlineStr">
        <is>
          <t>Mapeada en notifications-service/src/notifications/entities/notification.entity.ts:41 (Notification.leida)</t>
        </is>
      </c>
      <c r="Q2382" s="18" t="inlineStr">
        <is>
          <t>Regla estructural (redacción revisada)</t>
        </is>
      </c>
      <c r="R2382" s="18" t="inlineStr">
        <is>
          <t>Indica si el destinatario leyó la notificación.</t>
        </is>
      </c>
      <c r="S2382" s="18" t="inlineStr">
        <is>
          <t>Alta</t>
        </is>
      </c>
      <c r="T2382" s="18" t="inlineStr">
        <is>
          <t>Convención de nombre, redactada con el contexto de la tabla y el código.</t>
        </is>
      </c>
      <c r="U2382" s="18" t="inlineStr"/>
      <c r="V2382" s="19" t="inlineStr">
        <is>
          <t>Aprobada</t>
        </is>
      </c>
      <c r="W2382" s="19" t="inlineStr"/>
      <c r="X2382" s="19" t="inlineStr">
        <is>
          <t>Aldair González (aprobación en bloque)</t>
        </is>
      </c>
      <c r="Y2382" s="20" t="n">
        <v>46321</v>
      </c>
      <c r="Z2382" s="19" t="inlineStr">
        <is>
          <t>Nivel 2: regla estructural con redacción revisada.</t>
        </is>
      </c>
      <c r="AA2382" s="18">
        <f>IF(OR(V2382="Aprobada"),R2382,IF(AND(OR(V2382="Aprobada con ajuste",V2382="Rechazada"),W2382&lt;&gt;""),W2382,""))</f>
        <v/>
      </c>
    </row>
    <row r="2383">
      <c r="A2383" s="18" t="inlineStr">
        <is>
          <t>C2382</t>
        </is>
      </c>
      <c r="B2383" s="18" t="inlineStr">
        <is>
          <t>Notificaciones</t>
        </is>
      </c>
      <c r="C2383" s="18" t="inlineStr">
        <is>
          <t>notifications</t>
        </is>
      </c>
      <c r="D2383" s="18" t="inlineStr">
        <is>
          <t>notificacion</t>
        </is>
      </c>
      <c r="E2383" s="18" t="n">
        <v>6345</v>
      </c>
      <c r="F2383" s="18" t="inlineStr">
        <is>
          <t>archivada</t>
        </is>
      </c>
      <c r="G2383" s="18" t="inlineStr">
        <is>
          <t>boolean</t>
        </is>
      </c>
      <c r="H2383" s="18" t="inlineStr">
        <is>
          <t>No</t>
        </is>
      </c>
      <c r="I2383" s="18" t="inlineStr"/>
      <c r="J2383" s="18" t="inlineStr"/>
      <c r="K2383" s="18" t="inlineStr"/>
      <c r="L2383" s="18" t="inlineStr">
        <is>
          <t>No</t>
        </is>
      </c>
      <c r="M2383" s="18" t="inlineStr">
        <is>
          <t>No</t>
        </is>
      </c>
      <c r="N2383" s="18" t="inlineStr"/>
      <c r="O2383" s="18" t="inlineStr">
        <is>
          <t>idx_notificacion_leida</t>
        </is>
      </c>
      <c r="P2383" s="18" t="inlineStr">
        <is>
          <t>Mapeada en notifications-service/src/notifications/entities/notification.entity.ts:44 (Notification.archivada)</t>
        </is>
      </c>
      <c r="Q2383" s="18" t="inlineStr">
        <is>
          <t>Regla estructural (redacción revisada)</t>
        </is>
      </c>
      <c r="R2383" s="18" t="inlineStr">
        <is>
          <t>Indica si la notificación está archivada.</t>
        </is>
      </c>
      <c r="S2383" s="18" t="inlineStr">
        <is>
          <t>Alta</t>
        </is>
      </c>
      <c r="T2383" s="18" t="inlineStr">
        <is>
          <t>Convención de nombre, redactada con el contexto de la tabla y el código.</t>
        </is>
      </c>
      <c r="U2383" s="18" t="inlineStr"/>
      <c r="V2383" s="19" t="inlineStr">
        <is>
          <t>Aprobada</t>
        </is>
      </c>
      <c r="W2383" s="19" t="inlineStr"/>
      <c r="X2383" s="19" t="inlineStr">
        <is>
          <t>Aldair González (aprobación en bloque)</t>
        </is>
      </c>
      <c r="Y2383" s="20" t="n">
        <v>46321</v>
      </c>
      <c r="Z2383" s="19" t="inlineStr">
        <is>
          <t>Nivel 2: regla estructural con redacción revisada.</t>
        </is>
      </c>
      <c r="AA2383" s="18">
        <f>IF(OR(V2383="Aprobada"),R2383,IF(AND(OR(V2383="Aprobada con ajuste",V2383="Rechazada"),W2383&lt;&gt;""),W2383,""))</f>
        <v/>
      </c>
    </row>
    <row r="2384">
      <c r="A2384" s="18" t="inlineStr">
        <is>
          <t>C2383</t>
        </is>
      </c>
      <c r="B2384" s="18" t="inlineStr">
        <is>
          <t>Notificaciones</t>
        </is>
      </c>
      <c r="C2384" s="18" t="inlineStr">
        <is>
          <t>notifications</t>
        </is>
      </c>
      <c r="D2384" s="18" t="inlineStr">
        <is>
          <t>notificacion</t>
        </is>
      </c>
      <c r="E2384" s="18" t="n">
        <v>6345</v>
      </c>
      <c r="F2384" s="18" t="inlineStr">
        <is>
          <t>fecha_lectura</t>
        </is>
      </c>
      <c r="G2384" s="18" t="inlineStr">
        <is>
          <t>timestamp with time zone</t>
        </is>
      </c>
      <c r="H2384" s="18" t="inlineStr">
        <is>
          <t>Sí</t>
        </is>
      </c>
      <c r="I2384" s="18" t="inlineStr"/>
      <c r="J2384" s="18" t="inlineStr"/>
      <c r="K2384" s="18" t="inlineStr"/>
      <c r="L2384" s="18" t="inlineStr">
        <is>
          <t>No</t>
        </is>
      </c>
      <c r="M2384" s="18" t="inlineStr">
        <is>
          <t>No</t>
        </is>
      </c>
      <c r="N2384" s="18" t="inlineStr"/>
      <c r="O2384" s="18" t="inlineStr"/>
      <c r="P2384" s="18" t="inlineStr">
        <is>
          <t>Mapeada en notifications-service/src/notifications/entities/notification.entity.ts:53 (Notification.fecha_lectura)</t>
        </is>
      </c>
      <c r="Q2384" s="18" t="inlineStr">
        <is>
          <t>Regla estructural (redacción revisada)</t>
        </is>
      </c>
      <c r="R2384" s="18" t="inlineStr">
        <is>
          <t>Fecha y hora en que se leyó la notificación.</t>
        </is>
      </c>
      <c r="S2384" s="18" t="inlineStr">
        <is>
          <t>Alta</t>
        </is>
      </c>
      <c r="T2384" s="18" t="inlineStr">
        <is>
          <t>Convención de nombre, redactada con el contexto de la tabla y el código.</t>
        </is>
      </c>
      <c r="U2384" s="18" t="inlineStr"/>
      <c r="V2384" s="19" t="inlineStr">
        <is>
          <t>Aprobada</t>
        </is>
      </c>
      <c r="W2384" s="19" t="inlineStr"/>
      <c r="X2384" s="19" t="inlineStr">
        <is>
          <t>Aldair González (aprobación en bloque)</t>
        </is>
      </c>
      <c r="Y2384" s="20" t="n">
        <v>46321</v>
      </c>
      <c r="Z2384" s="19" t="inlineStr">
        <is>
          <t>Nivel 2: regla estructural con redacción revisada.</t>
        </is>
      </c>
      <c r="AA2384" s="18">
        <f>IF(OR(V2384="Aprobada"),R2384,IF(AND(OR(V2384="Aprobada con ajuste",V2384="Rechazada"),W2384&lt;&gt;""),W2384,""))</f>
        <v/>
      </c>
    </row>
    <row r="2385">
      <c r="A2385" s="18" t="inlineStr">
        <is>
          <t>C2384</t>
        </is>
      </c>
      <c r="B2385" s="18" t="inlineStr">
        <is>
          <t>Notificaciones</t>
        </is>
      </c>
      <c r="C2385" s="18" t="inlineStr">
        <is>
          <t>notifications</t>
        </is>
      </c>
      <c r="D2385" s="18" t="inlineStr">
        <is>
          <t>notificacion</t>
        </is>
      </c>
      <c r="E2385" s="18" t="n">
        <v>6345</v>
      </c>
      <c r="F2385" s="18" t="inlineStr">
        <is>
          <t>fecha_archivado</t>
        </is>
      </c>
      <c r="G2385" s="18" t="inlineStr">
        <is>
          <t>timestamp with time zone</t>
        </is>
      </c>
      <c r="H2385" s="18" t="inlineStr">
        <is>
          <t>Sí</t>
        </is>
      </c>
      <c r="I2385" s="18" t="inlineStr"/>
      <c r="J2385" s="18" t="inlineStr"/>
      <c r="K2385" s="18" t="inlineStr"/>
      <c r="L2385" s="18" t="inlineStr">
        <is>
          <t>No</t>
        </is>
      </c>
      <c r="M2385" s="18" t="inlineStr">
        <is>
          <t>No</t>
        </is>
      </c>
      <c r="N2385" s="18" t="inlineStr"/>
      <c r="O2385" s="18" t="inlineStr"/>
      <c r="P2385" s="18" t="inlineStr">
        <is>
          <t>Mapeada en notifications-service/src/notifications/entities/notification.entity.ts:56 (Notification.fecha_archivado)</t>
        </is>
      </c>
      <c r="Q2385" s="18" t="inlineStr">
        <is>
          <t>Regla estructural (redacción revisada)</t>
        </is>
      </c>
      <c r="R2385" s="18" t="inlineStr">
        <is>
          <t>Fecha y hora en que se archivó la notificación.</t>
        </is>
      </c>
      <c r="S2385" s="18" t="inlineStr">
        <is>
          <t>Alta</t>
        </is>
      </c>
      <c r="T2385" s="18" t="inlineStr">
        <is>
          <t>Convención de nombre, redactada con el contexto de la tabla y el código.</t>
        </is>
      </c>
      <c r="U2385" s="18" t="inlineStr"/>
      <c r="V2385" s="19" t="inlineStr">
        <is>
          <t>Aprobada</t>
        </is>
      </c>
      <c r="W2385" s="19" t="inlineStr"/>
      <c r="X2385" s="19" t="inlineStr">
        <is>
          <t>Aldair González (aprobación en bloque)</t>
        </is>
      </c>
      <c r="Y2385" s="20" t="n">
        <v>46321</v>
      </c>
      <c r="Z2385" s="19" t="inlineStr">
        <is>
          <t>Nivel 2: regla estructural con redacción revisada.</t>
        </is>
      </c>
      <c r="AA2385" s="18">
        <f>IF(OR(V2385="Aprobada"),R2385,IF(AND(OR(V2385="Aprobada con ajuste",V2385="Rechazada"),W2385&lt;&gt;""),W2385,""))</f>
        <v/>
      </c>
    </row>
    <row r="2386">
      <c r="A2386" s="18" t="inlineStr">
        <is>
          <t>C2385</t>
        </is>
      </c>
      <c r="B2386" s="18" t="inlineStr">
        <is>
          <t>Notificaciones</t>
        </is>
      </c>
      <c r="C2386" s="18" t="inlineStr">
        <is>
          <t>notifications</t>
        </is>
      </c>
      <c r="D2386" s="18" t="inlineStr">
        <is>
          <t>notificacion</t>
        </is>
      </c>
      <c r="E2386" s="18" t="n">
        <v>6345</v>
      </c>
      <c r="F2386" s="18" t="inlineStr">
        <is>
          <t>tiene_accion</t>
        </is>
      </c>
      <c r="G2386" s="18" t="inlineStr">
        <is>
          <t>boolean</t>
        </is>
      </c>
      <c r="H2386" s="18" t="inlineStr">
        <is>
          <t>No</t>
        </is>
      </c>
      <c r="I2386" s="18" t="inlineStr"/>
      <c r="J2386" s="18" t="inlineStr"/>
      <c r="K2386" s="18" t="inlineStr"/>
      <c r="L2386" s="18" t="inlineStr">
        <is>
          <t>No</t>
        </is>
      </c>
      <c r="M2386" s="18" t="inlineStr">
        <is>
          <t>No</t>
        </is>
      </c>
      <c r="N2386" s="18" t="inlineStr"/>
      <c r="O2386" s="18" t="inlineStr"/>
      <c r="P2386" s="18" t="inlineStr">
        <is>
          <t>Mapeada en notifications-service/src/notifications/entities/notification.entity.ts:59 (Notification.tiene_accion) | Validación: IsBoolean, IsOptional</t>
        </is>
      </c>
      <c r="Q2386" s="18" t="inlineStr">
        <is>
          <t>Regla estructural (redacción revisada)</t>
        </is>
      </c>
      <c r="R2386" s="18" t="inlineStr">
        <is>
          <t>Indica si la notificación tiene una acción asociada.</t>
        </is>
      </c>
      <c r="S2386" s="18" t="inlineStr">
        <is>
          <t>Alta</t>
        </is>
      </c>
      <c r="T2386" s="18" t="inlineStr">
        <is>
          <t>Convención de nombre, redactada con el contexto de la tabla y el código.</t>
        </is>
      </c>
      <c r="U2386" s="18" t="inlineStr"/>
      <c r="V2386" s="19" t="inlineStr">
        <is>
          <t>Aprobada</t>
        </is>
      </c>
      <c r="W2386" s="19" t="inlineStr"/>
      <c r="X2386" s="19" t="inlineStr">
        <is>
          <t>Aldair González (aprobación en bloque)</t>
        </is>
      </c>
      <c r="Y2386" s="20" t="n">
        <v>46321</v>
      </c>
      <c r="Z2386" s="19" t="inlineStr">
        <is>
          <t>Nivel 2: regla estructural con redacción revisada.</t>
        </is>
      </c>
      <c r="AA2386" s="18">
        <f>IF(OR(V2386="Aprobada"),R2386,IF(AND(OR(V2386="Aprobada con ajuste",V2386="Rechazada"),W2386&lt;&gt;""),W2386,""))</f>
        <v/>
      </c>
    </row>
    <row r="2387">
      <c r="A2387" s="18" t="inlineStr">
        <is>
          <t>C2386</t>
        </is>
      </c>
      <c r="B2387" s="18" t="inlineStr">
        <is>
          <t>Notificaciones</t>
        </is>
      </c>
      <c r="C2387" s="18" t="inlineStr">
        <is>
          <t>notifications</t>
        </is>
      </c>
      <c r="D2387" s="18" t="inlineStr">
        <is>
          <t>notificacion</t>
        </is>
      </c>
      <c r="E2387" s="18" t="n">
        <v>6345</v>
      </c>
      <c r="F2387" s="18" t="inlineStr">
        <is>
          <t>texto_boton_accion</t>
        </is>
      </c>
      <c r="G2387" s="18" t="inlineStr">
        <is>
          <t>character varying(100)</t>
        </is>
      </c>
      <c r="H2387" s="18" t="inlineStr">
        <is>
          <t>Sí</t>
        </is>
      </c>
      <c r="I2387" s="18" t="inlineStr"/>
      <c r="J2387" s="18" t="inlineStr"/>
      <c r="K2387" s="18" t="inlineStr"/>
      <c r="L2387" s="18" t="inlineStr">
        <is>
          <t>No</t>
        </is>
      </c>
      <c r="M2387" s="18" t="inlineStr">
        <is>
          <t>No</t>
        </is>
      </c>
      <c r="N2387" s="18" t="inlineStr"/>
      <c r="O2387" s="18" t="inlineStr"/>
      <c r="P2387" s="18" t="inlineStr">
        <is>
          <t>Mapeada en notifications-service/src/notifications/entities/notification.entity.ts:62 (Notification.texto_boton_accion) | Validación: IsOptional, IsString</t>
        </is>
      </c>
      <c r="Q2387" s="18" t="inlineStr">
        <is>
          <t>Propuesta semántica</t>
        </is>
      </c>
      <c r="R2387" s="18" t="inlineStr">
        <is>
          <t>Texto del botón de acción de la notificación.</t>
        </is>
      </c>
      <c r="S2387" s="18" t="inlineStr">
        <is>
          <t>Alta</t>
        </is>
      </c>
      <c r="T2387" s="18" t="inlineStr">
        <is>
          <t>nombre + tipo + columnas vecinas</t>
        </is>
      </c>
      <c r="U2387" s="18" t="inlineStr"/>
      <c r="V2387" s="19" t="inlineStr">
        <is>
          <t>Aprobada</t>
        </is>
      </c>
      <c r="W2387" s="19" t="inlineStr"/>
      <c r="X2387" s="19" t="inlineStr">
        <is>
          <t>Aldair González (aprobación en bloque)</t>
        </is>
      </c>
      <c r="Y2387" s="20" t="n">
        <v>46321</v>
      </c>
      <c r="Z2387" s="19" t="inlineStr">
        <is>
          <t>Nivel 1: propuesta del comentario del desarrollador o de confianza alta, o regla de fecha/responsable/motivo.</t>
        </is>
      </c>
      <c r="AA2387" s="18">
        <f>IF(OR(V2387="Aprobada"),R2387,IF(AND(OR(V2387="Aprobada con ajuste",V2387="Rechazada"),W2387&lt;&gt;""),W2387,""))</f>
        <v/>
      </c>
    </row>
    <row r="2388">
      <c r="A2388" s="18" t="inlineStr">
        <is>
          <t>C2387</t>
        </is>
      </c>
      <c r="B2388" s="18" t="inlineStr">
        <is>
          <t>Notificaciones</t>
        </is>
      </c>
      <c r="C2388" s="18" t="inlineStr">
        <is>
          <t>notifications</t>
        </is>
      </c>
      <c r="D2388" s="18" t="inlineStr">
        <is>
          <t>notificacion</t>
        </is>
      </c>
      <c r="E2388" s="18" t="n">
        <v>6345</v>
      </c>
      <c r="F2388" s="18" t="inlineStr">
        <is>
          <t>url_accion</t>
        </is>
      </c>
      <c r="G2388" s="18" t="inlineStr">
        <is>
          <t>character varying(500)</t>
        </is>
      </c>
      <c r="H2388" s="18" t="inlineStr">
        <is>
          <t>Sí</t>
        </is>
      </c>
      <c r="I2388" s="18" t="inlineStr"/>
      <c r="J2388" s="18" t="inlineStr"/>
      <c r="K2388" s="18" t="inlineStr"/>
      <c r="L2388" s="18" t="inlineStr">
        <is>
          <t>No</t>
        </is>
      </c>
      <c r="M2388" s="18" t="inlineStr">
        <is>
          <t>No</t>
        </is>
      </c>
      <c r="N2388" s="18" t="inlineStr"/>
      <c r="O2388" s="18" t="inlineStr"/>
      <c r="P2388" s="18" t="inlineStr">
        <is>
          <t>Mapeada en notifications-service/src/notifications/entities/notification.entity.ts:65 (Notification.url_accion) | Validación: IsOptional, IsString</t>
        </is>
      </c>
      <c r="Q2388" s="18" t="inlineStr">
        <is>
          <t>Propuesta semántica</t>
        </is>
      </c>
      <c r="R2388" s="18" t="inlineStr">
        <is>
          <t>URL a la que dirige el botón de acción de la notificación.</t>
        </is>
      </c>
      <c r="S2388" s="18" t="inlineStr">
        <is>
          <t>Alta</t>
        </is>
      </c>
      <c r="T2388" s="18" t="inlineStr">
        <is>
          <t>nombre + tipo + columnas vecinas</t>
        </is>
      </c>
      <c r="U2388" s="18" t="inlineStr"/>
      <c r="V2388" s="19" t="inlineStr">
        <is>
          <t>Aprobada</t>
        </is>
      </c>
      <c r="W2388" s="19" t="inlineStr"/>
      <c r="X2388" s="19" t="inlineStr">
        <is>
          <t>Aldair González (aprobación en bloque)</t>
        </is>
      </c>
      <c r="Y2388" s="20" t="n">
        <v>46321</v>
      </c>
      <c r="Z2388" s="19" t="inlineStr">
        <is>
          <t>Nivel 1: propuesta del comentario del desarrollador o de confianza alta, o regla de fecha/responsable/motivo.</t>
        </is>
      </c>
      <c r="AA2388" s="18">
        <f>IF(OR(V2388="Aprobada"),R2388,IF(AND(OR(V2388="Aprobada con ajuste",V2388="Rechazada"),W2388&lt;&gt;""),W2388,""))</f>
        <v/>
      </c>
    </row>
    <row r="2389">
      <c r="A2389" s="18" t="inlineStr">
        <is>
          <t>C2388</t>
        </is>
      </c>
      <c r="B2389" s="18" t="inlineStr">
        <is>
          <t>Notificaciones</t>
        </is>
      </c>
      <c r="C2389" s="18" t="inlineStr">
        <is>
          <t>notifications</t>
        </is>
      </c>
      <c r="D2389" s="18" t="inlineStr">
        <is>
          <t>notificacion</t>
        </is>
      </c>
      <c r="E2389" s="18" t="n">
        <v>6345</v>
      </c>
      <c r="F2389" s="18" t="inlineStr">
        <is>
          <t>datos_adicionales</t>
        </is>
      </c>
      <c r="G2389" s="18" t="inlineStr">
        <is>
          <t>jsonb</t>
        </is>
      </c>
      <c r="H2389" s="18" t="inlineStr">
        <is>
          <t>Sí</t>
        </is>
      </c>
      <c r="I2389" s="18" t="inlineStr"/>
      <c r="J2389" s="18" t="inlineStr"/>
      <c r="K2389" s="18" t="inlineStr"/>
      <c r="L2389" s="18" t="inlineStr">
        <is>
          <t>No</t>
        </is>
      </c>
      <c r="M2389" s="18" t="inlineStr">
        <is>
          <t>No</t>
        </is>
      </c>
      <c r="N2389" s="18" t="inlineStr"/>
      <c r="O2389" s="18" t="inlineStr"/>
      <c r="P2389" s="18" t="inlineStr">
        <is>
          <t>Mapeada en notifications-service/src/notifications/entities/notification.entity.ts:68 (Notification.datos_adicionales) | Validación: IsObject, IsOptional</t>
        </is>
      </c>
      <c r="Q2389" s="18" t="inlineStr">
        <is>
          <t>Código fuente (verificado)</t>
        </is>
      </c>
      <c r="R2389" s="18" t="inlineStr">
        <is>
          <t>Datos adicionales de la notificación, en formato JSON; las claves dependen del servicio emisor (por ejemplo, ptaId, componentes y periodo en el plan de trabajo académico).</t>
        </is>
      </c>
      <c r="S2389" s="18" t="inlineStr">
        <is>
          <t>Alta</t>
        </is>
      </c>
      <c r="T2389" s="18" t="inlineStr">
        <is>
          <t>backend/notifications-service/src/notifications/dto/create-notification.dto.ts:52 objeto opcional sin estructura fija | backend/academic-work-plan-service/src/pta/notifications/pta-notifications.service.ts:233 claves ptaId, componentes, periodo</t>
        </is>
      </c>
      <c r="U2389" s="18" t="inlineStr"/>
      <c r="V2389" s="19" t="inlineStr">
        <is>
          <t>Aprobada</t>
        </is>
      </c>
      <c r="W2389" s="19" t="inlineStr"/>
      <c r="X2389" s="19" t="inlineStr">
        <is>
          <t>Aldair González (aprobación en bloque)</t>
        </is>
      </c>
      <c r="Y2389" s="20" t="n">
        <v>46321</v>
      </c>
      <c r="Z2389" s="19" t="inlineStr">
        <is>
          <t>Nivel 3: verificada con el código de la aplicación.</t>
        </is>
      </c>
      <c r="AA2389" s="18">
        <f>IF(OR(V2389="Aprobada"),R2389,IF(AND(OR(V2389="Aprobada con ajuste",V2389="Rechazada"),W2389&lt;&gt;""),W2389,""))</f>
        <v/>
      </c>
    </row>
    <row r="2390">
      <c r="A2390" s="18" t="inlineStr">
        <is>
          <t>C2389</t>
        </is>
      </c>
      <c r="B2390" s="18" t="inlineStr">
        <is>
          <t>Notificaciones</t>
        </is>
      </c>
      <c r="C2390" s="18" t="inlineStr">
        <is>
          <t>notifications</t>
        </is>
      </c>
      <c r="D2390" s="18" t="inlineStr">
        <is>
          <t>notificacion</t>
        </is>
      </c>
      <c r="E2390" s="18" t="n">
        <v>6345</v>
      </c>
      <c r="F2390" s="18" t="inlineStr">
        <is>
          <t>email_enviado</t>
        </is>
      </c>
      <c r="G2390" s="18" t="inlineStr">
        <is>
          <t>boolean</t>
        </is>
      </c>
      <c r="H2390" s="18" t="inlineStr">
        <is>
          <t>No</t>
        </is>
      </c>
      <c r="I2390" s="18" t="inlineStr"/>
      <c r="J2390" s="18" t="inlineStr"/>
      <c r="K2390" s="18" t="inlineStr"/>
      <c r="L2390" s="18" t="inlineStr">
        <is>
          <t>No</t>
        </is>
      </c>
      <c r="M2390" s="18" t="inlineStr">
        <is>
          <t>No</t>
        </is>
      </c>
      <c r="N2390" s="18" t="inlineStr"/>
      <c r="O2390" s="18" t="inlineStr"/>
      <c r="P2390" s="18" t="inlineStr">
        <is>
          <t>Mapeada en notifications-service/src/notifications/entities/notification.entity.ts:71 (Notification.email_enviado)</t>
        </is>
      </c>
      <c r="Q2390" s="18" t="inlineStr">
        <is>
          <t>Regla estructural (redacción revisada)</t>
        </is>
      </c>
      <c r="R2390" s="18" t="inlineStr">
        <is>
          <t>Indica si la notificación se envió por correo electrónico.</t>
        </is>
      </c>
      <c r="S2390" s="18" t="inlineStr">
        <is>
          <t>Alta</t>
        </is>
      </c>
      <c r="T2390" s="18" t="inlineStr">
        <is>
          <t>Convención de nombre, redactada con el contexto de la tabla y el código.</t>
        </is>
      </c>
      <c r="U2390" s="18" t="inlineStr"/>
      <c r="V2390" s="19" t="inlineStr">
        <is>
          <t>Aprobada</t>
        </is>
      </c>
      <c r="W2390" s="19" t="inlineStr"/>
      <c r="X2390" s="19" t="inlineStr">
        <is>
          <t>Aldair González (aprobación en bloque)</t>
        </is>
      </c>
      <c r="Y2390" s="20" t="n">
        <v>46321</v>
      </c>
      <c r="Z2390" s="19" t="inlineStr">
        <is>
          <t>Nivel 2: regla estructural con redacción revisada.</t>
        </is>
      </c>
      <c r="AA2390" s="18">
        <f>IF(OR(V2390="Aprobada"),R2390,IF(AND(OR(V2390="Aprobada con ajuste",V2390="Rechazada"),W2390&lt;&gt;""),W2390,""))</f>
        <v/>
      </c>
    </row>
    <row r="2391">
      <c r="A2391" s="18" t="inlineStr">
        <is>
          <t>C2390</t>
        </is>
      </c>
      <c r="B2391" s="18" t="inlineStr">
        <is>
          <t>Notificaciones</t>
        </is>
      </c>
      <c r="C2391" s="18" t="inlineStr">
        <is>
          <t>notifications</t>
        </is>
      </c>
      <c r="D2391" s="18" t="inlineStr">
        <is>
          <t>notificacion</t>
        </is>
      </c>
      <c r="E2391" s="18" t="n">
        <v>6345</v>
      </c>
      <c r="F2391" s="18" t="inlineStr">
        <is>
          <t>email_entregado</t>
        </is>
      </c>
      <c r="G2391" s="18" t="inlineStr">
        <is>
          <t>boolean</t>
        </is>
      </c>
      <c r="H2391" s="18" t="inlineStr">
        <is>
          <t>No</t>
        </is>
      </c>
      <c r="I2391" s="18" t="inlineStr"/>
      <c r="J2391" s="18" t="inlineStr"/>
      <c r="K2391" s="18" t="inlineStr"/>
      <c r="L2391" s="18" t="inlineStr">
        <is>
          <t>No</t>
        </is>
      </c>
      <c r="M2391" s="18" t="inlineStr">
        <is>
          <t>No</t>
        </is>
      </c>
      <c r="N2391" s="18" t="inlineStr"/>
      <c r="O2391" s="18" t="inlineStr"/>
      <c r="P2391" s="18" t="inlineStr">
        <is>
          <t>Mapeada en notifications-service/src/notifications/entities/notification.entity.ts:74 (Notification.email_entregado)</t>
        </is>
      </c>
      <c r="Q2391" s="18" t="inlineStr">
        <is>
          <t>Regla estructural (redacción revisada)</t>
        </is>
      </c>
      <c r="R2391" s="18" t="inlineStr">
        <is>
          <t>Indica si el correo electrónico de la notificación fue entregado.</t>
        </is>
      </c>
      <c r="S2391" s="18" t="inlineStr">
        <is>
          <t>Alta</t>
        </is>
      </c>
      <c r="T2391" s="18" t="inlineStr">
        <is>
          <t>Convención de nombre, redactada con el contexto de la tabla y el código.</t>
        </is>
      </c>
      <c r="U2391" s="18" t="inlineStr"/>
      <c r="V2391" s="19" t="inlineStr">
        <is>
          <t>Aprobada</t>
        </is>
      </c>
      <c r="W2391" s="19" t="inlineStr"/>
      <c r="X2391" s="19" t="inlineStr">
        <is>
          <t>Aldair González (aprobación en bloque)</t>
        </is>
      </c>
      <c r="Y2391" s="20" t="n">
        <v>46321</v>
      </c>
      <c r="Z2391" s="19" t="inlineStr">
        <is>
          <t>Nivel 2: regla estructural con redacción revisada.</t>
        </is>
      </c>
      <c r="AA2391" s="18">
        <f>IF(OR(V2391="Aprobada"),R2391,IF(AND(OR(V2391="Aprobada con ajuste",V2391="Rechazada"),W2391&lt;&gt;""),W2391,""))</f>
        <v/>
      </c>
    </row>
    <row r="2392">
      <c r="A2392" s="18" t="inlineStr">
        <is>
          <t>C2391</t>
        </is>
      </c>
      <c r="B2392" s="18" t="inlineStr">
        <is>
          <t>Notificaciones</t>
        </is>
      </c>
      <c r="C2392" s="18" t="inlineStr">
        <is>
          <t>notifications</t>
        </is>
      </c>
      <c r="D2392" s="18" t="inlineStr">
        <is>
          <t>notificacion</t>
        </is>
      </c>
      <c r="E2392" s="18" t="n">
        <v>6345</v>
      </c>
      <c r="F2392" s="18" t="inlineStr">
        <is>
          <t>email_abierto</t>
        </is>
      </c>
      <c r="G2392" s="18" t="inlineStr">
        <is>
          <t>boolean</t>
        </is>
      </c>
      <c r="H2392" s="18" t="inlineStr">
        <is>
          <t>No</t>
        </is>
      </c>
      <c r="I2392" s="18" t="inlineStr"/>
      <c r="J2392" s="18" t="inlineStr"/>
      <c r="K2392" s="18" t="inlineStr"/>
      <c r="L2392" s="18" t="inlineStr">
        <is>
          <t>No</t>
        </is>
      </c>
      <c r="M2392" s="18" t="inlineStr">
        <is>
          <t>No</t>
        </is>
      </c>
      <c r="N2392" s="18" t="inlineStr"/>
      <c r="O2392" s="18" t="inlineStr"/>
      <c r="P2392" s="18" t="inlineStr">
        <is>
          <t>Mapeada en notifications-service/src/notifications/entities/notification.entity.ts:77 (Notification.email_abierto)</t>
        </is>
      </c>
      <c r="Q2392" s="18" t="inlineStr">
        <is>
          <t>Regla estructural (redacción revisada)</t>
        </is>
      </c>
      <c r="R2392" s="18" t="inlineStr">
        <is>
          <t>Indica si el destinatario abrió el correo electrónico de la notificación.</t>
        </is>
      </c>
      <c r="S2392" s="18" t="inlineStr">
        <is>
          <t>Alta</t>
        </is>
      </c>
      <c r="T2392" s="18" t="inlineStr">
        <is>
          <t>Convención de nombre, redactada con el contexto de la tabla y el código.</t>
        </is>
      </c>
      <c r="U2392" s="18" t="inlineStr"/>
      <c r="V2392" s="19" t="inlineStr">
        <is>
          <t>Aprobada</t>
        </is>
      </c>
      <c r="W2392" s="19" t="inlineStr"/>
      <c r="X2392" s="19" t="inlineStr">
        <is>
          <t>Aldair González (aprobación en bloque)</t>
        </is>
      </c>
      <c r="Y2392" s="20" t="n">
        <v>46321</v>
      </c>
      <c r="Z2392" s="19" t="inlineStr">
        <is>
          <t>Nivel 2: regla estructural con redacción revisada.</t>
        </is>
      </c>
      <c r="AA2392" s="18">
        <f>IF(OR(V2392="Aprobada"),R2392,IF(AND(OR(V2392="Aprobada con ajuste",V2392="Rechazada"),W2392&lt;&gt;""),W2392,""))</f>
        <v/>
      </c>
    </row>
    <row r="2393">
      <c r="A2393" s="18" t="inlineStr">
        <is>
          <t>C2392</t>
        </is>
      </c>
      <c r="B2393" s="18" t="inlineStr">
        <is>
          <t>Notificaciones</t>
        </is>
      </c>
      <c r="C2393" s="18" t="inlineStr">
        <is>
          <t>notifications</t>
        </is>
      </c>
      <c r="D2393" s="18" t="inlineStr">
        <is>
          <t>notificacion</t>
        </is>
      </c>
      <c r="E2393" s="18" t="n">
        <v>6345</v>
      </c>
      <c r="F2393" s="18" t="inlineStr">
        <is>
          <t>email_click</t>
        </is>
      </c>
      <c r="G2393" s="18" t="inlineStr">
        <is>
          <t>boolean</t>
        </is>
      </c>
      <c r="H2393" s="18" t="inlineStr">
        <is>
          <t>No</t>
        </is>
      </c>
      <c r="I2393" s="18" t="inlineStr"/>
      <c r="J2393" s="18" t="inlineStr"/>
      <c r="K2393" s="18" t="inlineStr"/>
      <c r="L2393" s="18" t="inlineStr">
        <is>
          <t>No</t>
        </is>
      </c>
      <c r="M2393" s="18" t="inlineStr">
        <is>
          <t>No</t>
        </is>
      </c>
      <c r="N2393" s="18" t="inlineStr"/>
      <c r="O2393" s="18" t="inlineStr"/>
      <c r="P2393" s="18" t="inlineStr">
        <is>
          <t>Mapeada en notifications-service/src/notifications/entities/notification.entity.ts:80 (Notification.email_click)</t>
        </is>
      </c>
      <c r="Q2393" s="18" t="inlineStr">
        <is>
          <t>Regla estructural (redacción revisada)</t>
        </is>
      </c>
      <c r="R2393" s="18" t="inlineStr">
        <is>
          <t>Indica si el destinatario hizo clic en el correo electrónico de la notificación.</t>
        </is>
      </c>
      <c r="S2393" s="18" t="inlineStr">
        <is>
          <t>Alta</t>
        </is>
      </c>
      <c r="T2393" s="18" t="inlineStr">
        <is>
          <t>Convención de nombre, redactada con el contexto de la tabla y el código.</t>
        </is>
      </c>
      <c r="U2393" s="18" t="inlineStr"/>
      <c r="V2393" s="19" t="inlineStr">
        <is>
          <t>Aprobada</t>
        </is>
      </c>
      <c r="W2393" s="19" t="inlineStr"/>
      <c r="X2393" s="19" t="inlineStr">
        <is>
          <t>Aldair González (aprobación en bloque)</t>
        </is>
      </c>
      <c r="Y2393" s="20" t="n">
        <v>46321</v>
      </c>
      <c r="Z2393" s="19" t="inlineStr">
        <is>
          <t>Nivel 2: regla estructural con redacción revisada.</t>
        </is>
      </c>
      <c r="AA2393" s="18">
        <f>IF(OR(V2393="Aprobada"),R2393,IF(AND(OR(V2393="Aprobada con ajuste",V2393="Rechazada"),W2393&lt;&gt;""),W2393,""))</f>
        <v/>
      </c>
    </row>
    <row r="2394">
      <c r="A2394" s="18" t="inlineStr">
        <is>
          <t>C2393</t>
        </is>
      </c>
      <c r="B2394" s="18" t="inlineStr">
        <is>
          <t>Notificaciones</t>
        </is>
      </c>
      <c r="C2394" s="18" t="inlineStr">
        <is>
          <t>notifications</t>
        </is>
      </c>
      <c r="D2394" s="18" t="inlineStr">
        <is>
          <t>notificacion</t>
        </is>
      </c>
      <c r="E2394" s="18" t="n">
        <v>6345</v>
      </c>
      <c r="F2394" s="18" t="inlineStr">
        <is>
          <t>fecha_envio_email</t>
        </is>
      </c>
      <c r="G2394" s="18" t="inlineStr">
        <is>
          <t>timestamp with time zone</t>
        </is>
      </c>
      <c r="H2394" s="18" t="inlineStr">
        <is>
          <t>Sí</t>
        </is>
      </c>
      <c r="I2394" s="18" t="inlineStr"/>
      <c r="J2394" s="18" t="inlineStr"/>
      <c r="K2394" s="18" t="inlineStr"/>
      <c r="L2394" s="18" t="inlineStr">
        <is>
          <t>No</t>
        </is>
      </c>
      <c r="M2394" s="18" t="inlineStr">
        <is>
          <t>No</t>
        </is>
      </c>
      <c r="N2394" s="18" t="inlineStr"/>
      <c r="O2394" s="18" t="inlineStr"/>
      <c r="P2394" s="18" t="inlineStr">
        <is>
          <t>Mapeada en notifications-service/src/notifications/entities/notification.entity.ts:83 (Notification.fecha_envio_email)</t>
        </is>
      </c>
      <c r="Q2394" s="18" t="inlineStr">
        <is>
          <t>Regla estructural (redacción revisada)</t>
        </is>
      </c>
      <c r="R2394" s="18" t="inlineStr">
        <is>
          <t>Fecha y hora del envío de la notificación por correo electrónico.</t>
        </is>
      </c>
      <c r="S2394" s="18" t="inlineStr">
        <is>
          <t>Alta</t>
        </is>
      </c>
      <c r="T2394" s="18" t="inlineStr">
        <is>
          <t>Convención de nombre, redactada con el contexto de la tabla y el código.</t>
        </is>
      </c>
      <c r="U2394" s="18" t="inlineStr"/>
      <c r="V2394" s="19" t="inlineStr">
        <is>
          <t>Aprobada</t>
        </is>
      </c>
      <c r="W2394" s="19" t="inlineStr"/>
      <c r="X2394" s="19" t="inlineStr">
        <is>
          <t>Aldair González (aprobación en bloque)</t>
        </is>
      </c>
      <c r="Y2394" s="20" t="n">
        <v>46321</v>
      </c>
      <c r="Z2394" s="19" t="inlineStr">
        <is>
          <t>Nivel 2: regla estructural con redacción revisada.</t>
        </is>
      </c>
      <c r="AA2394" s="18">
        <f>IF(OR(V2394="Aprobada"),R2394,IF(AND(OR(V2394="Aprobada con ajuste",V2394="Rechazada"),W2394&lt;&gt;""),W2394,""))</f>
        <v/>
      </c>
    </row>
    <row r="2395">
      <c r="A2395" s="18" t="inlineStr">
        <is>
          <t>C2394</t>
        </is>
      </c>
      <c r="B2395" s="18" t="inlineStr">
        <is>
          <t>Notificaciones</t>
        </is>
      </c>
      <c r="C2395" s="18" t="inlineStr">
        <is>
          <t>notifications</t>
        </is>
      </c>
      <c r="D2395" s="18" t="inlineStr">
        <is>
          <t>notificacion</t>
        </is>
      </c>
      <c r="E2395" s="18" t="n">
        <v>6345</v>
      </c>
      <c r="F2395" s="18" t="inlineStr">
        <is>
          <t>fecha_apertura_email</t>
        </is>
      </c>
      <c r="G2395" s="18" t="inlineStr">
        <is>
          <t>timestamp with time zone</t>
        </is>
      </c>
      <c r="H2395" s="18" t="inlineStr">
        <is>
          <t>Sí</t>
        </is>
      </c>
      <c r="I2395" s="18" t="inlineStr"/>
      <c r="J2395" s="18" t="inlineStr"/>
      <c r="K2395" s="18" t="inlineStr"/>
      <c r="L2395" s="18" t="inlineStr">
        <is>
          <t>No</t>
        </is>
      </c>
      <c r="M2395" s="18" t="inlineStr">
        <is>
          <t>No</t>
        </is>
      </c>
      <c r="N2395" s="18" t="inlineStr"/>
      <c r="O2395" s="18" t="inlineStr"/>
      <c r="P2395" s="18" t="inlineStr">
        <is>
          <t>Mapeada en notifications-service/src/notifications/entities/notification.entity.ts:86 (Notification.fecha_apertura_email)</t>
        </is>
      </c>
      <c r="Q2395" s="18" t="inlineStr">
        <is>
          <t>Regla estructural (redacción revisada)</t>
        </is>
      </c>
      <c r="R2395" s="18" t="inlineStr">
        <is>
          <t>Fecha y hora en que se abrió el correo electrónico de la notificación.</t>
        </is>
      </c>
      <c r="S2395" s="18" t="inlineStr">
        <is>
          <t>Alta</t>
        </is>
      </c>
      <c r="T2395" s="18" t="inlineStr">
        <is>
          <t>Convención de nombre, redactada con el contexto de la tabla y el código.</t>
        </is>
      </c>
      <c r="U2395" s="18" t="inlineStr"/>
      <c r="V2395" s="19" t="inlineStr">
        <is>
          <t>Aprobada</t>
        </is>
      </c>
      <c r="W2395" s="19" t="inlineStr"/>
      <c r="X2395" s="19" t="inlineStr">
        <is>
          <t>Aldair González (aprobación en bloque)</t>
        </is>
      </c>
      <c r="Y2395" s="20" t="n">
        <v>46321</v>
      </c>
      <c r="Z2395" s="19" t="inlineStr">
        <is>
          <t>Nivel 2: regla estructural con redacción revisada.</t>
        </is>
      </c>
      <c r="AA2395" s="18">
        <f>IF(OR(V2395="Aprobada"),R2395,IF(AND(OR(V2395="Aprobada con ajuste",V2395="Rechazada"),W2395&lt;&gt;""),W2395,""))</f>
        <v/>
      </c>
    </row>
    <row r="2396">
      <c r="A2396" s="18" t="inlineStr">
        <is>
          <t>C2395</t>
        </is>
      </c>
      <c r="B2396" s="18" t="inlineStr">
        <is>
          <t>Notificaciones</t>
        </is>
      </c>
      <c r="C2396" s="18" t="inlineStr">
        <is>
          <t>notifications</t>
        </is>
      </c>
      <c r="D2396" s="18" t="inlineStr">
        <is>
          <t>notificacion</t>
        </is>
      </c>
      <c r="E2396" s="18" t="n">
        <v>6345</v>
      </c>
      <c r="F2396" s="18" t="inlineStr">
        <is>
          <t>es_favorito</t>
        </is>
      </c>
      <c r="G2396" s="18" t="inlineStr">
        <is>
          <t>boolean</t>
        </is>
      </c>
      <c r="H2396" s="18" t="inlineStr">
        <is>
          <t>No</t>
        </is>
      </c>
      <c r="I2396" s="18" t="inlineStr"/>
      <c r="J2396" s="18" t="inlineStr"/>
      <c r="K2396" s="18" t="inlineStr"/>
      <c r="L2396" s="18" t="inlineStr">
        <is>
          <t>No</t>
        </is>
      </c>
      <c r="M2396" s="18" t="inlineStr">
        <is>
          <t>No</t>
        </is>
      </c>
      <c r="N2396" s="18" t="inlineStr"/>
      <c r="O2396" s="18" t="inlineStr"/>
      <c r="P2396" s="18" t="inlineStr">
        <is>
          <t>Mapeada en notifications-service/src/notifications/entities/notification.entity.ts:47 (Notification.es_favorito)</t>
        </is>
      </c>
      <c r="Q2396" s="18" t="inlineStr">
        <is>
          <t>Regla estructural (redacción revisada)</t>
        </is>
      </c>
      <c r="R2396" s="18" t="inlineStr">
        <is>
          <t>Indica si el destinatario marcó la notificación como favorita.</t>
        </is>
      </c>
      <c r="S2396" s="18" t="inlineStr">
        <is>
          <t>Alta</t>
        </is>
      </c>
      <c r="T2396" s="18" t="inlineStr">
        <is>
          <t>Convención de nombre, redactada con el contexto de la tabla y el código.</t>
        </is>
      </c>
      <c r="U2396" s="18" t="inlineStr"/>
      <c r="V2396" s="19" t="inlineStr">
        <is>
          <t>Aprobada</t>
        </is>
      </c>
      <c r="W2396" s="19" t="inlineStr"/>
      <c r="X2396" s="19" t="inlineStr">
        <is>
          <t>Aldair González (aprobación en bloque)</t>
        </is>
      </c>
      <c r="Y2396" s="20" t="n">
        <v>46321</v>
      </c>
      <c r="Z2396" s="19" t="inlineStr">
        <is>
          <t>Nivel 2: regla estructural con redacción revisada.</t>
        </is>
      </c>
      <c r="AA2396" s="18">
        <f>IF(OR(V2396="Aprobada"),R2396,IF(AND(OR(V2396="Aprobada con ajuste",V2396="Rechazada"),W2396&lt;&gt;""),W2396,""))</f>
        <v/>
      </c>
    </row>
    <row r="2397">
      <c r="A2397" s="18" t="inlineStr">
        <is>
          <t>C2396</t>
        </is>
      </c>
      <c r="B2397" s="18" t="inlineStr">
        <is>
          <t>Auditoría y trazabilidad</t>
        </is>
      </c>
      <c r="C2397" s="18" t="inlineStr">
        <is>
          <t>audit</t>
        </is>
      </c>
      <c r="D2397" s="18" t="inlineStr">
        <is>
          <t>request_logs</t>
        </is>
      </c>
      <c r="E2397" s="18" t="n">
        <v>74668</v>
      </c>
      <c r="F2397" s="18" t="inlineStr">
        <is>
          <t>method</t>
        </is>
      </c>
      <c r="G2397" s="18" t="inlineStr">
        <is>
          <t>character varying(10)</t>
        </is>
      </c>
      <c r="H2397" s="18" t="inlineStr">
        <is>
          <t>No</t>
        </is>
      </c>
      <c r="I2397" s="18" t="inlineStr"/>
      <c r="J2397" s="18" t="inlineStr"/>
      <c r="K2397" s="18" t="inlineStr"/>
      <c r="L2397" s="18" t="inlineStr">
        <is>
          <t>No</t>
        </is>
      </c>
      <c r="M2397" s="18" t="inlineStr">
        <is>
          <t>Sí</t>
        </is>
      </c>
      <c r="N2397" s="18" t="inlineStr">
        <is>
          <t>Vista audit.request_logs_stats</t>
        </is>
      </c>
      <c r="O2397" s="18" t="inlineStr">
        <is>
          <t>idx_request_logs_method</t>
        </is>
      </c>
      <c r="P2397" s="18" t="inlineStr">
        <is>
          <t>audit-service/src/audit/entities/request-log.entity.ts:21: GET, POST, PUT, DELETE, PATCH | Validación: IsOptional, IsString</t>
        </is>
      </c>
      <c r="Q2397" s="18" t="inlineStr">
        <is>
          <t>Código fuente</t>
        </is>
      </c>
      <c r="R2397" s="18" t="inlineStr">
        <is>
          <t>Método HTTP de la petición registrada, por ejemplo GET, POST, PUT, DELETE o PATCH.</t>
        </is>
      </c>
      <c r="S2397" s="18" t="inlineStr">
        <is>
          <t>Alta</t>
        </is>
      </c>
      <c r="T2397" s="18" t="inlineStr">
        <is>
          <t>código: audit-service/src/audit/entities/request-log.entity.ts:21</t>
        </is>
      </c>
      <c r="U2397" s="18" t="inlineStr"/>
      <c r="V2397" s="19" t="inlineStr">
        <is>
          <t>Aprobada</t>
        </is>
      </c>
      <c r="W2397" s="19" t="inlineStr"/>
      <c r="X2397" s="19" t="inlineStr">
        <is>
          <t>Aldair González (aprobación en bloque)</t>
        </is>
      </c>
      <c r="Y2397" s="20" t="n">
        <v>46321</v>
      </c>
      <c r="Z2397" s="19" t="inlineStr">
        <is>
          <t>Nivel 1: propuesta del comentario del desarrollador o de confianza alta, o regla de fecha/responsable/motivo.</t>
        </is>
      </c>
      <c r="AA2397" s="18">
        <f>IF(OR(V2397="Aprobada"),R2397,IF(AND(OR(V2397="Aprobada con ajuste",V2397="Rechazada"),W2397&lt;&gt;""),W2397,""))</f>
        <v/>
      </c>
    </row>
    <row r="2398">
      <c r="A2398" s="18" t="inlineStr">
        <is>
          <t>C2397</t>
        </is>
      </c>
      <c r="B2398" s="18" t="inlineStr">
        <is>
          <t>Auditoría y trazabilidad</t>
        </is>
      </c>
      <c r="C2398" s="18" t="inlineStr">
        <is>
          <t>audit</t>
        </is>
      </c>
      <c r="D2398" s="18" t="inlineStr">
        <is>
          <t>request_logs</t>
        </is>
      </c>
      <c r="E2398" s="18" t="n">
        <v>74668</v>
      </c>
      <c r="F2398" s="18" t="inlineStr">
        <is>
          <t>url</t>
        </is>
      </c>
      <c r="G2398" s="18" t="inlineStr">
        <is>
          <t>text</t>
        </is>
      </c>
      <c r="H2398" s="18" t="inlineStr">
        <is>
          <t>No</t>
        </is>
      </c>
      <c r="I2398" s="18" t="inlineStr"/>
      <c r="J2398" s="18" t="inlineStr"/>
      <c r="K2398" s="18" t="inlineStr"/>
      <c r="L2398" s="18" t="inlineStr">
        <is>
          <t>No</t>
        </is>
      </c>
      <c r="M2398" s="18" t="inlineStr">
        <is>
          <t>No</t>
        </is>
      </c>
      <c r="N2398" s="18" t="inlineStr"/>
      <c r="O2398" s="18" t="inlineStr"/>
      <c r="P2398" s="18" t="inlineStr">
        <is>
          <t>Mapeada en audit-service/src/audit/entities/request-log.entity.ts:24 (RequestLog.url) | Validación: IsString</t>
        </is>
      </c>
      <c r="Q2398" s="18" t="inlineStr">
        <is>
          <t>Regla estructural (redacción revisada)</t>
        </is>
      </c>
      <c r="R2398" s="18" t="inlineStr">
        <is>
          <t>Dirección web (URL) de la petición HTTP.</t>
        </is>
      </c>
      <c r="S2398" s="18" t="inlineStr">
        <is>
          <t>Alta</t>
        </is>
      </c>
      <c r="T2398" s="18" t="inlineStr">
        <is>
          <t>Convención de nombre, redactada con el contexto de la tabla y el código.</t>
        </is>
      </c>
      <c r="U2398" s="18" t="inlineStr"/>
      <c r="V2398" s="19" t="inlineStr">
        <is>
          <t>Aprobada</t>
        </is>
      </c>
      <c r="W2398" s="19" t="inlineStr"/>
      <c r="X2398" s="19" t="inlineStr">
        <is>
          <t>Aldair González (aprobación en bloque)</t>
        </is>
      </c>
      <c r="Y2398" s="20" t="n">
        <v>46321</v>
      </c>
      <c r="Z2398" s="19" t="inlineStr">
        <is>
          <t>Nivel 2: regla estructural con redacción revisada.</t>
        </is>
      </c>
      <c r="AA2398" s="18">
        <f>IF(OR(V2398="Aprobada"),R2398,IF(AND(OR(V2398="Aprobada con ajuste",V2398="Rechazada"),W2398&lt;&gt;""),W2398,""))</f>
        <v/>
      </c>
    </row>
    <row r="2399">
      <c r="A2399" s="18" t="inlineStr">
        <is>
          <t>C2398</t>
        </is>
      </c>
      <c r="B2399" s="18" t="inlineStr">
        <is>
          <t>Auditoría y trazabilidad</t>
        </is>
      </c>
      <c r="C2399" s="18" t="inlineStr">
        <is>
          <t>audit</t>
        </is>
      </c>
      <c r="D2399" s="18" t="inlineStr">
        <is>
          <t>request_logs</t>
        </is>
      </c>
      <c r="E2399" s="18" t="n">
        <v>74668</v>
      </c>
      <c r="F2399" s="18" t="inlineStr">
        <is>
          <t>path</t>
        </is>
      </c>
      <c r="G2399" s="18" t="inlineStr">
        <is>
          <t>text</t>
        </is>
      </c>
      <c r="H2399" s="18" t="inlineStr">
        <is>
          <t>No</t>
        </is>
      </c>
      <c r="I2399" s="18" t="inlineStr"/>
      <c r="J2399" s="18" t="inlineStr"/>
      <c r="K2399" s="18" t="inlineStr"/>
      <c r="L2399" s="18" t="inlineStr">
        <is>
          <t>No</t>
        </is>
      </c>
      <c r="M2399" s="18" t="inlineStr">
        <is>
          <t>No</t>
        </is>
      </c>
      <c r="N2399" s="18" t="inlineStr"/>
      <c r="O2399" s="18" t="inlineStr"/>
      <c r="P2399" s="18" t="inlineStr">
        <is>
          <t>Mapeada en audit-service/src/audit/entities/request-log.entity.ts:27 (RequestLog.path) | Validación: IsString</t>
        </is>
      </c>
      <c r="Q2399" s="18" t="inlineStr">
        <is>
          <t>Propuesta semántica</t>
        </is>
      </c>
      <c r="R2399" s="18" t="inlineStr">
        <is>
          <t>Ruta de la URL solicitada, sin el dominio ni los parámetros de consulta.</t>
        </is>
      </c>
      <c r="S2399" s="18" t="inlineStr">
        <is>
          <t>Alta</t>
        </is>
      </c>
      <c r="T2399" s="18" t="inlineStr">
        <is>
          <t>nombre + tipo + columnas vecinas (url, query_params)</t>
        </is>
      </c>
      <c r="U2399" s="18" t="inlineStr"/>
      <c r="V2399" s="19" t="inlineStr">
        <is>
          <t>Aprobada</t>
        </is>
      </c>
      <c r="W2399" s="19" t="inlineStr"/>
      <c r="X2399" s="19" t="inlineStr">
        <is>
          <t>Aldair González (aprobación en bloque)</t>
        </is>
      </c>
      <c r="Y2399" s="20" t="n">
        <v>46321</v>
      </c>
      <c r="Z2399" s="19" t="inlineStr">
        <is>
          <t>Nivel 1: propuesta del comentario del desarrollador o de confianza alta, o regla de fecha/responsable/motivo.</t>
        </is>
      </c>
      <c r="AA2399" s="18">
        <f>IF(OR(V2399="Aprobada"),R2399,IF(AND(OR(V2399="Aprobada con ajuste",V2399="Rechazada"),W2399&lt;&gt;""),W2399,""))</f>
        <v/>
      </c>
    </row>
    <row r="2400">
      <c r="A2400" s="18" t="inlineStr">
        <is>
          <t>C2399</t>
        </is>
      </c>
      <c r="B2400" s="18" t="inlineStr">
        <is>
          <t>Auditoría y trazabilidad</t>
        </is>
      </c>
      <c r="C2400" s="18" t="inlineStr">
        <is>
          <t>audit</t>
        </is>
      </c>
      <c r="D2400" s="18" t="inlineStr">
        <is>
          <t>request_logs</t>
        </is>
      </c>
      <c r="E2400" s="18" t="n">
        <v>74668</v>
      </c>
      <c r="F2400" s="18" t="inlineStr">
        <is>
          <t>query_params</t>
        </is>
      </c>
      <c r="G2400" s="18" t="inlineStr">
        <is>
          <t>jsonb</t>
        </is>
      </c>
      <c r="H2400" s="18" t="inlineStr">
        <is>
          <t>Sí</t>
        </is>
      </c>
      <c r="I2400" s="18" t="inlineStr"/>
      <c r="J2400" s="18" t="inlineStr"/>
      <c r="K2400" s="18" t="inlineStr"/>
      <c r="L2400" s="18" t="inlineStr">
        <is>
          <t>No</t>
        </is>
      </c>
      <c r="M2400" s="18" t="inlineStr">
        <is>
          <t>No</t>
        </is>
      </c>
      <c r="N2400" s="18" t="inlineStr"/>
      <c r="O2400" s="18" t="inlineStr">
        <is>
          <t>idx_request_logs_query_params</t>
        </is>
      </c>
      <c r="P2400" s="18" t="inlineStr">
        <is>
          <t>Mapeada en audit-service/src/audit/entities/request-log.entity.ts:30 (RequestLog.queryParams) | Validación: IsObject, IsOptional</t>
        </is>
      </c>
      <c r="Q2400" s="18" t="inlineStr">
        <is>
          <t>Propuesta semántica</t>
        </is>
      </c>
      <c r="R2400" s="18" t="inlineStr">
        <is>
          <t>Parámetros de consulta de la petición, en formato JSON.</t>
        </is>
      </c>
      <c r="S2400" s="18" t="inlineStr">
        <is>
          <t>Alta</t>
        </is>
      </c>
      <c r="T2400" s="18" t="inlineStr">
        <is>
          <t>nombre + tipo + columnas vecinas</t>
        </is>
      </c>
      <c r="U2400" s="18" t="inlineStr"/>
      <c r="V2400" s="19" t="inlineStr">
        <is>
          <t>Aprobada</t>
        </is>
      </c>
      <c r="W2400" s="19" t="inlineStr"/>
      <c r="X2400" s="19" t="inlineStr">
        <is>
          <t>Aldair González (aprobación en bloque)</t>
        </is>
      </c>
      <c r="Y2400" s="20" t="n">
        <v>46321</v>
      </c>
      <c r="Z2400" s="19" t="inlineStr">
        <is>
          <t>Nivel 1: propuesta del comentario del desarrollador o de confianza alta, o regla de fecha/responsable/motivo.</t>
        </is>
      </c>
      <c r="AA2400" s="18">
        <f>IF(OR(V2400="Aprobada"),R2400,IF(AND(OR(V2400="Aprobada con ajuste",V2400="Rechazada"),W2400&lt;&gt;""),W2400,""))</f>
        <v/>
      </c>
    </row>
    <row r="2401">
      <c r="A2401" s="18" t="inlineStr">
        <is>
          <t>C2400</t>
        </is>
      </c>
      <c r="B2401" s="18" t="inlineStr">
        <is>
          <t>Auditoría y trazabilidad</t>
        </is>
      </c>
      <c r="C2401" s="18" t="inlineStr">
        <is>
          <t>audit</t>
        </is>
      </c>
      <c r="D2401" s="18" t="inlineStr">
        <is>
          <t>request_logs</t>
        </is>
      </c>
      <c r="E2401" s="18" t="n">
        <v>74668</v>
      </c>
      <c r="F2401" s="18" t="inlineStr">
        <is>
          <t>version</t>
        </is>
      </c>
      <c r="G2401" s="18" t="inlineStr">
        <is>
          <t>character varying(10)</t>
        </is>
      </c>
      <c r="H2401" s="18" t="inlineStr">
        <is>
          <t>Sí</t>
        </is>
      </c>
      <c r="I2401" s="18" t="inlineStr"/>
      <c r="J2401" s="18" t="inlineStr"/>
      <c r="K2401" s="18" t="inlineStr"/>
      <c r="L2401" s="18" t="inlineStr">
        <is>
          <t>No</t>
        </is>
      </c>
      <c r="M2401" s="18" t="inlineStr">
        <is>
          <t>No</t>
        </is>
      </c>
      <c r="N2401" s="18" t="inlineStr"/>
      <c r="O2401" s="18" t="inlineStr"/>
      <c r="P2401" s="18" t="inlineStr">
        <is>
          <t>Mapeada en audit-service/src/audit/entities/request-log.entity.ts:42 (RequestLog.version) | Validación: IsOptional, IsString</t>
        </is>
      </c>
      <c r="Q2401" s="18" t="inlineStr">
        <is>
          <t>Regla estructural (redacción revisada)</t>
        </is>
      </c>
      <c r="R2401" s="18" t="inlineStr">
        <is>
          <t>Versión indicada en la petición HTTP.</t>
        </is>
      </c>
      <c r="S2401" s="18" t="inlineStr">
        <is>
          <t>Alta</t>
        </is>
      </c>
      <c r="T2401" s="18" t="inlineStr">
        <is>
          <t>Convención de nombre, redactada con el contexto de la tabla y el código.</t>
        </is>
      </c>
      <c r="U2401" s="18" t="inlineStr"/>
      <c r="V2401" s="19" t="inlineStr">
        <is>
          <t>Aprobada</t>
        </is>
      </c>
      <c r="W2401" s="19" t="inlineStr"/>
      <c r="X2401" s="19" t="inlineStr">
        <is>
          <t>Aldair González (aprobación en bloque)</t>
        </is>
      </c>
      <c r="Y2401" s="20" t="n">
        <v>46321</v>
      </c>
      <c r="Z2401" s="19" t="inlineStr">
        <is>
          <t>Nivel 2: regla estructural con redacción revisada.</t>
        </is>
      </c>
      <c r="AA2401" s="18">
        <f>IF(OR(V2401="Aprobada"),R2401,IF(AND(OR(V2401="Aprobada con ajuste",V2401="Rechazada"),W2401&lt;&gt;""),W2401,""))</f>
        <v/>
      </c>
    </row>
    <row r="2402">
      <c r="A2402" s="18" t="inlineStr">
        <is>
          <t>C2401</t>
        </is>
      </c>
      <c r="B2402" s="18" t="inlineStr">
        <is>
          <t>Auditoría y trazabilidad</t>
        </is>
      </c>
      <c r="C2402" s="18" t="inlineStr">
        <is>
          <t>audit</t>
        </is>
      </c>
      <c r="D2402" s="18" t="inlineStr">
        <is>
          <t>request_logs</t>
        </is>
      </c>
      <c r="E2402" s="18" t="n">
        <v>74668</v>
      </c>
      <c r="F2402" s="18" t="inlineStr">
        <is>
          <t>ip_address</t>
        </is>
      </c>
      <c r="G2402" s="18" t="inlineStr">
        <is>
          <t>character varying(45)</t>
        </is>
      </c>
      <c r="H2402" s="18" t="inlineStr">
        <is>
          <t>Sí</t>
        </is>
      </c>
      <c r="I2402" s="18" t="inlineStr"/>
      <c r="J2402" s="18" t="inlineStr"/>
      <c r="K2402" s="18" t="inlineStr"/>
      <c r="L2402" s="18" t="inlineStr">
        <is>
          <t>No</t>
        </is>
      </c>
      <c r="M2402" s="18" t="inlineStr">
        <is>
          <t>No</t>
        </is>
      </c>
      <c r="N2402" s="18" t="inlineStr"/>
      <c r="O2402" s="18" t="inlineStr">
        <is>
          <t>idx_request_logs_ip</t>
        </is>
      </c>
      <c r="P2402" s="18" t="inlineStr">
        <is>
          <t>Mapeada en audit-service/src/audit/entities/request-log.entity.ts:45 (RequestLog.ipAddress) | Validación: IsOptional, IsString</t>
        </is>
      </c>
      <c r="Q2402" s="18" t="inlineStr">
        <is>
          <t>Propuesta semántica</t>
        </is>
      </c>
      <c r="R2402" s="18" t="inlineStr">
        <is>
          <t>Dirección IP (IPv4 o IPv6) desde la que se hizo la petición.</t>
        </is>
      </c>
      <c r="S2402" s="18" t="inlineStr">
        <is>
          <t>Alta</t>
        </is>
      </c>
      <c r="T2402" s="18" t="inlineStr">
        <is>
          <t>nombre + tipo + columnas vecinas (varchar(45))</t>
        </is>
      </c>
      <c r="U2402" s="18" t="inlineStr"/>
      <c r="V2402" s="19" t="inlineStr">
        <is>
          <t>Aprobada</t>
        </is>
      </c>
      <c r="W2402" s="19" t="inlineStr"/>
      <c r="X2402" s="19" t="inlineStr">
        <is>
          <t>Aldair González (aprobación en bloque)</t>
        </is>
      </c>
      <c r="Y2402" s="20" t="n">
        <v>46321</v>
      </c>
      <c r="Z2402" s="19" t="inlineStr">
        <is>
          <t>Nivel 1: propuesta del comentario del desarrollador o de confianza alta, o regla de fecha/responsable/motivo.</t>
        </is>
      </c>
      <c r="AA2402" s="18">
        <f>IF(OR(V2402="Aprobada"),R2402,IF(AND(OR(V2402="Aprobada con ajuste",V2402="Rechazada"),W2402&lt;&gt;""),W2402,""))</f>
        <v/>
      </c>
    </row>
    <row r="2403">
      <c r="A2403" s="18" t="inlineStr">
        <is>
          <t>C2402</t>
        </is>
      </c>
      <c r="B2403" s="18" t="inlineStr">
        <is>
          <t>Auditoría y trazabilidad</t>
        </is>
      </c>
      <c r="C2403" s="18" t="inlineStr">
        <is>
          <t>audit</t>
        </is>
      </c>
      <c r="D2403" s="18" t="inlineStr">
        <is>
          <t>request_logs</t>
        </is>
      </c>
      <c r="E2403" s="18" t="n">
        <v>74668</v>
      </c>
      <c r="F2403" s="18" t="inlineStr">
        <is>
          <t>user_agent</t>
        </is>
      </c>
      <c r="G2403" s="18" t="inlineStr">
        <is>
          <t>text</t>
        </is>
      </c>
      <c r="H2403" s="18" t="inlineStr">
        <is>
          <t>Sí</t>
        </is>
      </c>
      <c r="I2403" s="18" t="inlineStr"/>
      <c r="J2403" s="18" t="inlineStr"/>
      <c r="K2403" s="18" t="inlineStr"/>
      <c r="L2403" s="18" t="inlineStr">
        <is>
          <t>No</t>
        </is>
      </c>
      <c r="M2403" s="18" t="inlineStr">
        <is>
          <t>No</t>
        </is>
      </c>
      <c r="N2403" s="18" t="inlineStr"/>
      <c r="O2403" s="18" t="inlineStr"/>
      <c r="P2403" s="18" t="inlineStr">
        <is>
          <t>Mapeada en audit-service/src/audit/entities/request-log.entity.ts:48 (RequestLog.userAgent) | Validación: IsOptional, IsString</t>
        </is>
      </c>
      <c r="Q2403" s="18" t="inlineStr">
        <is>
          <t>Regla estructural (redacción revisada)</t>
        </is>
      </c>
      <c r="R2403" s="18" t="inlineStr">
        <is>
          <t>Agente de usuario (navegador) que realizó la petición.</t>
        </is>
      </c>
      <c r="S2403" s="18" t="inlineStr">
        <is>
          <t>Alta</t>
        </is>
      </c>
      <c r="T2403" s="18" t="inlineStr">
        <is>
          <t>Convención de nombre, redactada con el contexto de la tabla y el código.</t>
        </is>
      </c>
      <c r="U2403" s="18" t="inlineStr"/>
      <c r="V2403" s="19" t="inlineStr">
        <is>
          <t>Aprobada</t>
        </is>
      </c>
      <c r="W2403" s="19" t="inlineStr"/>
      <c r="X2403" s="19" t="inlineStr">
        <is>
          <t>Aldair González (aprobación en bloque)</t>
        </is>
      </c>
      <c r="Y2403" s="20" t="n">
        <v>46321</v>
      </c>
      <c r="Z2403" s="19" t="inlineStr">
        <is>
          <t>Nivel 2: regla estructural con redacción revisada.</t>
        </is>
      </c>
      <c r="AA2403" s="18">
        <f>IF(OR(V2403="Aprobada"),R2403,IF(AND(OR(V2403="Aprobada con ajuste",V2403="Rechazada"),W2403&lt;&gt;""),W2403,""))</f>
        <v/>
      </c>
    </row>
    <row r="2404">
      <c r="A2404" s="18" t="inlineStr">
        <is>
          <t>C2403</t>
        </is>
      </c>
      <c r="B2404" s="18" t="inlineStr">
        <is>
          <t>Auditoría y trazabilidad</t>
        </is>
      </c>
      <c r="C2404" s="18" t="inlineStr">
        <is>
          <t>audit</t>
        </is>
      </c>
      <c r="D2404" s="18" t="inlineStr">
        <is>
          <t>request_logs</t>
        </is>
      </c>
      <c r="E2404" s="18" t="n">
        <v>74668</v>
      </c>
      <c r="F2404" s="18" t="inlineStr">
        <is>
          <t>origin</t>
        </is>
      </c>
      <c r="G2404" s="18" t="inlineStr">
        <is>
          <t>text</t>
        </is>
      </c>
      <c r="H2404" s="18" t="inlineStr">
        <is>
          <t>Sí</t>
        </is>
      </c>
      <c r="I2404" s="18" t="inlineStr"/>
      <c r="J2404" s="18" t="inlineStr"/>
      <c r="K2404" s="18" t="inlineStr"/>
      <c r="L2404" s="18" t="inlineStr">
        <is>
          <t>No</t>
        </is>
      </c>
      <c r="M2404" s="18" t="inlineStr">
        <is>
          <t>No</t>
        </is>
      </c>
      <c r="N2404" s="18" t="inlineStr"/>
      <c r="O2404" s="18" t="inlineStr"/>
      <c r="P2404" s="18" t="inlineStr">
        <is>
          <t>Mapeada en audit-service/src/audit/entities/request-log.entity.ts:51 (RequestLog.origin) | Validación: IsOptional, IsString</t>
        </is>
      </c>
      <c r="Q2404" s="18" t="inlineStr">
        <is>
          <t>Propuesta semántica</t>
        </is>
      </c>
      <c r="R2404" s="18" t="inlineStr">
        <is>
          <t>Valor del encabezado HTTP Origin de la petición.</t>
        </is>
      </c>
      <c r="S2404" s="18" t="inlineStr">
        <is>
          <t>Alta</t>
        </is>
      </c>
      <c r="T2404" s="18" t="inlineStr">
        <is>
          <t>nombre + tipo + columnas vecinas</t>
        </is>
      </c>
      <c r="U2404" s="18" t="inlineStr"/>
      <c r="V2404" s="19" t="inlineStr">
        <is>
          <t>Aprobada</t>
        </is>
      </c>
      <c r="W2404" s="19" t="inlineStr"/>
      <c r="X2404" s="19" t="inlineStr">
        <is>
          <t>Aldair González (aprobación en bloque)</t>
        </is>
      </c>
      <c r="Y2404" s="20" t="n">
        <v>46321</v>
      </c>
      <c r="Z2404" s="19" t="inlineStr">
        <is>
          <t>Nivel 1: propuesta del comentario del desarrollador o de confianza alta, o regla de fecha/responsable/motivo.</t>
        </is>
      </c>
      <c r="AA2404" s="18">
        <f>IF(OR(V2404="Aprobada"),R2404,IF(AND(OR(V2404="Aprobada con ajuste",V2404="Rechazada"),W2404&lt;&gt;""),W2404,""))</f>
        <v/>
      </c>
    </row>
    <row r="2405">
      <c r="A2405" s="18" t="inlineStr">
        <is>
          <t>C2404</t>
        </is>
      </c>
      <c r="B2405" s="18" t="inlineStr">
        <is>
          <t>Auditoría y trazabilidad</t>
        </is>
      </c>
      <c r="C2405" s="18" t="inlineStr">
        <is>
          <t>audit</t>
        </is>
      </c>
      <c r="D2405" s="18" t="inlineStr">
        <is>
          <t>request_logs</t>
        </is>
      </c>
      <c r="E2405" s="18" t="n">
        <v>74668</v>
      </c>
      <c r="F2405" s="18" t="inlineStr">
        <is>
          <t>referer</t>
        </is>
      </c>
      <c r="G2405" s="18" t="inlineStr">
        <is>
          <t>text</t>
        </is>
      </c>
      <c r="H2405" s="18" t="inlineStr">
        <is>
          <t>Sí</t>
        </is>
      </c>
      <c r="I2405" s="18" t="inlineStr"/>
      <c r="J2405" s="18" t="inlineStr"/>
      <c r="K2405" s="18" t="inlineStr"/>
      <c r="L2405" s="18" t="inlineStr">
        <is>
          <t>No</t>
        </is>
      </c>
      <c r="M2405" s="18" t="inlineStr">
        <is>
          <t>No</t>
        </is>
      </c>
      <c r="N2405" s="18" t="inlineStr"/>
      <c r="O2405" s="18" t="inlineStr"/>
      <c r="P2405" s="18" t="inlineStr">
        <is>
          <t>Mapeada en audit-service/src/audit/entities/request-log.entity.ts:54 (RequestLog.referer) | Validación: IsOptional, IsString</t>
        </is>
      </c>
      <c r="Q2405" s="18" t="inlineStr">
        <is>
          <t>Propuesta semántica</t>
        </is>
      </c>
      <c r="R2405" s="18" t="inlineStr">
        <is>
          <t>Valor del encabezado HTTP Referer de la petición.</t>
        </is>
      </c>
      <c r="S2405" s="18" t="inlineStr">
        <is>
          <t>Alta</t>
        </is>
      </c>
      <c r="T2405" s="18" t="inlineStr">
        <is>
          <t>nombre + tipo + columnas vecinas</t>
        </is>
      </c>
      <c r="U2405" s="18" t="inlineStr"/>
      <c r="V2405" s="19" t="inlineStr">
        <is>
          <t>Aprobada</t>
        </is>
      </c>
      <c r="W2405" s="19" t="inlineStr"/>
      <c r="X2405" s="19" t="inlineStr">
        <is>
          <t>Aldair González (aprobación en bloque)</t>
        </is>
      </c>
      <c r="Y2405" s="20" t="n">
        <v>46321</v>
      </c>
      <c r="Z2405" s="19" t="inlineStr">
        <is>
          <t>Nivel 1: propuesta del comentario del desarrollador o de confianza alta, o regla de fecha/responsable/motivo.</t>
        </is>
      </c>
      <c r="AA2405" s="18">
        <f>IF(OR(V2405="Aprobada"),R2405,IF(AND(OR(V2405="Aprobada con ajuste",V2405="Rechazada"),W2405&lt;&gt;""),W2405,""))</f>
        <v/>
      </c>
    </row>
    <row r="2406">
      <c r="A2406" s="18" t="inlineStr">
        <is>
          <t>C2405</t>
        </is>
      </c>
      <c r="B2406" s="18" t="inlineStr">
        <is>
          <t>Auditoría y trazabilidad</t>
        </is>
      </c>
      <c r="C2406" s="18" t="inlineStr">
        <is>
          <t>audit</t>
        </is>
      </c>
      <c r="D2406" s="18" t="inlineStr">
        <is>
          <t>request_logs</t>
        </is>
      </c>
      <c r="E2406" s="18" t="n">
        <v>74668</v>
      </c>
      <c r="F2406" s="18" t="inlineStr">
        <is>
          <t>user_id</t>
        </is>
      </c>
      <c r="G2406" s="18" t="inlineStr">
        <is>
          <t>bigint</t>
        </is>
      </c>
      <c r="H2406" s="18" t="inlineStr">
        <is>
          <t>Sí</t>
        </is>
      </c>
      <c r="I2406" s="18" t="inlineStr"/>
      <c r="J2406" s="18" t="inlineStr"/>
      <c r="K2406" s="18" t="inlineStr"/>
      <c r="L2406" s="18" t="inlineStr">
        <is>
          <t>No</t>
        </is>
      </c>
      <c r="M2406" s="18" t="inlineStr">
        <is>
          <t>No</t>
        </is>
      </c>
      <c r="N2406" s="18" t="inlineStr"/>
      <c r="O2406" s="18" t="inlineStr">
        <is>
          <t>idx_request_logs_user_id</t>
        </is>
      </c>
      <c r="P2406" s="18" t="inlineStr">
        <is>
          <t>Mapeada en audit-service/src/audit/entities/request-log.entity.ts:57 (RequestLog.userId) | Validación: IsNumber, IsNumber({}, { message: 'userId debe ser un número' }), IsOptional</t>
        </is>
      </c>
      <c r="Q2406" s="18" t="inlineStr">
        <is>
          <t>Código fuente (verificado)</t>
        </is>
      </c>
      <c r="R2406" s="18" t="inlineStr">
        <is>
          <t>Identificador del usuario autenticado que hizo la petición (auth."user".id_user), tomado del token. Es nulo si la petición no trae usuario.</t>
        </is>
      </c>
      <c r="S2406" s="18" t="inlineStr">
        <is>
          <t>Alta</t>
        </is>
      </c>
      <c r="T2406" s="18" t="inlineStr">
        <is>
          <t>backend/auth-service/src/auth/auth.service.ts:403: el token lleva sub = user.id_user | backend/api-gateway/src/audit/audit.interceptor.ts:266: userId sale de userId/sub del usuario validado | backend/api-gateway/src/audit/audit.interceptor.ts:287: o de payload.sub | backend/audit-service/src/audit/entities/request-log.entity.ts:57: user_id bigint nullable</t>
        </is>
      </c>
      <c r="U2406" s="18" t="inlineStr"/>
      <c r="V2406" s="19" t="inlineStr">
        <is>
          <t>Aprobada</t>
        </is>
      </c>
      <c r="W2406" s="19" t="inlineStr"/>
      <c r="X2406" s="19" t="inlineStr">
        <is>
          <t>Aldair González (aprobación en bloque)</t>
        </is>
      </c>
      <c r="Y2406" s="20" t="n">
        <v>46321</v>
      </c>
      <c r="Z2406" s="19" t="inlineStr">
        <is>
          <t>Nivel 3: verificada con el código de la aplicación.</t>
        </is>
      </c>
      <c r="AA2406" s="18">
        <f>IF(OR(V2406="Aprobada"),R2406,IF(AND(OR(V2406="Aprobada con ajuste",V2406="Rechazada"),W2406&lt;&gt;""),W2406,""))</f>
        <v/>
      </c>
    </row>
    <row r="2407">
      <c r="A2407" s="18" t="inlineStr">
        <is>
          <t>C2406</t>
        </is>
      </c>
      <c r="B2407" s="18" t="inlineStr">
        <is>
          <t>Auditoría y trazabilidad</t>
        </is>
      </c>
      <c r="C2407" s="18" t="inlineStr">
        <is>
          <t>audit</t>
        </is>
      </c>
      <c r="D2407" s="18" t="inlineStr">
        <is>
          <t>request_logs</t>
        </is>
      </c>
      <c r="E2407" s="18" t="n">
        <v>74668</v>
      </c>
      <c r="F2407" s="18" t="inlineStr">
        <is>
          <t>user_email</t>
        </is>
      </c>
      <c r="G2407" s="18" t="inlineStr">
        <is>
          <t>character varying(255)</t>
        </is>
      </c>
      <c r="H2407" s="18" t="inlineStr">
        <is>
          <t>Sí</t>
        </is>
      </c>
      <c r="I2407" s="18" t="inlineStr"/>
      <c r="J2407" s="18" t="inlineStr"/>
      <c r="K2407" s="18" t="inlineStr"/>
      <c r="L2407" s="18" t="inlineStr">
        <is>
          <t>No</t>
        </is>
      </c>
      <c r="M2407" s="18" t="inlineStr">
        <is>
          <t>No</t>
        </is>
      </c>
      <c r="N2407" s="18" t="inlineStr"/>
      <c r="O2407" s="18" t="inlineStr"/>
      <c r="P2407" s="18" t="inlineStr">
        <is>
          <t>Mapeada en audit-service/src/audit/entities/request-log.entity.ts:60 (RequestLog.userEmail) | Validación: IsOptional, IsString</t>
        </is>
      </c>
      <c r="Q2407" s="18" t="inlineStr">
        <is>
          <t>Propuesta semántica</t>
        </is>
      </c>
      <c r="R2407" s="18" t="inlineStr">
        <is>
          <t>Correo electrónico del usuario autenticado que hizo la petición.</t>
        </is>
      </c>
      <c r="S2407" s="18" t="inlineStr">
        <is>
          <t>Alta</t>
        </is>
      </c>
      <c r="T2407" s="18" t="inlineStr">
        <is>
          <t>nombre + tipo + columnas vecinas</t>
        </is>
      </c>
      <c r="U2407" s="18" t="inlineStr"/>
      <c r="V2407" s="19" t="inlineStr">
        <is>
          <t>Aprobada</t>
        </is>
      </c>
      <c r="W2407" s="19" t="inlineStr"/>
      <c r="X2407" s="19" t="inlineStr">
        <is>
          <t>Aldair González (aprobación en bloque)</t>
        </is>
      </c>
      <c r="Y2407" s="20" t="n">
        <v>46321</v>
      </c>
      <c r="Z2407" s="19" t="inlineStr">
        <is>
          <t>Nivel 1: propuesta del comentario del desarrollador o de confianza alta, o regla de fecha/responsable/motivo.</t>
        </is>
      </c>
      <c r="AA2407" s="18">
        <f>IF(OR(V2407="Aprobada"),R2407,IF(AND(OR(V2407="Aprobada con ajuste",V2407="Rechazada"),W2407&lt;&gt;""),W2407,""))</f>
        <v/>
      </c>
    </row>
    <row r="2408">
      <c r="A2408" s="18" t="inlineStr">
        <is>
          <t>C2407</t>
        </is>
      </c>
      <c r="B2408" s="18" t="inlineStr">
        <is>
          <t>Auditoría y trazabilidad</t>
        </is>
      </c>
      <c r="C2408" s="18" t="inlineStr">
        <is>
          <t>audit</t>
        </is>
      </c>
      <c r="D2408" s="18" t="inlineStr">
        <is>
          <t>request_logs</t>
        </is>
      </c>
      <c r="E2408" s="18" t="n">
        <v>74668</v>
      </c>
      <c r="F2408" s="18" t="inlineStr">
        <is>
          <t>user_role</t>
        </is>
      </c>
      <c r="G2408" s="18" t="inlineStr">
        <is>
          <t>character varying(100)</t>
        </is>
      </c>
      <c r="H2408" s="18" t="inlineStr">
        <is>
          <t>Sí</t>
        </is>
      </c>
      <c r="I2408" s="18" t="inlineStr"/>
      <c r="J2408" s="18" t="inlineStr"/>
      <c r="K2408" s="18" t="inlineStr"/>
      <c r="L2408" s="18" t="inlineStr">
        <is>
          <t>No</t>
        </is>
      </c>
      <c r="M2408" s="18" t="inlineStr">
        <is>
          <t>No</t>
        </is>
      </c>
      <c r="N2408" s="18" t="inlineStr"/>
      <c r="O2408" s="18" t="inlineStr"/>
      <c r="P2408" s="18" t="inlineStr">
        <is>
          <t>Mapeada en audit-service/src/audit/entities/request-log.entity.ts:63 (RequestLog.userRole) | Validación: IsOptional, IsString</t>
        </is>
      </c>
      <c r="Q2408" s="18" t="inlineStr">
        <is>
          <t>Propuesta semántica</t>
        </is>
      </c>
      <c r="R2408" s="18" t="inlineStr">
        <is>
          <t>Rol del usuario autenticado al momento de la petición.</t>
        </is>
      </c>
      <c r="S2408" s="18" t="inlineStr">
        <is>
          <t>Alta</t>
        </is>
      </c>
      <c r="T2408" s="18" t="inlineStr">
        <is>
          <t>nombre + tipo + columnas vecinas</t>
        </is>
      </c>
      <c r="U2408" s="18" t="inlineStr"/>
      <c r="V2408" s="19" t="inlineStr">
        <is>
          <t>Aprobada</t>
        </is>
      </c>
      <c r="W2408" s="19" t="inlineStr"/>
      <c r="X2408" s="19" t="inlineStr">
        <is>
          <t>Aldair González (aprobación en bloque)</t>
        </is>
      </c>
      <c r="Y2408" s="20" t="n">
        <v>46321</v>
      </c>
      <c r="Z2408" s="19" t="inlineStr">
        <is>
          <t>Nivel 1: propuesta del comentario del desarrollador o de confianza alta, o regla de fecha/responsable/motivo.</t>
        </is>
      </c>
      <c r="AA2408" s="18">
        <f>IF(OR(V2408="Aprobada"),R2408,IF(AND(OR(V2408="Aprobada con ajuste",V2408="Rechazada"),W2408&lt;&gt;""),W2408,""))</f>
        <v/>
      </c>
    </row>
    <row r="2409">
      <c r="A2409" s="18" t="inlineStr">
        <is>
          <t>C2408</t>
        </is>
      </c>
      <c r="B2409" s="18" t="inlineStr">
        <is>
          <t>Auditoría y trazabilidad</t>
        </is>
      </c>
      <c r="C2409" s="18" t="inlineStr">
        <is>
          <t>audit</t>
        </is>
      </c>
      <c r="D2409" s="18" t="inlineStr">
        <is>
          <t>request_logs</t>
        </is>
      </c>
      <c r="E2409" s="18" t="n">
        <v>74668</v>
      </c>
      <c r="F2409" s="18" t="inlineStr">
        <is>
          <t>status_code</t>
        </is>
      </c>
      <c r="G2409" s="18" t="inlineStr">
        <is>
          <t>integer</t>
        </is>
      </c>
      <c r="H2409" s="18" t="inlineStr">
        <is>
          <t>No</t>
        </is>
      </c>
      <c r="I2409" s="18" t="inlineStr"/>
      <c r="J2409" s="18" t="inlineStr"/>
      <c r="K2409" s="18" t="inlineStr"/>
      <c r="L2409" s="18" t="inlineStr">
        <is>
          <t>No</t>
        </is>
      </c>
      <c r="M2409" s="18" t="inlineStr">
        <is>
          <t>Sí</t>
        </is>
      </c>
      <c r="N2409" s="18" t="inlineStr">
        <is>
          <t>Vista audit.request_logs_stats</t>
        </is>
      </c>
      <c r="O2409" s="18" t="inlineStr">
        <is>
          <t>idx_request_logs_module_status, idx_request_logs_status</t>
        </is>
      </c>
      <c r="P2409" s="18" t="inlineStr">
        <is>
          <t>Mapeada en audit-service/src/audit/entities/request-log.entity.ts:66 (RequestLog.statusCode) | Validación: IsNumber, IsNumber({}, { message: 'statusCode debe ser un número' })</t>
        </is>
      </c>
      <c r="Q2409" s="18" t="inlineStr">
        <is>
          <t>Propuesta semántica</t>
        </is>
      </c>
      <c r="R2409" s="18" t="inlineStr">
        <is>
          <t>Código de estado HTTP de la respuesta.</t>
        </is>
      </c>
      <c r="S2409" s="18" t="inlineStr">
        <is>
          <t>Alta</t>
        </is>
      </c>
      <c r="T2409" s="18" t="inlineStr">
        <is>
          <t>nombre + tipo + columnas vecinas</t>
        </is>
      </c>
      <c r="U2409" s="18" t="inlineStr"/>
      <c r="V2409" s="19" t="inlineStr">
        <is>
          <t>Aprobada</t>
        </is>
      </c>
      <c r="W2409" s="19" t="inlineStr"/>
      <c r="X2409" s="19" t="inlineStr">
        <is>
          <t>Aldair González (aprobación en bloque)</t>
        </is>
      </c>
      <c r="Y2409" s="20" t="n">
        <v>46321</v>
      </c>
      <c r="Z2409" s="19" t="inlineStr">
        <is>
          <t>Nivel 1: propuesta del comentario del desarrollador o de confianza alta, o regla de fecha/responsable/motivo.</t>
        </is>
      </c>
      <c r="AA2409" s="18">
        <f>IF(OR(V2409="Aprobada"),R2409,IF(AND(OR(V2409="Aprobada con ajuste",V2409="Rechazada"),W2409&lt;&gt;""),W2409,""))</f>
        <v/>
      </c>
    </row>
    <row r="2410">
      <c r="A2410" s="18" t="inlineStr">
        <is>
          <t>C2409</t>
        </is>
      </c>
      <c r="B2410" s="18" t="inlineStr">
        <is>
          <t>Auditoría y trazabilidad</t>
        </is>
      </c>
      <c r="C2410" s="18" t="inlineStr">
        <is>
          <t>audit</t>
        </is>
      </c>
      <c r="D2410" s="18" t="inlineStr">
        <is>
          <t>request_logs</t>
        </is>
      </c>
      <c r="E2410" s="18" t="n">
        <v>74668</v>
      </c>
      <c r="F2410" s="18" t="inlineStr">
        <is>
          <t>response_time_ms</t>
        </is>
      </c>
      <c r="G2410" s="18" t="inlineStr">
        <is>
          <t>integer</t>
        </is>
      </c>
      <c r="H2410" s="18" t="inlineStr">
        <is>
          <t>No</t>
        </is>
      </c>
      <c r="I2410" s="18" t="inlineStr"/>
      <c r="J2410" s="18" t="inlineStr"/>
      <c r="K2410" s="18" t="inlineStr"/>
      <c r="L2410" s="18" t="inlineStr">
        <is>
          <t>No</t>
        </is>
      </c>
      <c r="M2410" s="18" t="inlineStr">
        <is>
          <t>Sí</t>
        </is>
      </c>
      <c r="N2410" s="18" t="inlineStr">
        <is>
          <t>Vista audit.request_logs_stats</t>
        </is>
      </c>
      <c r="O2410" s="18" t="inlineStr"/>
      <c r="P2410" s="18" t="inlineStr">
        <is>
          <t>Mapeada en audit-service/src/audit/entities/request-log.entity.ts:69 (RequestLog.responseTimeMs) | Validación: IsNumber</t>
        </is>
      </c>
      <c r="Q2410" s="18" t="inlineStr">
        <is>
          <t>Propuesta semántica</t>
        </is>
      </c>
      <c r="R2410" s="18" t="inlineStr">
        <is>
          <t>Tiempo de respuesta de la petición, en milisegundos.</t>
        </is>
      </c>
      <c r="S2410" s="18" t="inlineStr">
        <is>
          <t>Alta</t>
        </is>
      </c>
      <c r="T2410" s="18" t="inlineStr">
        <is>
          <t>nombre + tipo + columnas vecinas</t>
        </is>
      </c>
      <c r="U2410" s="18" t="inlineStr"/>
      <c r="V2410" s="19" t="inlineStr">
        <is>
          <t>Aprobada</t>
        </is>
      </c>
      <c r="W2410" s="19" t="inlineStr"/>
      <c r="X2410" s="19" t="inlineStr">
        <is>
          <t>Aldair González (aprobación en bloque)</t>
        </is>
      </c>
      <c r="Y2410" s="20" t="n">
        <v>46321</v>
      </c>
      <c r="Z2410" s="19" t="inlineStr">
        <is>
          <t>Nivel 1: propuesta del comentario del desarrollador o de confianza alta, o regla de fecha/responsable/motivo.</t>
        </is>
      </c>
      <c r="AA2410" s="18">
        <f>IF(OR(V2410="Aprobada"),R2410,IF(AND(OR(V2410="Aprobada con ajuste",V2410="Rechazada"),W2410&lt;&gt;""),W2410,""))</f>
        <v/>
      </c>
    </row>
    <row r="2411">
      <c r="A2411" s="18" t="inlineStr">
        <is>
          <t>C2410</t>
        </is>
      </c>
      <c r="B2411" s="18" t="inlineStr">
        <is>
          <t>Auditoría y trazabilidad</t>
        </is>
      </c>
      <c r="C2411" s="18" t="inlineStr">
        <is>
          <t>audit</t>
        </is>
      </c>
      <c r="D2411" s="18" t="inlineStr">
        <is>
          <t>request_logs</t>
        </is>
      </c>
      <c r="E2411" s="18" t="n">
        <v>74668</v>
      </c>
      <c r="F2411" s="18" t="inlineStr">
        <is>
          <t>response_size_bytes</t>
        </is>
      </c>
      <c r="G2411" s="18" t="inlineStr">
        <is>
          <t>integer</t>
        </is>
      </c>
      <c r="H2411" s="18" t="inlineStr">
        <is>
          <t>Sí</t>
        </is>
      </c>
      <c r="I2411" s="18" t="inlineStr"/>
      <c r="J2411" s="18" t="inlineStr"/>
      <c r="K2411" s="18" t="inlineStr"/>
      <c r="L2411" s="18" t="inlineStr">
        <is>
          <t>No</t>
        </is>
      </c>
      <c r="M2411" s="18" t="inlineStr">
        <is>
          <t>No</t>
        </is>
      </c>
      <c r="N2411" s="18" t="inlineStr"/>
      <c r="O2411" s="18" t="inlineStr"/>
      <c r="P2411" s="18" t="inlineStr">
        <is>
          <t>Mapeada en audit-service/src/audit/entities/request-log.entity.ts:72 (RequestLog.responseSizeBytes) | Validación: IsNumber, IsOptional</t>
        </is>
      </c>
      <c r="Q2411" s="18" t="inlineStr">
        <is>
          <t>Propuesta semántica</t>
        </is>
      </c>
      <c r="R2411" s="18" t="inlineStr">
        <is>
          <t>Tamaño de la respuesta, en bytes. Por defecto, 0.</t>
        </is>
      </c>
      <c r="S2411" s="18" t="inlineStr">
        <is>
          <t>Alta</t>
        </is>
      </c>
      <c r="T2411" s="18" t="inlineStr">
        <is>
          <t>nombre + tipo + columnas vecinas</t>
        </is>
      </c>
      <c r="U2411" s="18" t="inlineStr"/>
      <c r="V2411" s="19" t="inlineStr">
        <is>
          <t>Aprobada</t>
        </is>
      </c>
      <c r="W2411" s="19" t="inlineStr"/>
      <c r="X2411" s="19" t="inlineStr">
        <is>
          <t>Aldair González (aprobación en bloque)</t>
        </is>
      </c>
      <c r="Y2411" s="20" t="n">
        <v>46321</v>
      </c>
      <c r="Z2411" s="19" t="inlineStr">
        <is>
          <t>Nivel 1: propuesta del comentario del desarrollador o de confianza alta, o regla de fecha/responsable/motivo.</t>
        </is>
      </c>
      <c r="AA2411" s="18">
        <f>IF(OR(V2411="Aprobada"),R2411,IF(AND(OR(V2411="Aprobada con ajuste",V2411="Rechazada"),W2411&lt;&gt;""),W2411,""))</f>
        <v/>
      </c>
    </row>
    <row r="2412">
      <c r="A2412" s="18" t="inlineStr">
        <is>
          <t>C2411</t>
        </is>
      </c>
      <c r="B2412" s="18" t="inlineStr">
        <is>
          <t>Auditoría y trazabilidad</t>
        </is>
      </c>
      <c r="C2412" s="18" t="inlineStr">
        <is>
          <t>audit</t>
        </is>
      </c>
      <c r="D2412" s="18" t="inlineStr">
        <is>
          <t>request_logs</t>
        </is>
      </c>
      <c r="E2412" s="18" t="n">
        <v>74668</v>
      </c>
      <c r="F2412" s="18" t="inlineStr">
        <is>
          <t>request_body</t>
        </is>
      </c>
      <c r="G2412" s="18" t="inlineStr">
        <is>
          <t>jsonb</t>
        </is>
      </c>
      <c r="H2412" s="18" t="inlineStr">
        <is>
          <t>Sí</t>
        </is>
      </c>
      <c r="I2412" s="18" t="inlineStr"/>
      <c r="J2412" s="18" t="inlineStr"/>
      <c r="K2412" s="18" t="inlineStr"/>
      <c r="L2412" s="18" t="inlineStr">
        <is>
          <t>No</t>
        </is>
      </c>
      <c r="M2412" s="18" t="inlineStr">
        <is>
          <t>No</t>
        </is>
      </c>
      <c r="N2412" s="18" t="inlineStr"/>
      <c r="O2412" s="18" t="inlineStr">
        <is>
          <t>idx_request_logs_request_body</t>
        </is>
      </c>
      <c r="P2412" s="18" t="inlineStr">
        <is>
          <t>Mapeada en audit-service/src/audit/entities/request-log.entity.ts:75 (RequestLog.requestBody) | Validación: IsObject, IsOptional</t>
        </is>
      </c>
      <c r="Q2412" s="18" t="inlineStr">
        <is>
          <t>Propuesta semántica</t>
        </is>
      </c>
      <c r="R2412" s="18" t="inlineStr">
        <is>
          <t>Cuerpo de la petición, en formato JSON.</t>
        </is>
      </c>
      <c r="S2412" s="18" t="inlineStr">
        <is>
          <t>Alta</t>
        </is>
      </c>
      <c r="T2412" s="18" t="inlineStr">
        <is>
          <t>nombre + tipo + columnas vecinas (has_large_body)</t>
        </is>
      </c>
      <c r="U2412" s="18" t="inlineStr"/>
      <c r="V2412" s="19" t="inlineStr">
        <is>
          <t>Aprobada</t>
        </is>
      </c>
      <c r="W2412" s="19" t="inlineStr"/>
      <c r="X2412" s="19" t="inlineStr">
        <is>
          <t>Aldair González (aprobación en bloque)</t>
        </is>
      </c>
      <c r="Y2412" s="20" t="n">
        <v>46321</v>
      </c>
      <c r="Z2412" s="19" t="inlineStr">
        <is>
          <t>Nivel 1: propuesta del comentario del desarrollador o de confianza alta, o regla de fecha/responsable/motivo.</t>
        </is>
      </c>
      <c r="AA2412" s="18">
        <f>IF(OR(V2412="Aprobada"),R2412,IF(AND(OR(V2412="Aprobada con ajuste",V2412="Rechazada"),W2412&lt;&gt;""),W2412,""))</f>
        <v/>
      </c>
    </row>
    <row r="2413">
      <c r="A2413" s="18" t="inlineStr">
        <is>
          <t>C2412</t>
        </is>
      </c>
      <c r="B2413" s="18" t="inlineStr">
        <is>
          <t>Auditoría y trazabilidad</t>
        </is>
      </c>
      <c r="C2413" s="18" t="inlineStr">
        <is>
          <t>audit</t>
        </is>
      </c>
      <c r="D2413" s="18" t="inlineStr">
        <is>
          <t>request_logs</t>
        </is>
      </c>
      <c r="E2413" s="18" t="n">
        <v>74668</v>
      </c>
      <c r="F2413" s="18" t="inlineStr">
        <is>
          <t>request_body_size</t>
        </is>
      </c>
      <c r="G2413" s="18" t="inlineStr">
        <is>
          <t>integer</t>
        </is>
      </c>
      <c r="H2413" s="18" t="inlineStr">
        <is>
          <t>Sí</t>
        </is>
      </c>
      <c r="I2413" s="18" t="inlineStr"/>
      <c r="J2413" s="18" t="inlineStr"/>
      <c r="K2413" s="18" t="inlineStr"/>
      <c r="L2413" s="18" t="inlineStr">
        <is>
          <t>No</t>
        </is>
      </c>
      <c r="M2413" s="18" t="inlineStr">
        <is>
          <t>No</t>
        </is>
      </c>
      <c r="N2413" s="18" t="inlineStr"/>
      <c r="O2413" s="18" t="inlineStr"/>
      <c r="P2413" s="18" t="inlineStr">
        <is>
          <t>Mapeada en audit-service/src/audit/entities/request-log.entity.ts:78 (RequestLog.requestBodySize) | Validación: IsNumber, IsOptional</t>
        </is>
      </c>
      <c r="Q2413" s="18" t="inlineStr">
        <is>
          <t>Propuesta semántica</t>
        </is>
      </c>
      <c r="R2413" s="18" t="inlineStr">
        <is>
          <t>Tamaño del cuerpo de la petición, en bytes. Por defecto, 0.</t>
        </is>
      </c>
      <c r="S2413" s="18" t="inlineStr">
        <is>
          <t>Alta</t>
        </is>
      </c>
      <c r="T2413" s="18" t="inlineStr">
        <is>
          <t>nombre + tipo + columnas vecinas</t>
        </is>
      </c>
      <c r="U2413" s="18" t="inlineStr"/>
      <c r="V2413" s="19" t="inlineStr">
        <is>
          <t>Aprobada</t>
        </is>
      </c>
      <c r="W2413" s="19" t="inlineStr"/>
      <c r="X2413" s="19" t="inlineStr">
        <is>
          <t>Aldair González (aprobación en bloque)</t>
        </is>
      </c>
      <c r="Y2413" s="20" t="n">
        <v>46321</v>
      </c>
      <c r="Z2413" s="19" t="inlineStr">
        <is>
          <t>Nivel 1: propuesta del comentario del desarrollador o de confianza alta, o regla de fecha/responsable/motivo.</t>
        </is>
      </c>
      <c r="AA2413" s="18">
        <f>IF(OR(V2413="Aprobada"),R2413,IF(AND(OR(V2413="Aprobada con ajuste",V2413="Rechazada"),W2413&lt;&gt;""),W2413,""))</f>
        <v/>
      </c>
    </row>
    <row r="2414">
      <c r="A2414" s="18" t="inlineStr">
        <is>
          <t>C2413</t>
        </is>
      </c>
      <c r="B2414" s="18" t="inlineStr">
        <is>
          <t>Auditoría y trazabilidad</t>
        </is>
      </c>
      <c r="C2414" s="18" t="inlineStr">
        <is>
          <t>audit</t>
        </is>
      </c>
      <c r="D2414" s="18" t="inlineStr">
        <is>
          <t>request_logs</t>
        </is>
      </c>
      <c r="E2414" s="18" t="n">
        <v>74668</v>
      </c>
      <c r="F2414" s="18" t="inlineStr">
        <is>
          <t>has_large_body</t>
        </is>
      </c>
      <c r="G2414" s="18" t="inlineStr">
        <is>
          <t>boolean</t>
        </is>
      </c>
      <c r="H2414" s="18" t="inlineStr">
        <is>
          <t>Sí</t>
        </is>
      </c>
      <c r="I2414" s="18" t="inlineStr"/>
      <c r="J2414" s="18" t="inlineStr"/>
      <c r="K2414" s="18" t="inlineStr"/>
      <c r="L2414" s="18" t="inlineStr">
        <is>
          <t>No</t>
        </is>
      </c>
      <c r="M2414" s="18" t="inlineStr">
        <is>
          <t>No</t>
        </is>
      </c>
      <c r="N2414" s="18" t="inlineStr"/>
      <c r="O2414" s="18" t="inlineStr"/>
      <c r="P2414" s="18" t="inlineStr">
        <is>
          <t>Mapeada en audit-service/src/audit/entities/request-log.entity.ts:81 (RequestLog.hasLargeBody)</t>
        </is>
      </c>
      <c r="Q2414" s="18" t="inlineStr">
        <is>
          <t>Regla estructural (redacción revisada)</t>
        </is>
      </c>
      <c r="R2414" s="18" t="inlineStr">
        <is>
          <t>Indica si el cuerpo de la petición supera el tamaño definido para almacenarse completo.</t>
        </is>
      </c>
      <c r="S2414" s="18" t="inlineStr">
        <is>
          <t>Alta</t>
        </is>
      </c>
      <c r="T2414" s="18" t="inlineStr">
        <is>
          <t>Convención de nombre, redactada con el contexto de la tabla y el código.</t>
        </is>
      </c>
      <c r="U2414" s="18" t="inlineStr"/>
      <c r="V2414" s="19" t="inlineStr">
        <is>
          <t>Aprobada</t>
        </is>
      </c>
      <c r="W2414" s="19" t="inlineStr"/>
      <c r="X2414" s="19" t="inlineStr">
        <is>
          <t>Aldair González (aprobación en bloque)</t>
        </is>
      </c>
      <c r="Y2414" s="20" t="n">
        <v>46321</v>
      </c>
      <c r="Z2414" s="19" t="inlineStr">
        <is>
          <t>Nivel 2: regla estructural con redacción revisada.</t>
        </is>
      </c>
      <c r="AA2414" s="18">
        <f>IF(OR(V2414="Aprobada"),R2414,IF(AND(OR(V2414="Aprobada con ajuste",V2414="Rechazada"),W2414&lt;&gt;""),W2414,""))</f>
        <v/>
      </c>
    </row>
    <row r="2415">
      <c r="A2415" s="18" t="inlineStr">
        <is>
          <t>C2414</t>
        </is>
      </c>
      <c r="B2415" s="18" t="inlineStr">
        <is>
          <t>Auditoría y trazabilidad</t>
        </is>
      </c>
      <c r="C2415" s="18" t="inlineStr">
        <is>
          <t>audit</t>
        </is>
      </c>
      <c r="D2415" s="18" t="inlineStr">
        <is>
          <t>request_logs</t>
        </is>
      </c>
      <c r="E2415" s="18" t="n">
        <v>74668</v>
      </c>
      <c r="F2415" s="18" t="inlineStr">
        <is>
          <t>response_body</t>
        </is>
      </c>
      <c r="G2415" s="18" t="inlineStr">
        <is>
          <t>jsonb</t>
        </is>
      </c>
      <c r="H2415" s="18" t="inlineStr">
        <is>
          <t>Sí</t>
        </is>
      </c>
      <c r="I2415" s="18" t="inlineStr"/>
      <c r="J2415" s="18" t="inlineStr"/>
      <c r="K2415" s="18" t="inlineStr"/>
      <c r="L2415" s="18" t="inlineStr">
        <is>
          <t>No</t>
        </is>
      </c>
      <c r="M2415" s="18" t="inlineStr">
        <is>
          <t>No</t>
        </is>
      </c>
      <c r="N2415" s="18" t="inlineStr"/>
      <c r="O2415" s="18" t="inlineStr">
        <is>
          <t>idx_request_logs_response_body</t>
        </is>
      </c>
      <c r="P2415" s="18" t="inlineStr">
        <is>
          <t>Mapeada en audit-service/src/audit/entities/request-log.entity.ts:84 (RequestLog.responseBody) | Validación: IsObject, IsOptional</t>
        </is>
      </c>
      <c r="Q2415" s="18" t="inlineStr">
        <is>
          <t>Propuesta semántica</t>
        </is>
      </c>
      <c r="R2415" s="18" t="inlineStr">
        <is>
          <t>Cuerpo de la respuesta, en formato JSON.</t>
        </is>
      </c>
      <c r="S2415" s="18" t="inlineStr">
        <is>
          <t>Alta</t>
        </is>
      </c>
      <c r="T2415" s="18" t="inlineStr">
        <is>
          <t>nombre + tipo + columnas vecinas (has_large_response)</t>
        </is>
      </c>
      <c r="U2415" s="18" t="inlineStr"/>
      <c r="V2415" s="19" t="inlineStr">
        <is>
          <t>Aprobada</t>
        </is>
      </c>
      <c r="W2415" s="19" t="inlineStr"/>
      <c r="X2415" s="19" t="inlineStr">
        <is>
          <t>Aldair González (aprobación en bloque)</t>
        </is>
      </c>
      <c r="Y2415" s="20" t="n">
        <v>46321</v>
      </c>
      <c r="Z2415" s="19" t="inlineStr">
        <is>
          <t>Nivel 1: propuesta del comentario del desarrollador o de confianza alta, o regla de fecha/responsable/motivo.</t>
        </is>
      </c>
      <c r="AA2415" s="18">
        <f>IF(OR(V2415="Aprobada"),R2415,IF(AND(OR(V2415="Aprobada con ajuste",V2415="Rechazada"),W2415&lt;&gt;""),W2415,""))</f>
        <v/>
      </c>
    </row>
    <row r="2416">
      <c r="A2416" s="18" t="inlineStr">
        <is>
          <t>C2415</t>
        </is>
      </c>
      <c r="B2416" s="18" t="inlineStr">
        <is>
          <t>Auditoría y trazabilidad</t>
        </is>
      </c>
      <c r="C2416" s="18" t="inlineStr">
        <is>
          <t>audit</t>
        </is>
      </c>
      <c r="D2416" s="18" t="inlineStr">
        <is>
          <t>request_logs</t>
        </is>
      </c>
      <c r="E2416" s="18" t="n">
        <v>74668</v>
      </c>
      <c r="F2416" s="18" t="inlineStr">
        <is>
          <t>response_body_size</t>
        </is>
      </c>
      <c r="G2416" s="18" t="inlineStr">
        <is>
          <t>integer</t>
        </is>
      </c>
      <c r="H2416" s="18" t="inlineStr">
        <is>
          <t>Sí</t>
        </is>
      </c>
      <c r="I2416" s="18" t="inlineStr"/>
      <c r="J2416" s="18" t="inlineStr"/>
      <c r="K2416" s="18" t="inlineStr"/>
      <c r="L2416" s="18" t="inlineStr">
        <is>
          <t>No</t>
        </is>
      </c>
      <c r="M2416" s="18" t="inlineStr">
        <is>
          <t>No</t>
        </is>
      </c>
      <c r="N2416" s="18" t="inlineStr"/>
      <c r="O2416" s="18" t="inlineStr"/>
      <c r="P2416" s="18" t="inlineStr">
        <is>
          <t>Mapeada en audit-service/src/audit/entities/request-log.entity.ts:87 (RequestLog.responseBodySize) | Validación: IsNumber, IsOptional</t>
        </is>
      </c>
      <c r="Q2416" s="18" t="inlineStr">
        <is>
          <t>Propuesta semántica</t>
        </is>
      </c>
      <c r="R2416" s="18" t="inlineStr">
        <is>
          <t>Tamaño del cuerpo de la respuesta, en bytes. Por defecto, 0.</t>
        </is>
      </c>
      <c r="S2416" s="18" t="inlineStr">
        <is>
          <t>Alta</t>
        </is>
      </c>
      <c r="T2416" s="18" t="inlineStr">
        <is>
          <t>nombre + tipo + columnas vecinas</t>
        </is>
      </c>
      <c r="U2416" s="18" t="inlineStr"/>
      <c r="V2416" s="19" t="inlineStr">
        <is>
          <t>Aprobada</t>
        </is>
      </c>
      <c r="W2416" s="19" t="inlineStr"/>
      <c r="X2416" s="19" t="inlineStr">
        <is>
          <t>Aldair González (aprobación en bloque)</t>
        </is>
      </c>
      <c r="Y2416" s="20" t="n">
        <v>46321</v>
      </c>
      <c r="Z2416" s="19" t="inlineStr">
        <is>
          <t>Nivel 1: propuesta del comentario del desarrollador o de confianza alta, o regla de fecha/responsable/motivo.</t>
        </is>
      </c>
      <c r="AA2416" s="18">
        <f>IF(OR(V2416="Aprobada"),R2416,IF(AND(OR(V2416="Aprobada con ajuste",V2416="Rechazada"),W2416&lt;&gt;""),W2416,""))</f>
        <v/>
      </c>
    </row>
    <row r="2417">
      <c r="A2417" s="18" t="inlineStr">
        <is>
          <t>C2416</t>
        </is>
      </c>
      <c r="B2417" s="18" t="inlineStr">
        <is>
          <t>Auditoría y trazabilidad</t>
        </is>
      </c>
      <c r="C2417" s="18" t="inlineStr">
        <is>
          <t>audit</t>
        </is>
      </c>
      <c r="D2417" s="18" t="inlineStr">
        <is>
          <t>request_logs</t>
        </is>
      </c>
      <c r="E2417" s="18" t="n">
        <v>74668</v>
      </c>
      <c r="F2417" s="18" t="inlineStr">
        <is>
          <t>has_large_response</t>
        </is>
      </c>
      <c r="G2417" s="18" t="inlineStr">
        <is>
          <t>boolean</t>
        </is>
      </c>
      <c r="H2417" s="18" t="inlineStr">
        <is>
          <t>Sí</t>
        </is>
      </c>
      <c r="I2417" s="18" t="inlineStr"/>
      <c r="J2417" s="18" t="inlineStr"/>
      <c r="K2417" s="18" t="inlineStr"/>
      <c r="L2417" s="18" t="inlineStr">
        <is>
          <t>No</t>
        </is>
      </c>
      <c r="M2417" s="18" t="inlineStr">
        <is>
          <t>No</t>
        </is>
      </c>
      <c r="N2417" s="18" t="inlineStr"/>
      <c r="O2417" s="18" t="inlineStr"/>
      <c r="P2417" s="18" t="inlineStr">
        <is>
          <t>Mapeada en audit-service/src/audit/entities/request-log.entity.ts:90 (RequestLog.hasLargeResponse)</t>
        </is>
      </c>
      <c r="Q2417" s="18" t="inlineStr">
        <is>
          <t>Regla estructural (redacción revisada)</t>
        </is>
      </c>
      <c r="R2417" s="18" t="inlineStr">
        <is>
          <t>Indica si el cuerpo de la respuesta supera el tamaño definido para almacenarse completo.</t>
        </is>
      </c>
      <c r="S2417" s="18" t="inlineStr">
        <is>
          <t>Alta</t>
        </is>
      </c>
      <c r="T2417" s="18" t="inlineStr">
        <is>
          <t>Convención de nombre, redactada con el contexto de la tabla y el código.</t>
        </is>
      </c>
      <c r="U2417" s="18" t="inlineStr"/>
      <c r="V2417" s="19" t="inlineStr">
        <is>
          <t>Aprobada</t>
        </is>
      </c>
      <c r="W2417" s="19" t="inlineStr"/>
      <c r="X2417" s="19" t="inlineStr">
        <is>
          <t>Aldair González (aprobación en bloque)</t>
        </is>
      </c>
      <c r="Y2417" s="20" t="n">
        <v>46321</v>
      </c>
      <c r="Z2417" s="19" t="inlineStr">
        <is>
          <t>Nivel 2: regla estructural con redacción revisada.</t>
        </is>
      </c>
      <c r="AA2417" s="18">
        <f>IF(OR(V2417="Aprobada"),R2417,IF(AND(OR(V2417="Aprobada con ajuste",V2417="Rechazada"),W2417&lt;&gt;""),W2417,""))</f>
        <v/>
      </c>
    </row>
    <row r="2418">
      <c r="A2418" s="18" t="inlineStr">
        <is>
          <t>C2417</t>
        </is>
      </c>
      <c r="B2418" s="18" t="inlineStr">
        <is>
          <t>Auditoría y trazabilidad</t>
        </is>
      </c>
      <c r="C2418" s="18" t="inlineStr">
        <is>
          <t>audit</t>
        </is>
      </c>
      <c r="D2418" s="18" t="inlineStr">
        <is>
          <t>request_logs</t>
        </is>
      </c>
      <c r="E2418" s="18" t="n">
        <v>74668</v>
      </c>
      <c r="F2418" s="18" t="inlineStr">
        <is>
          <t>error_message</t>
        </is>
      </c>
      <c r="G2418" s="18" t="inlineStr">
        <is>
          <t>text</t>
        </is>
      </c>
      <c r="H2418" s="18" t="inlineStr">
        <is>
          <t>Sí</t>
        </is>
      </c>
      <c r="I2418" s="18" t="inlineStr"/>
      <c r="J2418" s="18" t="inlineStr"/>
      <c r="K2418" s="18" t="inlineStr"/>
      <c r="L2418" s="18" t="inlineStr">
        <is>
          <t>No</t>
        </is>
      </c>
      <c r="M2418" s="18" t="inlineStr">
        <is>
          <t>No</t>
        </is>
      </c>
      <c r="N2418" s="18" t="inlineStr"/>
      <c r="O2418" s="18" t="inlineStr"/>
      <c r="P2418" s="18" t="inlineStr">
        <is>
          <t>Mapeada en audit-service/src/audit/entities/request-log.entity.ts:93 (RequestLog.errorMessage) | Validación: IsOptional, IsString</t>
        </is>
      </c>
      <c r="Q2418" s="18" t="inlineStr">
        <is>
          <t>Propuesta semántica</t>
        </is>
      </c>
      <c r="R2418" s="18" t="inlineStr">
        <is>
          <t>Mensaje de error devuelto cuando la petición falla.</t>
        </is>
      </c>
      <c r="S2418" s="18" t="inlineStr">
        <is>
          <t>Alta</t>
        </is>
      </c>
      <c r="T2418" s="18" t="inlineStr">
        <is>
          <t>nombre + tipo + columnas vecinas</t>
        </is>
      </c>
      <c r="U2418" s="18" t="inlineStr"/>
      <c r="V2418" s="19" t="inlineStr">
        <is>
          <t>Aprobada</t>
        </is>
      </c>
      <c r="W2418" s="19" t="inlineStr"/>
      <c r="X2418" s="19" t="inlineStr">
        <is>
          <t>Aldair González (aprobación en bloque)</t>
        </is>
      </c>
      <c r="Y2418" s="20" t="n">
        <v>46321</v>
      </c>
      <c r="Z2418" s="19" t="inlineStr">
        <is>
          <t>Nivel 1: propuesta del comentario del desarrollador o de confianza alta, o regla de fecha/responsable/motivo.</t>
        </is>
      </c>
      <c r="AA2418" s="18">
        <f>IF(OR(V2418="Aprobada"),R2418,IF(AND(OR(V2418="Aprobada con ajuste",V2418="Rechazada"),W2418&lt;&gt;""),W2418,""))</f>
        <v/>
      </c>
    </row>
    <row r="2419">
      <c r="A2419" s="18" t="inlineStr">
        <is>
          <t>C2418</t>
        </is>
      </c>
      <c r="B2419" s="18" t="inlineStr">
        <is>
          <t>Auditoría y trazabilidad</t>
        </is>
      </c>
      <c r="C2419" s="18" t="inlineStr">
        <is>
          <t>audit</t>
        </is>
      </c>
      <c r="D2419" s="18" t="inlineStr">
        <is>
          <t>request_logs</t>
        </is>
      </c>
      <c r="E2419" s="18" t="n">
        <v>74668</v>
      </c>
      <c r="F2419" s="18" t="inlineStr">
        <is>
          <t>error_stack</t>
        </is>
      </c>
      <c r="G2419" s="18" t="inlineStr">
        <is>
          <t>text</t>
        </is>
      </c>
      <c r="H2419" s="18" t="inlineStr">
        <is>
          <t>Sí</t>
        </is>
      </c>
      <c r="I2419" s="18" t="inlineStr"/>
      <c r="J2419" s="18" t="inlineStr"/>
      <c r="K2419" s="18" t="inlineStr"/>
      <c r="L2419" s="18" t="inlineStr">
        <is>
          <t>No</t>
        </is>
      </c>
      <c r="M2419" s="18" t="inlineStr">
        <is>
          <t>No</t>
        </is>
      </c>
      <c r="N2419" s="18" t="inlineStr"/>
      <c r="O2419" s="18" t="inlineStr"/>
      <c r="P2419" s="18" t="inlineStr">
        <is>
          <t>Mapeada en audit-service/src/audit/entities/request-log.entity.ts:96 (RequestLog.errorStack) | Validación: IsOptional, IsString</t>
        </is>
      </c>
      <c r="Q2419" s="18" t="inlineStr">
        <is>
          <t>Propuesta semántica</t>
        </is>
      </c>
      <c r="R2419" s="18" t="inlineStr">
        <is>
          <t>Traza de la pila del error cuando la petición falla.</t>
        </is>
      </c>
      <c r="S2419" s="18" t="inlineStr">
        <is>
          <t>Alta</t>
        </is>
      </c>
      <c r="T2419" s="18" t="inlineStr">
        <is>
          <t>nombre + tipo + columnas vecinas</t>
        </is>
      </c>
      <c r="U2419" s="18" t="inlineStr"/>
      <c r="V2419" s="19" t="inlineStr">
        <is>
          <t>Aprobada</t>
        </is>
      </c>
      <c r="W2419" s="19" t="inlineStr"/>
      <c r="X2419" s="19" t="inlineStr">
        <is>
          <t>Aldair González (aprobación en bloque)</t>
        </is>
      </c>
      <c r="Y2419" s="20" t="n">
        <v>46321</v>
      </c>
      <c r="Z2419" s="19" t="inlineStr">
        <is>
          <t>Nivel 1: propuesta del comentario del desarrollador o de confianza alta, o regla de fecha/responsable/motivo.</t>
        </is>
      </c>
      <c r="AA2419" s="18">
        <f>IF(OR(V2419="Aprobada"),R2419,IF(AND(OR(V2419="Aprobada con ajuste",V2419="Rechazada"),W2419&lt;&gt;""),W2419,""))</f>
        <v/>
      </c>
    </row>
    <row r="2420">
      <c r="A2420" s="18" t="inlineStr">
        <is>
          <t>C2419</t>
        </is>
      </c>
      <c r="B2420" s="18" t="inlineStr">
        <is>
          <t>Esquema público</t>
        </is>
      </c>
      <c r="C2420" s="18" t="inlineStr">
        <is>
          <t>public</t>
        </is>
      </c>
      <c r="D2420" s="18" t="inlineStr">
        <is>
          <t>config_entes_control</t>
        </is>
      </c>
      <c r="E2420" s="18" t="n">
        <v>4</v>
      </c>
      <c r="F2420" s="18" t="inlineStr">
        <is>
          <t>codigo</t>
        </is>
      </c>
      <c r="G2420" s="18" t="inlineStr">
        <is>
          <t>character varying(50)</t>
        </is>
      </c>
      <c r="H2420" s="18" t="inlineStr">
        <is>
          <t>No</t>
        </is>
      </c>
      <c r="I2420" s="18" t="inlineStr">
        <is>
          <t>Única</t>
        </is>
      </c>
      <c r="J2420" s="18" t="inlineStr"/>
      <c r="K2420" s="18" t="inlineStr"/>
      <c r="L2420" s="18" t="inlineStr">
        <is>
          <t>Sí</t>
        </is>
      </c>
      <c r="M2420" s="18" t="inlineStr">
        <is>
          <t>No</t>
        </is>
      </c>
      <c r="N2420" s="18" t="inlineStr"/>
      <c r="O2420" s="18" t="inlineStr">
        <is>
          <t>config_entes_control_codigo_key</t>
        </is>
      </c>
      <c r="P2420" s="18" t="inlineStr">
        <is>
          <t>db/migrations/005_add_config_entes_control.sql:21: e.g., 'CONTRALORIA', 'PROCURADURIA'</t>
        </is>
      </c>
      <c r="Q2420" s="18" t="inlineStr">
        <is>
          <t>Código fuente</t>
        </is>
      </c>
      <c r="R2420" s="18" t="inlineStr">
        <is>
          <t>Código único del ente de control (por ejemplo, CONTRALORIA, PROCURADURIA).</t>
        </is>
      </c>
      <c r="S2420" s="18" t="inlineStr">
        <is>
          <t>Alta</t>
        </is>
      </c>
      <c r="T2420" s="18" t="inlineStr">
        <is>
          <t>código: db/migrations/005_add_config_entes_control.sql:21 + restricción única</t>
        </is>
      </c>
      <c r="U2420" s="18" t="inlineStr"/>
      <c r="V2420" s="19" t="inlineStr">
        <is>
          <t>Aprobada</t>
        </is>
      </c>
      <c r="W2420" s="19" t="inlineStr"/>
      <c r="X2420" s="19" t="inlineStr">
        <is>
          <t>Aldair González (aprobación en bloque)</t>
        </is>
      </c>
      <c r="Y2420" s="20" t="n">
        <v>46321</v>
      </c>
      <c r="Z2420" s="19" t="inlineStr">
        <is>
          <t>Nivel 1: propuesta del comentario del desarrollador o de confianza alta, o regla de fecha/responsable/motivo.</t>
        </is>
      </c>
      <c r="AA2420" s="18">
        <f>IF(OR(V2420="Aprobada"),R2420,IF(AND(OR(V2420="Aprobada con ajuste",V2420="Rechazada"),W2420&lt;&gt;""),W2420,""))</f>
        <v/>
      </c>
    </row>
    <row r="2421">
      <c r="A2421" s="18" t="inlineStr">
        <is>
          <t>C2420</t>
        </is>
      </c>
      <c r="B2421" s="18" t="inlineStr">
        <is>
          <t>Esquema público</t>
        </is>
      </c>
      <c r="C2421" s="18" t="inlineStr">
        <is>
          <t>public</t>
        </is>
      </c>
      <c r="D2421" s="18" t="inlineStr">
        <is>
          <t>config_entes_control</t>
        </is>
      </c>
      <c r="E2421" s="18" t="n">
        <v>4</v>
      </c>
      <c r="F2421" s="18" t="inlineStr">
        <is>
          <t>nombre</t>
        </is>
      </c>
      <c r="G2421" s="18" t="inlineStr">
        <is>
          <t>character varying(255)</t>
        </is>
      </c>
      <c r="H2421" s="18" t="inlineStr">
        <is>
          <t>No</t>
        </is>
      </c>
      <c r="I2421" s="18" t="inlineStr"/>
      <c r="J2421" s="18" t="inlineStr"/>
      <c r="K2421" s="18" t="inlineStr"/>
      <c r="L2421" s="18" t="inlineStr">
        <is>
          <t>Sí</t>
        </is>
      </c>
      <c r="M2421" s="18" t="inlineStr">
        <is>
          <t>No</t>
        </is>
      </c>
      <c r="N2421" s="18" t="inlineStr"/>
      <c r="O2421" s="18" t="inlineStr"/>
      <c r="P2421" s="18" t="inlineStr"/>
      <c r="Q2421" s="18" t="inlineStr">
        <is>
          <t>Regla estructural (redacción revisada)</t>
        </is>
      </c>
      <c r="R2421" s="18" t="inlineStr">
        <is>
          <t>Nombre del ente de control.</t>
        </is>
      </c>
      <c r="S2421" s="18" t="inlineStr">
        <is>
          <t>Alta</t>
        </is>
      </c>
      <c r="T2421" s="18" t="inlineStr">
        <is>
          <t>Convención de nombre, redactada con el contexto de la tabla y el código.</t>
        </is>
      </c>
      <c r="U2421" s="18" t="inlineStr"/>
      <c r="V2421" s="19" t="inlineStr">
        <is>
          <t>Aprobada</t>
        </is>
      </c>
      <c r="W2421" s="19" t="inlineStr"/>
      <c r="X2421" s="19" t="inlineStr">
        <is>
          <t>Aldair González (aprobación en bloque)</t>
        </is>
      </c>
      <c r="Y2421" s="20" t="n">
        <v>46321</v>
      </c>
      <c r="Z2421" s="19" t="inlineStr">
        <is>
          <t>Nivel 2: regla estructural con redacción revisada.</t>
        </is>
      </c>
      <c r="AA2421" s="18">
        <f>IF(OR(V2421="Aprobada"),R2421,IF(AND(OR(V2421="Aprobada con ajuste",V2421="Rechazada"),W2421&lt;&gt;""),W2421,""))</f>
        <v/>
      </c>
    </row>
    <row r="2422">
      <c r="A2422" s="18" t="inlineStr">
        <is>
          <t>C2421</t>
        </is>
      </c>
      <c r="B2422" s="18" t="inlineStr">
        <is>
          <t>Esquema público</t>
        </is>
      </c>
      <c r="C2422" s="18" t="inlineStr">
        <is>
          <t>public</t>
        </is>
      </c>
      <c r="D2422" s="18" t="inlineStr">
        <is>
          <t>config_entes_control</t>
        </is>
      </c>
      <c r="E2422" s="18" t="n">
        <v>4</v>
      </c>
      <c r="F2422" s="18" t="inlineStr">
        <is>
          <t>descripcion</t>
        </is>
      </c>
      <c r="G2422" s="18" t="inlineStr">
        <is>
          <t>text</t>
        </is>
      </c>
      <c r="H2422" s="18" t="inlineStr">
        <is>
          <t>Sí</t>
        </is>
      </c>
      <c r="I2422" s="18" t="inlineStr"/>
      <c r="J2422" s="18" t="inlineStr"/>
      <c r="K2422" s="18" t="inlineStr"/>
      <c r="L2422" s="18" t="inlineStr">
        <is>
          <t>Sí</t>
        </is>
      </c>
      <c r="M2422" s="18" t="inlineStr">
        <is>
          <t>No</t>
        </is>
      </c>
      <c r="N2422" s="18" t="inlineStr"/>
      <c r="O2422" s="18" t="inlineStr"/>
      <c r="P2422" s="18" t="inlineStr"/>
      <c r="Q2422" s="18" t="inlineStr">
        <is>
          <t>Regla estructural (redacción revisada)</t>
        </is>
      </c>
      <c r="R2422" s="18" t="inlineStr">
        <is>
          <t>Descripción del ente de control.</t>
        </is>
      </c>
      <c r="S2422" s="18" t="inlineStr">
        <is>
          <t>Alta</t>
        </is>
      </c>
      <c r="T2422" s="18" t="inlineStr">
        <is>
          <t>Convención de nombre, redactada con el contexto de la tabla y el código.</t>
        </is>
      </c>
      <c r="U2422" s="18" t="inlineStr"/>
      <c r="V2422" s="19" t="inlineStr">
        <is>
          <t>Aprobada</t>
        </is>
      </c>
      <c r="W2422" s="19" t="inlineStr"/>
      <c r="X2422" s="19" t="inlineStr">
        <is>
          <t>Aldair González (aprobación en bloque)</t>
        </is>
      </c>
      <c r="Y2422" s="20" t="n">
        <v>46321</v>
      </c>
      <c r="Z2422" s="19" t="inlineStr">
        <is>
          <t>Nivel 2: regla estructural con redacción revisada.</t>
        </is>
      </c>
      <c r="AA2422" s="18">
        <f>IF(OR(V2422="Aprobada"),R2422,IF(AND(OR(V2422="Aprobada con ajuste",V2422="Rechazada"),W2422&lt;&gt;""),W2422,""))</f>
        <v/>
      </c>
    </row>
    <row r="2423">
      <c r="A2423" s="18" t="inlineStr">
        <is>
          <t>C2422</t>
        </is>
      </c>
      <c r="B2423" s="18" t="inlineStr">
        <is>
          <t>Esquema público</t>
        </is>
      </c>
      <c r="C2423" s="18" t="inlineStr">
        <is>
          <t>public</t>
        </is>
      </c>
      <c r="D2423" s="18" t="inlineStr">
        <is>
          <t>config_entes_control</t>
        </is>
      </c>
      <c r="E2423" s="18" t="n">
        <v>4</v>
      </c>
      <c r="F2423" s="18" t="inlineStr">
        <is>
          <t>color</t>
        </is>
      </c>
      <c r="G2423" s="18" t="inlineStr">
        <is>
          <t>character varying(20)</t>
        </is>
      </c>
      <c r="H2423" s="18" t="inlineStr">
        <is>
          <t>Sí</t>
        </is>
      </c>
      <c r="I2423" s="18" t="inlineStr"/>
      <c r="J2423" s="18" t="inlineStr"/>
      <c r="K2423" s="18" t="inlineStr"/>
      <c r="L2423" s="18" t="inlineStr">
        <is>
          <t>Sí</t>
        </is>
      </c>
      <c r="M2423" s="18" t="inlineStr">
        <is>
          <t>No</t>
        </is>
      </c>
      <c r="N2423" s="18" t="inlineStr"/>
      <c r="O2423" s="18" t="inlineStr"/>
      <c r="P2423" s="18" t="inlineStr"/>
      <c r="Q2423" s="18" t="inlineStr">
        <is>
          <t>Propuesta semántica</t>
        </is>
      </c>
      <c r="R2423" s="18" t="inlineStr">
        <is>
          <t>Color con que se identifica el ente de control en la interfaz, en código hexadecimal. Por defecto, #3B82F6.</t>
        </is>
      </c>
      <c r="S2423" s="18" t="inlineStr">
        <is>
          <t>Alta</t>
        </is>
      </c>
      <c r="T2423" s="18" t="inlineStr">
        <is>
          <t>nombre + tipo + defecto</t>
        </is>
      </c>
      <c r="U2423" s="18" t="inlineStr"/>
      <c r="V2423" s="19" t="inlineStr">
        <is>
          <t>Aprobada</t>
        </is>
      </c>
      <c r="W2423" s="19" t="inlineStr"/>
      <c r="X2423" s="19" t="inlineStr">
        <is>
          <t>Aldair González (aprobación en bloque)</t>
        </is>
      </c>
      <c r="Y2423" s="20" t="n">
        <v>46321</v>
      </c>
      <c r="Z2423" s="19" t="inlineStr">
        <is>
          <t>Nivel 1: propuesta del comentario del desarrollador o de confianza alta, o regla de fecha/responsable/motivo.</t>
        </is>
      </c>
      <c r="AA2423" s="18">
        <f>IF(OR(V2423="Aprobada"),R2423,IF(AND(OR(V2423="Aprobada con ajuste",V2423="Rechazada"),W2423&lt;&gt;""),W2423,""))</f>
        <v/>
      </c>
    </row>
    <row r="2424">
      <c r="A2424" s="18" t="inlineStr">
        <is>
          <t>C2423</t>
        </is>
      </c>
      <c r="B2424" s="18" t="inlineStr">
        <is>
          <t>Esquema público</t>
        </is>
      </c>
      <c r="C2424" s="18" t="inlineStr">
        <is>
          <t>public</t>
        </is>
      </c>
      <c r="D2424" s="18" t="inlineStr">
        <is>
          <t>config_entes_control</t>
        </is>
      </c>
      <c r="E2424" s="18" t="n">
        <v>4</v>
      </c>
      <c r="F2424" s="18" t="inlineStr">
        <is>
          <t>orden</t>
        </is>
      </c>
      <c r="G2424" s="18" t="inlineStr">
        <is>
          <t>integer</t>
        </is>
      </c>
      <c r="H2424" s="18" t="inlineStr">
        <is>
          <t>Sí</t>
        </is>
      </c>
      <c r="I2424" s="18" t="inlineStr"/>
      <c r="J2424" s="18" t="inlineStr"/>
      <c r="K2424" s="18" t="inlineStr"/>
      <c r="L2424" s="18" t="inlineStr">
        <is>
          <t>Sí</t>
        </is>
      </c>
      <c r="M2424" s="18" t="inlineStr">
        <is>
          <t>No</t>
        </is>
      </c>
      <c r="N2424" s="18" t="inlineStr"/>
      <c r="O2424" s="18" t="inlineStr"/>
      <c r="P2424" s="18" t="inlineStr"/>
      <c r="Q2424" s="18" t="inlineStr">
        <is>
          <t>Regla estructural (redacción revisada)</t>
        </is>
      </c>
      <c r="R2424" s="18" t="inlineStr">
        <is>
          <t>Posición del ente de control en el listado.</t>
        </is>
      </c>
      <c r="S2424" s="18" t="inlineStr">
        <is>
          <t>Alta</t>
        </is>
      </c>
      <c r="T2424" s="18" t="inlineStr">
        <is>
          <t>Convención de nombre, redactada con el contexto de la tabla y el código.</t>
        </is>
      </c>
      <c r="U2424" s="18" t="inlineStr"/>
      <c r="V2424" s="19" t="inlineStr">
        <is>
          <t>Aprobada</t>
        </is>
      </c>
      <c r="W2424" s="19" t="inlineStr"/>
      <c r="X2424" s="19" t="inlineStr">
        <is>
          <t>Aldair González (aprobación en bloque)</t>
        </is>
      </c>
      <c r="Y2424" s="20" t="n">
        <v>46321</v>
      </c>
      <c r="Z2424" s="19" t="inlineStr">
        <is>
          <t>Nivel 2: regla estructural con redacción revisada.</t>
        </is>
      </c>
      <c r="AA2424" s="18">
        <f>IF(OR(V2424="Aprobada"),R2424,IF(AND(OR(V2424="Aprobada con ajuste",V2424="Rechazada"),W2424&lt;&gt;""),W2424,""))</f>
        <v/>
      </c>
    </row>
    <row r="2425">
      <c r="A2425" s="18" t="inlineStr">
        <is>
          <t>C2424</t>
        </is>
      </c>
      <c r="B2425" s="18" t="inlineStr">
        <is>
          <t>Esquema público</t>
        </is>
      </c>
      <c r="C2425" s="18" t="inlineStr">
        <is>
          <t>public</t>
        </is>
      </c>
      <c r="D2425" s="18" t="inlineStr">
        <is>
          <t>config_entes_control</t>
        </is>
      </c>
      <c r="E2425" s="18" t="n">
        <v>4</v>
      </c>
      <c r="F2425" s="18" t="inlineStr">
        <is>
          <t>activo</t>
        </is>
      </c>
      <c r="G2425" s="18" t="inlineStr">
        <is>
          <t>boolean</t>
        </is>
      </c>
      <c r="H2425" s="18" t="inlineStr">
        <is>
          <t>Sí</t>
        </is>
      </c>
      <c r="I2425" s="18" t="inlineStr"/>
      <c r="J2425" s="18" t="inlineStr"/>
      <c r="K2425" s="18" t="inlineStr"/>
      <c r="L2425" s="18" t="inlineStr">
        <is>
          <t>Sí</t>
        </is>
      </c>
      <c r="M2425" s="18" t="inlineStr">
        <is>
          <t>No</t>
        </is>
      </c>
      <c r="N2425" s="18" t="inlineStr"/>
      <c r="O2425" s="18" t="inlineStr"/>
      <c r="P2425" s="18" t="inlineStr"/>
      <c r="Q2425" s="18" t="inlineStr">
        <is>
          <t>Regla estructural (redacción revisada)</t>
        </is>
      </c>
      <c r="R2425" s="18" t="inlineStr">
        <is>
          <t>Indica si el ente de control está activo.</t>
        </is>
      </c>
      <c r="S2425" s="18" t="inlineStr">
        <is>
          <t>Alta</t>
        </is>
      </c>
      <c r="T2425" s="18" t="inlineStr">
        <is>
          <t>Convención de nombre, redactada con el contexto de la tabla y el código.</t>
        </is>
      </c>
      <c r="U2425" s="18" t="inlineStr"/>
      <c r="V2425" s="19" t="inlineStr">
        <is>
          <t>Aprobada</t>
        </is>
      </c>
      <c r="W2425" s="19" t="inlineStr"/>
      <c r="X2425" s="19" t="inlineStr">
        <is>
          <t>Aldair González (aprobación en bloque)</t>
        </is>
      </c>
      <c r="Y2425" s="20" t="n">
        <v>46321</v>
      </c>
      <c r="Z2425" s="19" t="inlineStr">
        <is>
          <t>Nivel 2: regla estructural con redacción revisada.</t>
        </is>
      </c>
      <c r="AA2425" s="18">
        <f>IF(OR(V2425="Aprobada"),R2425,IF(AND(OR(V2425="Aprobada con ajuste",V2425="Rechazada"),W2425&lt;&gt;""),W2425,""))</f>
        <v/>
      </c>
    </row>
    <row r="2426">
      <c r="A2426" s="18" t="inlineStr">
        <is>
          <t>C2425</t>
        </is>
      </c>
      <c r="B2426" s="18" t="inlineStr">
        <is>
          <t>Esquema público</t>
        </is>
      </c>
      <c r="C2426" s="18" t="inlineStr">
        <is>
          <t>public</t>
        </is>
      </c>
      <c r="D2426" s="18" t="inlineStr">
        <is>
          <t>stage_configuration</t>
        </is>
      </c>
      <c r="E2426" s="18" t="n">
        <v>7</v>
      </c>
      <c r="F2426" s="18" t="inlineStr">
        <is>
          <t>etapa</t>
        </is>
      </c>
      <c r="G2426" s="18" t="inlineStr">
        <is>
          <t>character varying</t>
        </is>
      </c>
      <c r="H2426" s="18" t="inlineStr">
        <is>
          <t>No</t>
        </is>
      </c>
      <c r="I2426" s="18" t="inlineStr"/>
      <c r="J2426" s="18" t="inlineStr"/>
      <c r="K2426" s="18" t="inlineStr"/>
      <c r="L2426" s="18" t="inlineStr">
        <is>
          <t>No</t>
        </is>
      </c>
      <c r="M2426" s="18" t="inlineStr">
        <is>
          <t>No</t>
        </is>
      </c>
      <c r="N2426" s="18" t="inlineStr"/>
      <c r="O2426" s="18" t="inlineStr"/>
      <c r="P2426" s="18" t="inlineStr"/>
      <c r="Q2426" s="18" t="inlineStr">
        <is>
          <t>Código fuente (verificado)</t>
        </is>
      </c>
      <c r="R2426" s="18" t="inlineStr">
        <is>
          <t>Nombre de la etapa del proceso disciplinario configurada, con sus días hábiles. La tabla se creó con la configuración del módulo de control disciplinario interno.</t>
        </is>
      </c>
      <c r="S2426" s="18" t="inlineStr">
        <is>
          <t>Alta</t>
        </is>
      </c>
      <c r="T2426" s="18" t="inlineStr">
        <is>
          <t>db/migrations/old/011_create_configuration_tables.sql:12 creación de stage_configuration sin esquema | db/migrations/old/011_create_configuration_tables.sql:24 etapas del proceso disciplinario | backend/internal-disciplinary-control-service/src/entities/stage-configuration.entity.ts:9 entidad del servicio disciplinario, esquema tomado de DB_SCHEMA</t>
        </is>
      </c>
      <c r="U2426" s="18" t="inlineStr"/>
      <c r="V2426" s="19" t="inlineStr">
        <is>
          <t>Aprobada</t>
        </is>
      </c>
      <c r="W2426" s="19" t="inlineStr"/>
      <c r="X2426" s="19" t="inlineStr">
        <is>
          <t>Aldair González (aprobación en bloque)</t>
        </is>
      </c>
      <c r="Y2426" s="20" t="n">
        <v>46321</v>
      </c>
      <c r="Z2426" s="19" t="inlineStr">
        <is>
          <t>Nivel 3: verificada con el código de la aplicación.</t>
        </is>
      </c>
      <c r="AA2426" s="18">
        <f>IF(OR(V2426="Aprobada"),R2426,IF(AND(OR(V2426="Aprobada con ajuste",V2426="Rechazada"),W2426&lt;&gt;""),W2426,""))</f>
        <v/>
      </c>
    </row>
    <row r="2427">
      <c r="A2427" s="18" t="inlineStr">
        <is>
          <t>C2426</t>
        </is>
      </c>
      <c r="B2427" s="18" t="inlineStr">
        <is>
          <t>Esquema público</t>
        </is>
      </c>
      <c r="C2427" s="18" t="inlineStr">
        <is>
          <t>public</t>
        </is>
      </c>
      <c r="D2427" s="18" t="inlineStr">
        <is>
          <t>stage_configuration</t>
        </is>
      </c>
      <c r="E2427" s="18" t="n">
        <v>7</v>
      </c>
      <c r="F2427" s="18" t="inlineStr">
        <is>
          <t>diasHabiles</t>
        </is>
      </c>
      <c r="G2427" s="18" t="inlineStr">
        <is>
          <t>integer</t>
        </is>
      </c>
      <c r="H2427" s="18" t="inlineStr">
        <is>
          <t>No</t>
        </is>
      </c>
      <c r="I2427" s="18" t="inlineStr"/>
      <c r="J2427" s="18" t="inlineStr"/>
      <c r="K2427" s="18" t="inlineStr"/>
      <c r="L2427" s="18" t="inlineStr">
        <is>
          <t>No</t>
        </is>
      </c>
      <c r="M2427" s="18" t="inlineStr">
        <is>
          <t>No</t>
        </is>
      </c>
      <c r="N2427" s="18" t="inlineStr"/>
      <c r="O2427" s="18" t="inlineStr"/>
      <c r="P2427" s="18" t="inlineStr"/>
      <c r="Q2427" s="18" t="inlineStr">
        <is>
          <t>Propuesta semántica</t>
        </is>
      </c>
      <c r="R2427" s="18" t="inlineStr">
        <is>
          <t>Número de días hábiles asignados a la etapa. Por defecto, 30.</t>
        </is>
      </c>
      <c r="S2427" s="18" t="inlineStr">
        <is>
          <t>Alta</t>
        </is>
      </c>
      <c r="T2427" s="18" t="inlineStr">
        <is>
          <t>nombre + tipo + defecto</t>
        </is>
      </c>
      <c r="U2427" s="18" t="inlineStr"/>
      <c r="V2427" s="19" t="inlineStr">
        <is>
          <t>Aprobada</t>
        </is>
      </c>
      <c r="W2427" s="19" t="inlineStr"/>
      <c r="X2427" s="19" t="inlineStr">
        <is>
          <t>Aldair González (aprobación en bloque)</t>
        </is>
      </c>
      <c r="Y2427" s="20" t="n">
        <v>46321</v>
      </c>
      <c r="Z2427" s="19" t="inlineStr">
        <is>
          <t>Nivel 1: propuesta del comentario del desarrollador o de confianza alta, o regla de fecha/responsable/motivo.</t>
        </is>
      </c>
      <c r="AA2427" s="18">
        <f>IF(OR(V2427="Aprobada"),R2427,IF(AND(OR(V2427="Aprobada con ajuste",V2427="Rechazada"),W2427&lt;&gt;""),W2427,""))</f>
        <v/>
      </c>
    </row>
    <row r="2428">
      <c r="A2428" s="18" t="inlineStr">
        <is>
          <t>C2427</t>
        </is>
      </c>
      <c r="B2428" s="18" t="inlineStr">
        <is>
          <t>Esquema público</t>
        </is>
      </c>
      <c r="C2428" s="18" t="inlineStr">
        <is>
          <t>public</t>
        </is>
      </c>
      <c r="D2428" s="18" t="inlineStr">
        <is>
          <t>stage_configuration</t>
        </is>
      </c>
      <c r="E2428" s="18" t="n">
        <v>7</v>
      </c>
      <c r="F2428" s="18" t="inlineStr">
        <is>
          <t>descripcion</t>
        </is>
      </c>
      <c r="G2428" s="18" t="inlineStr">
        <is>
          <t>text</t>
        </is>
      </c>
      <c r="H2428" s="18" t="inlineStr">
        <is>
          <t>Sí</t>
        </is>
      </c>
      <c r="I2428" s="18" t="inlineStr"/>
      <c r="J2428" s="18" t="inlineStr"/>
      <c r="K2428" s="18" t="inlineStr"/>
      <c r="L2428" s="18" t="inlineStr">
        <is>
          <t>No</t>
        </is>
      </c>
      <c r="M2428" s="18" t="inlineStr">
        <is>
          <t>No</t>
        </is>
      </c>
      <c r="N2428" s="18" t="inlineStr"/>
      <c r="O2428" s="18" t="inlineStr"/>
      <c r="P2428" s="18" t="inlineStr"/>
      <c r="Q2428" s="18" t="inlineStr">
        <is>
          <t>Regla estructural (redacción revisada)</t>
        </is>
      </c>
      <c r="R2428" s="18" t="inlineStr">
        <is>
          <t>Descripción de la etapa.</t>
        </is>
      </c>
      <c r="S2428" s="18" t="inlineStr">
        <is>
          <t>Alta</t>
        </is>
      </c>
      <c r="T2428" s="18" t="inlineStr">
        <is>
          <t>Convención de nombre, redactada con el contexto de la tabla y el código.</t>
        </is>
      </c>
      <c r="U2428" s="18" t="inlineStr"/>
      <c r="V2428" s="19" t="inlineStr">
        <is>
          <t>Aprobada</t>
        </is>
      </c>
      <c r="W2428" s="19" t="inlineStr"/>
      <c r="X2428" s="19" t="inlineStr">
        <is>
          <t>Aldair González (aprobación en bloque)</t>
        </is>
      </c>
      <c r="Y2428" s="20" t="n">
        <v>46321</v>
      </c>
      <c r="Z2428" s="19" t="inlineStr">
        <is>
          <t>Nivel 2: regla estructural con redacción revisada.</t>
        </is>
      </c>
      <c r="AA2428" s="18">
        <f>IF(OR(V2428="Aprobada"),R2428,IF(AND(OR(V2428="Aprobada con ajuste",V2428="Rechazada"),W2428&lt;&gt;""),W2428,""))</f>
        <v/>
      </c>
    </row>
    <row r="2429">
      <c r="A2429" s="18" t="inlineStr">
        <is>
          <t>C2428</t>
        </is>
      </c>
      <c r="B2429" s="18" t="inlineStr">
        <is>
          <t>Esquema público</t>
        </is>
      </c>
      <c r="C2429" s="18" t="inlineStr">
        <is>
          <t>public</t>
        </is>
      </c>
      <c r="D2429" s="18" t="inlineStr">
        <is>
          <t>stage_configuration</t>
        </is>
      </c>
      <c r="E2429" s="18" t="n">
        <v>7</v>
      </c>
      <c r="F2429" s="18" t="inlineStr">
        <is>
          <t>activo</t>
        </is>
      </c>
      <c r="G2429" s="18" t="inlineStr">
        <is>
          <t>boolean</t>
        </is>
      </c>
      <c r="H2429" s="18" t="inlineStr">
        <is>
          <t>No</t>
        </is>
      </c>
      <c r="I2429" s="18" t="inlineStr"/>
      <c r="J2429" s="18" t="inlineStr"/>
      <c r="K2429" s="18" t="inlineStr"/>
      <c r="L2429" s="18" t="inlineStr">
        <is>
          <t>No</t>
        </is>
      </c>
      <c r="M2429" s="18" t="inlineStr">
        <is>
          <t>No</t>
        </is>
      </c>
      <c r="N2429" s="18" t="inlineStr"/>
      <c r="O2429" s="18" t="inlineStr"/>
      <c r="P2429" s="18" t="inlineStr"/>
      <c r="Q2429" s="18" t="inlineStr">
        <is>
          <t>Regla estructural (redacción revisada)</t>
        </is>
      </c>
      <c r="R2429" s="18" t="inlineStr">
        <is>
          <t>Indica si la configuración de la etapa está activa.</t>
        </is>
      </c>
      <c r="S2429" s="18" t="inlineStr">
        <is>
          <t>Alta</t>
        </is>
      </c>
      <c r="T2429" s="18" t="inlineStr">
        <is>
          <t>Convención de nombre, redactada con el contexto de la tabla y el código.</t>
        </is>
      </c>
      <c r="U2429" s="18" t="inlineStr"/>
      <c r="V2429" s="19" t="inlineStr">
        <is>
          <t>Aprobada</t>
        </is>
      </c>
      <c r="W2429" s="19" t="inlineStr"/>
      <c r="X2429" s="19" t="inlineStr">
        <is>
          <t>Aldair González (aprobación en bloque)</t>
        </is>
      </c>
      <c r="Y2429" s="20" t="n">
        <v>46321</v>
      </c>
      <c r="Z2429" s="19" t="inlineStr">
        <is>
          <t>Nivel 2: regla estructural con redacción revisada.</t>
        </is>
      </c>
      <c r="AA2429" s="18">
        <f>IF(OR(V2429="Aprobada"),R2429,IF(AND(OR(V2429="Aprobada con ajuste",V2429="Rechazada"),W2429&lt;&gt;""),W2429,""))</f>
        <v/>
      </c>
    </row>
    <row r="2430">
      <c r="A2430" s="18" t="inlineStr">
        <is>
          <t>C2429</t>
        </is>
      </c>
      <c r="B2430" s="18" t="inlineStr">
        <is>
          <t>Esquema público</t>
        </is>
      </c>
      <c r="C2430" s="18" t="inlineStr">
        <is>
          <t>public</t>
        </is>
      </c>
      <c r="D2430" s="18" t="inlineStr">
        <is>
          <t>system_configuration</t>
        </is>
      </c>
      <c r="E2430" s="18" t="n">
        <v>1</v>
      </c>
      <c r="F2430" s="18" t="inlineStr">
        <is>
          <t>roleCapacities</t>
        </is>
      </c>
      <c r="G2430" s="18" t="inlineStr">
        <is>
          <t>jsonb</t>
        </is>
      </c>
      <c r="H2430" s="18" t="inlineStr">
        <is>
          <t>No</t>
        </is>
      </c>
      <c r="I2430" s="18" t="inlineStr"/>
      <c r="J2430" s="18" t="inlineStr"/>
      <c r="K2430" s="18" t="inlineStr"/>
      <c r="L2430" s="18" t="inlineStr">
        <is>
          <t>Sí</t>
        </is>
      </c>
      <c r="M2430" s="18" t="inlineStr">
        <is>
          <t>No</t>
        </is>
      </c>
      <c r="N2430" s="18" t="inlineStr"/>
      <c r="O2430" s="18" t="inlineStr"/>
      <c r="P2430" s="18" t="inlineStr"/>
      <c r="Q2430" s="18" t="inlineStr">
        <is>
          <t>Código fuente (verificado)</t>
        </is>
      </c>
      <c r="R2430" s="18" t="inlineStr">
        <is>
          <t>Capacidad de procesos por cargo del módulo de control disciplinario interno, en formato JSON: cada clave es un cargo y su valor la capacidad.</t>
        </is>
      </c>
      <c r="S2430" s="18" t="inlineStr">
        <is>
          <t>Alta</t>
        </is>
      </c>
      <c r="T2430" s="18" t="inlineStr">
        <is>
          <t>db/migrations/old/011_create_configuration_tables.sql:2 creación de system_configuration sin esquema | backend/internal-disciplinary-control-service/src/entities/system-configuration.entity.ts:8 capacidad por cargo, por ejemplo profesional: 10 | db/migrations/135_migrate_role_capacities_structure.sql:3 en internal_disciplinary_control la estructura pasó a nombre, capacidad y activo</t>
        </is>
      </c>
      <c r="U2430" s="18" t="inlineStr"/>
      <c r="V2430" s="19" t="inlineStr">
        <is>
          <t>Aprobada</t>
        </is>
      </c>
      <c r="W2430" s="19" t="inlineStr"/>
      <c r="X2430" s="19" t="inlineStr">
        <is>
          <t>Aldair González (aprobación en bloque)</t>
        </is>
      </c>
      <c r="Y2430" s="20" t="n">
        <v>46321</v>
      </c>
      <c r="Z2430" s="19" t="inlineStr">
        <is>
          <t>Nivel 3: verificada con el código de la aplicación.</t>
        </is>
      </c>
      <c r="AA2430" s="18">
        <f>IF(OR(V2430="Aprobada"),R2430,IF(AND(OR(V2430="Aprobada con ajuste",V2430="Rechazada"),W2430&lt;&gt;""),W2430,""))</f>
        <v/>
      </c>
    </row>
    <row r="2431">
      <c r="A2431" s="18" t="inlineStr">
        <is>
          <t>C2430</t>
        </is>
      </c>
      <c r="B2431" s="18" t="inlineStr">
        <is>
          <t>Esquema público</t>
        </is>
      </c>
      <c r="C2431" s="18" t="inlineStr">
        <is>
          <t>public</t>
        </is>
      </c>
      <c r="D2431" s="18" t="inlineStr">
        <is>
          <t>system_configuration</t>
        </is>
      </c>
      <c r="E2431" s="18" t="n">
        <v>1</v>
      </c>
      <c r="F2431" s="18" t="inlineStr">
        <is>
          <t>notificationSettings</t>
        </is>
      </c>
      <c r="G2431" s="18" t="inlineStr">
        <is>
          <t>jsonb</t>
        </is>
      </c>
      <c r="H2431" s="18" t="inlineStr">
        <is>
          <t>No</t>
        </is>
      </c>
      <c r="I2431" s="18" t="inlineStr"/>
      <c r="J2431" s="18" t="inlineStr"/>
      <c r="K2431" s="18" t="inlineStr"/>
      <c r="L2431" s="18" t="inlineStr">
        <is>
          <t>Sí</t>
        </is>
      </c>
      <c r="M2431" s="18" t="inlineStr">
        <is>
          <t>No</t>
        </is>
      </c>
      <c r="N2431" s="18" t="inlineStr"/>
      <c r="O2431" s="18" t="inlineStr"/>
      <c r="P2431" s="18" t="inlineStr"/>
      <c r="Q2431" s="18" t="inlineStr">
        <is>
          <t>Código fuente (verificado)</t>
        </is>
      </c>
      <c r="R2431" s="18" t="inlineStr">
        <is>
          <t>Configuración de notificaciones del módulo de control disciplinario interno, en formato JSON: interruptores booleanos como vencimiento7dias, procesoVencido, cambioEtapa, resumenDiario o emailMasterSwitch.</t>
        </is>
      </c>
      <c r="S2431" s="18" t="inlineStr">
        <is>
          <t>Alta</t>
        </is>
      </c>
      <c r="T2431" s="18" t="inlineStr">
        <is>
          <t>backend/internal-disciplinary-control-service/src/entities/system-configuration.entity.ts:13 Record&lt;string, boolean&gt; | db/migrations/old/011_create_configuration_tables.sql:44 claves de notificación por defecto</t>
        </is>
      </c>
      <c r="U2431" s="18" t="inlineStr"/>
      <c r="V2431" s="19" t="inlineStr">
        <is>
          <t>Aprobada</t>
        </is>
      </c>
      <c r="W2431" s="19" t="inlineStr"/>
      <c r="X2431" s="19" t="inlineStr">
        <is>
          <t>Aldair González (aprobación en bloque)</t>
        </is>
      </c>
      <c r="Y2431" s="20" t="n">
        <v>46321</v>
      </c>
      <c r="Z2431" s="19" t="inlineStr">
        <is>
          <t>Nivel 3: verificada con el código de la aplicación.</t>
        </is>
      </c>
      <c r="AA2431" s="18">
        <f>IF(OR(V2431="Aprobada"),R2431,IF(AND(OR(V2431="Aprobada con ajuste",V2431="Rechazada"),W2431&lt;&gt;""),W2431,""))</f>
        <v/>
      </c>
    </row>
    <row r="2432">
      <c r="A2432" s="18" t="inlineStr">
        <is>
          <t>C2431</t>
        </is>
      </c>
      <c r="B2432" s="18" t="inlineStr">
        <is>
          <t>Esquema público</t>
        </is>
      </c>
      <c r="C2432" s="18" t="inlineStr">
        <is>
          <t>public</t>
        </is>
      </c>
      <c r="D2432" s="18" t="inlineStr">
        <is>
          <t>system_configuration</t>
        </is>
      </c>
      <c r="E2432" s="18" t="n">
        <v>1</v>
      </c>
      <c r="F2432" s="18" t="inlineStr">
        <is>
          <t>alertSettings</t>
        </is>
      </c>
      <c r="G2432" s="18" t="inlineStr">
        <is>
          <t>jsonb</t>
        </is>
      </c>
      <c r="H2432" s="18" t="inlineStr">
        <is>
          <t>No</t>
        </is>
      </c>
      <c r="I2432" s="18" t="inlineStr"/>
      <c r="J2432" s="18" t="inlineStr"/>
      <c r="K2432" s="18" t="inlineStr"/>
      <c r="L2432" s="18" t="inlineStr">
        <is>
          <t>Sí</t>
        </is>
      </c>
      <c r="M2432" s="18" t="inlineStr">
        <is>
          <t>No</t>
        </is>
      </c>
      <c r="N2432" s="18" t="inlineStr"/>
      <c r="O2432" s="18" t="inlineStr"/>
      <c r="P2432" s="18" t="inlineStr"/>
      <c r="Q2432" s="18" t="inlineStr">
        <is>
          <t>Código fuente (verificado)</t>
        </is>
      </c>
      <c r="R2432" s="18" t="inlineStr">
        <is>
          <t>Configuración de alertas del módulo de control disciplinario interno, en formato JSON: umbrales numéricos como porcentajeRiesgo, porcentajeCritico, capacidadAlerta y diasAnticipacion.</t>
        </is>
      </c>
      <c r="S2432" s="18" t="inlineStr">
        <is>
          <t>Alta</t>
        </is>
      </c>
      <c r="T2432" s="18" t="inlineStr">
        <is>
          <t>backend/internal-disciplinary-control-service/src/entities/system-configuration.entity.ts:18 Record&lt;string, number&gt; | db/migrations/old/011_create_configuration_tables.sql:45 claves de alerta por defecto</t>
        </is>
      </c>
      <c r="U2432" s="18" t="inlineStr"/>
      <c r="V2432" s="19" t="inlineStr">
        <is>
          <t>Aprobada</t>
        </is>
      </c>
      <c r="W2432" s="19" t="inlineStr"/>
      <c r="X2432" s="19" t="inlineStr">
        <is>
          <t>Aldair González (aprobación en bloque)</t>
        </is>
      </c>
      <c r="Y2432" s="20" t="n">
        <v>46321</v>
      </c>
      <c r="Z2432" s="19" t="inlineStr">
        <is>
          <t>Nivel 3: verificada con el código de la aplicación.</t>
        </is>
      </c>
      <c r="AA2432" s="18">
        <f>IF(OR(V2432="Aprobada"),R2432,IF(AND(OR(V2432="Aprobada con ajuste",V2432="Rechazada"),W2432&lt;&gt;""),W2432,""))</f>
        <v/>
      </c>
    </row>
    <row r="2433">
      <c r="A2433" s="18" t="inlineStr">
        <is>
          <t>C2432</t>
        </is>
      </c>
      <c r="B2433" s="18" t="inlineStr">
        <is>
          <t>Esquema público</t>
        </is>
      </c>
      <c r="C2433" s="18" t="inlineStr">
        <is>
          <t>public</t>
        </is>
      </c>
      <c r="D2433" s="18" t="inlineStr">
        <is>
          <t>system_configuration</t>
        </is>
      </c>
      <c r="E2433" s="18" t="n">
        <v>1</v>
      </c>
      <c r="F2433" s="18" t="inlineStr">
        <is>
          <t>securitySettings</t>
        </is>
      </c>
      <c r="G2433" s="18" t="inlineStr">
        <is>
          <t>jsonb</t>
        </is>
      </c>
      <c r="H2433" s="18" t="inlineStr">
        <is>
          <t>No</t>
        </is>
      </c>
      <c r="I2433" s="18" t="inlineStr"/>
      <c r="J2433" s="18" t="inlineStr"/>
      <c r="K2433" s="18" t="inlineStr"/>
      <c r="L2433" s="18" t="inlineStr">
        <is>
          <t>Sí</t>
        </is>
      </c>
      <c r="M2433" s="18" t="inlineStr">
        <is>
          <t>No</t>
        </is>
      </c>
      <c r="N2433" s="18" t="inlineStr"/>
      <c r="O2433" s="18" t="inlineStr"/>
      <c r="P2433" s="18" t="inlineStr"/>
      <c r="Q2433" s="18" t="inlineStr">
        <is>
          <t>Código fuente (verificado)</t>
        </is>
      </c>
      <c r="R2433" s="18" t="inlineStr">
        <is>
          <t>Configuración de seguridad y auditoría del módulo de control disciplinario interno, en formato JSON: banderas auditEnabled, digitalSignature y backupEnabled.</t>
        </is>
      </c>
      <c r="S2433" s="18" t="inlineStr">
        <is>
          <t>Alta</t>
        </is>
      </c>
      <c r="T2433" s="18" t="inlineStr">
        <is>
          <t>backend/internal-disciplinary-control-service/src/entities/system-configuration.entity.ts:23 Record&lt;string, boolean&gt; | db/migrations/old/011_create_configuration_tables.sql:46 claves de seguridad por defecto</t>
        </is>
      </c>
      <c r="U2433" s="18" t="inlineStr"/>
      <c r="V2433" s="19" t="inlineStr">
        <is>
          <t>Aprobada</t>
        </is>
      </c>
      <c r="W2433" s="19" t="inlineStr"/>
      <c r="X2433" s="19" t="inlineStr">
        <is>
          <t>Aldair González (aprobación en bloque)</t>
        </is>
      </c>
      <c r="Y2433" s="20" t="n">
        <v>46321</v>
      </c>
      <c r="Z2433" s="19" t="inlineStr">
        <is>
          <t>Nivel 3: verificada con el código de la aplicación.</t>
        </is>
      </c>
      <c r="AA2433" s="18">
        <f>IF(OR(V2433="Aprobada"),R2433,IF(AND(OR(V2433="Aprobada con ajuste",V2433="Rechazada"),W2433&lt;&gt;""),W2433,""))</f>
        <v/>
      </c>
    </row>
  </sheetData>
  <autoFilter ref="A1:AA2433"/>
  <conditionalFormatting sqref="V2:V2433">
    <cfRule type="cellIs" priority="1" operator="equal" dxfId="0">
      <formula>"Aprobada"</formula>
    </cfRule>
    <cfRule type="cellIs" priority="2" operator="equal" dxfId="1">
      <formula>"Aprobada con ajuste"</formula>
    </cfRule>
    <cfRule type="cellIs" priority="3" operator="equal" dxfId="2">
      <formula>"Rechazada"</formula>
    </cfRule>
    <cfRule type="cellIs" priority="4" operator="equal" dxfId="3">
      <formula>"Requiere aclaración"</formula>
    </cfRule>
  </conditionalFormatting>
  <conditionalFormatting sqref="S2:S2433">
    <cfRule type="cellIs" priority="5" operator="equal" dxfId="4">
      <formula>"Baja"</formula>
    </cfRule>
  </conditionalFormatting>
  <conditionalFormatting sqref="W2:W2433">
    <cfRule type="expression" priority="6" dxfId="5">
      <formula>AND(OR($V2="Aprobada con ajuste",$V2="Rechazada"),$W2="")</formula>
    </cfRule>
  </conditionalFormatting>
  <dataValidations count="2">
    <dataValidation sqref="V2:V2433" showDropDown="0" showInputMessage="0" showErrorMessage="0" allowBlank="0" errorTitle="Decisión" error="Elija un valor de la lista." promptTitle="Decisión" prompt="Elija la decisión de la revisión" type="list">
      <formula1>"Pendiente,Aprobada,Aprobada con ajuste,Rechazada,Requiere aclaración"</formula1>
    </dataValidation>
    <dataValidation sqref="Y2:Y2433" showDropDown="0" showInputMessage="0" showErrorMessage="0" allowBlank="1" errorTitle="Fecha" error="Escriba una fecha (aaaa-mm-dd)." type="date" operator="greaterThan">
      <formula1>DATE(2026,1,1)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1"/>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6" customWidth="1" min="3" max="3"/>
    <col width="44" customWidth="1" min="4" max="4"/>
    <col width="16" customWidth="1" min="5" max="5"/>
    <col width="90" customWidth="1" min="6" max="6"/>
  </cols>
  <sheetData>
    <row r="1">
      <c r="A1" s="21" t="inlineStr">
        <is>
          <t>Esquema</t>
        </is>
      </c>
      <c r="B1" s="21" t="inlineStr">
        <is>
          <t>Tabla</t>
        </is>
      </c>
      <c r="C1" s="21" t="inlineStr">
        <is>
          <t>Columna</t>
        </is>
      </c>
      <c r="D1" s="21" t="inlineStr">
        <is>
          <t>Objeto</t>
        </is>
      </c>
      <c r="E1" s="21" t="inlineStr">
        <is>
          <t>Tipo de objeto</t>
        </is>
      </c>
      <c r="F1" s="21" t="inlineStr">
        <is>
          <t>Líneas donde aparece la columna</t>
        </is>
      </c>
    </row>
    <row r="2">
      <c r="A2" s="22" t="inlineStr">
        <is>
          <t>auth</t>
        </is>
      </c>
      <c r="B2" s="22" t="inlineStr">
        <is>
          <t>module</t>
        </is>
      </c>
      <c r="C2" s="22" t="inlineStr">
        <is>
          <t>code</t>
        </is>
      </c>
      <c r="D2" s="22" t="inlineStr">
        <is>
          <t>hiring.roles_del_modulo</t>
        </is>
      </c>
      <c r="E2" s="22" t="inlineStr">
        <is>
          <t>Vista</t>
        </is>
      </c>
      <c r="F2" s="22" t="inlineStr"/>
    </row>
    <row r="3">
      <c r="A3" s="22" t="inlineStr">
        <is>
          <t>auth</t>
        </is>
      </c>
      <c r="B3" s="22" t="inlineStr">
        <is>
          <t>module</t>
        </is>
      </c>
      <c r="C3" s="22" t="inlineStr">
        <is>
          <t>name</t>
        </is>
      </c>
      <c r="D3" s="22" t="inlineStr">
        <is>
          <t>hiring.roles_del_modulo</t>
        </is>
      </c>
      <c r="E3" s="22" t="inlineStr">
        <is>
          <t>Vista</t>
        </is>
      </c>
      <c r="F3" s="22" t="inlineStr"/>
    </row>
    <row r="4">
      <c r="A4" s="22" t="inlineStr">
        <is>
          <t>auth</t>
        </is>
      </c>
      <c r="B4" s="22" t="inlineStr">
        <is>
          <t>module</t>
        </is>
      </c>
      <c r="C4" s="22" t="inlineStr">
        <is>
          <t>is_active</t>
        </is>
      </c>
      <c r="D4" s="22" t="inlineStr">
        <is>
          <t>hiring.roles_del_modulo</t>
        </is>
      </c>
      <c r="E4" s="22" t="inlineStr">
        <is>
          <t>Vista</t>
        </is>
      </c>
      <c r="F4" s="22" t="inlineStr"/>
    </row>
    <row r="5">
      <c r="A5" s="22" t="inlineStr">
        <is>
          <t>auth</t>
        </is>
      </c>
      <c r="B5" s="22" t="inlineStr">
        <is>
          <t>permission</t>
        </is>
      </c>
      <c r="C5" s="22" t="inlineStr">
        <is>
          <t>code</t>
        </is>
      </c>
      <c r="D5" s="22" t="inlineStr">
        <is>
          <t>hiring.roles_del_modulo</t>
        </is>
      </c>
      <c r="E5" s="22" t="inlineStr">
        <is>
          <t>Vista</t>
        </is>
      </c>
      <c r="F5" s="22" t="inlineStr"/>
    </row>
    <row r="6">
      <c r="A6" s="22" t="inlineStr">
        <is>
          <t>auth</t>
        </is>
      </c>
      <c r="B6" s="22" t="inlineStr">
        <is>
          <t>permission</t>
        </is>
      </c>
      <c r="C6" s="22" t="inlineStr">
        <is>
          <t>name</t>
        </is>
      </c>
      <c r="D6" s="22" t="inlineStr">
        <is>
          <t>hiring.roles_del_modulo</t>
        </is>
      </c>
      <c r="E6" s="22" t="inlineStr">
        <is>
          <t>Vista</t>
        </is>
      </c>
      <c r="F6" s="22" t="inlineStr"/>
    </row>
    <row r="7">
      <c r="A7" s="22" t="inlineStr">
        <is>
          <t>auth</t>
        </is>
      </c>
      <c r="B7" s="22" t="inlineStr">
        <is>
          <t>permission</t>
        </is>
      </c>
      <c r="C7" s="22" t="inlineStr">
        <is>
          <t>is_active</t>
        </is>
      </c>
      <c r="D7" s="22" t="inlineStr">
        <is>
          <t>hiring.roles_del_modulo</t>
        </is>
      </c>
      <c r="E7" s="22" t="inlineStr">
        <is>
          <t>Vista</t>
        </is>
      </c>
      <c r="F7" s="22" t="inlineStr"/>
    </row>
    <row r="8">
      <c r="A8" s="22" t="inlineStr">
        <is>
          <t>auth</t>
        </is>
      </c>
      <c r="B8" s="22" t="inlineStr">
        <is>
          <t>personas</t>
        </is>
      </c>
      <c r="C8" s="22" t="inlineStr">
        <is>
          <t>num_identificacion</t>
        </is>
      </c>
      <c r="D8" s="22" t="inlineStr">
        <is>
          <t>trg_auth_personas_rund_document_immutable</t>
        </is>
      </c>
      <c r="E8" s="22" t="inlineStr">
        <is>
          <t>Trigger (UPDATE OF)</t>
        </is>
      </c>
      <c r="F8" s="22" t="inlineStr"/>
    </row>
    <row r="9">
      <c r="A9" s="22" t="inlineStr">
        <is>
          <t>auth</t>
        </is>
      </c>
      <c r="B9" s="22" t="inlineStr">
        <is>
          <t>personas</t>
        </is>
      </c>
      <c r="C9" s="22" t="inlineStr">
        <is>
          <t>num_identificacion</t>
        </is>
      </c>
      <c r="D9" s="22" t="inlineStr">
        <is>
          <t>control_interno.v_auditor_disponibilidad</t>
        </is>
      </c>
      <c r="E9" s="22" t="inlineStr">
        <is>
          <t>Vista</t>
        </is>
      </c>
      <c r="F9" s="22" t="inlineStr"/>
    </row>
    <row r="10">
      <c r="A10" s="22" t="inlineStr">
        <is>
          <t>auth</t>
        </is>
      </c>
      <c r="B10" s="22" t="inlineStr">
        <is>
          <t>personas</t>
        </is>
      </c>
      <c r="C10" s="22" t="inlineStr">
        <is>
          <t>tip_identificacion</t>
        </is>
      </c>
      <c r="D10" s="22" t="inlineStr">
        <is>
          <t>control_interno.v_auditor_disponibilidad</t>
        </is>
      </c>
      <c r="E10" s="22" t="inlineStr">
        <is>
          <t>Vista</t>
        </is>
      </c>
      <c r="F10" s="22" t="inlineStr"/>
    </row>
    <row r="11">
      <c r="A11" s="22" t="inlineStr">
        <is>
          <t>auth</t>
        </is>
      </c>
      <c r="B11" s="22" t="inlineStr">
        <is>
          <t>personas</t>
        </is>
      </c>
      <c r="C11" s="22" t="inlineStr">
        <is>
          <t>nom_largo</t>
        </is>
      </c>
      <c r="D11" s="22" t="inlineStr">
        <is>
          <t>control_interno.v_auditor_disponibilidad</t>
        </is>
      </c>
      <c r="E11" s="22" t="inlineStr">
        <is>
          <t>Vista</t>
        </is>
      </c>
      <c r="F11" s="22" t="inlineStr"/>
    </row>
    <row r="12">
      <c r="A12" s="22" t="inlineStr">
        <is>
          <t>auth</t>
        </is>
      </c>
      <c r="B12" s="22" t="inlineStr">
        <is>
          <t>personas</t>
        </is>
      </c>
      <c r="C12" s="22" t="inlineStr">
        <is>
          <t>nom_largo</t>
        </is>
      </c>
      <c r="D12" s="22" t="inlineStr">
        <is>
          <t>control_interno.v_auditorias_kanban_completo</t>
        </is>
      </c>
      <c r="E12" s="22" t="inlineStr">
        <is>
          <t>Vista</t>
        </is>
      </c>
      <c r="F12" s="22" t="inlineStr"/>
    </row>
    <row r="13">
      <c r="A13" s="22" t="inlineStr">
        <is>
          <t>auth</t>
        </is>
      </c>
      <c r="B13" s="22" t="inlineStr">
        <is>
          <t>personas</t>
        </is>
      </c>
      <c r="C13" s="22" t="inlineStr">
        <is>
          <t>dir_email</t>
        </is>
      </c>
      <c r="D13" s="22" t="inlineStr">
        <is>
          <t>control_interno.v_auditor_disponibilidad</t>
        </is>
      </c>
      <c r="E13" s="22" t="inlineStr">
        <is>
          <t>Vista</t>
        </is>
      </c>
      <c r="F13" s="22" t="inlineStr"/>
    </row>
    <row r="14">
      <c r="A14" s="22" t="inlineStr">
        <is>
          <t>auth</t>
        </is>
      </c>
      <c r="B14" s="22" t="inlineStr">
        <is>
          <t>personas</t>
        </is>
      </c>
      <c r="C14" s="22" t="inlineStr">
        <is>
          <t>dir_email</t>
        </is>
      </c>
      <c r="D14" s="22" t="inlineStr">
        <is>
          <t>control_interno.v_auditorias_kanban_completo</t>
        </is>
      </c>
      <c r="E14" s="22" t="inlineStr">
        <is>
          <t>Vista</t>
        </is>
      </c>
      <c r="F14" s="22" t="inlineStr"/>
    </row>
    <row r="15">
      <c r="A15" s="22" t="inlineStr">
        <is>
          <t>auth</t>
        </is>
      </c>
      <c r="B15" s="22" t="inlineStr">
        <is>
          <t>personas</t>
        </is>
      </c>
      <c r="C15" s="22" t="inlineStr">
        <is>
          <t>id_person</t>
        </is>
      </c>
      <c r="D15" s="22" t="inlineStr">
        <is>
          <t>control_interno.fn_registrar_cambio_estado_auditoria</t>
        </is>
      </c>
      <c r="E15" s="22" t="inlineStr">
        <is>
          <t>Función</t>
        </is>
      </c>
      <c r="F15" s="22" t="inlineStr">
        <is>
          <t>SELECT id_person INTO v_usuario_id</t>
        </is>
      </c>
    </row>
    <row r="16">
      <c r="A16" s="22" t="inlineStr">
        <is>
          <t>auth</t>
        </is>
      </c>
      <c r="B16" s="22" t="inlineStr">
        <is>
          <t>personas</t>
        </is>
      </c>
      <c r="C16" s="22" t="inlineStr">
        <is>
          <t>id_person</t>
        </is>
      </c>
      <c r="D16" s="22" t="inlineStr">
        <is>
          <t>control_interno.fn_registrar_cambio_estado_plan_anual</t>
        </is>
      </c>
      <c r="E16" s="22" t="inlineStr">
        <is>
          <t>Función</t>
        </is>
      </c>
      <c r="F16" s="22" t="inlineStr">
        <is>
          <t>SELECT id_person INTO v_usuario_id</t>
        </is>
      </c>
    </row>
    <row r="17">
      <c r="A17" s="22" t="inlineStr">
        <is>
          <t>auth</t>
        </is>
      </c>
      <c r="B17" s="22" t="inlineStr">
        <is>
          <t>personas</t>
        </is>
      </c>
      <c r="C17" s="22" t="inlineStr">
        <is>
          <t>id_person</t>
        </is>
      </c>
      <c r="D17" s="22" t="inlineStr">
        <is>
          <t>control_interno.v_auditor_disponibilidad</t>
        </is>
      </c>
      <c r="E17" s="22" t="inlineStr">
        <is>
          <t>Vista</t>
        </is>
      </c>
      <c r="F17" s="22" t="inlineStr"/>
    </row>
    <row r="18">
      <c r="A18" s="22" t="inlineStr">
        <is>
          <t>auth</t>
        </is>
      </c>
      <c r="B18" s="22" t="inlineStr">
        <is>
          <t>personas</t>
        </is>
      </c>
      <c r="C18" s="22" t="inlineStr">
        <is>
          <t>id_person</t>
        </is>
      </c>
      <c r="D18" s="22" t="inlineStr">
        <is>
          <t>control_interno.v_auditorias_kanban_completo</t>
        </is>
      </c>
      <c r="E18" s="22" t="inlineStr">
        <is>
          <t>Vista</t>
        </is>
      </c>
      <c r="F18" s="22" t="inlineStr"/>
    </row>
    <row r="19">
      <c r="A19" s="22" t="inlineStr">
        <is>
          <t>auth</t>
        </is>
      </c>
      <c r="B19" s="22" t="inlineStr">
        <is>
          <t>role</t>
        </is>
      </c>
      <c r="C19" s="22" t="inlineStr">
        <is>
          <t>code</t>
        </is>
      </c>
      <c r="D19" s="22" t="inlineStr">
        <is>
          <t>hiring.roles_del_modulo</t>
        </is>
      </c>
      <c r="E19" s="22" t="inlineStr">
        <is>
          <t>Vista</t>
        </is>
      </c>
      <c r="F19" s="22" t="inlineStr"/>
    </row>
    <row r="20">
      <c r="A20" s="22" t="inlineStr">
        <is>
          <t>auth</t>
        </is>
      </c>
      <c r="B20" s="22" t="inlineStr">
        <is>
          <t>role</t>
        </is>
      </c>
      <c r="C20" s="22" t="inlineStr">
        <is>
          <t>name</t>
        </is>
      </c>
      <c r="D20" s="22" t="inlineStr">
        <is>
          <t>hiring.roles_del_modulo</t>
        </is>
      </c>
      <c r="E20" s="22" t="inlineStr">
        <is>
          <t>Vista</t>
        </is>
      </c>
      <c r="F20" s="22" t="inlineStr"/>
    </row>
    <row r="21">
      <c r="A21" s="22" t="inlineStr">
        <is>
          <t>auth</t>
        </is>
      </c>
      <c r="B21" s="22" t="inlineStr">
        <is>
          <t>role</t>
        </is>
      </c>
      <c r="C21" s="22" t="inlineStr">
        <is>
          <t>type</t>
        </is>
      </c>
      <c r="D21" s="22" t="inlineStr">
        <is>
          <t>hiring.roles_del_modulo</t>
        </is>
      </c>
      <c r="E21" s="22" t="inlineStr">
        <is>
          <t>Vista</t>
        </is>
      </c>
      <c r="F21" s="22" t="inlineStr"/>
    </row>
    <row r="22">
      <c r="A22" s="22" t="inlineStr">
        <is>
          <t>auth</t>
        </is>
      </c>
      <c r="B22" s="22" t="inlineStr">
        <is>
          <t>role</t>
        </is>
      </c>
      <c r="C22" s="22" t="inlineStr">
        <is>
          <t>is_active</t>
        </is>
      </c>
      <c r="D22" s="22" t="inlineStr">
        <is>
          <t>hiring.roles_del_modulo</t>
        </is>
      </c>
      <c r="E22" s="22" t="inlineStr">
        <is>
          <t>Vista</t>
        </is>
      </c>
      <c r="F22" s="22" t="inlineStr"/>
    </row>
    <row r="23">
      <c r="A23" s="22" t="inlineStr">
        <is>
          <t>auth</t>
        </is>
      </c>
      <c r="B23" s="22" t="inlineStr">
        <is>
          <t>role_permissions</t>
        </is>
      </c>
      <c r="C23" s="22" t="inlineStr">
        <is>
          <t>is_active</t>
        </is>
      </c>
      <c r="D23" s="22" t="inlineStr">
        <is>
          <t>hiring.roles_del_modulo</t>
        </is>
      </c>
      <c r="E23" s="22" t="inlineStr">
        <is>
          <t>Vista</t>
        </is>
      </c>
      <c r="F23" s="22" t="inlineStr"/>
    </row>
    <row r="24">
      <c r="A24" s="22" t="inlineStr">
        <is>
          <t>academic_registration</t>
        </is>
      </c>
      <c r="B24" s="22" t="inlineStr">
        <is>
          <t>graduates</t>
        </is>
      </c>
      <c r="C24" s="22" t="inlineStr">
        <is>
          <t>full_name</t>
        </is>
      </c>
      <c r="D24" s="22" t="inlineStr">
        <is>
          <t>trg_validate_graduate_management_update</t>
        </is>
      </c>
      <c r="E24" s="22" t="inlineStr">
        <is>
          <t>Trigger (UPDATE OF)</t>
        </is>
      </c>
      <c r="F24" s="22" t="inlineStr"/>
    </row>
    <row r="25">
      <c r="A25" s="22" t="inlineStr">
        <is>
          <t>academic_registration</t>
        </is>
      </c>
      <c r="B25" s="22" t="inlineStr">
        <is>
          <t>graduates</t>
        </is>
      </c>
      <c r="C25" s="22" t="inlineStr">
        <is>
          <t>id_number</t>
        </is>
      </c>
      <c r="D25" s="22" t="inlineStr">
        <is>
          <t>trg_validate_graduate_management_update</t>
        </is>
      </c>
      <c r="E25" s="22" t="inlineStr">
        <is>
          <t>Trigger (UPDATE OF)</t>
        </is>
      </c>
      <c r="F25" s="22" t="inlineStr"/>
    </row>
    <row r="26">
      <c r="A26" s="22" t="inlineStr">
        <is>
          <t>academic_registration</t>
        </is>
      </c>
      <c r="B26" s="22" t="inlineStr">
        <is>
          <t>graduates</t>
        </is>
      </c>
      <c r="C26" s="22" t="inlineStr">
        <is>
          <t>email</t>
        </is>
      </c>
      <c r="D26" s="22" t="inlineStr">
        <is>
          <t>trg_validate_graduate_management_update</t>
        </is>
      </c>
      <c r="E26" s="22" t="inlineStr">
        <is>
          <t>Trigger (UPDATE OF)</t>
        </is>
      </c>
      <c r="F26" s="22" t="inlineStr"/>
    </row>
    <row r="27">
      <c r="A27" s="22" t="inlineStr">
        <is>
          <t>academic_registration</t>
        </is>
      </c>
      <c r="B27" s="22" t="inlineStr">
        <is>
          <t>graduates</t>
        </is>
      </c>
      <c r="C27" s="22" t="inlineStr">
        <is>
          <t>first_name</t>
        </is>
      </c>
      <c r="D27" s="22" t="inlineStr">
        <is>
          <t>trg_validate_graduate_management_update</t>
        </is>
      </c>
      <c r="E27" s="22" t="inlineStr">
        <is>
          <t>Trigger (UPDATE OF)</t>
        </is>
      </c>
      <c r="F27" s="22" t="inlineStr"/>
    </row>
    <row r="28">
      <c r="A28" s="22" t="inlineStr">
        <is>
          <t>academic_registration</t>
        </is>
      </c>
      <c r="B28" s="22" t="inlineStr">
        <is>
          <t>graduates</t>
        </is>
      </c>
      <c r="C28" s="22" t="inlineStr">
        <is>
          <t>last_name</t>
        </is>
      </c>
      <c r="D28" s="22" t="inlineStr">
        <is>
          <t>trg_validate_graduate_management_update</t>
        </is>
      </c>
      <c r="E28" s="22" t="inlineStr">
        <is>
          <t>Trigger (UPDATE OF)</t>
        </is>
      </c>
      <c r="F28" s="22" t="inlineStr"/>
    </row>
    <row r="29">
      <c r="A29" s="22" t="inlineStr">
        <is>
          <t>academic_work_plan</t>
        </is>
      </c>
      <c r="B29" s="22" t="inlineStr">
        <is>
          <t>periodo_academico</t>
        </is>
      </c>
      <c r="C29" s="22" t="inlineStr">
        <is>
          <t>codigo</t>
        </is>
      </c>
      <c r="D29" s="22" t="inlineStr">
        <is>
          <t>academic-schedule.reapuntar_grupos_por_equivalencia</t>
        </is>
      </c>
      <c r="E29" s="22" t="inlineStr">
        <is>
          <t>Función</t>
        </is>
      </c>
      <c r="F29" s="22" t="inlineStr">
        <is>
          <t>JOIN "academic-schedule".equivalencia_periodo e ON e.codigo_programacion = pp.codigo
JOIN academic_work_plan.periodo_academico pa    ON pa.codigo = e.codigo_periodo_academico</t>
        </is>
      </c>
    </row>
    <row r="30">
      <c r="A30" s="22" t="inlineStr">
        <is>
          <t>academic_work_plan</t>
        </is>
      </c>
      <c r="B30" s="22" t="inlineStr">
        <is>
          <t>programa</t>
        </is>
      </c>
      <c r="C30" s="22" t="inlineStr">
        <is>
          <t>nombre</t>
        </is>
      </c>
      <c r="D30" s="22" t="inlineStr">
        <is>
          <t>control_interno.fn_configurar_actividad_auditorias_plan</t>
        </is>
      </c>
      <c r="E30" s="22" t="inlineStr">
        <is>
          <t>Función</t>
        </is>
      </c>
      <c r="F30" s="22" t="inlineStr">
        <is>
          <t>LOWER(a.nombre) LIKE '%auditoría%'
OR LOWER(a.nombre) LIKE '%auditoria%'
OR LOWER(a.nombre) LIKE '%programa de auditor%'</t>
        </is>
      </c>
    </row>
    <row r="31">
      <c r="A31" s="22" t="inlineStr">
        <is>
          <t>academic_work_plan</t>
        </is>
      </c>
      <c r="B31" s="22" t="inlineStr">
        <is>
          <t>Rol</t>
        </is>
      </c>
      <c r="C31" s="22" t="inlineStr">
        <is>
          <t>nombre</t>
        </is>
      </c>
      <c r="D31" s="22" t="inlineStr">
        <is>
          <t>control_interno.fn_configurar_actividad_auditorias_plan</t>
        </is>
      </c>
      <c r="E31" s="22" t="inlineStr">
        <is>
          <t>Función</t>
        </is>
      </c>
      <c r="F31" s="22" t="inlineStr">
        <is>
          <t>LOWER(a.nombre) LIKE '%auditoría%'
OR LOWER(a.nombre) LIKE '%auditoria%'
OR LOWER(a.nombre) LIKE '%programa de auditor%'</t>
        </is>
      </c>
    </row>
    <row r="32">
      <c r="A32" s="22" t="inlineStr">
        <is>
          <t>academic_work_plan</t>
        </is>
      </c>
      <c r="B32" s="22" t="inlineStr">
        <is>
          <t>Territorial</t>
        </is>
      </c>
      <c r="C32" s="22" t="inlineStr">
        <is>
          <t>nombre</t>
        </is>
      </c>
      <c r="D32" s="22" t="inlineStr">
        <is>
          <t>control_interno.v_auditorias_kanban_completo</t>
        </is>
      </c>
      <c r="E32" s="22" t="inlineStr">
        <is>
          <t>Vista</t>
        </is>
      </c>
      <c r="F32" s="22" t="inlineStr"/>
    </row>
    <row r="33">
      <c r="A33" s="22" t="inlineStr">
        <is>
          <t>academic_work_plan</t>
        </is>
      </c>
      <c r="B33" s="22" t="inlineStr">
        <is>
          <t>Territorial</t>
        </is>
      </c>
      <c r="C33" s="22" t="inlineStr">
        <is>
          <t>codigo</t>
        </is>
      </c>
      <c r="D33" s="22" t="inlineStr">
        <is>
          <t>control_interno.v_auditorias_kanban_completo</t>
        </is>
      </c>
      <c r="E33" s="22" t="inlineStr">
        <is>
          <t>Vista</t>
        </is>
      </c>
      <c r="F33" s="22" t="inlineStr"/>
    </row>
    <row r="34">
      <c r="A34" s="22" t="inlineStr">
        <is>
          <t>legal_management</t>
        </is>
      </c>
      <c r="B34" s="22" t="inlineStr">
        <is>
          <t>hallazgos</t>
        </is>
      </c>
      <c r="C34" s="22" t="inlineStr">
        <is>
          <t>titulo</t>
        </is>
      </c>
      <c r="D34" s="22" t="inlineStr">
        <is>
          <t>control_interno.v_auditorias_kanban_completo</t>
        </is>
      </c>
      <c r="E34" s="22" t="inlineStr">
        <is>
          <t>Vista</t>
        </is>
      </c>
      <c r="F34" s="22" t="inlineStr"/>
    </row>
    <row r="35">
      <c r="A35" s="22" t="inlineStr">
        <is>
          <t>legal_management</t>
        </is>
      </c>
      <c r="B35" s="22" t="inlineStr">
        <is>
          <t>hallazgos</t>
        </is>
      </c>
      <c r="C35" s="22" t="inlineStr">
        <is>
          <t>descripcion</t>
        </is>
      </c>
      <c r="D35" s="22" t="inlineStr">
        <is>
          <t>control_interno.v_auditorias_kanban_completo</t>
        </is>
      </c>
      <c r="E35" s="22" t="inlineStr">
        <is>
          <t>Vista</t>
        </is>
      </c>
      <c r="F35" s="22" t="inlineStr"/>
    </row>
    <row r="36">
      <c r="A36" s="22" t="inlineStr">
        <is>
          <t>legal_management</t>
        </is>
      </c>
      <c r="B36" s="22" t="inlineStr">
        <is>
          <t>hallazgos</t>
        </is>
      </c>
      <c r="C36" s="22" t="inlineStr">
        <is>
          <t>estado</t>
        </is>
      </c>
      <c r="D36" s="22" t="inlineStr">
        <is>
          <t>control_interno.v_auditorias_kanban_completo</t>
        </is>
      </c>
      <c r="E36" s="22" t="inlineStr">
        <is>
          <t>Vista</t>
        </is>
      </c>
      <c r="F36" s="22" t="inlineStr"/>
    </row>
    <row r="37">
      <c r="A37" s="22" t="inlineStr">
        <is>
          <t>legal_management</t>
        </is>
      </c>
      <c r="B37" s="22" t="inlineStr">
        <is>
          <t>hallazgos</t>
        </is>
      </c>
      <c r="C37" s="22" t="inlineStr">
        <is>
          <t>estado</t>
        </is>
      </c>
      <c r="D37" s="22" t="inlineStr">
        <is>
          <t>control_interno.v_auditorias_por_estado</t>
        </is>
      </c>
      <c r="E37" s="22" t="inlineStr">
        <is>
          <t>Vista</t>
        </is>
      </c>
      <c r="F37" s="22" t="inlineStr"/>
    </row>
    <row r="38">
      <c r="A38" s="22" t="inlineStr">
        <is>
          <t>control_interno</t>
        </is>
      </c>
      <c r="B38" s="22" t="inlineStr">
        <is>
          <t>accion_correctiva</t>
        </is>
      </c>
      <c r="C38" s="22" t="inlineStr">
        <is>
          <t>descripcion</t>
        </is>
      </c>
      <c r="D38" s="22" t="inlineStr">
        <is>
          <t>control_interno.trigger_evento_actualizacion_accion</t>
        </is>
      </c>
      <c r="E38" s="22" t="inlineStr">
        <is>
          <t>Función</t>
        </is>
      </c>
      <c r="F38" s="22" t="inlineStr">
        <is>
          <t>v_descripcion := 'Acción completada: ' || SUBSTRING(NEW.descripcion, 1, 100) ||
CASE WHEN LENGTH(NEW.descripcion) &gt; 100 THEN '...' ELSE '' END;
v_descripcion := 'Acción actualizada: ' || SUBSTRING(NEW.descripcion, 1, 100) ||</t>
        </is>
      </c>
    </row>
    <row r="39">
      <c r="A39" s="22" t="inlineStr">
        <is>
          <t>control_interno</t>
        </is>
      </c>
      <c r="B39" s="22" t="inlineStr">
        <is>
          <t>accion_correctiva</t>
        </is>
      </c>
      <c r="C39" s="22" t="inlineStr">
        <is>
          <t>descripcion</t>
        </is>
      </c>
      <c r="D39" s="22" t="inlineStr">
        <is>
          <t>control_interno.trigger_evento_creacion_accion</t>
        </is>
      </c>
      <c r="E39" s="22" t="inlineStr">
        <is>
          <t>Función</t>
        </is>
      </c>
      <c r="F39" s="22" t="inlineStr">
        <is>
          <t>'Nueva acción creada: ' || SUBSTRING(NEW.descripcion, 1, 100) ||
CASE WHEN LENGTH(NEW.descripcion) &gt; 100 THEN '...' ELSE '' END,</t>
        </is>
      </c>
    </row>
    <row r="40">
      <c r="A40" s="22" t="inlineStr">
        <is>
          <t>control_interno</t>
        </is>
      </c>
      <c r="B40" s="22" t="inlineStr">
        <is>
          <t>accion_correctiva</t>
        </is>
      </c>
      <c r="C40" s="22" t="inlineStr">
        <is>
          <t>tipo</t>
        </is>
      </c>
      <c r="D40" s="22" t="inlineStr">
        <is>
          <t>control_interno.trigger_evento_actualizacion_accion</t>
        </is>
      </c>
      <c r="E40" s="22" t="inlineStr">
        <is>
          <t>Función</t>
        </is>
      </c>
      <c r="F40" s="22" t="inlineStr">
        <is>
          <t>-- Determinar el tipo de evento según lo que cambió</t>
        </is>
      </c>
    </row>
    <row r="41">
      <c r="A41" s="22" t="inlineStr">
        <is>
          <t>control_interno</t>
        </is>
      </c>
      <c r="B41" s="22" t="inlineStr">
        <is>
          <t>accion_correctiva</t>
        </is>
      </c>
      <c r="C41" s="22" t="inlineStr">
        <is>
          <t>responsable</t>
        </is>
      </c>
      <c r="D41" s="22" t="inlineStr">
        <is>
          <t>control_interno.trigger_evento_actualizacion_accion</t>
        </is>
      </c>
      <c r="E41" s="22" t="inlineStr">
        <is>
          <t>Función</t>
        </is>
      </c>
      <c r="F41" s="22" t="inlineStr">
        <is>
          <t>NEW.responsable,  -- usar el campo responsable que es varchar</t>
        </is>
      </c>
    </row>
    <row r="42">
      <c r="A42" s="22" t="inlineStr">
        <is>
          <t>control_interno</t>
        </is>
      </c>
      <c r="B42" s="22" t="inlineStr">
        <is>
          <t>accion_correctiva</t>
        </is>
      </c>
      <c r="C42" s="22" t="inlineStr">
        <is>
          <t>responsable</t>
        </is>
      </c>
      <c r="D42" s="22" t="inlineStr">
        <is>
          <t>control_interno.trigger_evento_creacion_accion</t>
        </is>
      </c>
      <c r="E42" s="22" t="inlineStr">
        <is>
          <t>Función</t>
        </is>
      </c>
      <c r="F42" s="22" t="inlineStr">
        <is>
          <t>NEW.responsable,  -- usar el campo responsable que es varchar</t>
        </is>
      </c>
    </row>
    <row r="43">
      <c r="A43" s="22" t="inlineStr">
        <is>
          <t>control_interno</t>
        </is>
      </c>
      <c r="B43" s="22" t="inlineStr">
        <is>
          <t>accion_correctiva</t>
        </is>
      </c>
      <c r="C43" s="22" t="inlineStr">
        <is>
          <t>estado</t>
        </is>
      </c>
      <c r="D43" s="22" t="inlineStr">
        <is>
          <t>control_interno.trigger_evento_actualizacion_accion</t>
        </is>
      </c>
      <c r="E43" s="22" t="inlineStr">
        <is>
          <t>Función</t>
        </is>
      </c>
      <c r="F43" s="22" t="inlineStr">
        <is>
          <t>ELSIF OLD.estado IS DISTINCT FROM NEW.estado THEN
v_tipo := 'ESTADO'::control_interno.tipo_evento_timeline;
v_descripcion := 'Estado de acción actualizado: ' || OLD.estado || ' → ' || NEW.estado;</t>
        </is>
      </c>
    </row>
    <row r="44">
      <c r="A44" s="22" t="inlineStr">
        <is>
          <t>control_interno</t>
        </is>
      </c>
      <c r="B44" s="22" t="inlineStr">
        <is>
          <t>accion_correctiva</t>
        </is>
      </c>
      <c r="C44" s="22" t="inlineStr">
        <is>
          <t>estado</t>
        </is>
      </c>
      <c r="D44" s="22" t="inlineStr">
        <is>
          <t>control_interno.trigger_evento_creacion_accion</t>
        </is>
      </c>
      <c r="E44" s="22" t="inlineStr">
        <is>
          <t>Función</t>
        </is>
      </c>
      <c r="F44" s="22" t="inlineStr">
        <is>
          <t>'estado', NEW.estado,</t>
        </is>
      </c>
    </row>
    <row r="45">
      <c r="A45" s="22" t="inlineStr">
        <is>
          <t>control_interno</t>
        </is>
      </c>
      <c r="B45" s="22" t="inlineStr">
        <is>
          <t>accion_correctiva</t>
        </is>
      </c>
      <c r="C45" s="22" t="inlineStr">
        <is>
          <t>porcentaje_avance</t>
        </is>
      </c>
      <c r="D45" s="22" t="inlineStr">
        <is>
          <t>control_interno.trigger_evento_actualizacion_accion</t>
        </is>
      </c>
      <c r="E45" s="22" t="inlineStr">
        <is>
          <t>Función</t>
        </is>
      </c>
      <c r="F45" s="22" t="inlineStr">
        <is>
          <t>IF OLD.porcentaje_avance IS DISTINCT FROM NEW.porcentaje_avance THEN
v_descripcion := 'Progreso actualizado: ' || OLD.porcentaje_avance || '% → ' || NEW.porcentaje_avance || '%';
'progreso_anterior', OLD.porcentaje_avance,</t>
        </is>
      </c>
    </row>
    <row r="46">
      <c r="A46" s="22" t="inlineStr">
        <is>
          <t>control_interno</t>
        </is>
      </c>
      <c r="B46" s="22" t="inlineStr">
        <is>
          <t>accion_correctiva</t>
        </is>
      </c>
      <c r="C46" s="22" t="inlineStr">
        <is>
          <t>porcentaje_avance</t>
        </is>
      </c>
      <c r="D46" s="22" t="inlineStr">
        <is>
          <t>control_interno.trigger_evento_creacion_accion</t>
        </is>
      </c>
      <c r="E46" s="22" t="inlineStr">
        <is>
          <t>Función</t>
        </is>
      </c>
      <c r="F46" s="22" t="inlineStr">
        <is>
          <t>'progreso', NEW.porcentaje_avance</t>
        </is>
      </c>
    </row>
    <row r="47">
      <c r="A47" s="22" t="inlineStr">
        <is>
          <t>control_interno</t>
        </is>
      </c>
      <c r="B47" s="22" t="inlineStr">
        <is>
          <t>actividad_plan_anual_5</t>
        </is>
      </c>
      <c r="C47" s="22" t="inlineStr">
        <is>
          <t>plan_id</t>
        </is>
      </c>
      <c r="D47" s="22" t="inlineStr">
        <is>
          <t>control_interno.fn_actualizar_cumplimiento_auditorias_vigencia</t>
        </is>
      </c>
      <c r="E47" s="22" t="inlineStr">
        <is>
          <t>Función</t>
        </is>
      </c>
      <c r="F47" s="22" t="inlineStr">
        <is>
          <t>INNER JOIN control_interno.plan_anual_5_roles p ON r.plan_id = p.id</t>
        </is>
      </c>
    </row>
    <row r="48">
      <c r="A48" s="22" t="inlineStr">
        <is>
          <t>control_interno</t>
        </is>
      </c>
      <c r="B48" s="22" t="inlineStr">
        <is>
          <t>actividad_plan_anual_5</t>
        </is>
      </c>
      <c r="C48" s="22" t="inlineStr">
        <is>
          <t>plan_id</t>
        </is>
      </c>
      <c r="D48" s="22" t="inlineStr">
        <is>
          <t>control_interno.fn_configurar_actividad_auditorias_plan</t>
        </is>
      </c>
      <c r="E48" s="22" t="inlineStr">
        <is>
          <t>Función</t>
        </is>
      </c>
      <c r="F48" s="22" t="inlineStr">
        <is>
          <t>WHERE r.plan_id = p_plan_id
WHERE r.plan_id = p_plan_id
AND r.plan_id = p_plan_id</t>
        </is>
      </c>
    </row>
    <row r="49">
      <c r="A49" s="22" t="inlineStr">
        <is>
          <t>control_interno</t>
        </is>
      </c>
      <c r="B49" s="22" t="inlineStr">
        <is>
          <t>actividad_plan_anual_5</t>
        </is>
      </c>
      <c r="C49" s="22" t="inlineStr">
        <is>
          <t>plan_id</t>
        </is>
      </c>
      <c r="D49" s="22" t="inlineStr">
        <is>
          <t>control_interno.v_estado_vinculacion_auditorias</t>
        </is>
      </c>
      <c r="E49" s="22" t="inlineStr">
        <is>
          <t>Vista</t>
        </is>
      </c>
      <c r="F49" s="22" t="inlineStr"/>
    </row>
    <row r="50">
      <c r="A50" s="22" t="inlineStr">
        <is>
          <t>control_interno</t>
        </is>
      </c>
      <c r="B50" s="22" t="inlineStr">
        <is>
          <t>actividad_plan_anual_5</t>
        </is>
      </c>
      <c r="C50" s="22" t="inlineStr">
        <is>
          <t>nombre</t>
        </is>
      </c>
      <c r="D50" s="22" t="inlineStr">
        <is>
          <t>control_interno.fn_configurar_actividad_auditorias_plan</t>
        </is>
      </c>
      <c r="E50" s="22" t="inlineStr">
        <is>
          <t>Función</t>
        </is>
      </c>
      <c r="F50" s="22" t="inlineStr">
        <is>
          <t>LOWER(a.nombre) LIKE '%auditoría%'
OR LOWER(a.nombre) LIKE '%auditoria%'
OR LOWER(a.nombre) LIKE '%programa de auditor%'</t>
        </is>
      </c>
    </row>
    <row r="51">
      <c r="A51" s="22" t="inlineStr">
        <is>
          <t>control_interno</t>
        </is>
      </c>
      <c r="B51" s="22" t="inlineStr">
        <is>
          <t>actividad_plan_anual_5</t>
        </is>
      </c>
      <c r="C51" s="22" t="inlineStr">
        <is>
          <t>nombre</t>
        </is>
      </c>
      <c r="D51" s="22" t="inlineStr">
        <is>
          <t>control_interno.v_estado_vinculacion_auditorias</t>
        </is>
      </c>
      <c r="E51" s="22" t="inlineStr">
        <is>
          <t>Vista</t>
        </is>
      </c>
      <c r="F51" s="22" t="inlineStr"/>
    </row>
    <row r="52">
      <c r="A52" s="22" t="inlineStr">
        <is>
          <t>control_interno</t>
        </is>
      </c>
      <c r="B52" s="22" t="inlineStr">
        <is>
          <t>actividad_plan_anual_5</t>
        </is>
      </c>
      <c r="C52" s="22" t="inlineStr">
        <is>
          <t>fecha_inicio</t>
        </is>
      </c>
      <c r="D52" s="22" t="inlineStr">
        <is>
          <t>control_interno.v_estado_vinculacion_auditorias</t>
        </is>
      </c>
      <c r="E52" s="22" t="inlineStr">
        <is>
          <t>Vista</t>
        </is>
      </c>
      <c r="F52" s="22" t="inlineStr"/>
    </row>
    <row r="53">
      <c r="A53" s="22" t="inlineStr">
        <is>
          <t>control_interno</t>
        </is>
      </c>
      <c r="B53" s="22" t="inlineStr">
        <is>
          <t>actividad_plan_anual_5</t>
        </is>
      </c>
      <c r="C53" s="22" t="inlineStr">
        <is>
          <t>estado</t>
        </is>
      </c>
      <c r="D53" s="22" t="inlineStr">
        <is>
          <t>control_interno.fn_actualizar_cumplimiento_auditorias_vigencia</t>
        </is>
      </c>
      <c r="E53" s="22" t="inlineStr">
        <is>
          <t>Función</t>
        </is>
      </c>
      <c r="F53" s="22" t="inlineStr">
        <is>
          <t>estado = CASE</t>
        </is>
      </c>
    </row>
    <row r="54">
      <c r="A54" s="22" t="inlineStr">
        <is>
          <t>control_interno</t>
        </is>
      </c>
      <c r="B54" s="22" t="inlineStr">
        <is>
          <t>actividad_plan_anual_5</t>
        </is>
      </c>
      <c r="C54" s="22" t="inlineStr">
        <is>
          <t>porcentaje_avance</t>
        </is>
      </c>
      <c r="D54" s="22" t="inlineStr">
        <is>
          <t>control_interno.fn_actualizar_cumplimiento_auditorias_vigencia</t>
        </is>
      </c>
      <c r="E54" s="22" t="inlineStr">
        <is>
          <t>Función</t>
        </is>
      </c>
      <c r="F54" s="22" t="inlineStr">
        <is>
          <t>porcentaje_avance = v_cumplimiento.porcentaje_cumplimiento,</t>
        </is>
      </c>
    </row>
    <row r="55">
      <c r="A55" s="22" t="inlineStr">
        <is>
          <t>control_interno</t>
        </is>
      </c>
      <c r="B55" s="22" t="inlineStr">
        <is>
          <t>actividad_plan_anual_5</t>
        </is>
      </c>
      <c r="C55" s="22" t="inlineStr">
        <is>
          <t>porcentaje_avance</t>
        </is>
      </c>
      <c r="D55" s="22" t="inlineStr">
        <is>
          <t>control_interno.v_estado_vinculacion_auditorias</t>
        </is>
      </c>
      <c r="E55" s="22" t="inlineStr">
        <is>
          <t>Vista</t>
        </is>
      </c>
      <c r="F55" s="22" t="inlineStr"/>
    </row>
    <row r="56">
      <c r="A56" s="22" t="inlineStr">
        <is>
          <t>control_interno</t>
        </is>
      </c>
      <c r="B56" s="22" t="inlineStr">
        <is>
          <t>actividad_plan_anual_5</t>
        </is>
      </c>
      <c r="C56" s="22" t="inlineStr">
        <is>
          <t>total_auditorias_programadas</t>
        </is>
      </c>
      <c r="D56" s="22" t="inlineStr">
        <is>
          <t>control_interno.fn_actualizar_cumplimiento_auditorias_vigencia</t>
        </is>
      </c>
      <c r="E56" s="22" t="inlineStr">
        <is>
          <t>Función</t>
        </is>
      </c>
      <c r="F56" s="22" t="inlineStr">
        <is>
          <t>total_auditorias_programadas = v_cumplimiento.total_programadas,</t>
        </is>
      </c>
    </row>
    <row r="57">
      <c r="A57" s="22" t="inlineStr">
        <is>
          <t>control_interno</t>
        </is>
      </c>
      <c r="B57" s="22" t="inlineStr">
        <is>
          <t>actividad_plan_anual_5</t>
        </is>
      </c>
      <c r="C57" s="22" t="inlineStr">
        <is>
          <t>total_auditorias_programadas</t>
        </is>
      </c>
      <c r="D57" s="22" t="inlineStr">
        <is>
          <t>control_interno.v_estado_vinculacion_auditorias</t>
        </is>
      </c>
      <c r="E57" s="22" t="inlineStr">
        <is>
          <t>Vista</t>
        </is>
      </c>
      <c r="F57" s="22" t="inlineStr"/>
    </row>
    <row r="58">
      <c r="A58" s="22" t="inlineStr">
        <is>
          <t>control_interno</t>
        </is>
      </c>
      <c r="B58" s="22" t="inlineStr">
        <is>
          <t>actividad_plan_anual_5</t>
        </is>
      </c>
      <c r="C58" s="22" t="inlineStr">
        <is>
          <t>total_auditorias_finalizadas</t>
        </is>
      </c>
      <c r="D58" s="22" t="inlineStr">
        <is>
          <t>control_interno.fn_actualizar_cumplimiento_auditorias_vigencia</t>
        </is>
      </c>
      <c r="E58" s="22" t="inlineStr">
        <is>
          <t>Función</t>
        </is>
      </c>
      <c r="F58" s="22" t="inlineStr">
        <is>
          <t>total_auditorias_finalizadas = v_cumplimiento.total_finalizadas,</t>
        </is>
      </c>
    </row>
    <row r="59">
      <c r="A59" s="22" t="inlineStr">
        <is>
          <t>control_interno</t>
        </is>
      </c>
      <c r="B59" s="22" t="inlineStr">
        <is>
          <t>actividad_plan_anual_5</t>
        </is>
      </c>
      <c r="C59" s="22" t="inlineStr">
        <is>
          <t>total_auditorias_finalizadas</t>
        </is>
      </c>
      <c r="D59" s="22" t="inlineStr">
        <is>
          <t>control_interno.v_estado_vinculacion_auditorias</t>
        </is>
      </c>
      <c r="E59" s="22" t="inlineStr">
        <is>
          <t>Vista</t>
        </is>
      </c>
      <c r="F59" s="22" t="inlineStr"/>
    </row>
    <row r="60">
      <c r="A60" s="22" t="inlineStr">
        <is>
          <t>control_interno</t>
        </is>
      </c>
      <c r="B60" s="22" t="inlineStr">
        <is>
          <t>actividad_proceso_auditoria</t>
        </is>
      </c>
      <c r="C60" s="22" t="inlineStr">
        <is>
          <t>fase</t>
        </is>
      </c>
      <c r="D60" s="22" t="inlineStr">
        <is>
          <t>control_interno.actualizar_actividades_auditoria</t>
        </is>
      </c>
      <c r="E60" s="22" t="inlineStr">
        <is>
          <t>Función</t>
        </is>
      </c>
      <c r="F60" s="22" t="inlineStr">
        <is>
          <t>-- Obtener la fase actual de la auditoría
-- Si no hay fase, salir
-- Contar actividades de la fase actual de la auditoría</t>
        </is>
      </c>
    </row>
    <row r="61">
      <c r="A61" s="22" t="inlineStr">
        <is>
          <t>control_interno</t>
        </is>
      </c>
      <c r="B61" s="22" t="inlineStr">
        <is>
          <t>actividad_proceso_auditoria</t>
        </is>
      </c>
      <c r="C61" s="22" t="inlineStr">
        <is>
          <t>estado</t>
        </is>
      </c>
      <c r="D61" s="22" t="inlineStr">
        <is>
          <t>control_interno.actualizar_actividades_auditoria</t>
        </is>
      </c>
      <c r="E61" s="22" t="inlineStr">
        <is>
          <t>Función</t>
        </is>
      </c>
      <c r="F61" s="22" t="inlineStr">
        <is>
          <t>SELECT COUNT(*), COUNT(*) FILTER (WHERE estado = 'completada')</t>
        </is>
      </c>
    </row>
    <row r="62">
      <c r="A62" s="22" t="inlineStr">
        <is>
          <t>control_interno</t>
        </is>
      </c>
      <c r="B62" s="22" t="inlineStr">
        <is>
          <t>actividad_proceso_auditoria</t>
        </is>
      </c>
      <c r="C62" s="22" t="inlineStr">
        <is>
          <t>estado</t>
        </is>
      </c>
      <c r="D62" s="22" t="inlineStr">
        <is>
          <t>trigger_actualizar_actividades</t>
        </is>
      </c>
      <c r="E62" s="22" t="inlineStr">
        <is>
          <t>Trigger (UPDATE OF)</t>
        </is>
      </c>
      <c r="F62" s="22" t="inlineStr"/>
    </row>
    <row r="63">
      <c r="A63" s="22" t="inlineStr">
        <is>
          <t>control_interno</t>
        </is>
      </c>
      <c r="B63" s="22" t="inlineStr">
        <is>
          <t>aprobacion</t>
        </is>
      </c>
      <c r="C63" s="22" t="inlineStr">
        <is>
          <t>estado</t>
        </is>
      </c>
      <c r="D63" s="22" t="inlineStr">
        <is>
          <t>control_interno.trigger_evento_actualizacion_plan</t>
        </is>
      </c>
      <c r="E63" s="22" t="inlineStr">
        <is>
          <t>Función</t>
        </is>
      </c>
      <c r="F63" s="22" t="inlineStr">
        <is>
          <t>-- Solo registrar si cambió el estado
IF OLD.estado IS DISTINCT FROM NEW.estado THEN
WHEN NEW.estado = 'aprobado' THEN 'APROBACION'::control_interno.tipo_evento_timeline</t>
        </is>
      </c>
    </row>
    <row r="64">
      <c r="A64" s="22" t="inlineStr">
        <is>
          <t>control_interno</t>
        </is>
      </c>
      <c r="B64" s="22" t="inlineStr">
        <is>
          <t>aprobacion</t>
        </is>
      </c>
      <c r="C64" s="22" t="inlineStr">
        <is>
          <t>aprobado_por</t>
        </is>
      </c>
      <c r="D64" s="22" t="inlineStr">
        <is>
          <t>control_interno.trigger_evento_actualizacion_plan</t>
        </is>
      </c>
      <c r="E64" s="22" t="inlineStr">
        <is>
          <t>Función</t>
        </is>
      </c>
      <c r="F64" s="22" t="inlineStr">
        <is>
          <t>COALESCE(NEW.aprobado_por, NEW.responsable_implementacion),  -- usar aprobado_por si es aprobación, sino responsable_implementacion</t>
        </is>
      </c>
    </row>
    <row r="65">
      <c r="A65" s="22" t="inlineStr">
        <is>
          <t>control_interno</t>
        </is>
      </c>
      <c r="B65" s="22" t="inlineStr">
        <is>
          <t>auditor_perfil</t>
        </is>
      </c>
      <c r="C65" s="22" t="inlineStr">
        <is>
          <t>cargo</t>
        </is>
      </c>
      <c r="D65" s="22" t="inlineStr">
        <is>
          <t>control_interno.v_auditor_disponibilidad</t>
        </is>
      </c>
      <c r="E65" s="22" t="inlineStr">
        <is>
          <t>Vista</t>
        </is>
      </c>
      <c r="F65" s="22" t="inlineStr"/>
    </row>
    <row r="66">
      <c r="A66" s="22" t="inlineStr">
        <is>
          <t>control_interno</t>
        </is>
      </c>
      <c r="B66" s="22" t="inlineStr">
        <is>
          <t>auditor_perfil</t>
        </is>
      </c>
      <c r="C66" s="22" t="inlineStr">
        <is>
          <t>cargo</t>
        </is>
      </c>
      <c r="D66" s="22" t="inlineStr">
        <is>
          <t>control_interno.v_auditorias_kanban_completo</t>
        </is>
      </c>
      <c r="E66" s="22" t="inlineStr">
        <is>
          <t>Vista</t>
        </is>
      </c>
      <c r="F66" s="22" t="inlineStr"/>
    </row>
    <row r="67">
      <c r="A67" s="22" t="inlineStr">
        <is>
          <t>control_interno</t>
        </is>
      </c>
      <c r="B67" s="22" t="inlineStr">
        <is>
          <t>auditor_perfil</t>
        </is>
      </c>
      <c r="C67" s="22" t="inlineStr">
        <is>
          <t>nivel_experiencia</t>
        </is>
      </c>
      <c r="D67" s="22" t="inlineStr">
        <is>
          <t>control_interno.v_auditor_disponibilidad</t>
        </is>
      </c>
      <c r="E67" s="22" t="inlineStr">
        <is>
          <t>Vista</t>
        </is>
      </c>
      <c r="F67" s="22" t="inlineStr"/>
    </row>
    <row r="68">
      <c r="A68" s="22" t="inlineStr">
        <is>
          <t>control_interno</t>
        </is>
      </c>
      <c r="B68" s="22" t="inlineStr">
        <is>
          <t>auditor_perfil</t>
        </is>
      </c>
      <c r="C68" s="22" t="inlineStr">
        <is>
          <t>fecha_ultima_actividad</t>
        </is>
      </c>
      <c r="D68" s="22" t="inlineStr">
        <is>
          <t>control_interno.v_auditor_disponibilidad</t>
        </is>
      </c>
      <c r="E68" s="22" t="inlineStr">
        <is>
          <t>Vista</t>
        </is>
      </c>
      <c r="F68" s="22" t="inlineStr"/>
    </row>
    <row r="69">
      <c r="A69" s="22" t="inlineStr">
        <is>
          <t>control_interno</t>
        </is>
      </c>
      <c r="B69" s="22" t="inlineStr">
        <is>
          <t>auditor_perfil</t>
        </is>
      </c>
      <c r="C69" s="22" t="inlineStr">
        <is>
          <t>observaciones</t>
        </is>
      </c>
      <c r="D69" s="22" t="inlineStr">
        <is>
          <t>control_interno.v_auditor_disponibilidad</t>
        </is>
      </c>
      <c r="E69" s="22" t="inlineStr">
        <is>
          <t>Vista</t>
        </is>
      </c>
      <c r="F69" s="22" t="inlineStr"/>
    </row>
    <row r="70">
      <c r="A70" s="22" t="inlineStr">
        <is>
          <t>control_interno</t>
        </is>
      </c>
      <c r="B70" s="22" t="inlineStr">
        <is>
          <t>auditor_perfil</t>
        </is>
      </c>
      <c r="C70" s="22" t="inlineStr">
        <is>
          <t>activo</t>
        </is>
      </c>
      <c r="D70" s="22" t="inlineStr">
        <is>
          <t>control_interno.v_auditor_disponibilidad</t>
        </is>
      </c>
      <c r="E70" s="22" t="inlineStr">
        <is>
          <t>Vista</t>
        </is>
      </c>
      <c r="F70" s="22" t="inlineStr"/>
    </row>
    <row r="71">
      <c r="A71" s="22" t="inlineStr">
        <is>
          <t>control_interno</t>
        </is>
      </c>
      <c r="B71" s="22" t="inlineStr">
        <is>
          <t>auditor_perfil</t>
        </is>
      </c>
      <c r="C71" s="22" t="inlineStr">
        <is>
          <t>activo</t>
        </is>
      </c>
      <c r="D71" s="22" t="inlineStr">
        <is>
          <t>control_interno.v_auditorias_kanban_completo</t>
        </is>
      </c>
      <c r="E71" s="22" t="inlineStr">
        <is>
          <t>Vista</t>
        </is>
      </c>
      <c r="F71" s="22" t="inlineStr"/>
    </row>
    <row r="72">
      <c r="A72" s="22" t="inlineStr">
        <is>
          <t>control_interno</t>
        </is>
      </c>
      <c r="B72" s="22" t="inlineStr">
        <is>
          <t>auditoria</t>
        </is>
      </c>
      <c r="C72" s="22" t="inlineStr">
        <is>
          <t>codigo</t>
        </is>
      </c>
      <c r="D72" s="22" t="inlineStr">
        <is>
          <t>control_interno.v_auditorias_finalizadas</t>
        </is>
      </c>
      <c r="E72" s="22" t="inlineStr">
        <is>
          <t>Vista</t>
        </is>
      </c>
      <c r="F72" s="22" t="inlineStr"/>
    </row>
    <row r="73">
      <c r="A73" s="22" t="inlineStr">
        <is>
          <t>control_interno</t>
        </is>
      </c>
      <c r="B73" s="22" t="inlineStr">
        <is>
          <t>auditoria</t>
        </is>
      </c>
      <c r="C73" s="22" t="inlineStr">
        <is>
          <t>codigo</t>
        </is>
      </c>
      <c r="D73" s="22" t="inlineStr">
        <is>
          <t>control_interno.v_auditorias_kanban_completo</t>
        </is>
      </c>
      <c r="E73" s="22" t="inlineStr">
        <is>
          <t>Vista</t>
        </is>
      </c>
      <c r="F73" s="22" t="inlineStr"/>
    </row>
    <row r="74">
      <c r="A74" s="22" t="inlineStr">
        <is>
          <t>control_interno</t>
        </is>
      </c>
      <c r="B74" s="22" t="inlineStr">
        <is>
          <t>auditoria</t>
        </is>
      </c>
      <c r="C74" s="22" t="inlineStr">
        <is>
          <t>nombre</t>
        </is>
      </c>
      <c r="D74" s="22" t="inlineStr">
        <is>
          <t>control_interno.fn_configurar_actividad_auditorias_plan</t>
        </is>
      </c>
      <c r="E74" s="22" t="inlineStr">
        <is>
          <t>Función</t>
        </is>
      </c>
      <c r="F74" s="22" t="inlineStr">
        <is>
          <t>LOWER(a.nombre) LIKE '%auditoría%'
OR LOWER(a.nombre) LIKE '%auditoria%'
OR LOWER(a.nombre) LIKE '%programa de auditor%'</t>
        </is>
      </c>
    </row>
    <row r="75">
      <c r="A75" s="22" t="inlineStr">
        <is>
          <t>control_interno</t>
        </is>
      </c>
      <c r="B75" s="22" t="inlineStr">
        <is>
          <t>auditoria</t>
        </is>
      </c>
      <c r="C75" s="22" t="inlineStr">
        <is>
          <t>nombre</t>
        </is>
      </c>
      <c r="D75" s="22" t="inlineStr">
        <is>
          <t>control_interno.v_auditor_disponibilidad</t>
        </is>
      </c>
      <c r="E75" s="22" t="inlineStr">
        <is>
          <t>Vista</t>
        </is>
      </c>
      <c r="F75" s="22" t="inlineStr"/>
    </row>
    <row r="76">
      <c r="A76" s="22" t="inlineStr">
        <is>
          <t>control_interno</t>
        </is>
      </c>
      <c r="B76" s="22" t="inlineStr">
        <is>
          <t>auditoria</t>
        </is>
      </c>
      <c r="C76" s="22" t="inlineStr">
        <is>
          <t>nombre</t>
        </is>
      </c>
      <c r="D76" s="22" t="inlineStr">
        <is>
          <t>control_interno.v_auditorias_finalizadas</t>
        </is>
      </c>
      <c r="E76" s="22" t="inlineStr">
        <is>
          <t>Vista</t>
        </is>
      </c>
      <c r="F76" s="22" t="inlineStr"/>
    </row>
    <row r="77">
      <c r="A77" s="22" t="inlineStr">
        <is>
          <t>control_interno</t>
        </is>
      </c>
      <c r="B77" s="22" t="inlineStr">
        <is>
          <t>auditoria</t>
        </is>
      </c>
      <c r="C77" s="22" t="inlineStr">
        <is>
          <t>nombre</t>
        </is>
      </c>
      <c r="D77" s="22" t="inlineStr">
        <is>
          <t>control_interno.v_auditorias_kanban_completo</t>
        </is>
      </c>
      <c r="E77" s="22" t="inlineStr">
        <is>
          <t>Vista</t>
        </is>
      </c>
      <c r="F77" s="22" t="inlineStr"/>
    </row>
    <row r="78">
      <c r="A78" s="22" t="inlineStr">
        <is>
          <t>control_interno</t>
        </is>
      </c>
      <c r="B78" s="22" t="inlineStr">
        <is>
          <t>auditoria</t>
        </is>
      </c>
      <c r="C78" s="22" t="inlineStr">
        <is>
          <t>nombre</t>
        </is>
      </c>
      <c r="D78" s="22" t="inlineStr">
        <is>
          <t>control_interno.v_estado_vinculacion_auditorias</t>
        </is>
      </c>
      <c r="E78" s="22" t="inlineStr">
        <is>
          <t>Vista</t>
        </is>
      </c>
      <c r="F78" s="22" t="inlineStr"/>
    </row>
    <row r="79">
      <c r="A79" s="22" t="inlineStr">
        <is>
          <t>control_interno</t>
        </is>
      </c>
      <c r="B79" s="22" t="inlineStr">
        <is>
          <t>auditoria</t>
        </is>
      </c>
      <c r="C79" s="22" t="inlineStr">
        <is>
          <t>tipo</t>
        </is>
      </c>
      <c r="D79" s="22" t="inlineStr">
        <is>
          <t>control_interno.actualizar_contadores_documentos_informes</t>
        </is>
      </c>
      <c r="E79" s="22" t="inlineStr">
        <is>
          <t>Función</t>
        </is>
      </c>
      <c r="F79" s="22" t="inlineStr">
        <is>
          <t>-- Determinar el ID de la auditoría y el tipo de documento
-- Determinar si es un informe basado en el tipo de documento</t>
        </is>
      </c>
    </row>
    <row r="80">
      <c r="A80" s="22" t="inlineStr">
        <is>
          <t>control_interno</t>
        </is>
      </c>
      <c r="B80" s="22" t="inlineStr">
        <is>
          <t>auditoria</t>
        </is>
      </c>
      <c r="C80" s="22" t="inlineStr">
        <is>
          <t>tipo</t>
        </is>
      </c>
      <c r="D80" s="22" t="inlineStr">
        <is>
          <t>control_interno.fn_calcular_cumplimiento_auditorias</t>
        </is>
      </c>
      <c r="E80" s="22" t="inlineStr">
        <is>
          <t>Función</t>
        </is>
      </c>
      <c r="F80" s="22" t="inlineStr">
        <is>
          <t>COALESCE(tipo, 'regular') AS tipo_grupo,
GROUP BY COALESCE(tipo, 'regular')</t>
        </is>
      </c>
    </row>
    <row r="81">
      <c r="A81" s="22" t="inlineStr">
        <is>
          <t>control_interno</t>
        </is>
      </c>
      <c r="B81" s="22" t="inlineStr">
        <is>
          <t>auditoria</t>
        </is>
      </c>
      <c r="C81" s="22" t="inlineStr">
        <is>
          <t>tipo</t>
        </is>
      </c>
      <c r="D81" s="22" t="inlineStr">
        <is>
          <t>control_interno.v_auditorias_finalizadas</t>
        </is>
      </c>
      <c r="E81" s="22" t="inlineStr">
        <is>
          <t>Vista</t>
        </is>
      </c>
      <c r="F81" s="22" t="inlineStr"/>
    </row>
    <row r="82">
      <c r="A82" s="22" t="inlineStr">
        <is>
          <t>control_interno</t>
        </is>
      </c>
      <c r="B82" s="22" t="inlineStr">
        <is>
          <t>auditoria</t>
        </is>
      </c>
      <c r="C82" s="22" t="inlineStr">
        <is>
          <t>tipo</t>
        </is>
      </c>
      <c r="D82" s="22" t="inlineStr">
        <is>
          <t>control_interno.v_auditorias_kanban_completo</t>
        </is>
      </c>
      <c r="E82" s="22" t="inlineStr">
        <is>
          <t>Vista</t>
        </is>
      </c>
      <c r="F82" s="22" t="inlineStr"/>
    </row>
    <row r="83">
      <c r="A83" s="22" t="inlineStr">
        <is>
          <t>control_interno</t>
        </is>
      </c>
      <c r="B83" s="22" t="inlineStr">
        <is>
          <t>auditoria</t>
        </is>
      </c>
      <c r="C83" s="22" t="inlineStr">
        <is>
          <t>tipo</t>
        </is>
      </c>
      <c r="D83" s="22" t="inlineStr">
        <is>
          <t>control_interno.v_resumen_auditorias_por_año</t>
        </is>
      </c>
      <c r="E83" s="22" t="inlineStr">
        <is>
          <t>Vista</t>
        </is>
      </c>
      <c r="F83" s="22" t="inlineStr"/>
    </row>
    <row r="84">
      <c r="A84" s="22" t="inlineStr">
        <is>
          <t>control_interno</t>
        </is>
      </c>
      <c r="B84" s="22" t="inlineStr">
        <is>
          <t>auditoria</t>
        </is>
      </c>
      <c r="C84" s="22" t="inlineStr">
        <is>
          <t>territorial</t>
        </is>
      </c>
      <c r="D84" s="22" t="inlineStr">
        <is>
          <t>control_interno.v_auditorias_kanban_completo</t>
        </is>
      </c>
      <c r="E84" s="22" t="inlineStr">
        <is>
          <t>Vista</t>
        </is>
      </c>
      <c r="F84" s="22" t="inlineStr"/>
    </row>
    <row r="85">
      <c r="A85" s="22" t="inlineStr">
        <is>
          <t>control_interno</t>
        </is>
      </c>
      <c r="B85" s="22" t="inlineStr">
        <is>
          <t>auditoria</t>
        </is>
      </c>
      <c r="C85" s="22" t="inlineStr">
        <is>
          <t>progreso</t>
        </is>
      </c>
      <c r="D85" s="22" t="inlineStr">
        <is>
          <t>control_interno.v_auditorias_finalizadas</t>
        </is>
      </c>
      <c r="E85" s="22" t="inlineStr">
        <is>
          <t>Vista</t>
        </is>
      </c>
      <c r="F85" s="22" t="inlineStr"/>
    </row>
    <row r="86">
      <c r="A86" s="22" t="inlineStr">
        <is>
          <t>control_interno</t>
        </is>
      </c>
      <c r="B86" s="22" t="inlineStr">
        <is>
          <t>auditoria</t>
        </is>
      </c>
      <c r="C86" s="22" t="inlineStr">
        <is>
          <t>progreso</t>
        </is>
      </c>
      <c r="D86" s="22" t="inlineStr">
        <is>
          <t>control_interno.v_auditorias_kanban_completo</t>
        </is>
      </c>
      <c r="E86" s="22" t="inlineStr">
        <is>
          <t>Vista</t>
        </is>
      </c>
      <c r="F86" s="22" t="inlineStr"/>
    </row>
    <row r="87">
      <c r="A87" s="22" t="inlineStr">
        <is>
          <t>control_interno</t>
        </is>
      </c>
      <c r="B87" s="22" t="inlineStr">
        <is>
          <t>auditoria</t>
        </is>
      </c>
      <c r="C87" s="22" t="inlineStr">
        <is>
          <t>progreso</t>
        </is>
      </c>
      <c r="D87" s="22" t="inlineStr">
        <is>
          <t>control_interno.v_auditorias_por_estado</t>
        </is>
      </c>
      <c r="E87" s="22" t="inlineStr">
        <is>
          <t>Vista</t>
        </is>
      </c>
      <c r="F87" s="22" t="inlineStr"/>
    </row>
    <row r="88">
      <c r="A88" s="22" t="inlineStr">
        <is>
          <t>control_interno</t>
        </is>
      </c>
      <c r="B88" s="22" t="inlineStr">
        <is>
          <t>auditoria</t>
        </is>
      </c>
      <c r="C88" s="22" t="inlineStr">
        <is>
          <t>prioridad</t>
        </is>
      </c>
      <c r="D88" s="22" t="inlineStr">
        <is>
          <t>control_interno.v_auditorias_kanban_completo</t>
        </is>
      </c>
      <c r="E88" s="22" t="inlineStr">
        <is>
          <t>Vista</t>
        </is>
      </c>
      <c r="F88" s="22" t="inlineStr"/>
    </row>
    <row r="89">
      <c r="A89" s="22" t="inlineStr">
        <is>
          <t>control_interno</t>
        </is>
      </c>
      <c r="B89" s="22" t="inlineStr">
        <is>
          <t>auditoria</t>
        </is>
      </c>
      <c r="C89" s="22" t="inlineStr">
        <is>
          <t>hallazgos</t>
        </is>
      </c>
      <c r="D89" s="22" t="inlineStr">
        <is>
          <t>control_interno.v_auditorias_finalizadas</t>
        </is>
      </c>
      <c r="E89" s="22" t="inlineStr">
        <is>
          <t>Vista</t>
        </is>
      </c>
      <c r="F89" s="22" t="inlineStr"/>
    </row>
    <row r="90">
      <c r="A90" s="22" t="inlineStr">
        <is>
          <t>control_interno</t>
        </is>
      </c>
      <c r="B90" s="22" t="inlineStr">
        <is>
          <t>auditoria</t>
        </is>
      </c>
      <c r="C90" s="22" t="inlineStr">
        <is>
          <t>hallazgos</t>
        </is>
      </c>
      <c r="D90" s="22" t="inlineStr">
        <is>
          <t>control_interno.v_auditorias_kanban_completo</t>
        </is>
      </c>
      <c r="E90" s="22" t="inlineStr">
        <is>
          <t>Vista</t>
        </is>
      </c>
      <c r="F90" s="22" t="inlineStr"/>
    </row>
    <row r="91">
      <c r="A91" s="22" t="inlineStr">
        <is>
          <t>control_interno</t>
        </is>
      </c>
      <c r="B91" s="22" t="inlineStr">
        <is>
          <t>auditoria</t>
        </is>
      </c>
      <c r="C91" s="22" t="inlineStr">
        <is>
          <t>hallazgos</t>
        </is>
      </c>
      <c r="D91" s="22" t="inlineStr">
        <is>
          <t>control_interno.v_auditorias_por_estado</t>
        </is>
      </c>
      <c r="E91" s="22" t="inlineStr">
        <is>
          <t>Vista</t>
        </is>
      </c>
      <c r="F91" s="22" t="inlineStr"/>
    </row>
    <row r="92">
      <c r="A92" s="22" t="inlineStr">
        <is>
          <t>control_interno</t>
        </is>
      </c>
      <c r="B92" s="22" t="inlineStr">
        <is>
          <t>auditoria</t>
        </is>
      </c>
      <c r="C92" s="22" t="inlineStr">
        <is>
          <t>semaforo</t>
        </is>
      </c>
      <c r="D92" s="22" t="inlineStr">
        <is>
          <t>control_interno.v_auditorias_kanban_completo</t>
        </is>
      </c>
      <c r="E92" s="22" t="inlineStr">
        <is>
          <t>Vista</t>
        </is>
      </c>
      <c r="F92" s="22" t="inlineStr"/>
    </row>
    <row r="93">
      <c r="A93" s="22" t="inlineStr">
        <is>
          <t>control_interno</t>
        </is>
      </c>
      <c r="B93" s="22" t="inlineStr">
        <is>
          <t>auditoria</t>
        </is>
      </c>
      <c r="C93" s="22" t="inlineStr">
        <is>
          <t>semaforo</t>
        </is>
      </c>
      <c r="D93" s="22" t="inlineStr">
        <is>
          <t>control_interno.v_auditorias_por_estado</t>
        </is>
      </c>
      <c r="E93" s="22" t="inlineStr">
        <is>
          <t>Vista</t>
        </is>
      </c>
      <c r="F93" s="22" t="inlineStr"/>
    </row>
    <row r="94">
      <c r="A94" s="22" t="inlineStr">
        <is>
          <t>control_interno</t>
        </is>
      </c>
      <c r="B94" s="22" t="inlineStr">
        <is>
          <t>auditoria</t>
        </is>
      </c>
      <c r="C94" s="22" t="inlineStr">
        <is>
          <t>tipo_kanban</t>
        </is>
      </c>
      <c r="D94" s="22" t="inlineStr">
        <is>
          <t>control_interno.v_auditorias_kanban_completo</t>
        </is>
      </c>
      <c r="E94" s="22" t="inlineStr">
        <is>
          <t>Vista</t>
        </is>
      </c>
      <c r="F94" s="22" t="inlineStr"/>
    </row>
    <row r="95">
      <c r="A95" s="22" t="inlineStr">
        <is>
          <t>control_interno</t>
        </is>
      </c>
      <c r="B95" s="22" t="inlineStr">
        <is>
          <t>auditoria</t>
        </is>
      </c>
      <c r="C95" s="22" t="inlineStr">
        <is>
          <t>prioridad_kanban</t>
        </is>
      </c>
      <c r="D95" s="22" t="inlineStr">
        <is>
          <t>control_interno.v_auditorias_kanban_completo</t>
        </is>
      </c>
      <c r="E95" s="22" t="inlineStr">
        <is>
          <t>Vista</t>
        </is>
      </c>
      <c r="F95" s="22" t="inlineStr"/>
    </row>
    <row r="96">
      <c r="A96" s="22" t="inlineStr">
        <is>
          <t>control_interno</t>
        </is>
      </c>
      <c r="B96" s="22" t="inlineStr">
        <is>
          <t>auditoria</t>
        </is>
      </c>
      <c r="C96" s="22" t="inlineStr">
        <is>
          <t>area_objetivo</t>
        </is>
      </c>
      <c r="D96" s="22" t="inlineStr">
        <is>
          <t>control_interno.v_auditorias_kanban_completo</t>
        </is>
      </c>
      <c r="E96" s="22" t="inlineStr">
        <is>
          <t>Vista</t>
        </is>
      </c>
      <c r="F96" s="22" t="inlineStr"/>
    </row>
    <row r="97">
      <c r="A97" s="22" t="inlineStr">
        <is>
          <t>control_interno</t>
        </is>
      </c>
      <c r="B97" s="22" t="inlineStr">
        <is>
          <t>auditoria</t>
        </is>
      </c>
      <c r="C97" s="22" t="inlineStr">
        <is>
          <t>alcance</t>
        </is>
      </c>
      <c r="D97" s="22" t="inlineStr">
        <is>
          <t>control_interno.v_auditorias_kanban_completo</t>
        </is>
      </c>
      <c r="E97" s="22" t="inlineStr">
        <is>
          <t>Vista</t>
        </is>
      </c>
      <c r="F97" s="22" t="inlineStr"/>
    </row>
    <row r="98">
      <c r="A98" s="22" t="inlineStr">
        <is>
          <t>control_interno</t>
        </is>
      </c>
      <c r="B98" s="22" t="inlineStr">
        <is>
          <t>auditoria</t>
        </is>
      </c>
      <c r="C98" s="22" t="inlineStr">
        <is>
          <t>proceso_auditado</t>
        </is>
      </c>
      <c r="D98" s="22" t="inlineStr">
        <is>
          <t>control_interno.v_auditorias_kanban_completo</t>
        </is>
      </c>
      <c r="E98" s="22" t="inlineStr">
        <is>
          <t>Vista</t>
        </is>
      </c>
      <c r="F98" s="22" t="inlineStr"/>
    </row>
    <row r="99">
      <c r="A99" s="22" t="inlineStr">
        <is>
          <t>control_interno</t>
        </is>
      </c>
      <c r="B99" s="22" t="inlineStr">
        <is>
          <t>auditoria</t>
        </is>
      </c>
      <c r="C99" s="22" t="inlineStr">
        <is>
          <t>responsable_area_nombre</t>
        </is>
      </c>
      <c r="D99" s="22" t="inlineStr">
        <is>
          <t>control_interno.v_auditorias_kanban_completo</t>
        </is>
      </c>
      <c r="E99" s="22" t="inlineStr">
        <is>
          <t>Vista</t>
        </is>
      </c>
      <c r="F99" s="22" t="inlineStr"/>
    </row>
    <row r="100">
      <c r="A100" s="22" t="inlineStr">
        <is>
          <t>control_interno</t>
        </is>
      </c>
      <c r="B100" s="22" t="inlineStr">
        <is>
          <t>auditoria</t>
        </is>
      </c>
      <c r="C100" s="22" t="inlineStr">
        <is>
          <t>responsable_area_cargo</t>
        </is>
      </c>
      <c r="D100" s="22" t="inlineStr">
        <is>
          <t>control_interno.v_auditorias_kanban_completo</t>
        </is>
      </c>
      <c r="E100" s="22" t="inlineStr">
        <is>
          <t>Vista</t>
        </is>
      </c>
      <c r="F100" s="22" t="inlineStr"/>
    </row>
    <row r="101">
      <c r="A101" s="22" t="inlineStr">
        <is>
          <t>control_interno</t>
        </is>
      </c>
      <c r="B101" s="22" t="inlineStr">
        <is>
          <t>auditoria</t>
        </is>
      </c>
      <c r="C101" s="22" t="inlineStr">
        <is>
          <t>responsable_area_email</t>
        </is>
      </c>
      <c r="D101" s="22" t="inlineStr">
        <is>
          <t>control_interno.v_auditorias_kanban_completo</t>
        </is>
      </c>
      <c r="E101" s="22" t="inlineStr">
        <is>
          <t>Vista</t>
        </is>
      </c>
      <c r="F101" s="22" t="inlineStr"/>
    </row>
    <row r="102">
      <c r="A102" s="22" t="inlineStr">
        <is>
          <t>control_interno</t>
        </is>
      </c>
      <c r="B102" s="22" t="inlineStr">
        <is>
          <t>auditoria</t>
        </is>
      </c>
      <c r="C102" s="22" t="inlineStr">
        <is>
          <t>fecha_reunion_apertura</t>
        </is>
      </c>
      <c r="D102" s="22" t="inlineStr">
        <is>
          <t>control_interno.v_auditorias_kanban_completo</t>
        </is>
      </c>
      <c r="E102" s="22" t="inlineStr">
        <is>
          <t>Vista</t>
        </is>
      </c>
      <c r="F102" s="22" t="inlineStr"/>
    </row>
    <row r="103">
      <c r="A103" s="22" t="inlineStr">
        <is>
          <t>control_interno</t>
        </is>
      </c>
      <c r="B103" s="22" t="inlineStr">
        <is>
          <t>auditoria</t>
        </is>
      </c>
      <c r="C103" s="22" t="inlineStr">
        <is>
          <t>archivada</t>
        </is>
      </c>
      <c r="D103" s="22" t="inlineStr">
        <is>
          <t>control_interno.fn_calcular_cumplimiento_auditorias</t>
        </is>
      </c>
      <c r="E103" s="22" t="inlineStr">
        <is>
          <t>Función</t>
        </is>
      </c>
      <c r="F103" s="22" t="inlineStr">
        <is>
          <t>AND archivada = false
AND archivada = false</t>
        </is>
      </c>
    </row>
    <row r="104">
      <c r="A104" s="22" t="inlineStr">
        <is>
          <t>control_interno</t>
        </is>
      </c>
      <c r="B104" s="22" t="inlineStr">
        <is>
          <t>auditoria</t>
        </is>
      </c>
      <c r="C104" s="22" t="inlineStr">
        <is>
          <t>archivada</t>
        </is>
      </c>
      <c r="D104" s="22" t="inlineStr">
        <is>
          <t>control_interno.fn_vincular_auditorias_actividad</t>
        </is>
      </c>
      <c r="E104" s="22" t="inlineStr">
        <is>
          <t>Función</t>
        </is>
      </c>
      <c r="F104" s="22" t="inlineStr">
        <is>
          <t>AND archivada = false</t>
        </is>
      </c>
    </row>
    <row r="105">
      <c r="A105" s="22" t="inlineStr">
        <is>
          <t>control_interno</t>
        </is>
      </c>
      <c r="B105" s="22" t="inlineStr">
        <is>
          <t>auditoria</t>
        </is>
      </c>
      <c r="C105" s="22" t="inlineStr">
        <is>
          <t>archivada</t>
        </is>
      </c>
      <c r="D105" s="22" t="inlineStr">
        <is>
          <t>trg_actualizar_cumplimiento_auditorias</t>
        </is>
      </c>
      <c r="E105" s="22" t="inlineStr">
        <is>
          <t>Trigger (UPDATE OF)</t>
        </is>
      </c>
      <c r="F105" s="22" t="inlineStr"/>
    </row>
    <row r="106">
      <c r="A106" s="22" t="inlineStr">
        <is>
          <t>control_interno</t>
        </is>
      </c>
      <c r="B106" s="22" t="inlineStr">
        <is>
          <t>auditoria</t>
        </is>
      </c>
      <c r="C106" s="22" t="inlineStr">
        <is>
          <t>archivada</t>
        </is>
      </c>
      <c r="D106" s="22" t="inlineStr">
        <is>
          <t>control_interno.v_auditor_disponibilidad</t>
        </is>
      </c>
      <c r="E106" s="22" t="inlineStr">
        <is>
          <t>Vista</t>
        </is>
      </c>
      <c r="F106" s="22" t="inlineStr"/>
    </row>
    <row r="107">
      <c r="A107" s="22" t="inlineStr">
        <is>
          <t>control_interno</t>
        </is>
      </c>
      <c r="B107" s="22" t="inlineStr">
        <is>
          <t>auditoria</t>
        </is>
      </c>
      <c r="C107" s="22" t="inlineStr">
        <is>
          <t>archivada</t>
        </is>
      </c>
      <c r="D107" s="22" t="inlineStr">
        <is>
          <t>control_interno.v_auditorias_finalizadas</t>
        </is>
      </c>
      <c r="E107" s="22" t="inlineStr">
        <is>
          <t>Vista</t>
        </is>
      </c>
      <c r="F107" s="22" t="inlineStr"/>
    </row>
    <row r="108">
      <c r="A108" s="22" t="inlineStr">
        <is>
          <t>control_interno</t>
        </is>
      </c>
      <c r="B108" s="22" t="inlineStr">
        <is>
          <t>auditoria</t>
        </is>
      </c>
      <c r="C108" s="22" t="inlineStr">
        <is>
          <t>archivada</t>
        </is>
      </c>
      <c r="D108" s="22" t="inlineStr">
        <is>
          <t>control_interno.v_estado_vinculacion_auditorias</t>
        </is>
      </c>
      <c r="E108" s="22" t="inlineStr">
        <is>
          <t>Vista</t>
        </is>
      </c>
      <c r="F108" s="22" t="inlineStr"/>
    </row>
    <row r="109">
      <c r="A109" s="22" t="inlineStr">
        <is>
          <t>control_interno</t>
        </is>
      </c>
      <c r="B109" s="22" t="inlineStr">
        <is>
          <t>auditoria</t>
        </is>
      </c>
      <c r="C109" s="22" t="inlineStr">
        <is>
          <t>archivada</t>
        </is>
      </c>
      <c r="D109" s="22" t="inlineStr">
        <is>
          <t>control_interno.v_resumen_auditorias_por_año</t>
        </is>
      </c>
      <c r="E109" s="22" t="inlineStr">
        <is>
          <t>Vista</t>
        </is>
      </c>
      <c r="F109" s="22" t="inlineStr"/>
    </row>
    <row r="110">
      <c r="A110" s="22" t="inlineStr">
        <is>
          <t>control_interno</t>
        </is>
      </c>
      <c r="B110" s="22" t="inlineStr">
        <is>
          <t>auditoria</t>
        </is>
      </c>
      <c r="C110" s="22" t="inlineStr">
        <is>
          <t>riesgo_kanban</t>
        </is>
      </c>
      <c r="D110" s="22" t="inlineStr">
        <is>
          <t>control_interno.v_auditorias_kanban_completo</t>
        </is>
      </c>
      <c r="E110" s="22" t="inlineStr">
        <is>
          <t>Vista</t>
        </is>
      </c>
      <c r="F110" s="22" t="inlineStr"/>
    </row>
    <row r="111">
      <c r="A111" s="22" t="inlineStr">
        <is>
          <t>control_interno</t>
        </is>
      </c>
      <c r="B111" s="22" t="inlineStr">
        <is>
          <t>auditoria</t>
        </is>
      </c>
      <c r="C111" s="22" t="inlineStr">
        <is>
          <t>ultima_actuacion</t>
        </is>
      </c>
      <c r="D111" s="22" t="inlineStr">
        <is>
          <t>control_interno.v_auditorias_kanban_completo</t>
        </is>
      </c>
      <c r="E111" s="22" t="inlineStr">
        <is>
          <t>Vista</t>
        </is>
      </c>
      <c r="F111" s="22" t="inlineStr"/>
    </row>
    <row r="112">
      <c r="A112" s="22" t="inlineStr">
        <is>
          <t>control_interno</t>
        </is>
      </c>
      <c r="B112" s="22" t="inlineStr">
        <is>
          <t>auditoria</t>
        </is>
      </c>
      <c r="C112" s="22" t="inlineStr">
        <is>
          <t>dias_restantes</t>
        </is>
      </c>
      <c r="D112" s="22" t="inlineStr">
        <is>
          <t>control_interno.v_auditorias_kanban_completo</t>
        </is>
      </c>
      <c r="E112" s="22" t="inlineStr">
        <is>
          <t>Vista</t>
        </is>
      </c>
      <c r="F112" s="22" t="inlineStr"/>
    </row>
    <row r="113">
      <c r="A113" s="22" t="inlineStr">
        <is>
          <t>control_interno</t>
        </is>
      </c>
      <c r="B113" s="22" t="inlineStr">
        <is>
          <t>auditoria</t>
        </is>
      </c>
      <c r="C113" s="22" t="inlineStr">
        <is>
          <t>porcentaje_tiempo</t>
        </is>
      </c>
      <c r="D113" s="22" t="inlineStr">
        <is>
          <t>control_interno.v_auditorias_kanban_completo</t>
        </is>
      </c>
      <c r="E113" s="22" t="inlineStr">
        <is>
          <t>Vista</t>
        </is>
      </c>
      <c r="F113" s="22" t="inlineStr"/>
    </row>
    <row r="114">
      <c r="A114" s="22" t="inlineStr">
        <is>
          <t>control_interno</t>
        </is>
      </c>
      <c r="B114" s="22" t="inlineStr">
        <is>
          <t>auditoria</t>
        </is>
      </c>
      <c r="C114" s="22" t="inlineStr">
        <is>
          <t>total_documentos</t>
        </is>
      </c>
      <c r="D114" s="22" t="inlineStr">
        <is>
          <t>control_interno.actualizar_contadores_documentos_informes</t>
        </is>
      </c>
      <c r="E114" s="22" t="inlineStr">
        <is>
          <t>Función</t>
        </is>
      </c>
      <c r="F114" s="22" t="inlineStr">
        <is>
          <t>total_documentos = COALESCE(total_docs, 0),</t>
        </is>
      </c>
    </row>
    <row r="115">
      <c r="A115" s="22" t="inlineStr">
        <is>
          <t>control_interno</t>
        </is>
      </c>
      <c r="B115" s="22" t="inlineStr">
        <is>
          <t>auditoria</t>
        </is>
      </c>
      <c r="C115" s="22" t="inlineStr">
        <is>
          <t>total_documentos</t>
        </is>
      </c>
      <c r="D115" s="22" t="inlineStr">
        <is>
          <t>control_interno.v_auditorias_kanban_completo</t>
        </is>
      </c>
      <c r="E115" s="22" t="inlineStr">
        <is>
          <t>Vista</t>
        </is>
      </c>
      <c r="F115" s="22" t="inlineStr"/>
    </row>
    <row r="116">
      <c r="A116" s="22" t="inlineStr">
        <is>
          <t>control_interno</t>
        </is>
      </c>
      <c r="B116" s="22" t="inlineStr">
        <is>
          <t>auditoria</t>
        </is>
      </c>
      <c r="C116" s="22" t="inlineStr">
        <is>
          <t>total_informes</t>
        </is>
      </c>
      <c r="D116" s="22" t="inlineStr">
        <is>
          <t>control_interno.actualizar_contadores_documentos_informes</t>
        </is>
      </c>
      <c r="E116" s="22" t="inlineStr">
        <is>
          <t>Función</t>
        </is>
      </c>
      <c r="F116" s="22" t="inlineStr">
        <is>
          <t>total_informes = COALESCE(total_inf, 0),</t>
        </is>
      </c>
    </row>
    <row r="117">
      <c r="A117" s="22" t="inlineStr">
        <is>
          <t>control_interno</t>
        </is>
      </c>
      <c r="B117" s="22" t="inlineStr">
        <is>
          <t>auditoria</t>
        </is>
      </c>
      <c r="C117" s="22" t="inlineStr">
        <is>
          <t>total_informes</t>
        </is>
      </c>
      <c r="D117" s="22" t="inlineStr">
        <is>
          <t>control_interno.v_auditorias_kanban_completo</t>
        </is>
      </c>
      <c r="E117" s="22" t="inlineStr">
        <is>
          <t>Vista</t>
        </is>
      </c>
      <c r="F117" s="22" t="inlineStr"/>
    </row>
    <row r="118">
      <c r="A118" s="22" t="inlineStr">
        <is>
          <t>control_interno</t>
        </is>
      </c>
      <c r="B118" s="22" t="inlineStr">
        <is>
          <t>auditoria</t>
        </is>
      </c>
      <c r="C118" s="22" t="inlineStr">
        <is>
          <t>total_tareas</t>
        </is>
      </c>
      <c r="D118" s="22" t="inlineStr">
        <is>
          <t>control_interno.v_auditorias_kanban_completo</t>
        </is>
      </c>
      <c r="E118" s="22" t="inlineStr">
        <is>
          <t>Vista</t>
        </is>
      </c>
      <c r="F118" s="22" t="inlineStr"/>
    </row>
    <row r="119">
      <c r="A119" s="22" t="inlineStr">
        <is>
          <t>control_interno</t>
        </is>
      </c>
      <c r="B119" s="22" t="inlineStr">
        <is>
          <t>auditoria</t>
        </is>
      </c>
      <c r="C119" s="22" t="inlineStr">
        <is>
          <t>actividades_completas</t>
        </is>
      </c>
      <c r="D119" s="22" t="inlineStr">
        <is>
          <t>control_interno.actualizar_actividades_auditoria</t>
        </is>
      </c>
      <c r="E119" s="22" t="inlineStr">
        <is>
          <t>Función</t>
        </is>
      </c>
      <c r="F119" s="22" t="inlineStr">
        <is>
          <t>SET actividades_completas = (pendientes = 0),</t>
        </is>
      </c>
    </row>
    <row r="120">
      <c r="A120" s="22" t="inlineStr">
        <is>
          <t>control_interno</t>
        </is>
      </c>
      <c r="B120" s="22" t="inlineStr">
        <is>
          <t>auditoria</t>
        </is>
      </c>
      <c r="C120" s="22" t="inlineStr">
        <is>
          <t>actividades_completas</t>
        </is>
      </c>
      <c r="D120" s="22" t="inlineStr">
        <is>
          <t>control_interno.v_auditorias_kanban_completo</t>
        </is>
      </c>
      <c r="E120" s="22" t="inlineStr">
        <is>
          <t>Vista</t>
        </is>
      </c>
      <c r="F120" s="22" t="inlineStr"/>
    </row>
    <row r="121">
      <c r="A121" s="22" t="inlineStr">
        <is>
          <t>control_interno</t>
        </is>
      </c>
      <c r="B121" s="22" t="inlineStr">
        <is>
          <t>auditoria</t>
        </is>
      </c>
      <c r="C121" s="22" t="inlineStr">
        <is>
          <t>actividades_pendientes</t>
        </is>
      </c>
      <c r="D121" s="22" t="inlineStr">
        <is>
          <t>control_interno.actualizar_actividades_auditoria</t>
        </is>
      </c>
      <c r="E121" s="22" t="inlineStr">
        <is>
          <t>Función</t>
        </is>
      </c>
      <c r="F121" s="22" t="inlineStr">
        <is>
          <t>actividades_pendientes = pendientes</t>
        </is>
      </c>
    </row>
    <row r="122">
      <c r="A122" s="22" t="inlineStr">
        <is>
          <t>control_interno</t>
        </is>
      </c>
      <c r="B122" s="22" t="inlineStr">
        <is>
          <t>auditoria</t>
        </is>
      </c>
      <c r="C122" s="22" t="inlineStr">
        <is>
          <t>actividades_pendientes</t>
        </is>
      </c>
      <c r="D122" s="22" t="inlineStr">
        <is>
          <t>control_interno.v_auditorias_kanban_completo</t>
        </is>
      </c>
      <c r="E122" s="22" t="inlineStr">
        <is>
          <t>Vista</t>
        </is>
      </c>
      <c r="F122" s="22" t="inlineStr"/>
    </row>
    <row r="123">
      <c r="A123" s="22" t="inlineStr">
        <is>
          <t>control_interno</t>
        </is>
      </c>
      <c r="B123" s="22" t="inlineStr">
        <is>
          <t>auditoria_especial_info</t>
        </is>
      </c>
      <c r="C123" s="22" t="inlineStr">
        <is>
          <t>tipo_motivo</t>
        </is>
      </c>
      <c r="D123" s="22" t="inlineStr">
        <is>
          <t>control_interno.v_auditorias_kanban_completo</t>
        </is>
      </c>
      <c r="E123" s="22" t="inlineStr">
        <is>
          <t>Vista</t>
        </is>
      </c>
      <c r="F123" s="22" t="inlineStr"/>
    </row>
    <row r="124">
      <c r="A124" s="22" t="inlineStr">
        <is>
          <t>control_interno</t>
        </is>
      </c>
      <c r="B124" s="22" t="inlineStr">
        <is>
          <t>auditoria_especial_info</t>
        </is>
      </c>
      <c r="C124" s="22" t="inlineStr">
        <is>
          <t>solicitante</t>
        </is>
      </c>
      <c r="D124" s="22" t="inlineStr">
        <is>
          <t>control_interno.v_auditorias_kanban_completo</t>
        </is>
      </c>
      <c r="E124" s="22" t="inlineStr">
        <is>
          <t>Vista</t>
        </is>
      </c>
      <c r="F124" s="22" t="inlineStr"/>
    </row>
    <row r="125">
      <c r="A125" s="22" t="inlineStr">
        <is>
          <t>control_interno</t>
        </is>
      </c>
      <c r="B125" s="22" t="inlineStr">
        <is>
          <t>auditoria_especial_info</t>
        </is>
      </c>
      <c r="C125" s="22" t="inlineStr">
        <is>
          <t>justificacion</t>
        </is>
      </c>
      <c r="D125" s="22" t="inlineStr">
        <is>
          <t>control_interno.v_auditorias_kanban_completo</t>
        </is>
      </c>
      <c r="E125" s="22" t="inlineStr">
        <is>
          <t>Vista</t>
        </is>
      </c>
      <c r="F125" s="22" t="inlineStr"/>
    </row>
    <row r="126">
      <c r="A126" s="22" t="inlineStr">
        <is>
          <t>control_interno</t>
        </is>
      </c>
      <c r="B126" s="22" t="inlineStr">
        <is>
          <t>auditoria_territorial_info</t>
        </is>
      </c>
      <c r="C126" s="22" t="inlineStr">
        <is>
          <t>nombre</t>
        </is>
      </c>
      <c r="D126" s="22" t="inlineStr">
        <is>
          <t>control_interno.v_auditorias_kanban_completo</t>
        </is>
      </c>
      <c r="E126" s="22" t="inlineStr">
        <is>
          <t>Vista</t>
        </is>
      </c>
      <c r="F126" s="22" t="inlineStr"/>
    </row>
    <row r="127">
      <c r="A127" s="22" t="inlineStr">
        <is>
          <t>control_interno</t>
        </is>
      </c>
      <c r="B127" s="22" t="inlineStr">
        <is>
          <t>auditoria_territorial_info</t>
        </is>
      </c>
      <c r="C127" s="22" t="inlineStr">
        <is>
          <t>ciudad</t>
        </is>
      </c>
      <c r="D127" s="22" t="inlineStr">
        <is>
          <t>control_interno.v_auditorias_kanban_completo</t>
        </is>
      </c>
      <c r="E127" s="22" t="inlineStr">
        <is>
          <t>Vista</t>
        </is>
      </c>
      <c r="F127" s="22" t="inlineStr"/>
    </row>
    <row r="128">
      <c r="A128" s="22" t="inlineStr">
        <is>
          <t>control_interno</t>
        </is>
      </c>
      <c r="B128" s="22" t="inlineStr">
        <is>
          <t>auditoria_territorial_info</t>
        </is>
      </c>
      <c r="C128" s="22" t="inlineStr">
        <is>
          <t>departamento</t>
        </is>
      </c>
      <c r="D128" s="22" t="inlineStr">
        <is>
          <t>control_interno.v_auditorias_kanban_completo</t>
        </is>
      </c>
      <c r="E128" s="22" t="inlineStr">
        <is>
          <t>Vista</t>
        </is>
      </c>
      <c r="F128" s="22" t="inlineStr"/>
    </row>
    <row r="129">
      <c r="A129" s="22" t="inlineStr">
        <is>
          <t>control_interno</t>
        </is>
      </c>
      <c r="B129" s="22" t="inlineStr">
        <is>
          <t>documento</t>
        </is>
      </c>
      <c r="C129" s="22" t="inlineStr">
        <is>
          <t>nombre</t>
        </is>
      </c>
      <c r="D129" s="22" t="inlineStr">
        <is>
          <t>academic_registration.validate_graduate_management_update</t>
        </is>
      </c>
      <c r="E129" s="22" t="inlineStr">
        <is>
          <t>Función</t>
        </is>
      </c>
      <c r="F129" s="22" t="inlineStr">
        <is>
          <t>'El nombre completo debe tener entre 5 y 150 caracteres y solo puede contener letras, espacios, apostrofes y guiones.'
'El nombre solo puede contener letras, espacios, apostrofes y guiones.'</t>
        </is>
      </c>
    </row>
    <row r="130">
      <c r="A130" s="22" t="inlineStr">
        <is>
          <t>control_interno</t>
        </is>
      </c>
      <c r="B130" s="22" t="inlineStr">
        <is>
          <t>documento</t>
        </is>
      </c>
      <c r="C130" s="22" t="inlineStr">
        <is>
          <t>tipo_documento</t>
        </is>
      </c>
      <c r="D130" s="22" t="inlineStr">
        <is>
          <t>control_interno.actualizar_contadores_documentos_informes</t>
        </is>
      </c>
      <c r="E130" s="22" t="inlineStr">
        <is>
          <t>Función</t>
        </is>
      </c>
      <c r="F130" s="22" t="inlineStr">
        <is>
          <t>v_tipo_documento := OLD.tipo_documento;
v_tipo_documento := NEW.tipo_documento;
AND d.tipo_documento IN ('informe_preliminar', 'informe_final', 'informe_ejecutivo')</t>
        </is>
      </c>
    </row>
    <row r="131">
      <c r="A131" s="22" t="inlineStr">
        <is>
          <t>control_interno</t>
        </is>
      </c>
      <c r="B131" s="22" t="inlineStr">
        <is>
          <t>documento</t>
        </is>
      </c>
      <c r="C131" s="22" t="inlineStr">
        <is>
          <t>tipo_documento</t>
        </is>
      </c>
      <c r="D131" s="22" t="inlineStr">
        <is>
          <t>trigger_actualizar_contadores_documentos</t>
        </is>
      </c>
      <c r="E131" s="22" t="inlineStr">
        <is>
          <t>Trigger (UPDATE OF)</t>
        </is>
      </c>
      <c r="F131" s="22" t="inlineStr"/>
    </row>
    <row r="132">
      <c r="A132" s="22" t="inlineStr">
        <is>
          <t>control_interno</t>
        </is>
      </c>
      <c r="B132" s="22" t="inlineStr">
        <is>
          <t>equipo_auditor</t>
        </is>
      </c>
      <c r="C132" s="22" t="inlineStr">
        <is>
          <t>activo</t>
        </is>
      </c>
      <c r="D132" s="22" t="inlineStr">
        <is>
          <t>control_interno.v_auditor_disponibilidad</t>
        </is>
      </c>
      <c r="E132" s="22" t="inlineStr">
        <is>
          <t>Vista</t>
        </is>
      </c>
      <c r="F132" s="22" t="inlineStr"/>
    </row>
    <row r="133">
      <c r="A133" s="22" t="inlineStr">
        <is>
          <t>control_interno</t>
        </is>
      </c>
      <c r="B133" s="22" t="inlineStr">
        <is>
          <t>equipo_auditor</t>
        </is>
      </c>
      <c r="C133" s="22" t="inlineStr">
        <is>
          <t>observaciones</t>
        </is>
      </c>
      <c r="D133" s="22" t="inlineStr">
        <is>
          <t>control_interno.v_auditor_disponibilidad</t>
        </is>
      </c>
      <c r="E133" s="22" t="inlineStr">
        <is>
          <t>Vista</t>
        </is>
      </c>
      <c r="F133" s="22" t="inlineStr"/>
    </row>
    <row r="134">
      <c r="A134" s="22" t="inlineStr">
        <is>
          <t>control_interno</t>
        </is>
      </c>
      <c r="B134" s="22" t="inlineStr">
        <is>
          <t>historial_auditoria</t>
        </is>
      </c>
      <c r="C134" s="22" t="inlineStr">
        <is>
          <t>tipo_evento</t>
        </is>
      </c>
      <c r="D134" s="22" t="inlineStr">
        <is>
          <t>control_interno.fn_registrar_cambio_estado_auditoria</t>
        </is>
      </c>
      <c r="E134" s="22" t="inlineStr">
        <is>
          <t>Función</t>
        </is>
      </c>
      <c r="F134" s="22" t="inlineStr">
        <is>
          <t>tipo_evento,</t>
        </is>
      </c>
    </row>
    <row r="135">
      <c r="A135" s="22" t="inlineStr">
        <is>
          <t>control_interno</t>
        </is>
      </c>
      <c r="B135" s="22" t="inlineStr">
        <is>
          <t>historial_auditoria</t>
        </is>
      </c>
      <c r="C135" s="22" t="inlineStr">
        <is>
          <t>fecha</t>
        </is>
      </c>
      <c r="D135" s="22" t="inlineStr">
        <is>
          <t>control_interno.fn_registrar_cambio_estado_auditoria</t>
        </is>
      </c>
      <c r="E135" s="22" t="inlineStr">
        <is>
          <t>Función</t>
        </is>
      </c>
      <c r="F135" s="22" t="inlineStr">
        <is>
          <t>fecha,</t>
        </is>
      </c>
    </row>
    <row r="136">
      <c r="A136" s="22" t="inlineStr">
        <is>
          <t>control_interno</t>
        </is>
      </c>
      <c r="B136" s="22" t="inlineStr">
        <is>
          <t>historial_auditoria</t>
        </is>
      </c>
      <c r="C136" s="22" t="inlineStr">
        <is>
          <t>hora</t>
        </is>
      </c>
      <c r="D136" s="22" t="inlineStr">
        <is>
          <t>control_interno.fn_registrar_cambio_estado_auditoria</t>
        </is>
      </c>
      <c r="E136" s="22" t="inlineStr">
        <is>
          <t>Función</t>
        </is>
      </c>
      <c r="F136" s="22" t="inlineStr">
        <is>
          <t>hora,</t>
        </is>
      </c>
    </row>
    <row r="137">
      <c r="A137" s="22" t="inlineStr">
        <is>
          <t>control_interno</t>
        </is>
      </c>
      <c r="B137" s="22" t="inlineStr">
        <is>
          <t>historial_auditoria</t>
        </is>
      </c>
      <c r="C137" s="22" t="inlineStr">
        <is>
          <t>accion</t>
        </is>
      </c>
      <c r="D137" s="22" t="inlineStr">
        <is>
          <t>control_interno.fn_registrar_cambio_estado_auditoria</t>
        </is>
      </c>
      <c r="E137" s="22" t="inlineStr">
        <is>
          <t>Función</t>
        </is>
      </c>
      <c r="F137" s="22" t="inlineStr">
        <is>
          <t>accion,</t>
        </is>
      </c>
    </row>
    <row r="138">
      <c r="A138" s="22" t="inlineStr">
        <is>
          <t>control_interno</t>
        </is>
      </c>
      <c r="B138" s="22" t="inlineStr">
        <is>
          <t>historial_auditoria</t>
        </is>
      </c>
      <c r="C138" s="22" t="inlineStr">
        <is>
          <t>descripcion</t>
        </is>
      </c>
      <c r="D138" s="22" t="inlineStr">
        <is>
          <t>control_interno.fn_registrar_cambio_estado_auditoria</t>
        </is>
      </c>
      <c r="E138" s="22" t="inlineStr">
        <is>
          <t>Función</t>
        </is>
      </c>
      <c r="F138" s="22" t="inlineStr">
        <is>
          <t>descripcion,</t>
        </is>
      </c>
    </row>
    <row r="139">
      <c r="A139" s="22" t="inlineStr">
        <is>
          <t>control_interno</t>
        </is>
      </c>
      <c r="B139" s="22" t="inlineStr">
        <is>
          <t>historial_auditoria</t>
        </is>
      </c>
      <c r="C139" s="22" t="inlineStr">
        <is>
          <t>estado_anterior</t>
        </is>
      </c>
      <c r="D139" s="22" t="inlineStr">
        <is>
          <t>control_interno.fn_registrar_cambio_estado_auditoria</t>
        </is>
      </c>
      <c r="E139" s="22" t="inlineStr">
        <is>
          <t>Función</t>
        </is>
      </c>
      <c r="F139" s="22" t="inlineStr">
        <is>
          <t>-- Manejar NULL: si estado_anterior es NULL, mostrar "Planeación" (estado inicial por defecto)
estado_anterior,</t>
        </is>
      </c>
    </row>
    <row r="140">
      <c r="A140" s="22" t="inlineStr">
        <is>
          <t>control_interno</t>
        </is>
      </c>
      <c r="B140" s="22" t="inlineStr">
        <is>
          <t>historial_auditoria</t>
        </is>
      </c>
      <c r="C140" s="22" t="inlineStr">
        <is>
          <t>estado_nuevo</t>
        </is>
      </c>
      <c r="D140" s="22" t="inlineStr">
        <is>
          <t>control_interno.fn_registrar_cambio_estado_auditoria</t>
        </is>
      </c>
      <c r="E140" s="22" t="inlineStr">
        <is>
          <t>Función</t>
        </is>
      </c>
      <c r="F140" s="22" t="inlineStr">
        <is>
          <t>estado_nuevo,</t>
        </is>
      </c>
    </row>
    <row r="141">
      <c r="A141" s="22" t="inlineStr">
        <is>
          <t>control_interno</t>
        </is>
      </c>
      <c r="B141" s="22" t="inlineStr">
        <is>
          <t>historial_auditoria</t>
        </is>
      </c>
      <c r="C141" s="22" t="inlineStr">
        <is>
          <t>usuario_id</t>
        </is>
      </c>
      <c r="D141" s="22" t="inlineStr">
        <is>
          <t>control_interno.fn_registrar_cambio_estado_auditoria</t>
        </is>
      </c>
      <c r="E141" s="22" t="inlineStr">
        <is>
          <t>Función</t>
        </is>
      </c>
      <c r="F141" s="22" t="inlineStr">
        <is>
          <t>usuario_id,</t>
        </is>
      </c>
    </row>
    <row r="142">
      <c r="A142" s="22" t="inlineStr">
        <is>
          <t>control_interno</t>
        </is>
      </c>
      <c r="B142" s="22" t="inlineStr">
        <is>
          <t>historial_plan_anual</t>
        </is>
      </c>
      <c r="C142" s="22" t="inlineStr">
        <is>
          <t>fecha</t>
        </is>
      </c>
      <c r="D142" s="22" t="inlineStr">
        <is>
          <t>control_interno.fn_registrar_cambio_estado_plan_anual</t>
        </is>
      </c>
      <c r="E142" s="22" t="inlineStr">
        <is>
          <t>Función</t>
        </is>
      </c>
      <c r="F142" s="22" t="inlineStr">
        <is>
          <t>fecha,</t>
        </is>
      </c>
    </row>
    <row r="143">
      <c r="A143" s="22" t="inlineStr">
        <is>
          <t>control_interno</t>
        </is>
      </c>
      <c r="B143" s="22" t="inlineStr">
        <is>
          <t>historial_plan_anual</t>
        </is>
      </c>
      <c r="C143" s="22" t="inlineStr">
        <is>
          <t>hora</t>
        </is>
      </c>
      <c r="D143" s="22" t="inlineStr">
        <is>
          <t>control_interno.fn_registrar_cambio_estado_plan_anual</t>
        </is>
      </c>
      <c r="E143" s="22" t="inlineStr">
        <is>
          <t>Función</t>
        </is>
      </c>
      <c r="F143" s="22" t="inlineStr">
        <is>
          <t>hora,</t>
        </is>
      </c>
    </row>
    <row r="144">
      <c r="A144" s="22" t="inlineStr">
        <is>
          <t>control_interno</t>
        </is>
      </c>
      <c r="B144" s="22" t="inlineStr">
        <is>
          <t>historial_plan_anual</t>
        </is>
      </c>
      <c r="C144" s="22" t="inlineStr">
        <is>
          <t>accion</t>
        </is>
      </c>
      <c r="D144" s="22" t="inlineStr">
        <is>
          <t>control_interno.fn_registrar_cambio_estado_plan_anual</t>
        </is>
      </c>
      <c r="E144" s="22" t="inlineStr">
        <is>
          <t>Función</t>
        </is>
      </c>
      <c r="F144" s="22" t="inlineStr">
        <is>
          <t>accion,</t>
        </is>
      </c>
    </row>
    <row r="145">
      <c r="A145" s="22" t="inlineStr">
        <is>
          <t>control_interno</t>
        </is>
      </c>
      <c r="B145" s="22" t="inlineStr">
        <is>
          <t>historial_plan_anual</t>
        </is>
      </c>
      <c r="C145" s="22" t="inlineStr">
        <is>
          <t>descripcion</t>
        </is>
      </c>
      <c r="D145" s="22" t="inlineStr">
        <is>
          <t>control_interno.fn_registrar_cambio_estado_plan_anual</t>
        </is>
      </c>
      <c r="E145" s="22" t="inlineStr">
        <is>
          <t>Función</t>
        </is>
      </c>
      <c r="F145" s="22" t="inlineStr">
        <is>
          <t>descripcion,</t>
        </is>
      </c>
    </row>
    <row r="146">
      <c r="A146" s="22" t="inlineStr">
        <is>
          <t>control_interno</t>
        </is>
      </c>
      <c r="B146" s="22" t="inlineStr">
        <is>
          <t>historial_plan_anual</t>
        </is>
      </c>
      <c r="C146" s="22" t="inlineStr">
        <is>
          <t>estado_anterior</t>
        </is>
      </c>
      <c r="D146" s="22" t="inlineStr">
        <is>
          <t>control_interno.fn_registrar_cambio_estado_plan_anual</t>
        </is>
      </c>
      <c r="E146" s="22" t="inlineStr">
        <is>
          <t>Función</t>
        </is>
      </c>
      <c r="F146" s="22" t="inlineStr">
        <is>
          <t>estado_anterior,</t>
        </is>
      </c>
    </row>
    <row r="147">
      <c r="A147" s="22" t="inlineStr">
        <is>
          <t>control_interno</t>
        </is>
      </c>
      <c r="B147" s="22" t="inlineStr">
        <is>
          <t>historial_plan_anual</t>
        </is>
      </c>
      <c r="C147" s="22" t="inlineStr">
        <is>
          <t>estado_nuevo</t>
        </is>
      </c>
      <c r="D147" s="22" t="inlineStr">
        <is>
          <t>control_interno.fn_registrar_cambio_estado_plan_anual</t>
        </is>
      </c>
      <c r="E147" s="22" t="inlineStr">
        <is>
          <t>Función</t>
        </is>
      </c>
      <c r="F147" s="22" t="inlineStr">
        <is>
          <t>estado_nuevo,</t>
        </is>
      </c>
    </row>
    <row r="148">
      <c r="A148" s="22" t="inlineStr">
        <is>
          <t>control_interno</t>
        </is>
      </c>
      <c r="B148" s="22" t="inlineStr">
        <is>
          <t>plan_anual_5_roles</t>
        </is>
      </c>
      <c r="C148" s="22" t="inlineStr">
        <is>
          <t>ano</t>
        </is>
      </c>
      <c r="D148" s="22" t="inlineStr">
        <is>
          <t>control_interno.fn_actualizar_cumplimiento_auditorias_vigencia</t>
        </is>
      </c>
      <c r="E148" s="22" t="inlineStr">
        <is>
          <t>Función</t>
        </is>
      </c>
      <c r="F148" s="22" t="inlineStr">
        <is>
          <t>AND p.ano = p_año</t>
        </is>
      </c>
    </row>
    <row r="149">
      <c r="A149" s="22" t="inlineStr">
        <is>
          <t>control_interno</t>
        </is>
      </c>
      <c r="B149" s="22" t="inlineStr">
        <is>
          <t>plan_anual_5_roles</t>
        </is>
      </c>
      <c r="C149" s="22" t="inlineStr">
        <is>
          <t>ano</t>
        </is>
      </c>
      <c r="D149" s="22" t="inlineStr">
        <is>
          <t>control_interno.fn_configurar_todos_planes_auditorias</t>
        </is>
      </c>
      <c r="E149" s="22" t="inlineStr">
        <is>
          <t>Función</t>
        </is>
      </c>
      <c r="F149" s="22" t="inlineStr">
        <is>
          <t>SELECT id, ano
ORDER BY ano DESC
v_actividad_id := control_interno.fn_configurar_actividad_auditorias_plan(v_plan.id, v_plan.ano::INTEGER);</t>
        </is>
      </c>
    </row>
    <row r="150">
      <c r="A150" s="22" t="inlineStr">
        <is>
          <t>control_interno</t>
        </is>
      </c>
      <c r="B150" s="22" t="inlineStr">
        <is>
          <t>plan_anual_5_roles</t>
        </is>
      </c>
      <c r="C150" s="22" t="inlineStr">
        <is>
          <t>ano</t>
        </is>
      </c>
      <c r="D150" s="22" t="inlineStr">
        <is>
          <t>control_interno.v_estado_vinculacion_auditorias</t>
        </is>
      </c>
      <c r="E150" s="22" t="inlineStr">
        <is>
          <t>Vista</t>
        </is>
      </c>
      <c r="F150" s="22" t="inlineStr"/>
    </row>
    <row r="151">
      <c r="A151" s="22" t="inlineStr">
        <is>
          <t>control_interno</t>
        </is>
      </c>
      <c r="B151" s="22" t="inlineStr">
        <is>
          <t>plan_mejoramiento</t>
        </is>
      </c>
      <c r="C151" s="22" t="inlineStr">
        <is>
          <t>area_responsable</t>
        </is>
      </c>
      <c r="D151" s="22" t="inlineStr">
        <is>
          <t>control_interno.trigger_evento_creacion_plan</t>
        </is>
      </c>
      <c r="E151" s="22" t="inlineStr">
        <is>
          <t>Función</t>
        </is>
      </c>
      <c r="F151" s="22" t="inlineStr">
        <is>
          <t>'area_responsable', NEW.area_responsable</t>
        </is>
      </c>
    </row>
    <row r="152">
      <c r="A152" s="22" t="inlineStr">
        <is>
          <t>control_interno</t>
        </is>
      </c>
      <c r="B152" s="22" t="inlineStr">
        <is>
          <t>plan_mejoramiento</t>
        </is>
      </c>
      <c r="C152" s="22" t="inlineStr">
        <is>
          <t>responsable_implementacion</t>
        </is>
      </c>
      <c r="D152" s="22" t="inlineStr">
        <is>
          <t>control_interno.trigger_evento_actualizacion_plan</t>
        </is>
      </c>
      <c r="E152" s="22" t="inlineStr">
        <is>
          <t>Función</t>
        </is>
      </c>
      <c r="F152" s="22" t="inlineStr">
        <is>
          <t>COALESCE(NEW.aprobado_por, NEW.responsable_implementacion),  -- usar aprobado_por si es aprobación, sino responsable_implementacion</t>
        </is>
      </c>
    </row>
    <row r="153">
      <c r="A153" s="22" t="inlineStr">
        <is>
          <t>control_interno</t>
        </is>
      </c>
      <c r="B153" s="22" t="inlineStr">
        <is>
          <t>plan_mejoramiento</t>
        </is>
      </c>
      <c r="C153" s="22" t="inlineStr">
        <is>
          <t>responsable_implementacion</t>
        </is>
      </c>
      <c r="D153" s="22" t="inlineStr">
        <is>
          <t>control_interno.trigger_evento_creacion_plan</t>
        </is>
      </c>
      <c r="E153" s="22" t="inlineStr">
        <is>
          <t>Función</t>
        </is>
      </c>
      <c r="F153" s="22" t="inlineStr">
        <is>
          <t>NEW.responsable_implementacion,  -- usar responsable_implementacion</t>
        </is>
      </c>
    </row>
    <row r="154">
      <c r="A154" s="22" t="inlineStr">
        <is>
          <t>control_interno</t>
        </is>
      </c>
      <c r="B154" s="22" t="inlineStr">
        <is>
          <t>plan_mejoramiento</t>
        </is>
      </c>
      <c r="C154" s="22" t="inlineStr">
        <is>
          <t>estado</t>
        </is>
      </c>
      <c r="D154" s="22" t="inlineStr">
        <is>
          <t>control_interno.trigger_evento_actualizacion_plan</t>
        </is>
      </c>
      <c r="E154" s="22" t="inlineStr">
        <is>
          <t>Función</t>
        </is>
      </c>
      <c r="F154" s="22" t="inlineStr">
        <is>
          <t>-- Solo registrar si cambió el estado
IF OLD.estado IS DISTINCT FROM NEW.estado THEN
WHEN NEW.estado = 'aprobado' THEN 'APROBACION'::control_interno.tipo_evento_timeline</t>
        </is>
      </c>
    </row>
    <row r="155">
      <c r="A155" s="22" t="inlineStr">
        <is>
          <t>control_interno</t>
        </is>
      </c>
      <c r="B155" s="22" t="inlineStr">
        <is>
          <t>plan_mejoramiento</t>
        </is>
      </c>
      <c r="C155" s="22" t="inlineStr">
        <is>
          <t>estado</t>
        </is>
      </c>
      <c r="D155" s="22" t="inlineStr">
        <is>
          <t>control_interno.trigger_evento_creacion_plan</t>
        </is>
      </c>
      <c r="E155" s="22" t="inlineStr">
        <is>
          <t>Función</t>
        </is>
      </c>
      <c r="F155" s="22" t="inlineStr">
        <is>
          <t>'estado_inicial', NEW.estado,</t>
        </is>
      </c>
    </row>
    <row r="156">
      <c r="A156" s="22" t="inlineStr">
        <is>
          <t>control_interno</t>
        </is>
      </c>
      <c r="B156" s="22" t="inlineStr">
        <is>
          <t>plan_mejoramiento</t>
        </is>
      </c>
      <c r="C156" s="22" t="inlineStr">
        <is>
          <t>fecha_limite</t>
        </is>
      </c>
      <c r="D156" s="22" t="inlineStr">
        <is>
          <t>control_interno.trigger_evento_creacion_plan</t>
        </is>
      </c>
      <c r="E156" s="22" t="inlineStr">
        <is>
          <t>Función</t>
        </is>
      </c>
      <c r="F156" s="22" t="inlineStr">
        <is>
          <t>'fecha_limite', NEW.fecha_limite,</t>
        </is>
      </c>
    </row>
    <row r="157">
      <c r="A157" s="22" t="inlineStr">
        <is>
          <t>control_interno</t>
        </is>
      </c>
      <c r="B157" s="22" t="inlineStr">
        <is>
          <t>plan_mejoramiento</t>
        </is>
      </c>
      <c r="C157" s="22" t="inlineStr">
        <is>
          <t>aprobado_por</t>
        </is>
      </c>
      <c r="D157" s="22" t="inlineStr">
        <is>
          <t>control_interno.trigger_evento_actualizacion_plan</t>
        </is>
      </c>
      <c r="E157" s="22" t="inlineStr">
        <is>
          <t>Función</t>
        </is>
      </c>
      <c r="F157" s="22" t="inlineStr">
        <is>
          <t>COALESCE(NEW.aprobado_por, NEW.responsable_implementacion),  -- usar aprobado_por si es aprobación, sino responsable_implementacion</t>
        </is>
      </c>
    </row>
    <row r="158">
      <c r="A158" s="22" t="inlineStr">
        <is>
          <t>control_interno</t>
        </is>
      </c>
      <c r="B158" s="22" t="inlineStr">
        <is>
          <t>reunion_apertura</t>
        </is>
      </c>
      <c r="C158" s="22" t="inlineStr">
        <is>
          <t>modalidad</t>
        </is>
      </c>
      <c r="D158" s="22" t="inlineStr">
        <is>
          <t>control_interno.v_auditorias_kanban_completo</t>
        </is>
      </c>
      <c r="E158" s="22" t="inlineStr">
        <is>
          <t>Vista</t>
        </is>
      </c>
      <c r="F158" s="22" t="inlineStr"/>
    </row>
    <row r="159">
      <c r="A159" s="22" t="inlineStr">
        <is>
          <t>control_interno</t>
        </is>
      </c>
      <c r="B159" s="22" t="inlineStr">
        <is>
          <t>reunion_apertura</t>
        </is>
      </c>
      <c r="C159" s="22" t="inlineStr">
        <is>
          <t>estado_acta</t>
        </is>
      </c>
      <c r="D159" s="22" t="inlineStr">
        <is>
          <t>control_interno.v_auditorias_kanban_completo</t>
        </is>
      </c>
      <c r="E159" s="22" t="inlineStr">
        <is>
          <t>Vista</t>
        </is>
      </c>
      <c r="F159" s="22" t="inlineStr"/>
    </row>
    <row r="160">
      <c r="A160" s="22" t="inlineStr">
        <is>
          <t>control_interno</t>
        </is>
      </c>
      <c r="B160" s="22" t="inlineStr">
        <is>
          <t>rol_plan_anual_5</t>
        </is>
      </c>
      <c r="C160" s="22" t="inlineStr">
        <is>
          <t>plan_id</t>
        </is>
      </c>
      <c r="D160" s="22" t="inlineStr">
        <is>
          <t>control_interno.fn_actualizar_cumplimiento_auditorias_vigencia</t>
        </is>
      </c>
      <c r="E160" s="22" t="inlineStr">
        <is>
          <t>Función</t>
        </is>
      </c>
      <c r="F160" s="22" t="inlineStr">
        <is>
          <t>INNER JOIN control_interno.plan_anual_5_roles p ON r.plan_id = p.id</t>
        </is>
      </c>
    </row>
    <row r="161">
      <c r="A161" s="22" t="inlineStr">
        <is>
          <t>control_interno</t>
        </is>
      </c>
      <c r="B161" s="22" t="inlineStr">
        <is>
          <t>rol_plan_anual_5</t>
        </is>
      </c>
      <c r="C161" s="22" t="inlineStr">
        <is>
          <t>plan_id</t>
        </is>
      </c>
      <c r="D161" s="22" t="inlineStr">
        <is>
          <t>control_interno.fn_configurar_actividad_auditorias_plan</t>
        </is>
      </c>
      <c r="E161" s="22" t="inlineStr">
        <is>
          <t>Función</t>
        </is>
      </c>
      <c r="F161" s="22" t="inlineStr">
        <is>
          <t>WHERE r.plan_id = p_plan_id
WHERE r.plan_id = p_plan_id
AND r.plan_id = p_plan_id</t>
        </is>
      </c>
    </row>
    <row r="162">
      <c r="A162" s="22" t="inlineStr">
        <is>
          <t>control_interno</t>
        </is>
      </c>
      <c r="B162" s="22" t="inlineStr">
        <is>
          <t>rol_plan_anual_5</t>
        </is>
      </c>
      <c r="C162" s="22" t="inlineStr">
        <is>
          <t>plan_id</t>
        </is>
      </c>
      <c r="D162" s="22" t="inlineStr">
        <is>
          <t>control_interno.v_estado_vinculacion_auditorias</t>
        </is>
      </c>
      <c r="E162" s="22" t="inlineStr">
        <is>
          <t>Vista</t>
        </is>
      </c>
      <c r="F162" s="22" t="inlineStr"/>
    </row>
    <row r="163">
      <c r="A163" s="22" t="inlineStr">
        <is>
          <t>control_interno</t>
        </is>
      </c>
      <c r="B163" s="22" t="inlineStr">
        <is>
          <t>rol_plan_anual_5</t>
        </is>
      </c>
      <c r="C163" s="22" t="inlineStr">
        <is>
          <t>rol_numero</t>
        </is>
      </c>
      <c r="D163" s="22" t="inlineStr">
        <is>
          <t>control_interno.fn_actualizar_cumplimiento_auditorias_vigencia</t>
        </is>
      </c>
      <c r="E163" s="22" t="inlineStr">
        <is>
          <t>Función</t>
        </is>
      </c>
      <c r="F163" s="22" t="inlineStr">
        <is>
          <t>WHERE r.rol_numero = 4</t>
        </is>
      </c>
    </row>
    <row r="164">
      <c r="A164" s="22" t="inlineStr">
        <is>
          <t>control_interno</t>
        </is>
      </c>
      <c r="B164" s="22" t="inlineStr">
        <is>
          <t>rol_plan_anual_5</t>
        </is>
      </c>
      <c r="C164" s="22" t="inlineStr">
        <is>
          <t>rol_numero</t>
        </is>
      </c>
      <c r="D164" s="22" t="inlineStr">
        <is>
          <t>control_interno.fn_configurar_actividad_auditorias_plan</t>
        </is>
      </c>
      <c r="E164" s="22" t="inlineStr">
        <is>
          <t>Función</t>
        </is>
      </c>
      <c r="F164" s="22" t="inlineStr">
        <is>
          <t>AND r.rol_numero = 4
AND r.rol_numero = 4</t>
        </is>
      </c>
    </row>
    <row r="165">
      <c r="A165" s="22" t="inlineStr">
        <is>
          <t>control_interno</t>
        </is>
      </c>
      <c r="B165" s="22" t="inlineStr">
        <is>
          <t>rol_plan_anual_5</t>
        </is>
      </c>
      <c r="C165" s="22" t="inlineStr">
        <is>
          <t>rol_numero</t>
        </is>
      </c>
      <c r="D165" s="22" t="inlineStr">
        <is>
          <t>control_interno.v_estado_vinculacion_auditorias</t>
        </is>
      </c>
      <c r="E165" s="22" t="inlineStr">
        <is>
          <t>Vista</t>
        </is>
      </c>
      <c r="F165" s="22" t="inlineStr"/>
    </row>
    <row r="166">
      <c r="A166" s="22" t="inlineStr">
        <is>
          <t>control_interno</t>
        </is>
      </c>
      <c r="B166" s="22" t="inlineStr">
        <is>
          <t>rol_plan_anual_5</t>
        </is>
      </c>
      <c r="C166" s="22" t="inlineStr">
        <is>
          <t>nombre</t>
        </is>
      </c>
      <c r="D166" s="22" t="inlineStr">
        <is>
          <t>control_interno.fn_configurar_actividad_auditorias_plan</t>
        </is>
      </c>
      <c r="E166" s="22" t="inlineStr">
        <is>
          <t>Función</t>
        </is>
      </c>
      <c r="F166" s="22" t="inlineStr">
        <is>
          <t>LOWER(a.nombre) LIKE '%auditoría%'
OR LOWER(a.nombre) LIKE '%auditoria%'
OR LOWER(a.nombre) LIKE '%programa de auditor%'</t>
        </is>
      </c>
    </row>
    <row r="167">
      <c r="A167" s="22" t="inlineStr">
        <is>
          <t>control_interno</t>
        </is>
      </c>
      <c r="B167" s="22" t="inlineStr">
        <is>
          <t>rol_plan_anual_5</t>
        </is>
      </c>
      <c r="C167" s="22" t="inlineStr">
        <is>
          <t>nombre</t>
        </is>
      </c>
      <c r="D167" s="22" t="inlineStr">
        <is>
          <t>control_interno.v_estado_vinculacion_auditorias</t>
        </is>
      </c>
      <c r="E167" s="22" t="inlineStr">
        <is>
          <t>Vista</t>
        </is>
      </c>
      <c r="F167" s="22" t="inlineStr"/>
    </row>
    <row r="168">
      <c r="A168" s="22" t="inlineStr">
        <is>
          <t>control_interno</t>
        </is>
      </c>
      <c r="B168" s="22" t="inlineStr">
        <is>
          <t>rol_plan_anual_5</t>
        </is>
      </c>
      <c r="C168" s="22" t="inlineStr">
        <is>
          <t>porcentaje_cumplimiento</t>
        </is>
      </c>
      <c r="D168" s="22" t="inlineStr">
        <is>
          <t>control_interno.fn_actualizar_cumplimiento_auditorias_vigencia</t>
        </is>
      </c>
      <c r="E168" s="22" t="inlineStr">
        <is>
          <t>Función</t>
        </is>
      </c>
      <c r="F168" s="22" t="inlineStr">
        <is>
          <t>porcentaje_avance = v_cumplimiento.porcentaje_cumplimiento,
WHEN v_cumplimiento.porcentaje_cumplimiento &gt;= 100 THEN 'completada'
WHEN v_cumplimiento.porcentaje_cumplimiento &gt; 0 THEN 'en-progreso'</t>
        </is>
      </c>
    </row>
    <row r="169">
      <c r="A169" s="22" t="inlineStr">
        <is>
          <t>internal_disciplinary_control</t>
        </is>
      </c>
      <c r="B169" s="22" t="inlineStr">
        <is>
          <t>disciplinary_processes</t>
        </is>
      </c>
      <c r="C169" s="22" t="inlineStr">
        <is>
          <t>drafts_count</t>
        </is>
      </c>
      <c r="D169" s="22" t="inlineStr">
        <is>
          <t>public.update_process_statistics</t>
        </is>
      </c>
      <c r="E169" s="22" t="inlineStr">
        <is>
          <t>Función</t>
        </is>
      </c>
      <c r="F169" s="22" t="inlineStr">
        <is>
          <t>-- Update drafts_count
SET drafts_count = (</t>
        </is>
      </c>
    </row>
    <row r="170">
      <c r="A170" s="22" t="inlineStr">
        <is>
          <t>internal_disciplinary_control</t>
        </is>
      </c>
      <c r="B170" s="22" t="inlineStr">
        <is>
          <t>disciplinary_processes</t>
        </is>
      </c>
      <c r="C170" s="22" t="inlineStr">
        <is>
          <t>documents_count</t>
        </is>
      </c>
      <c r="D170" s="22" t="inlineStr">
        <is>
          <t>public.update_process_documents_count</t>
        </is>
      </c>
      <c r="E170" s="22" t="inlineStr">
        <is>
          <t>Función</t>
        </is>
      </c>
      <c r="F170" s="22" t="inlineStr">
        <is>
          <t>SET documents_count = (
SET documents_count = (</t>
        </is>
      </c>
    </row>
    <row r="171">
      <c r="A171" s="22" t="inlineStr">
        <is>
          <t>requerimientos_oc</t>
        </is>
      </c>
      <c r="B171" s="22" t="inlineStr">
        <is>
          <t>hallazgos</t>
        </is>
      </c>
      <c r="C171" s="22" t="inlineStr">
        <is>
          <t>titulo</t>
        </is>
      </c>
      <c r="D171" s="22" t="inlineStr">
        <is>
          <t>control_interno.v_auditorias_kanban_completo</t>
        </is>
      </c>
      <c r="E171" s="22" t="inlineStr">
        <is>
          <t>Vista</t>
        </is>
      </c>
      <c r="F171" s="22" t="inlineStr"/>
    </row>
    <row r="172">
      <c r="A172" s="22" t="inlineStr">
        <is>
          <t>requerimientos_oc</t>
        </is>
      </c>
      <c r="B172" s="22" t="inlineStr">
        <is>
          <t>hallazgos</t>
        </is>
      </c>
      <c r="C172" s="22" t="inlineStr">
        <is>
          <t>descripcion</t>
        </is>
      </c>
      <c r="D172" s="22" t="inlineStr">
        <is>
          <t>control_interno.v_auditorias_kanban_completo</t>
        </is>
      </c>
      <c r="E172" s="22" t="inlineStr">
        <is>
          <t>Vista</t>
        </is>
      </c>
      <c r="F172" s="22" t="inlineStr"/>
    </row>
    <row r="173">
      <c r="A173" s="22" t="inlineStr">
        <is>
          <t>requerimientos_oc</t>
        </is>
      </c>
      <c r="B173" s="22" t="inlineStr">
        <is>
          <t>hallazgos</t>
        </is>
      </c>
      <c r="C173" s="22" t="inlineStr">
        <is>
          <t>estado</t>
        </is>
      </c>
      <c r="D173" s="22" t="inlineStr">
        <is>
          <t>control_interno.v_auditorias_kanban_completo</t>
        </is>
      </c>
      <c r="E173" s="22" t="inlineStr">
        <is>
          <t>Vista</t>
        </is>
      </c>
      <c r="F173" s="22" t="inlineStr"/>
    </row>
    <row r="174">
      <c r="A174" s="22" t="inlineStr">
        <is>
          <t>requerimientos_oc</t>
        </is>
      </c>
      <c r="B174" s="22" t="inlineStr">
        <is>
          <t>hallazgos</t>
        </is>
      </c>
      <c r="C174" s="22" t="inlineStr">
        <is>
          <t>estado</t>
        </is>
      </c>
      <c r="D174" s="22" t="inlineStr">
        <is>
          <t>control_interno.v_auditorias_por_estado</t>
        </is>
      </c>
      <c r="E174" s="22" t="inlineStr">
        <is>
          <t>Vista</t>
        </is>
      </c>
      <c r="F174" s="22" t="inlineStr"/>
    </row>
    <row r="175">
      <c r="A175" s="22" t="inlineStr">
        <is>
          <t>requerimientos_oc</t>
        </is>
      </c>
      <c r="B175" s="22" t="inlineStr">
        <is>
          <t>historial_requerimientos</t>
        </is>
      </c>
      <c r="C175" s="22" t="inlineStr">
        <is>
          <t>accion</t>
        </is>
      </c>
      <c r="D175" s="22" t="inlineStr">
        <is>
          <t>requerimientos_oc.registrar_historial_requerimiento</t>
        </is>
      </c>
      <c r="E175" s="22" t="inlineStr">
        <is>
          <t>Función</t>
        </is>
      </c>
      <c r="F175" s="22" t="inlineStr">
        <is>
          <t>INSERT INTO historial_requerimientos (requerimiento_id, accion, descripcion, estado_anterior, estado_nuevo)</t>
        </is>
      </c>
    </row>
    <row r="176">
      <c r="A176" s="22" t="inlineStr">
        <is>
          <t>requerimientos_oc</t>
        </is>
      </c>
      <c r="B176" s="22" t="inlineStr">
        <is>
          <t>historial_requerimientos</t>
        </is>
      </c>
      <c r="C176" s="22" t="inlineStr">
        <is>
          <t>descripcion</t>
        </is>
      </c>
      <c r="D176" s="22" t="inlineStr">
        <is>
          <t>requerimientos_oc.registrar_historial_requerimiento</t>
        </is>
      </c>
      <c r="E176" s="22" t="inlineStr">
        <is>
          <t>Función</t>
        </is>
      </c>
      <c r="F176" s="22" t="inlineStr">
        <is>
          <t>INSERT INTO historial_requerimientos (requerimiento_id, accion, descripcion, estado_anterior, estado_nuevo)</t>
        </is>
      </c>
    </row>
    <row r="177">
      <c r="A177" s="22" t="inlineStr">
        <is>
          <t>requerimientos_oc</t>
        </is>
      </c>
      <c r="B177" s="22" t="inlineStr">
        <is>
          <t>historial_requerimientos</t>
        </is>
      </c>
      <c r="C177" s="22" t="inlineStr">
        <is>
          <t>estado_anterior</t>
        </is>
      </c>
      <c r="D177" s="22" t="inlineStr">
        <is>
          <t>requerimientos_oc.registrar_historial_requerimiento</t>
        </is>
      </c>
      <c r="E177" s="22" t="inlineStr">
        <is>
          <t>Función</t>
        </is>
      </c>
      <c r="F177" s="22" t="inlineStr">
        <is>
          <t>INSERT INTO historial_requerimientos (requerimiento_id, accion, descripcion, estado_anterior, estado_nuevo)</t>
        </is>
      </c>
    </row>
    <row r="178">
      <c r="A178" s="22" t="inlineStr">
        <is>
          <t>requerimientos_oc</t>
        </is>
      </c>
      <c r="B178" s="22" t="inlineStr">
        <is>
          <t>historial_requerimientos</t>
        </is>
      </c>
      <c r="C178" s="22" t="inlineStr">
        <is>
          <t>estado_nuevo</t>
        </is>
      </c>
      <c r="D178" s="22" t="inlineStr">
        <is>
          <t>requerimientos_oc.registrar_historial_requerimiento</t>
        </is>
      </c>
      <c r="E178" s="22" t="inlineStr">
        <is>
          <t>Función</t>
        </is>
      </c>
      <c r="F178" s="22" t="inlineStr">
        <is>
          <t>INSERT INTO historial_requerimientos (requerimiento_id, accion, descripcion, estado_anterior, estado_nuevo)</t>
        </is>
      </c>
    </row>
    <row r="179">
      <c r="A179" s="22" t="inlineStr">
        <is>
          <t>audit</t>
        </is>
      </c>
      <c r="B179" s="22" t="inlineStr">
        <is>
          <t>request_logs</t>
        </is>
      </c>
      <c r="C179" s="22" t="inlineStr">
        <is>
          <t>method</t>
        </is>
      </c>
      <c r="D179" s="22" t="inlineStr">
        <is>
          <t>audit.request_logs_stats</t>
        </is>
      </c>
      <c r="E179" s="22" t="inlineStr">
        <is>
          <t>Vista</t>
        </is>
      </c>
      <c r="F179" s="22" t="inlineStr"/>
    </row>
    <row r="180">
      <c r="A180" s="22" t="inlineStr">
        <is>
          <t>audit</t>
        </is>
      </c>
      <c r="B180" s="22" t="inlineStr">
        <is>
          <t>request_logs</t>
        </is>
      </c>
      <c r="C180" s="22" t="inlineStr">
        <is>
          <t>status_code</t>
        </is>
      </c>
      <c r="D180" s="22" t="inlineStr">
        <is>
          <t>audit.request_logs_stats</t>
        </is>
      </c>
      <c r="E180" s="22" t="inlineStr">
        <is>
          <t>Vista</t>
        </is>
      </c>
      <c r="F180" s="22" t="inlineStr"/>
    </row>
    <row r="181">
      <c r="A181" s="22" t="inlineStr">
        <is>
          <t>audit</t>
        </is>
      </c>
      <c r="B181" s="22" t="inlineStr">
        <is>
          <t>request_logs</t>
        </is>
      </c>
      <c r="C181" s="22" t="inlineStr">
        <is>
          <t>response_time_ms</t>
        </is>
      </c>
      <c r="D181" s="22" t="inlineStr">
        <is>
          <t>audit.request_logs_stats</t>
        </is>
      </c>
      <c r="E181" s="22" t="inlineStr">
        <is>
          <t>Vista</t>
        </is>
      </c>
      <c r="F181" s="22" t="inlineStr"/>
    </row>
  </sheetData>
  <autoFilter ref="A1:F18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2026-10-26T16:06:09Z</dcterms:created>
  <dcterms:modified xmlns:dcterms="http://purl.org/dc/terms/" xmlns:xsi="http://www.w3.org/2001/XMLSchema-instance" xsi:type="dcterms:W3CDTF">2026-10-26T16:06:13Z</dcterms:modified>
</cp:coreProperties>
</file>